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<sst xmlns="http://schemas.openxmlformats.org/spreadsheetml/2006/main" count="231" uniqueCount="133">
  <si>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</si>
  <si>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</si>
  <si>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</si>
  <si>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</si>
  <si>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</si>
  <si>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</si>
  <si>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</si>
  <si>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</si>
  <si>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</si>
  <si>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</si>
  <si>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</si>
  <si>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</si>
  <si>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</si>
  <si>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</si>
  <si>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</si>
  <si>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</si>
  <si>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</si>
  <si>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</si>
  <si>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Determinant</t>
  </si>
  <si>
    <t xml:space="preserve">Easier than Advanced</t>
  </si>
  <si>
    <t xml:space="preserve">Second differences of a quadratic are constant, so R3-2R2+R1 is a constant row and b, c disappear.</t>
  </si>
  <si>
    <t xml:space="preserve">Routine chain of row and column operations once the second-difference idea is seen; no unfamiliar idea, but three or four steps. Comparable to 2025-P1-Q1 (L2), coefficient extraction for polynomials.</t>
  </si>
  <si>
    <t xml:space="preserve">2025-P1-Q1 (L2)</t>
  </si>
  <si>
    <t xml:space="preserve">Medium</t>
  </si>
  <si>
    <t xml:space="preserve">Q02</t>
  </si>
  <si>
    <t xml:space="preserve">Average Advanced</t>
  </si>
  <si>
    <t xml:space="preserve">See the cos 2x row as 2cos^2 - 1, reduce to a Vandermonde determinant, then take the union of three coincidence sets in [0, pi].</t>
  </si>
  <si>
    <t xml:space="preserve">Two linked ideas: the hidden Vandermonde form via a row combination, and careful counting over three general-solution families with a shared root and end points. Similar demand to 2025-P2-Q3 (L3), counting trigonometric solutions after a simplification.</t>
  </si>
  <si>
    <t xml:space="preserve">2025-P2-Q3 (L3)</t>
  </si>
  <si>
    <t xml:space="preserve">Q03</t>
  </si>
  <si>
    <t xml:space="preserve">Column sum gives the factor 3(n+1); the rest is 3, so D_n = 9(n+1).</t>
  </si>
  <si>
    <t xml:space="preserve">A standard circulant factorisation followed by a short count; routine chain of three steps without a new idea. Comparable to 2026-P1-Q4 (L2) in demand.</t>
  </si>
  <si>
    <t xml:space="preserve">2026-P1-Q4 (L2)</t>
  </si>
  <si>
    <t xml:space="preserve">High</t>
  </si>
  <si>
    <t xml:space="preserve">Q04</t>
  </si>
  <si>
    <t xml:space="preserve">Factorise the circulant with omega: two factors equal x - omega^2.</t>
  </si>
  <si>
    <t xml:space="preserve">A standard circulant factorisation with cube roots of unity, followed by reading off the roots; routine but several steps. Comparable to 2026-P1-Q13 (L3) in topic but much shorter; placed at L2 like 2025-P1-Q1 (L2).</t>
  </si>
  <si>
    <t xml:space="preserve">Q05</t>
  </si>
  <si>
    <t xml:space="preserve">Determinant zero iff r is a combination of p and q, which gives k^2 + k - 2 = 0.</t>
  </si>
  <si>
    <t xml:space="preserve">Routine: either expand a 3x3 determinant with a quadratic parameter or use the linear-dependence view, then Vieta; several standard steps, no new idea. Comparable to 2025-P1-Q1 (L2).</t>
  </si>
  <si>
    <t xml:space="preserve">Q06</t>
  </si>
  <si>
    <t xml:space="preserve">Cramer's rule gives y = Delta_2/Delta = 3 - 2 lambda after cancelling lambda - 7.</t>
  </si>
  <si>
    <t xml:space="preserve">Two 3x3 determinants and a cancellation, then a direct limit; routine multi-step. Comparable to 2023-P1-Q14 (L1) on systems, but the limiting step adds a stage, so L2.</t>
  </si>
  <si>
    <t xml:space="preserve">2023-P1-Q14 (L1)</t>
  </si>
  <si>
    <t xml:space="preserve">Q07</t>
  </si>
  <si>
    <t xml:space="preserve">Cramer gives z = (q-5)/(6-2p); count divisibility cases with p != 3.</t>
  </si>
  <si>
    <t xml:space="preserve">Two short determinants and a small case count; routine, but the count has a trap (z = 0). Comparable to 2024-P1-Q14 (L2), a counting question on matrices with options.</t>
  </si>
  <si>
    <t xml:space="preserve">2024-P1-Q14 (L2)</t>
  </si>
  <si>
    <t xml:space="preserve">Q08</t>
  </si>
  <si>
    <t xml:space="preserve">Numerical</t>
  </si>
  <si>
    <t xml:space="preserve">Row operations with multipliers zbar and zbar^2 reduce D to (1-|z|^2)(7-|z|^2).</t>
  </si>
  <si>
    <t xml:space="preserve">Two linked ideas: determinant row operations with complex multipliers and conjugate algebra, then a quadratic minimisation; numerical answer with no options. Comparable to 2023-P1-Q17 (L3), complex algebra with zbar, and 2023-P1-Q11 (L3).</t>
  </si>
  <si>
    <t xml:space="preserve">2023-P1-Q17 (L3)</t>
  </si>
  <si>
    <t xml:space="preserve">Q09</t>
  </si>
  <si>
    <t xml:space="preserve">Differentiate the determinant row by row; two terms vanish and the third reduces to F, so F' = F.</t>
  </si>
  <si>
    <t xml:space="preserve">Two linked ideas (differentiation of a determinant and removal of a row combination via the given relation), then a short separable equation; numerical answer. Comparable to 2023-P2-Q1 (L2) for the differential-equation finish and 2024-P2-Q13 (L3) for the structure; L3.</t>
  </si>
  <si>
    <t xml:space="preserve">2024-P2-Q13 (L3)</t>
  </si>
  <si>
    <t xml:space="preserve">Q10</t>
  </si>
  <si>
    <t xml:space="preserve">Factor (b-a)(c-a)(c-b) out of the numerator; the quotient is ab+bc+ca = -5/2.</t>
  </si>
  <si>
    <t xml:space="preserve">A known Vandermonde-type factorisation followed by Vieta; routine chain with one non-trivial algebraic step. Comparable to 2026-P2-Q12 (L2) as a routine numerical.</t>
  </si>
  <si>
    <t xml:space="preserve">2026-P2-Q12 (L2)</t>
  </si>
  <si>
    <t xml:space="preserve">Q11</t>
  </si>
  <si>
    <t xml:space="preserve">Expansion collapses to lambda sin 2x - lambda^2; maximise over x then over lambda.</t>
  </si>
  <si>
    <t xml:space="preserve">One expansion with a trigonometric simplification, then a two-step maximisation; routine multi-step. Comparable to 2026-P2-Q12 (L2).</t>
  </si>
  <si>
    <t xml:space="preserve">Q12</t>
  </si>
  <si>
    <t xml:space="preserve">Scale row i by ln p_i and column j by 1/ln p_j to get the matrix with 7 on the diagonal and 1 elsewhere.</t>
  </si>
  <si>
    <t xml:space="preserve">A change of base and a row-column scaling property, then a standard determinant; routine chain without a new idea. Comparable to 2024-P1-Q8 (L2), logarithm manipulation.</t>
  </si>
  <si>
    <t xml:space="preserve">2024-P1-Q8 (L2)</t>
  </si>
  <si>
    <t xml:space="preserve">Q13</t>
  </si>
  <si>
    <t xml:space="preserve">Expansion of I + skew gives 1 + sum sin^2; bound the sum by 9/4 with a compound-angle identity.</t>
  </si>
  <si>
    <t xml:space="preserve">Two linked ideas (skew-symmetric expansion with cancelling cubic terms, and a constrained trigonometric maximum), numerical answer with no options. Comparable to 2021-P2-Q2 (L3) and 2024-P1-Q3 (L3) for the trigonometric step.</t>
  </si>
  <si>
    <t xml:space="preserve">2024-P1-Q3 (L3)</t>
  </si>
  <si>
    <t xml:space="preserve">Q14</t>
  </si>
  <si>
    <t xml:space="preserve">Square of the triple product equals the determinant of dot products by multiplying det M with det M^T.</t>
  </si>
  <si>
    <t xml:space="preserve">One known identity from the multiplication theorem and a numeric 3x3 determinant; routine with a recall step. Comparable to 2021-P1-Q19 (L3) on the same data type but simpler; placed at L2 like 2026-P2-Q1 (L2).</t>
  </si>
  <si>
    <t xml:space="preserve">2026-P2-Q1 (L2)</t>
  </si>
  <si>
    <t xml:space="preserve">Q15</t>
  </si>
  <si>
    <t xml:space="preserve">Write (i+jt)^2 as a sum of three products and use det(AB) = det A det B.</t>
  </si>
  <si>
    <t xml:space="preserve">Recognising a product of two determinants and two standard evaluations; routine chain. A student who expands directly also succeeds with effort. Comparable to 2026-P2-Q12 (L2).</t>
  </si>
  <si>
    <t xml:space="preserve">Q16</t>
  </si>
  <si>
    <t xml:space="preserve">Find both lambda from the determinant, get each solution line by cross-multiplication, compare primitive directions.</t>
  </si>
  <si>
    <t xml:space="preserve">Two linked ideas (determinant condition with two roots, and the solution line by cross-multiplication) plus a minimisation trap (the negative root wins); numerical answer. Comparable to 2021-P1-Q19 (L3) and 2026-P1-Q6 (L3).</t>
  </si>
  <si>
    <t xml:space="preserve">2026-P1-Q6 (L3)</t>
  </si>
  <si>
    <t xml:space="preserve">Q17</t>
  </si>
  <si>
    <t xml:space="preserve">Remainder theorem at 1, 2, 3 gives a 3x3 system; Cramer gives alpha.</t>
  </si>
  <si>
    <t xml:space="preserve">Routine chain: three substitutions, two determinants; no insight beyond setting up the system. Comparable to 2024-P1-Q8 (L2) in demand.</t>
  </si>
  <si>
    <t xml:space="preserve">Q18</t>
  </si>
  <si>
    <t xml:space="preserve">Factor Delta = (k-1)^2(k+5); k = 1 gives parallel disjoint planes and k = -5 gives Delta_1 != 0.</t>
  </si>
  <si>
    <t xml:space="preserve">Three concepts linked: singular values from the determinant, recognising rank one (parallel planes) at the double root, and a Cramer determinant test at the other; numerical answer. Comparable to 2023-P1-Q14 (L1) in topic but with two separate case checks and a factorisation, like 2026-P1-Q6 (L3).</t>
  </si>
  <si>
    <t xml:space="preserve">Q19</t>
  </si>
  <si>
    <t xml:space="preserve">Pairwise disjoint planes are parallel; the equidistance root that makes P3 = P1 is rejected.</t>
  </si>
  <si>
    <t xml:space="preserve">Routine chain of parallel-plane conditions and distances, with one rejection step; no new idea. Comparable to 2024-P2-Q6 (L1) and 2026-P2-Q1 (L2); L2.</t>
  </si>
  <si>
    <t xml:space="preserve">Q20</t>
  </si>
  <si>
    <t xml:space="preserve">All Cramer determinants zero plus no solution forces rank 1, so the rows are proportional: lambda = -2, mu = 3.</t>
  </si>
  <si>
    <t xml:space="preserve">The coaching fact 'all determinants zero and no solution means parallel planes' plus reading off proportional rows; short, but the justification needs a moment's thought. Comparable to 2021-P1-Q7 (L1) on consistency, with one more stage; L2.</t>
  </si>
  <si>
    <t xml:space="preserve">2021-P1-Q7 (L1)</t>
  </si>
  <si>
    <t xml:space="preserve">Q21</t>
  </si>
  <si>
    <t xml:space="preserve">Parallel-and-disjoint conditions fix the planes; the distance comparison picks P3; line-plane intersection gives Q.</t>
  </si>
  <si>
    <t xml:space="preserve">Two chapters linked through a three-stage chain (parallel conditions, distance comparison, line-plane intersection); numerical answer. Comparable to 2025-P1-Q5 (L3) and 2026-P1-Q6 (L3).</t>
  </si>
  <si>
    <t xml:space="preserve">2025-P1-Q5 (L3)</t>
  </si>
  <si>
    <t xml:space="preserve">Q22</t>
  </si>
  <si>
    <t xml:space="preserve">k = 2 from the determinant, solutions t(1,5,7), count integer t with |7t| &lt;= 1000.</t>
  </si>
  <si>
    <t xml:space="preserve">Routine chain: a 3x3 determinant, a cross-multiplication and a short count. Comparable to 2023-P2-Q9 (L2) in length.</t>
  </si>
  <si>
    <t xml:space="preserve">2023-P2-Q9 (L2)</t>
  </si>
  <si>
    <t xml:space="preserve">Q23</t>
  </si>
  <si>
    <t xml:space="preserve">Factor the determinant into (sin - cos)(sin + cos - 1) and solve both families in (0, pi).</t>
  </si>
  <si>
    <t xml:space="preserve">Two linked ideas (factorising a trigonometric determinant, and general solutions of two equations with an excluded end point); numerical answer. Comparable to 2023-P2-Q3 (L3) and 2025-P2-Q3 (L3).</t>
  </si>
  <si>
    <t xml:space="preserve">2023-P2-Q3 (L3)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</si>
  <si>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</si>
  <si>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</si>
  <si>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Determinant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</si>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</sst>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2</v>
      </c>
      <c r="H2" s="4" t="s">
        <v>19</v>
      </c>
      <c r="I2" s="5" t="n">
        <v>0</v>
      </c>
      <c r="J2" s="5" t="n">
        <v>0</v>
      </c>
      <c r="K2" s="5" t="n">
        <f aca="false">MIN(5,MAX(G2+I2,J2))</f>
        <v>2</v>
      </c>
      <c r="L2" s="5" t="n">
        <f aca="false">F2*K2</f>
        <v>6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46.2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3</v>
      </c>
      <c r="H3" s="6" t="s">
        <v>25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26</v>
      </c>
      <c r="N3" s="3" t="s">
        <v>27</v>
      </c>
      <c r="O3" s="3" t="s">
        <v>28</v>
      </c>
      <c r="P3" s="2" t="s">
        <v>23</v>
      </c>
    </row>
    <row r="4" customFormat="false" ht="35.05" hidden="false" customHeight="false" outlineLevel="0" collapsed="false">
      <c r="A4" s="2" t="n">
        <v>3</v>
      </c>
      <c r="B4" s="2"/>
      <c r="C4" s="2" t="s">
        <v>29</v>
      </c>
      <c r="D4" s="2" t="s">
        <v>17</v>
      </c>
      <c r="E4" s="3" t="s">
        <v>18</v>
      </c>
      <c r="F4" s="2" t="n">
        <v>3</v>
      </c>
      <c r="G4" s="4" t="n">
        <v>2</v>
      </c>
      <c r="H4" s="4" t="s">
        <v>19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30</v>
      </c>
      <c r="N4" s="3" t="s">
        <v>31</v>
      </c>
      <c r="O4" s="3" t="s">
        <v>32</v>
      </c>
      <c r="P4" s="2" t="s">
        <v>33</v>
      </c>
    </row>
    <row r="5" customFormat="false" ht="35.0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4" t="n">
        <v>2</v>
      </c>
      <c r="H5" s="4" t="s">
        <v>19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35</v>
      </c>
      <c r="N5" s="3" t="s">
        <v>36</v>
      </c>
      <c r="O5" s="3" t="s">
        <v>22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37</v>
      </c>
      <c r="D6" s="2" t="s">
        <v>17</v>
      </c>
      <c r="E6" s="3" t="s">
        <v>18</v>
      </c>
      <c r="F6" s="2" t="n">
        <v>3</v>
      </c>
      <c r="G6" s="4" t="n">
        <v>2</v>
      </c>
      <c r="H6" s="4" t="s">
        <v>19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6</v>
      </c>
      <c r="M6" s="3" t="s">
        <v>38</v>
      </c>
      <c r="N6" s="3" t="s">
        <v>39</v>
      </c>
      <c r="O6" s="3" t="s">
        <v>22</v>
      </c>
      <c r="P6" s="2" t="s">
        <v>33</v>
      </c>
    </row>
    <row r="7" customFormat="false" ht="35.05" hidden="false" customHeight="false" outlineLevel="0" collapsed="false">
      <c r="A7" s="2" t="n">
        <v>6</v>
      </c>
      <c r="B7" s="2"/>
      <c r="C7" s="2" t="s">
        <v>40</v>
      </c>
      <c r="D7" s="2" t="s">
        <v>17</v>
      </c>
      <c r="E7" s="3" t="s">
        <v>18</v>
      </c>
      <c r="F7" s="2" t="n">
        <v>3</v>
      </c>
      <c r="G7" s="4" t="n">
        <v>2</v>
      </c>
      <c r="H7" s="4" t="s">
        <v>19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6</v>
      </c>
      <c r="M7" s="3" t="s">
        <v>41</v>
      </c>
      <c r="N7" s="3" t="s">
        <v>42</v>
      </c>
      <c r="O7" s="3" t="s">
        <v>43</v>
      </c>
      <c r="P7" s="2" t="s">
        <v>23</v>
      </c>
    </row>
    <row r="8" customFormat="false" ht="35.05" hidden="false" customHeight="false" outlineLevel="0" collapsed="false">
      <c r="A8" s="2" t="n">
        <v>7</v>
      </c>
      <c r="B8" s="2"/>
      <c r="C8" s="2" t="s">
        <v>44</v>
      </c>
      <c r="D8" s="2" t="s">
        <v>17</v>
      </c>
      <c r="E8" s="3" t="s">
        <v>18</v>
      </c>
      <c r="F8" s="2" t="n">
        <v>3</v>
      </c>
      <c r="G8" s="4" t="n">
        <v>2</v>
      </c>
      <c r="H8" s="4" t="s">
        <v>19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6</v>
      </c>
      <c r="M8" s="3" t="s">
        <v>45</v>
      </c>
      <c r="N8" s="3" t="s">
        <v>46</v>
      </c>
      <c r="O8" s="3" t="s">
        <v>47</v>
      </c>
      <c r="P8" s="2" t="s">
        <v>23</v>
      </c>
    </row>
    <row r="9" customFormat="false" ht="46.25" hidden="false" customHeight="false" outlineLevel="0" collapsed="false">
      <c r="A9" s="2" t="n">
        <v>8</v>
      </c>
      <c r="B9" s="2"/>
      <c r="C9" s="2" t="s">
        <v>48</v>
      </c>
      <c r="D9" s="2" t="s">
        <v>49</v>
      </c>
      <c r="E9" s="3" t="s">
        <v>18</v>
      </c>
      <c r="F9" s="2" t="n">
        <v>4</v>
      </c>
      <c r="G9" s="6" t="n">
        <v>3</v>
      </c>
      <c r="H9" s="6" t="s">
        <v>25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50</v>
      </c>
      <c r="N9" s="3" t="s">
        <v>51</v>
      </c>
      <c r="O9" s="3" t="s">
        <v>52</v>
      </c>
      <c r="P9" s="2" t="s">
        <v>23</v>
      </c>
    </row>
    <row r="10" customFormat="false" ht="46.25" hidden="false" customHeight="false" outlineLevel="0" collapsed="false">
      <c r="A10" s="2" t="n">
        <v>9</v>
      </c>
      <c r="B10" s="2"/>
      <c r="C10" s="2" t="s">
        <v>53</v>
      </c>
      <c r="D10" s="2" t="s">
        <v>49</v>
      </c>
      <c r="E10" s="3" t="s">
        <v>18</v>
      </c>
      <c r="F10" s="2" t="n">
        <v>4</v>
      </c>
      <c r="G10" s="6" t="n">
        <v>3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54</v>
      </c>
      <c r="N10" s="3" t="s">
        <v>55</v>
      </c>
      <c r="O10" s="3" t="s">
        <v>56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57</v>
      </c>
      <c r="D11" s="2" t="s">
        <v>49</v>
      </c>
      <c r="E11" s="3" t="s">
        <v>18</v>
      </c>
      <c r="F11" s="2" t="n">
        <v>4</v>
      </c>
      <c r="G11" s="4" t="n">
        <v>2</v>
      </c>
      <c r="H11" s="4" t="s">
        <v>19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58</v>
      </c>
      <c r="N11" s="3" t="s">
        <v>59</v>
      </c>
      <c r="O11" s="3" t="s">
        <v>60</v>
      </c>
      <c r="P11" s="2" t="s">
        <v>23</v>
      </c>
    </row>
    <row r="12" customFormat="false" ht="23.85" hidden="false" customHeight="false" outlineLevel="0" collapsed="false">
      <c r="A12" s="2" t="n">
        <v>11</v>
      </c>
      <c r="B12" s="2"/>
      <c r="C12" s="2" t="s">
        <v>61</v>
      </c>
      <c r="D12" s="2" t="s">
        <v>49</v>
      </c>
      <c r="E12" s="3" t="s">
        <v>18</v>
      </c>
      <c r="F12" s="2" t="n">
        <v>4</v>
      </c>
      <c r="G12" s="4" t="n">
        <v>2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2</v>
      </c>
      <c r="L12" s="5" t="n">
        <f aca="false">F12*K12</f>
        <v>8</v>
      </c>
      <c r="M12" s="3" t="s">
        <v>62</v>
      </c>
      <c r="N12" s="3" t="s">
        <v>63</v>
      </c>
      <c r="O12" s="3" t="s">
        <v>60</v>
      </c>
      <c r="P12" s="2" t="s">
        <v>33</v>
      </c>
    </row>
    <row r="13" customFormat="false" ht="35.05" hidden="false" customHeight="false" outlineLevel="0" collapsed="false">
      <c r="A13" s="2" t="n">
        <v>12</v>
      </c>
      <c r="B13" s="2"/>
      <c r="C13" s="2" t="s">
        <v>64</v>
      </c>
      <c r="D13" s="2" t="s">
        <v>49</v>
      </c>
      <c r="E13" s="3" t="s">
        <v>18</v>
      </c>
      <c r="F13" s="2" t="n">
        <v>4</v>
      </c>
      <c r="G13" s="4" t="n">
        <v>2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65</v>
      </c>
      <c r="N13" s="3" t="s">
        <v>66</v>
      </c>
      <c r="O13" s="3" t="s">
        <v>67</v>
      </c>
      <c r="P13" s="2" t="s">
        <v>33</v>
      </c>
    </row>
    <row r="14" customFormat="false" ht="46.25" hidden="false" customHeight="false" outlineLevel="0" collapsed="false">
      <c r="A14" s="2" t="n">
        <v>13</v>
      </c>
      <c r="B14" s="2"/>
      <c r="C14" s="2" t="s">
        <v>68</v>
      </c>
      <c r="D14" s="2" t="s">
        <v>49</v>
      </c>
      <c r="E14" s="3" t="s">
        <v>18</v>
      </c>
      <c r="F14" s="2" t="n">
        <v>4</v>
      </c>
      <c r="G14" s="6" t="n">
        <v>3</v>
      </c>
      <c r="H14" s="6" t="s">
        <v>25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69</v>
      </c>
      <c r="N14" s="3" t="s">
        <v>70</v>
      </c>
      <c r="O14" s="3" t="s">
        <v>71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72</v>
      </c>
      <c r="D15" s="2" t="s">
        <v>49</v>
      </c>
      <c r="E15" s="3" t="s">
        <v>18</v>
      </c>
      <c r="F15" s="2" t="n">
        <v>4</v>
      </c>
      <c r="G15" s="4" t="n">
        <v>2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73</v>
      </c>
      <c r="N15" s="3" t="s">
        <v>74</v>
      </c>
      <c r="O15" s="3" t="s">
        <v>75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76</v>
      </c>
      <c r="D16" s="2" t="s">
        <v>49</v>
      </c>
      <c r="E16" s="3" t="s">
        <v>18</v>
      </c>
      <c r="F16" s="2" t="n">
        <v>4</v>
      </c>
      <c r="G16" s="4" t="n">
        <v>2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77</v>
      </c>
      <c r="N16" s="3" t="s">
        <v>78</v>
      </c>
      <c r="O16" s="3" t="s">
        <v>60</v>
      </c>
      <c r="P16" s="2" t="s">
        <v>23</v>
      </c>
    </row>
    <row r="17" customFormat="false" ht="46.25" hidden="false" customHeight="false" outlineLevel="0" collapsed="false">
      <c r="A17" s="2" t="n">
        <v>16</v>
      </c>
      <c r="B17" s="2"/>
      <c r="C17" s="2" t="s">
        <v>79</v>
      </c>
      <c r="D17" s="2" t="s">
        <v>49</v>
      </c>
      <c r="E17" s="3" t="s">
        <v>18</v>
      </c>
      <c r="F17" s="2" t="n">
        <v>4</v>
      </c>
      <c r="G17" s="6" t="n">
        <v>3</v>
      </c>
      <c r="H17" s="6" t="s">
        <v>25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80</v>
      </c>
      <c r="N17" s="3" t="s">
        <v>81</v>
      </c>
      <c r="O17" s="3" t="s">
        <v>82</v>
      </c>
      <c r="P17" s="2" t="s">
        <v>23</v>
      </c>
    </row>
    <row r="18" customFormat="false" ht="23.85" hidden="false" customHeight="false" outlineLevel="0" collapsed="false">
      <c r="A18" s="2" t="n">
        <v>17</v>
      </c>
      <c r="B18" s="2"/>
      <c r="C18" s="2" t="s">
        <v>83</v>
      </c>
      <c r="D18" s="2" t="s">
        <v>49</v>
      </c>
      <c r="E18" s="3" t="s">
        <v>18</v>
      </c>
      <c r="F18" s="2" t="n">
        <v>4</v>
      </c>
      <c r="G18" s="4" t="n">
        <v>2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84</v>
      </c>
      <c r="N18" s="3" t="s">
        <v>85</v>
      </c>
      <c r="O18" s="3" t="s">
        <v>67</v>
      </c>
      <c r="P18" s="2" t="s">
        <v>33</v>
      </c>
    </row>
    <row r="19" customFormat="false" ht="57.45" hidden="false" customHeight="false" outlineLevel="0" collapsed="false">
      <c r="A19" s="2" t="n">
        <v>18</v>
      </c>
      <c r="B19" s="2"/>
      <c r="C19" s="2" t="s">
        <v>86</v>
      </c>
      <c r="D19" s="2" t="s">
        <v>49</v>
      </c>
      <c r="E19" s="3" t="s">
        <v>18</v>
      </c>
      <c r="F19" s="2" t="n">
        <v>4</v>
      </c>
      <c r="G19" s="6" t="n">
        <v>3</v>
      </c>
      <c r="H19" s="6" t="s">
        <v>25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87</v>
      </c>
      <c r="N19" s="3" t="s">
        <v>88</v>
      </c>
      <c r="O19" s="3" t="s">
        <v>82</v>
      </c>
      <c r="P19" s="2" t="s">
        <v>23</v>
      </c>
    </row>
    <row r="20" customFormat="false" ht="35.05" hidden="false" customHeight="false" outlineLevel="0" collapsed="false">
      <c r="A20" s="2" t="n">
        <v>19</v>
      </c>
      <c r="B20" s="2"/>
      <c r="C20" s="2" t="s">
        <v>89</v>
      </c>
      <c r="D20" s="2" t="s">
        <v>49</v>
      </c>
      <c r="E20" s="3" t="s">
        <v>18</v>
      </c>
      <c r="F20" s="2" t="n">
        <v>4</v>
      </c>
      <c r="G20" s="4" t="n">
        <v>2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90</v>
      </c>
      <c r="N20" s="3" t="s">
        <v>91</v>
      </c>
      <c r="O20" s="3" t="s">
        <v>75</v>
      </c>
      <c r="P20" s="2" t="s">
        <v>33</v>
      </c>
    </row>
    <row r="21" customFormat="false" ht="46.25" hidden="false" customHeight="false" outlineLevel="0" collapsed="false">
      <c r="A21" s="2" t="n">
        <v>20</v>
      </c>
      <c r="B21" s="2"/>
      <c r="C21" s="2" t="s">
        <v>92</v>
      </c>
      <c r="D21" s="2" t="s">
        <v>49</v>
      </c>
      <c r="E21" s="3" t="s">
        <v>18</v>
      </c>
      <c r="F21" s="2" t="n">
        <v>4</v>
      </c>
      <c r="G21" s="4" t="n">
        <v>2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93</v>
      </c>
      <c r="N21" s="3" t="s">
        <v>94</v>
      </c>
      <c r="O21" s="3" t="s">
        <v>95</v>
      </c>
      <c r="P21" s="2" t="s">
        <v>23</v>
      </c>
    </row>
    <row r="22" customFormat="false" ht="35.05" hidden="false" customHeight="false" outlineLevel="0" collapsed="false">
      <c r="A22" s="2" t="n">
        <v>21</v>
      </c>
      <c r="B22" s="2"/>
      <c r="C22" s="2" t="s">
        <v>96</v>
      </c>
      <c r="D22" s="2" t="s">
        <v>49</v>
      </c>
      <c r="E22" s="3" t="s">
        <v>18</v>
      </c>
      <c r="F22" s="2" t="n">
        <v>4</v>
      </c>
      <c r="G22" s="6" t="n">
        <v>3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3</v>
      </c>
      <c r="L22" s="5" t="n">
        <f aca="false">F22*K22</f>
        <v>12</v>
      </c>
      <c r="M22" s="3" t="s">
        <v>97</v>
      </c>
      <c r="N22" s="3" t="s">
        <v>98</v>
      </c>
      <c r="O22" s="3" t="s">
        <v>99</v>
      </c>
      <c r="P22" s="2" t="s">
        <v>23</v>
      </c>
    </row>
    <row r="23" customFormat="false" ht="23.85" hidden="false" customHeight="false" outlineLevel="0" collapsed="false">
      <c r="A23" s="2" t="n">
        <v>22</v>
      </c>
      <c r="B23" s="2"/>
      <c r="C23" s="2" t="s">
        <v>100</v>
      </c>
      <c r="D23" s="2" t="s">
        <v>49</v>
      </c>
      <c r="E23" s="3" t="s">
        <v>18</v>
      </c>
      <c r="F23" s="2" t="n">
        <v>4</v>
      </c>
      <c r="G23" s="4" t="n">
        <v>2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101</v>
      </c>
      <c r="N23" s="3" t="s">
        <v>102</v>
      </c>
      <c r="O23" s="3" t="s">
        <v>103</v>
      </c>
      <c r="P23" s="2" t="s">
        <v>33</v>
      </c>
    </row>
    <row r="24" customFormat="false" ht="35.05" hidden="false" customHeight="false" outlineLevel="0" collapsed="false">
      <c r="A24" s="2" t="n">
        <v>23</v>
      </c>
      <c r="B24" s="2"/>
      <c r="C24" s="2" t="s">
        <v>104</v>
      </c>
      <c r="D24" s="2" t="s">
        <v>49</v>
      </c>
      <c r="E24" s="3" t="s">
        <v>18</v>
      </c>
      <c r="F24" s="2" t="n">
        <v>4</v>
      </c>
      <c r="G24" s="6" t="n">
        <v>3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3</v>
      </c>
      <c r="L24" s="5" t="n">
        <f aca="false">F24*K24</f>
        <v>12</v>
      </c>
      <c r="M24" s="3" t="s">
        <v>105</v>
      </c>
      <c r="N24" s="3" t="s">
        <v>106</v>
      </c>
      <c r="O24" s="3" t="s">
        <v>107</v>
      </c>
      <c r="P24" s="2" t="s">
        <v>23</v>
      </c>
    </row>
    <row r="26" customFormat="false" ht="15" hidden="false" customHeight="false" outlineLevel="0" collapsed="false">
      <c r="A26" s="7" t="s">
        <v>108</v>
      </c>
    </row>
  </sheetData>
  <autoFilter ref="A1:P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109</v>
      </c>
    </row>
    <row r="2" customFormat="false" ht="15" hidden="false" customHeight="false" outlineLevel="0" collapsed="false">
      <c r="A2" s="7" t="s">
        <v>110</v>
      </c>
    </row>
    <row r="4" customFormat="false" ht="15" hidden="false" customHeight="false" outlineLevel="0" collapsed="false">
      <c r="A4" s="1" t="s">
        <v>6</v>
      </c>
      <c r="B4" s="1" t="s">
        <v>111</v>
      </c>
      <c r="C4" s="1" t="s">
        <v>112</v>
      </c>
      <c r="D4" s="1" t="s">
        <v>5</v>
      </c>
      <c r="E4" s="1" t="s">
        <v>113</v>
      </c>
    </row>
    <row r="5" customFormat="false" ht="15" hidden="false" customHeight="false" outlineLevel="0" collapsed="false">
      <c r="A5" s="9" t="n">
        <v>0</v>
      </c>
      <c r="B5" s="9" t="s">
        <v>114</v>
      </c>
      <c r="C5" s="9" t="n">
        <f aca="false">COUNTIF(Evaluation!$G$2:$G$24,A5)</f>
        <v>0</v>
      </c>
      <c r="D5" s="9" t="n">
        <f aca="false">SUMIF(Evaluation!$G$2:$G$24,A5,Evaluation!$F$2:$F$24)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115</v>
      </c>
      <c r="C6" s="11" t="n">
        <f aca="false">COUNTIF(Evaluation!$G$2:$G$24,A6)</f>
        <v>0</v>
      </c>
      <c r="D6" s="11" t="n">
        <f aca="false">SUMIF(Evaluation!$G$2:$G$24,A6,Evaluation!$F$2:$F$24)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19</v>
      </c>
      <c r="C7" s="13" t="n">
        <f aca="false">COUNTIF(Evaluation!$G$2:$G$24,A7)</f>
        <v>15</v>
      </c>
      <c r="D7" s="13" t="n">
        <f aca="false">SUMIF(Evaluation!$G$2:$G$24,A7,Evaluation!$F$2:$F$24)</f>
        <v>54</v>
      </c>
      <c r="E7" s="14" t="n">
        <f aca="false">IF(SUM($D$5:$D$10)=0,0,D7/SUM($D$5:$D$10))</f>
        <v>0.635294117647059</v>
      </c>
    </row>
    <row r="8" customFormat="false" ht="15" hidden="false" customHeight="false" outlineLevel="0" collapsed="false">
      <c r="A8" s="15" t="n">
        <v>3</v>
      </c>
      <c r="B8" s="15" t="s">
        <v>25</v>
      </c>
      <c r="C8" s="15" t="n">
        <f aca="false">COUNTIF(Evaluation!$G$2:$G$24,A8)</f>
        <v>8</v>
      </c>
      <c r="D8" s="15" t="n">
        <f aca="false">SUMIF(Evaluation!$G$2:$G$24,A8,Evaluation!$F$2:$F$24)</f>
        <v>31</v>
      </c>
      <c r="E8" s="16" t="n">
        <f aca="false">IF(SUM($D$5:$D$10)=0,0,D8/SUM($D$5:$D$10))</f>
        <v>0.364705882352941</v>
      </c>
    </row>
    <row r="9" customFormat="false" ht="15" hidden="false" customHeight="false" outlineLevel="0" collapsed="false">
      <c r="A9" s="17" t="n">
        <v>4</v>
      </c>
      <c r="B9" s="17" t="s">
        <v>116</v>
      </c>
      <c r="C9" s="17" t="n">
        <f aca="false">COUNTIF(Evaluation!$G$2:$G$24,A9)</f>
        <v>0</v>
      </c>
      <c r="D9" s="17" t="n">
        <f aca="false">SUMIF(Evaluation!$G$2:$G$24,A9,Evaluation!$F$2:$F$24)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117</v>
      </c>
      <c r="C10" s="19" t="n">
        <f aca="false">COUNTIF(Evaluation!$G$2:$G$24,A10)</f>
        <v>0</v>
      </c>
      <c r="D10" s="19" t="n">
        <f aca="false">SUMIF(Evaluation!$G$2:$G$24,A10,Evaluation!$F$2:$F$24)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118</v>
      </c>
      <c r="C11" s="21" t="n">
        <f aca="false">SUM(C5:C10)</f>
        <v>23</v>
      </c>
      <c r="D11" s="21" t="n">
        <f aca="false">SUM(D5:D10)</f>
        <v>85</v>
      </c>
    </row>
    <row r="13" customFormat="false" ht="46.25" hidden="false" customHeight="false" outlineLevel="0" collapsed="false">
      <c r="A13" s="1" t="s">
        <v>119</v>
      </c>
      <c r="B13" s="1" t="s">
        <v>120</v>
      </c>
      <c r="C13" s="1" t="s">
        <v>121</v>
      </c>
      <c r="D13" s="1" t="s">
        <v>5</v>
      </c>
      <c r="E13" s="1" t="s">
        <v>122</v>
      </c>
    </row>
    <row r="14" customFormat="false" ht="15" hidden="false" customHeight="false" outlineLevel="0" collapsed="false">
      <c r="A14" s="21" t="s">
        <v>123</v>
      </c>
      <c r="B14" s="22" t="n">
        <f aca="false">SUM(Evaluation!$L$2:$L$24)/SUM(Evaluation!$F$2:$F$24)</f>
        <v>2.36470588235294</v>
      </c>
      <c r="C14" s="22" t="n">
        <f aca="false">SUMPRODUCT(Evaluation!$F$2:$F$24,Evaluation!$G$2:$G$24)/SUM(Evaluation!$F$2:$F$24)</f>
        <v>2.36470588235294</v>
      </c>
      <c r="D14" s="21" t="n">
        <f aca="false">SUM(Evaluation!$F$2:$F$24)</f>
        <v>85</v>
      </c>
      <c r="E14" s="22" t="n">
        <f aca="false">AVERAGE(Evaluation!$G$2:$G$24)</f>
        <v>2.34782608695652</v>
      </c>
    </row>
    <row r="16" customFormat="false" ht="15" hidden="false" customHeight="false" outlineLevel="0" collapsed="false">
      <c r="A16" s="7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125</v>
      </c>
    </row>
    <row r="3" customFormat="false" ht="23.85" hidden="false" customHeight="false" outlineLevel="0" collapsed="false">
      <c r="A3" s="1" t="s">
        <v>126</v>
      </c>
      <c r="B3" s="1" t="s">
        <v>127</v>
      </c>
      <c r="C3" s="1" t="s">
        <v>122</v>
      </c>
      <c r="D3" s="1" t="s">
        <v>128</v>
      </c>
      <c r="E3" s="1" t="s">
        <v>129</v>
      </c>
      <c r="F3" s="1" t="s">
        <v>130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131</v>
      </c>
      <c r="B9" s="22" t="n">
        <f aca="false">Summary!B14</f>
        <v>2.36470588235294</v>
      </c>
      <c r="C9" s="22" t="n">
        <f aca="false">Summary!E14</f>
        <v>2.34782608695652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2026-10-18T21:08:58Z</dcterms:created>
  <dc:creator>openpyxl</dc:creator>
  <dc:description/>
  <dc:language>en-US</dc:language>
  <cp:lastModifiedBy/>
  <dcterms:modified xsi:type="dcterms:W3CDTF">2026-10-18T21:08:58Z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