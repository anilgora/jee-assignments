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<sst xmlns="http://schemas.openxmlformats.org/spreadsheetml/2006/main" count="127" uniqueCount="85">
  <si>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</si>
  <si>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</si>
  <si>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</si>
  <si>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</si>
  <si>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</si>
  <si>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</si>
  <si>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</si>
  <si>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</si>
  <si>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</si>
  <si>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</si>
  <si>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</si>
  <si>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</si>
  <si>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</si>
  <si>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</si>
  <si>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</si>
  <si>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</si>
  <si>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</si>
  <si>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</si>
  <si>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Method of Differentiation</t>
  </si>
  <si>
    <t xml:space="preserve">Easier than Advanced</t>
  </si>
  <si>
    <t xml:space="preserve">Writing 'tangent passes through O' as y/x = (dy/dt)/(dx/dt) and solving 2 ln t = 1 + ln t.</t>
  </si>
  <si>
    <t xml:space="preserve">A routine chain of four parametric steps (slope, tangency condition, normal, area) with one light transcendental equation; no real insight, and options allow checking. Sits with the tangent/normal chain anchors 2026-P2-Q2 (L2) and 2023-P1-Q7 (L2).</t>
  </si>
  <si>
    <t xml:space="preserve">2023-P1-Q7 (L2)</t>
  </si>
  <si>
    <t xml:space="preserve">Medium</t>
  </si>
  <si>
    <t xml:space="preserve">Q02</t>
  </si>
  <si>
    <t xml:space="preserve">Average Advanced</t>
  </si>
  <si>
    <t xml:space="preserve">Seeing dy/dx = 4t/3 and dividing by dx/dt at every further step to reach d^3y/dx^3.</t>
  </si>
  <si>
    <t xml:space="preserve">A third-order parametric derivative with two easy-to-miss divisions by dx/dt, plus locating P from the tangent direction; two linked steps rather than one move. Close to the derivative-chain anchor 2025-P2-Q14 (L3), slightly helped by options.</t>
  </si>
  <si>
    <t xml:space="preserve">2025-P2-Q14 (L3)</t>
  </si>
  <si>
    <t xml:space="preserve">Q03</t>
  </si>
  <si>
    <t xml:space="preserve">Numerical</t>
  </si>
  <si>
    <t xml:space="preserve">Recognising the limit as N'(2)/D'(2) and that ln(base) = 0 at x = 2 removes the derivative of x^x.</t>
  </si>
  <si>
    <t xml:space="preserve">Two linked ideas: reading the limit as a ratio of derivatives (or using e^u - 1 ~ u) and logarithmic differentiation of variable-exponent functions; numerical format with no options. Above the L2 limit anchor 2025-P2-Q1 and level with 2025-P2-Q14 (L3).</t>
  </si>
  <si>
    <t xml:space="preserve">Q04</t>
  </si>
  <si>
    <t xml:space="preserve">Seeing that at (1,1) both log terms vanish, so d(y^x)/d(x^y) = y'(1), then the implicit derivative.</t>
  </si>
  <si>
    <t xml:space="preserve">Three standard tools (logarithmic, implicit, one function with respect to another) linked at one point; each is routine but the chain has three stages and a numerical answer with sign risk. Matches the derivative-chain anchor 2025-P2-Q14 (L3).</t>
  </si>
  <si>
    <t xml:space="preserve">Q05</t>
  </si>
  <si>
    <t xml:space="preserve">Using the double root at the contact point to factor each cubic, twice, with implicit slopes.</t>
  </si>
  <si>
    <t xml:space="preserve">Two linked stages (implicit slope, tangent, meet-again by factoring with a known double root), repeated; no options and a sign-sensitive answer. Harder than the single-step normal anchor 2023-P1-Q7 (L2), level with average Advanced chains such as 2026-P1-Q1 (L3).</t>
  </si>
  <si>
    <t xml:space="preserve">2026-P1-Q1 (L3)</t>
  </si>
  <si>
    <t xml:space="preserve">Q06</t>
  </si>
  <si>
    <t xml:space="preserve">Writing f^(n) in closed form by Leibniz and taking n = 11 for g''.</t>
  </si>
  <si>
    <t xml:space="preserve">Two linked ideas: the Leibniz closed form for the n-th derivative and the sign-change criterion for inflection, then Vieta; explicit rather than hidden, so below the hidden-Leibniz anchor 2026-P2-Q5 (L4).</t>
  </si>
  <si>
    <t xml:space="preserve">2026-P2-Q5 (L4)</t>
  </si>
  <si>
    <t xml:space="preserve">Q07</t>
  </si>
  <si>
    <t xml:space="preserve">Using the row-wise derivative rule at x = 0, where the matrix is the identity.</t>
  </si>
  <si>
    <t xml:space="preserve">One standard rule applied with three small determinant evaluations; routine multi-step with no insight, numerical answer. Above the one-move determinant anchor 2023-P1-Q14 (L1), at the routine-chain level of 2025-P2-Q1 (L2).</t>
  </si>
  <si>
    <t xml:space="preserve">2023-P1-Q14 (L1)</t>
  </si>
  <si>
    <t xml:space="preserve">Q08</t>
  </si>
  <si>
    <t xml:space="preserve">Applying L'Hospital twice and getting p''(0) from the logarithmic derivative.</t>
  </si>
  <si>
    <t xml:space="preserve">A routine chain: two L'Hospital steps and a second derivative of a product evaluated at 0; no insight needed, numerical answer. Level with the routine limit anchor 2025-P2-Q1 (L2).</t>
  </si>
  <si>
    <t xml:space="preserve">2025-P2-Q1 (L2)</t>
  </si>
  <si>
    <t xml:space="preserve">High</t>
  </si>
  <si>
    <t xml:space="preserve">Q09</t>
  </si>
  <si>
    <t xml:space="preserve">Matching the constant and x^2 terms of the differentiated numerator to fix (a, b), then reading the x^4 term.</t>
  </si>
  <si>
    <t xml:space="preserve">Two linked ideas (finiteness forces coefficient conditions; series to fourth order after one L'Hospital step) with a precise numerical finish. Easier than the series-with-parameters anchor 2025-P1-Q11 (L4) because the series are standard.</t>
  </si>
  <si>
    <t xml:space="preserve">2025-P1-Q11 (L4)</t>
  </si>
  <si>
    <t xml:space="preserve">Q10</t>
  </si>
  <si>
    <t xml:space="preserve">Taking logarithms and seeing that only the order of vanishing of each factor survives the division by ln x.</t>
  </si>
  <si>
    <t xml:space="preserve">Two linked ideas: logarithms for the 0^0 form and asymptotic orders of three standard expressions, with a numerical answer where a wrong order is fatal. Above the one-move 1^infinity anchor 2024-P2-Q3 (L1) and the L2 limit 2025-P2-Q1; average Advanced.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</si>
  <si>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</si>
  <si>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</si>
  <si>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Method of Differentiation   |   Evaluated on: 2026-10-19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</si>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</sst>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3</v>
      </c>
      <c r="H3" s="6" t="s">
        <v>25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9</v>
      </c>
      <c r="M3" s="3" t="s">
        <v>26</v>
      </c>
      <c r="N3" s="3" t="s">
        <v>27</v>
      </c>
      <c r="O3" s="3" t="s">
        <v>28</v>
      </c>
      <c r="P3" s="2" t="s">
        <v>23</v>
      </c>
    </row>
    <row r="4" customFormat="false" ht="46.25" hidden="false" customHeight="false" outlineLevel="0" collapsed="false">
      <c r="A4" s="2" t="n">
        <v>3</v>
      </c>
      <c r="B4" s="2"/>
      <c r="C4" s="2" t="s">
        <v>29</v>
      </c>
      <c r="D4" s="2" t="s">
        <v>30</v>
      </c>
      <c r="E4" s="3" t="s">
        <v>18</v>
      </c>
      <c r="F4" s="2" t="n">
        <v>4</v>
      </c>
      <c r="G4" s="6" t="n">
        <v>3</v>
      </c>
      <c r="H4" s="6" t="s">
        <v>25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12</v>
      </c>
      <c r="M4" s="3" t="s">
        <v>31</v>
      </c>
      <c r="N4" s="3" t="s">
        <v>32</v>
      </c>
      <c r="O4" s="3" t="s">
        <v>28</v>
      </c>
      <c r="P4" s="2" t="s">
        <v>23</v>
      </c>
    </row>
    <row r="5" customFormat="false" ht="46.25" hidden="false" customHeight="false" outlineLevel="0" collapsed="false">
      <c r="A5" s="2" t="n">
        <v>4</v>
      </c>
      <c r="B5" s="2"/>
      <c r="C5" s="2" t="s">
        <v>33</v>
      </c>
      <c r="D5" s="2" t="s">
        <v>30</v>
      </c>
      <c r="E5" s="3" t="s">
        <v>18</v>
      </c>
      <c r="F5" s="2" t="n">
        <v>4</v>
      </c>
      <c r="G5" s="6" t="n">
        <v>3</v>
      </c>
      <c r="H5" s="6" t="s">
        <v>25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12</v>
      </c>
      <c r="M5" s="3" t="s">
        <v>34</v>
      </c>
      <c r="N5" s="3" t="s">
        <v>35</v>
      </c>
      <c r="O5" s="3" t="s">
        <v>28</v>
      </c>
      <c r="P5" s="2" t="s">
        <v>23</v>
      </c>
    </row>
    <row r="6" customFormat="false" ht="46.25" hidden="false" customHeight="false" outlineLevel="0" collapsed="false">
      <c r="A6" s="2" t="n">
        <v>5</v>
      </c>
      <c r="B6" s="2"/>
      <c r="C6" s="2" t="s">
        <v>36</v>
      </c>
      <c r="D6" s="2" t="s">
        <v>30</v>
      </c>
      <c r="E6" s="3" t="s">
        <v>18</v>
      </c>
      <c r="F6" s="2" t="n">
        <v>4</v>
      </c>
      <c r="G6" s="6" t="n">
        <v>3</v>
      </c>
      <c r="H6" s="6" t="s">
        <v>25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12</v>
      </c>
      <c r="M6" s="3" t="s">
        <v>37</v>
      </c>
      <c r="N6" s="3" t="s">
        <v>38</v>
      </c>
      <c r="O6" s="3" t="s">
        <v>39</v>
      </c>
      <c r="P6" s="2" t="s">
        <v>23</v>
      </c>
    </row>
    <row r="7" customFormat="false" ht="35.05" hidden="false" customHeight="false" outlineLevel="0" collapsed="false">
      <c r="A7" s="2" t="n">
        <v>6</v>
      </c>
      <c r="B7" s="2"/>
      <c r="C7" s="2" t="s">
        <v>40</v>
      </c>
      <c r="D7" s="2" t="s">
        <v>30</v>
      </c>
      <c r="E7" s="3" t="s">
        <v>18</v>
      </c>
      <c r="F7" s="2" t="n">
        <v>4</v>
      </c>
      <c r="G7" s="6" t="n">
        <v>3</v>
      </c>
      <c r="H7" s="6" t="s">
        <v>25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12</v>
      </c>
      <c r="M7" s="3" t="s">
        <v>41</v>
      </c>
      <c r="N7" s="3" t="s">
        <v>42</v>
      </c>
      <c r="O7" s="3" t="s">
        <v>43</v>
      </c>
      <c r="P7" s="2" t="s">
        <v>23</v>
      </c>
    </row>
    <row r="8" customFormat="false" ht="46.25" hidden="false" customHeight="false" outlineLevel="0" collapsed="false">
      <c r="A8" s="2" t="n">
        <v>7</v>
      </c>
      <c r="B8" s="2"/>
      <c r="C8" s="2" t="s">
        <v>44</v>
      </c>
      <c r="D8" s="2" t="s">
        <v>30</v>
      </c>
      <c r="E8" s="3" t="s">
        <v>18</v>
      </c>
      <c r="F8" s="2" t="n">
        <v>4</v>
      </c>
      <c r="G8" s="4" t="n">
        <v>2</v>
      </c>
      <c r="H8" s="4" t="s">
        <v>19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8</v>
      </c>
      <c r="M8" s="3" t="s">
        <v>45</v>
      </c>
      <c r="N8" s="3" t="s">
        <v>46</v>
      </c>
      <c r="O8" s="3" t="s">
        <v>47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48</v>
      </c>
      <c r="D9" s="2" t="s">
        <v>30</v>
      </c>
      <c r="E9" s="3" t="s">
        <v>18</v>
      </c>
      <c r="F9" s="2" t="n">
        <v>4</v>
      </c>
      <c r="G9" s="4" t="n">
        <v>2</v>
      </c>
      <c r="H9" s="4" t="s">
        <v>19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49</v>
      </c>
      <c r="N9" s="3" t="s">
        <v>50</v>
      </c>
      <c r="O9" s="3" t="s">
        <v>51</v>
      </c>
      <c r="P9" s="2" t="s">
        <v>52</v>
      </c>
    </row>
    <row r="10" customFormat="false" ht="46.25" hidden="false" customHeight="false" outlineLevel="0" collapsed="false">
      <c r="A10" s="2" t="n">
        <v>9</v>
      </c>
      <c r="B10" s="2"/>
      <c r="C10" s="2" t="s">
        <v>53</v>
      </c>
      <c r="D10" s="2" t="s">
        <v>30</v>
      </c>
      <c r="E10" s="3" t="s">
        <v>18</v>
      </c>
      <c r="F10" s="2" t="n">
        <v>4</v>
      </c>
      <c r="G10" s="6" t="n">
        <v>3</v>
      </c>
      <c r="H10" s="6" t="s">
        <v>25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54</v>
      </c>
      <c r="N10" s="3" t="s">
        <v>55</v>
      </c>
      <c r="O10" s="3" t="s">
        <v>56</v>
      </c>
      <c r="P10" s="2" t="s">
        <v>23</v>
      </c>
    </row>
    <row r="11" customFormat="false" ht="46.25" hidden="false" customHeight="false" outlineLevel="0" collapsed="false">
      <c r="A11" s="2" t="n">
        <v>10</v>
      </c>
      <c r="B11" s="2"/>
      <c r="C11" s="2" t="s">
        <v>57</v>
      </c>
      <c r="D11" s="2" t="s">
        <v>30</v>
      </c>
      <c r="E11" s="3" t="s">
        <v>18</v>
      </c>
      <c r="F11" s="2" t="n">
        <v>4</v>
      </c>
      <c r="G11" s="6" t="n">
        <v>3</v>
      </c>
      <c r="H11" s="6" t="s">
        <v>25</v>
      </c>
      <c r="I11" s="5" t="n">
        <v>0</v>
      </c>
      <c r="J11" s="5" t="n">
        <v>0</v>
      </c>
      <c r="K11" s="5" t="n">
        <f aca="false">MIN(5,MAX(G11+I11,J11))</f>
        <v>3</v>
      </c>
      <c r="L11" s="5" t="n">
        <f aca="false">F11*K11</f>
        <v>12</v>
      </c>
      <c r="M11" s="3" t="s">
        <v>58</v>
      </c>
      <c r="N11" s="3" t="s">
        <v>59</v>
      </c>
      <c r="O11" s="3" t="s">
        <v>51</v>
      </c>
      <c r="P11" s="2" t="s">
        <v>23</v>
      </c>
    </row>
    <row r="13" customFormat="false" ht="15" hidden="false" customHeight="false" outlineLevel="0" collapsed="false">
      <c r="A13" s="7" t="s">
        <v>60</v>
      </c>
    </row>
  </sheetData>
  <autoFilter ref="A1:P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61</v>
      </c>
    </row>
    <row r="2" customFormat="false" ht="15" hidden="false" customHeight="false" outlineLevel="0" collapsed="false">
      <c r="A2" s="7" t="s">
        <v>62</v>
      </c>
    </row>
    <row r="4" customFormat="false" ht="15" hidden="false" customHeight="false" outlineLevel="0" collapsed="false">
      <c r="A4" s="1" t="s">
        <v>6</v>
      </c>
      <c r="B4" s="1" t="s">
        <v>63</v>
      </c>
      <c r="C4" s="1" t="s">
        <v>64</v>
      </c>
      <c r="D4" s="1" t="s">
        <v>5</v>
      </c>
      <c r="E4" s="1" t="s">
        <v>65</v>
      </c>
    </row>
    <row r="5" customFormat="false" ht="15" hidden="false" customHeight="false" outlineLevel="0" collapsed="false">
      <c r="A5" s="9" t="n">
        <v>0</v>
      </c>
      <c r="B5" s="9" t="s">
        <v>66</v>
      </c>
      <c r="C5" s="9" t="n">
        <f aca="false">COUNTIF(Evaluation!$G$2:$G$11,A5)</f>
        <v>0</v>
      </c>
      <c r="D5" s="9" t="n">
        <f aca="false">SUMIF(Evaluation!$G$2:$G$11,A5,Evaluation!$F$2:$F$11)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67</v>
      </c>
      <c r="C6" s="11" t="n">
        <f aca="false">COUNTIF(Evaluation!$G$2:$G$11,A6)</f>
        <v>0</v>
      </c>
      <c r="D6" s="11" t="n">
        <f aca="false">SUMIF(Evaluation!$G$2:$G$11,A6,Evaluation!$F$2:$F$11)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COUNTIF(Evaluation!$G$2:$G$11,A7)</f>
        <v>3</v>
      </c>
      <c r="D7" s="13" t="n">
        <f aca="false">SUMIF(Evaluation!$G$2:$G$11,A7,Evaluation!$F$2:$F$11)</f>
        <v>11</v>
      </c>
      <c r="E7" s="14" t="n">
        <f aca="false">IF(SUM($D$5:$D$10)=0,0,D7/SUM($D$5:$D$10))</f>
        <v>0.289473684210526</v>
      </c>
    </row>
    <row r="8" customFormat="false" ht="15" hidden="false" customHeight="false" outlineLevel="0" collapsed="false">
      <c r="A8" s="15" t="n">
        <v>3</v>
      </c>
      <c r="B8" s="15" t="s">
        <v>25</v>
      </c>
      <c r="C8" s="15" t="n">
        <f aca="false">COUNTIF(Evaluation!$G$2:$G$11,A8)</f>
        <v>7</v>
      </c>
      <c r="D8" s="15" t="n">
        <f aca="false">SUMIF(Evaluation!$G$2:$G$11,A8,Evaluation!$F$2:$F$11)</f>
        <v>27</v>
      </c>
      <c r="E8" s="16" t="n">
        <f aca="false">IF(SUM($D$5:$D$10)=0,0,D8/SUM($D$5:$D$10))</f>
        <v>0.710526315789474</v>
      </c>
    </row>
    <row r="9" customFormat="false" ht="15" hidden="false" customHeight="false" outlineLevel="0" collapsed="false">
      <c r="A9" s="17" t="n">
        <v>4</v>
      </c>
      <c r="B9" s="17" t="s">
        <v>68</v>
      </c>
      <c r="C9" s="17" t="n">
        <f aca="false">COUNTIF(Evaluation!$G$2:$G$11,A9)</f>
        <v>0</v>
      </c>
      <c r="D9" s="17" t="n">
        <f aca="false">SUMIF(Evaluation!$G$2:$G$11,A9,Evaluation!$F$2:$F$11)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69</v>
      </c>
      <c r="C10" s="19" t="n">
        <f aca="false">COUNTIF(Evaluation!$G$2:$G$11,A10)</f>
        <v>0</v>
      </c>
      <c r="D10" s="19" t="n">
        <f aca="false">SUMIF(Evaluation!$G$2:$G$11,A10,Evaluation!$F$2:$F$11)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70</v>
      </c>
      <c r="C11" s="21" t="n">
        <f aca="false">SUM(C5:C10)</f>
        <v>10</v>
      </c>
      <c r="D11" s="21" t="n">
        <f aca="false">SUM(D5:D10)</f>
        <v>38</v>
      </c>
    </row>
    <row r="13" customFormat="false" ht="46.25" hidden="false" customHeight="false" outlineLevel="0" collapsed="false">
      <c r="A13" s="1" t="s">
        <v>71</v>
      </c>
      <c r="B13" s="1" t="s">
        <v>72</v>
      </c>
      <c r="C13" s="1" t="s">
        <v>73</v>
      </c>
      <c r="D13" s="1" t="s">
        <v>5</v>
      </c>
      <c r="E13" s="1" t="s">
        <v>74</v>
      </c>
    </row>
    <row r="14" customFormat="false" ht="15" hidden="false" customHeight="false" outlineLevel="0" collapsed="false">
      <c r="A14" s="21" t="s">
        <v>75</v>
      </c>
      <c r="B14" s="22" t="n">
        <f aca="false">SUM(Evaluation!$L$2:$L$11)/SUM(Evaluation!$F$2:$F$11)</f>
        <v>2.71052631578947</v>
      </c>
      <c r="C14" s="22" t="n">
        <f aca="false">SUMPRODUCT(Evaluation!$F$2:$F$11,Evaluation!$G$2:$G$11)/SUM(Evaluation!$F$2:$F$11)</f>
        <v>2.71052631578947</v>
      </c>
      <c r="D14" s="21" t="n">
        <f aca="false">SUM(Evaluation!$F$2:$F$11)</f>
        <v>38</v>
      </c>
      <c r="E14" s="22" t="n">
        <f aca="false">AVERAGE(Evaluation!$G$2:$G$11)</f>
        <v>2.7</v>
      </c>
    </row>
    <row r="16" customFormat="false" ht="15" hidden="false" customHeight="false" outlineLevel="0" collapsed="false">
      <c r="A16" s="7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77</v>
      </c>
    </row>
    <row r="3" customFormat="false" ht="23.85" hidden="false" customHeight="false" outlineLevel="0" collapsed="false">
      <c r="A3" s="1" t="s">
        <v>78</v>
      </c>
      <c r="B3" s="1" t="s">
        <v>79</v>
      </c>
      <c r="C3" s="1" t="s">
        <v>74</v>
      </c>
      <c r="D3" s="1" t="s">
        <v>80</v>
      </c>
      <c r="E3" s="1" t="s">
        <v>81</v>
      </c>
      <c r="F3" s="1" t="s">
        <v>82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83</v>
      </c>
      <c r="B9" s="22" t="n">
        <f aca="false">Summary!B14</f>
        <v>2.71052631578947</v>
      </c>
      <c r="C9" s="22" t="n">
        <f aca="false">Summary!E14</f>
        <v>2.7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2026-10-19T07:07:37Z</dcterms:created>
  <dc:creator>openpyxl</dc:creator>
  <dc:description/>
  <dc:language>en-US</dc:language>
  <cp:lastModifiedBy/>
  <dcterms:modified xsi:type="dcterms:W3CDTF">2026-10-19T07:07:37Z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