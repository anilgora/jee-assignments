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valuation" sheetId="1" state="visible" r:id="rId3"/>
    <sheet name="Summary" sheetId="2" state="visible" r:id="rId4"/>
    <sheet name="Reference" sheetId="3" state="visible" r:id="rId5"/>
  </sheets>
  <definedNames>
    <definedName function="false" hidden="true" localSheetId="0" name="_xlnm._FilterDatabase" vbProcedure="false">Evaluation!$A$1:$P$67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<sst xmlns="http://schemas.openxmlformats.org/spreadsheetml/2006/main" count="575" uniqueCount="264">
  <si>
    <t xml:space="preserve">Sr No</t>
  </si>
  <si>
    <t xml:space="preserve">Paper</t>
  </si>
  <si>
    <t xml:space="preserve">Q Ref</t>
  </si>
  <si>
    <t xml:space="preserve">Type</t>
  </si>
  <si>
    <t xml:space="preserve">Chapter</t>
  </si>
  <si>
    <t xml:space="preserve">Marks</t>
  </si>
  <si>
    <t xml:space="preserve">Level</t>
  </si>
  <si>
    <t xml:space="preserve">Level Label</t>
  </si>
  <si>
    <t xml:space="preserve">Equiv. Rel. Adj</t>
  </si>
  <si>
    <t xml:space="preserve">MCQ Floor</t>
  </si>
  <si>
    <t xml:space="preserve">Adjusted Level</t>
  </si>
  <si>
    <t xml:space="preserve">Marks x Adj Level</t>
  </si>
  <si>
    <t xml:space="preserve">Key Step</t>
  </si>
  <si>
    <t xml:space="preserve">Justification</t>
  </si>
  <si>
    <t xml:space="preserve">Nearest Anchor</t>
  </si>
  <si>
    <t xml:space="preserve">Confidence</t>
  </si>
  <si>
    <t xml:space="preserve">Q01</t>
  </si>
  <si>
    <t xml:space="preserve">SCQ</t>
  </si>
  <si>
    <t xml:space="preserve">Vector 3D</t>
  </si>
  <si>
    <t xml:space="preserve">Easier than Advanced</t>
  </si>
  <si>
    <t xml:space="preserve">Recognising that PA=PB=PC is a line (two perpendicular-bisector planes) and writing it in symmetric form.</t>
  </si>
  <si>
    <t xml:space="preserve">Routine chain: two plane equations, their line of intersection, then a point on a plane. No insight beyond seeing the locus as a line. Same demand as the routine vector-geometry chain of 2026-P2-Q1 (L2), above the one-step 2023-P2-Q4 (L1).</t>
  </si>
  <si>
    <t xml:space="preserve">2026-P2-Q1 (L2)</t>
  </si>
  <si>
    <t xml:space="preserve">High</t>
  </si>
  <si>
    <t xml:space="preserve">Q02</t>
  </si>
  <si>
    <t xml:space="preserve">Average Advanced</t>
  </si>
  <si>
    <t xml:space="preserve">Seeing that the distance of R from l equals the distance between the parallel line M and Pi_1 (perpendicular members through l).</t>
  </si>
  <si>
    <t xml:space="preserve">Two family conditions (parallel to M, perpendicular to Pi_1) and then either a direct point-line distance or the invariant; two ideas linked in a planes question. Comparable with 2026-P1-Q6 (L3), plane through a line perpendicular to another plane with distances.</t>
  </si>
  <si>
    <t xml:space="preserve">2026-P1-Q6 (L3)</t>
  </si>
  <si>
    <t xml:space="preserve">Medium</t>
  </si>
  <si>
    <t xml:space="preserve">Q03</t>
  </si>
  <si>
    <t xml:space="preserve">Applying the image formula twice without a sign slip.</t>
  </si>
  <si>
    <t xml:space="preserve">Two applications of a standard formula with a check: routine multi-step, no insight. Above the one-step planes item 2024-P2-Q6 (L1), at the level of the routine 3D chain 2026-P2-Q1 (L2).</t>
  </si>
  <si>
    <t xml:space="preserve">Q04</t>
  </si>
  <si>
    <t xml:space="preserve">Writing the triple product as the quadratic (t-1)^2+6 and minimising it.</t>
  </si>
  <si>
    <t xml:space="preserve">A routine chain: parametrise D, a 3x3 determinant, completing the square. No unfamiliar idea. Slightly above the direct triple-product items 2024-P1-Q12 (L1) because of the optimisation step; like 2026-P2-Q1 (L2).</t>
  </si>
  <si>
    <t xml:space="preserve">2024-P1-Q12 (L1)</t>
  </si>
  <si>
    <t xml:space="preserve">Q05</t>
  </si>
  <si>
    <t xml:space="preserve">Fixing D from the volume using the 2D base area, then using the same volume with face BCD as base.</t>
  </si>
  <si>
    <t xml:space="preserve">Four linked stages (vertices, 2D area, apex from volume, 3D face area and altitude) with two area formulas; an average Advanced chain. Like the 3D foot-and-area work of 2026-P2-Q7 (L3).</t>
  </si>
  <si>
    <t xml:space="preserve">2026-P2-Q7 (L3)</t>
  </si>
  <si>
    <t xml:space="preserve">Q06</t>
  </si>
  <si>
    <t xml:space="preserve">Turning the coplanarity determinant into a quadratic in t and then using both intersection points in a second triple product.</t>
  </si>
  <si>
    <t xml:space="preserve">Two linked uses of the triple product (coplanarity, then volume) with intersection points to locate; several stages but each standard. Above the direct coplanarity item 2024-P1-Q16 (L0) and below the abstract coplanarity 2025-P2-Q12 (L4); nearest in demand to 2023-P2-Q4/2026-P2-Q7 style chains, so L3.</t>
  </si>
  <si>
    <t xml:space="preserve">Q07</t>
  </si>
  <si>
    <t xml:space="preserve">Solving the two cross-product equations together (or reading each as a line and intersecting).</t>
  </si>
  <si>
    <t xml:space="preserve">A routine but multi-step solve of a vector equation system; no insight needed once components are written. Comparable with the cross-product system of 2025-P1-Q16 (L2).</t>
  </si>
  <si>
    <t xml:space="preserve">2025-P1-Q16 (L2)</t>
  </si>
  <si>
    <t xml:space="preserve">Q08</t>
  </si>
  <si>
    <t xml:space="preserve">Applying the identity (a x b).(c x d) = (a.c)(b.d) - (a.d)(b.c) to three cyclic terms.</t>
  </si>
  <si>
    <t xml:space="preserve">One standard identity applied three times with dot products from angles; routine multi-step, no insight. Like the vector-algebra chain of 2026-P2-Q1 (L2), below the Gram-data volume question 2021-P1-Q19 (L3).</t>
  </si>
  <si>
    <t xml:space="preserve">Q09</t>
  </si>
  <si>
    <t xml:space="preserve">Recognising k0 = -3/7 as the bisector parameter (ratio of normal lengths) and deciding acute or obtuse from unit normals.</t>
  </si>
  <si>
    <t xml:space="preserve">Two ideas linked (family parameter from a point, bisector identification with the acute/obtuse decision) with a sign trap. Comparable with the planes-through-a-line work of 2026-P1-Q6 (L3) and the planes-containing-a-line matching 2023-P1-Q16 (L3).</t>
  </si>
  <si>
    <t xml:space="preserve">Q10</t>
  </si>
  <si>
    <t xml:space="preserve">Choosing the correct bisector plane (sign at the origin) and linking it to the angle bisectors of the traces that carry the circle centres.</t>
  </si>
  <si>
    <t xml:space="preserve">Two ideas linked across 3D and 2D (bisector plane with the origin rule, and centres of circles touching two lines on angle bisectors) with a normalisation trap. Comparable with 2023-P1-Q16 (L3) on planes and distances; slightly above 2026-P2-Q1 (L2).</t>
  </si>
  <si>
    <t xml:space="preserve">2023-P1-Q16 (L3)</t>
  </si>
  <si>
    <t xml:space="preserve">Low</t>
  </si>
  <si>
    <t xml:space="preserve">Q11</t>
  </si>
  <si>
    <t xml:space="preserve">Recognising that the centres of spheres through C lie on the normal at N with R^2 = 9 + NK^2, then the tangency to L as a point-line distance.</t>
  </si>
  <si>
    <t xml:space="preserve">Two linked ideas (family of spheres through a circle, distance of a point from a line) and a quadratic; typical average Advanced 3D work. Comparable with 2023-P1-Q16 (L3) and 2026-P1-Q6 (L3).</t>
  </si>
  <si>
    <t xml:space="preserve">Q12</t>
  </si>
  <si>
    <t xml:space="preserve">Finding the section circle (foot of perpendicular, radius) and the tangent length, or seeing the power-of-point invariance.</t>
  </si>
  <si>
    <t xml:space="preserve">Several standard 3D steps (centre, distance, foot, radius) linked to a 2D tangent-length result; the shortcut is available but not routine. Comparable with 2023-P1-Q5 (L3) and 2026-P1-Q6 (L3).</t>
  </si>
  <si>
    <t xml:space="preserve">Q13</t>
  </si>
  <si>
    <t xml:space="preserve">Numerical</t>
  </si>
  <si>
    <t xml:space="preserve">Unique decomposition 49 = 4 + 9 + 36, then sign and order of components from the direction-angle conditions.</t>
  </si>
  <si>
    <t xml:space="preserve">A routine multi-step chain: integer decomposition with a short check, then three sign/order deductions from direction cosines. No insight beyond direction cosines, but several checks; like the routine vector chain of 2026-P2-Q1 (L2).</t>
  </si>
  <si>
    <t xml:space="preserve">Q14</t>
  </si>
  <si>
    <t xml:space="preserve">Normalising the direction vectors and grouping the five displacements as (5a + 7b + 3c)/3.</t>
  </si>
  <si>
    <t xml:space="preserve">Routine chain: unit vectors, scalar multiples, grouping and addition, then a magnitude. Three or more routine steps with no insight, so Level 2, like 2026-P2-Q1 (L2).</t>
  </si>
  <si>
    <t xml:space="preserve">Q15</t>
  </si>
  <si>
    <t xml:space="preserve">Turning '(3-4i) conj(w) is negative real' into arg w = pi - tan^-1(4/3), then n from the unit-vector condition.</t>
  </si>
  <si>
    <t xml:space="preserve">Two standard results chained (argument of a product with a conjugate, direction cosine identity) plus a sign decision; routine but multi-step, like 2025-P2-Q1 (L2) and 2026-P2-Q1 (L2).</t>
  </si>
  <si>
    <t xml:space="preserve">Q16</t>
  </si>
  <si>
    <t xml:space="preserve">Noticing the invariant sum (or iterating three times) and comparing coefficients using non-coplanarity.</t>
  </si>
  <si>
    <t xml:space="preserve">Three rounds of routine vector averaging (or one invariant), then uniqueness of coefficients from non-coplanarity: multi-step but with no insight, so Level 2, like the routine vector chain of 2026-P2-Q1 (L2) and above the one-step basis expression of 2024-P2-Q11 (L0).</t>
  </si>
  <si>
    <t xml:space="preserve">Q17</t>
  </si>
  <si>
    <t xml:space="preserve">Cancellation in |r|^2 to 65 + 36 cos t + 48 sin t, then the restricted-interval extremes (interior maximum, end-point minimum).</t>
  </si>
  <si>
    <t xml:space="preserve">Two ideas linked: a vector expansion whose cross terms cancel, and the range of a cos + b sin on a restricted interval where the minimum is an end point (a typical trap of using 65 - 60). Numerical with no options; comparable to 2024-P1-Q3 (L3) in demand.</t>
  </si>
  <si>
    <t xml:space="preserve">2024-P1-Q3 (L3)</t>
  </si>
  <si>
    <t xml:space="preserve">Q18</t>
  </si>
  <si>
    <t xml:space="preserve">Writing general points of the two lines and solving the mid-point equations (checking the third for consistency).</t>
  </si>
  <si>
    <t xml:space="preserve">Routine chain of standard steps: parametric points, mid-point formula, a linear system and a distance. No insight, so Level 2, like 2026-P2-Q1 (L2) and 2024-P1-Q16 items.</t>
  </si>
  <si>
    <t xml:space="preserve">Q19</t>
  </si>
  <si>
    <t xml:space="preserve">Ratio 2:1 from the z-coordinates, then the external division for the harmonic conjugate and the two distances from M.</t>
  </si>
  <si>
    <t xml:space="preserve">Two ideas linked: the section of AB by a coordinate plane and the harmonic conjugate as the matching external division, followed by surd distances from the mid-point; numerical with no options. Comparable to 2026-P2-Q7 (L3), which also builds a ratio point in space and measures lengths; easier than the mass-point reasoning of 2025-P1-Q9 (L4).</t>
  </si>
  <si>
    <t xml:space="preserve">Q20</t>
  </si>
  <si>
    <t xml:space="preserve">Recognising the origin as the circumcentre (equal distances and a zero triple product), then H = a + b + c from the Euler-line ratio.</t>
  </si>
  <si>
    <t xml:space="preserve">Two ideas linked: discovering the hidden circumcentre and using the Euler-line section ratio; otherwise a heavy 3D orthocentre computation. Like the 3D orthocentre work in 2026-P2-Q7 (L3).</t>
  </si>
  <si>
    <t xml:space="preserve">Q21</t>
  </si>
  <si>
    <t xml:space="preserve">Showing t must be an integer and solving t odd, t = 2 (mod 3) to get the lattice points (9k+8, 4k+3, -24k-18).</t>
  </si>
  <si>
    <t xml:space="preserve">Two ideas linked: converting a non-standard symmetric form to parametric form, and a congruence argument with an end-point count where a slip changes the answer. Numerical; comparable in demand to the bounded counting of 2026-P1-Q11 (L3).</t>
  </si>
  <si>
    <t xml:space="preserve">2026-P1-Q11 (L3)</t>
  </si>
  <si>
    <t xml:space="preserve">Q22</t>
  </si>
  <si>
    <t xml:space="preserve">Writing r = x a + y b and solving the two projection equations.</t>
  </si>
  <si>
    <t xml:space="preserve">Routine chain: projections to dot products, a 2x2 linear system, then a magnitude. No insight; Level 2 like 2026-P2-Q1 (L2).</t>
  </si>
  <si>
    <t xml:space="preserve">Q23</t>
  </si>
  <si>
    <t xml:space="preserve">Seeing a+b and a-b as perpendicular rhombus diagonals with |s x d| = 2|a x b|.</t>
  </si>
  <si>
    <t xml:space="preserve">Two ideas linked (perpendicular diagonals from equal lengths, the cross product of the diagonals), with no options; the direct route of solving for a needs a vector triple product. Comparable to 2021-P1-Q19 (L3) for combining dot and cross data.</t>
  </si>
  <si>
    <t xml:space="preserve">2021-P1-Q19 (L3)</t>
  </si>
  <si>
    <t xml:space="preserve">Q24</t>
  </si>
  <si>
    <t xml:space="preserve">Recognising the foot of the perpendicular as the centroid, setting coordinates, then the angle between skew lines.</t>
  </si>
  <si>
    <t xml:space="preserve">Two stages: building a coordinate model from purely metric data, then a skew-line angle with absolute value; numerical. Similar to 2023-P1-Q5 (L3), which also needs a coordinate model of a solid before the vector step.</t>
  </si>
  <si>
    <t xml:space="preserve">2023-P1-Q5 (L3)</t>
  </si>
  <si>
    <t xml:space="preserve">Q25</t>
  </si>
  <si>
    <t xml:space="preserve">Reducing (2a+b)x(a-2b) to -5 a x b, then combining Lagrange's identity with |a+b| to get the perfect square (p+9)^2 = 0.</t>
  </si>
  <si>
    <t xml:space="preserve">Two ideas linked: cross-product algebra and Lagrange's identity, with the unknown |b| eliminated through a double root that a student must notice is unique. Comparable to the unit-vector data puzzle 2021-P1-Q19 (L3); more than the direct magnitude chain of 2026-P2-Q1 (L2).</t>
  </si>
  <si>
    <t xml:space="preserve">Q26</t>
  </si>
  <si>
    <t xml:space="preserve">Equating the coefficients of a and b of the two parametric forms of R (non-collinear basis).</t>
  </si>
  <si>
    <t xml:space="preserve">Routine chain: two parametric forms, the linear-combination theorem, a 2x2 linear system. No insight required; same level as the routine vector chain of 2026-P2-Q1 (L2), a step above the direct checks of 2023-P2-Q4 (L1) because of the numerical format.</t>
  </si>
  <si>
    <t xml:space="preserve">Q27</t>
  </si>
  <si>
    <t xml:space="preserve">Seeing that c_n is perpendicular to a for n &gt;= 2, so a x (a x c_n) = -4 c_n and the sum collapses to -3(c2 + c3) with c2 perpendicular to c3.</t>
  </si>
  <si>
    <t xml:space="preserve">Two ideas linked: Lagrange's identity for |a x b| and the vector-triple-product behaviour of the iterated map, with an orthogonality observation at the end. Similar demand to the unit-vector data question 2021-P1-Q19 (L3); harder than the direct cross-product matching of 2025-P1-Q16 (L2).</t>
  </si>
  <si>
    <t xml:space="preserve">Q28</t>
  </si>
  <si>
    <t xml:space="preserve">Turning the area ratio into an equation for c via the 2D area of the projection and |AB x AC|, then reading the yz-plane inclination from the normal.</t>
  </si>
  <si>
    <t xml:space="preserve">Two ideas linked: the coordinate area of the projected triangle and the cross-product area in space, then the angle between planes from the normal. Comparable to the plane-and-area statements of 2026-P1-Q6 (L3); more than the single area computation of 2026-P2-Q1 (L2).</t>
  </si>
  <si>
    <t xml:space="preserve">Q29</t>
  </si>
  <si>
    <t xml:space="preserve">Writing Lagrange's identity as p^2 + q^2 = 625 and solving with p - q = 17, rejecting q &lt; 0.</t>
  </si>
  <si>
    <t xml:space="preserve">Routine chain: an identity, a quadratic, a root rejection and the area formula. No insight; same routine level as 2026-P2-Q1 (L2) vector area.</t>
  </si>
  <si>
    <t xml:space="preserve">Q30</t>
  </si>
  <si>
    <t xml:space="preserve">Expressing both terms in p = a.b (Lagrange and the dot expansion) and completing the square.</t>
  </si>
  <si>
    <t xml:space="preserve">Routine three-step chain: Lagrange's identity, dot expansion, vertex of a quadratic with a range check. Matches the routine vector chain of 2026-P2-Q1 (L2).</t>
  </si>
  <si>
    <t xml:space="preserve">Q31</t>
  </si>
  <si>
    <t xml:space="preserve">Finding the feet of the common perpendicular by the two perpendicularity conditions and extending that line to x = 0.</t>
  </si>
  <si>
    <t xml:space="preserve">Routine multi-step chain: general points, two linear conditions, distance and a line-plane intersection, no insight needed. Above the direct 2024-P1-Q16 (L0) and 2024-P2-Q6 (L1) line computations because of the length of the chain and the numerical format, below the statement-checking 2026-P2-Q7 (L3).</t>
  </si>
  <si>
    <t xml:space="preserve">2024-P2-Q6 (L1)</t>
  </si>
  <si>
    <t xml:space="preserve">Q32</t>
  </si>
  <si>
    <t xml:space="preserve">Running three linked conditions in order: coplanarity determinant for mu, scalar-triple-product distance with the sign choice for a, then the feet of the common perpendicular.</t>
  </si>
  <si>
    <t xml:space="preserve">Several standard results chained with two parameter conditions and a root choice; no single step is hard but the chain is long and exact, in numerical format. Comparable to 2025-P1-Q5 (L3) and 2026-P1-Q6 (L3) line-plane chains.</t>
  </si>
  <si>
    <t xml:space="preserve">2025-P1-Q5 (L3)</t>
  </si>
  <si>
    <t xml:space="preserve">Q33</t>
  </si>
  <si>
    <t xml:space="preserve">Writing the feet of the common perpendicular in terms of mu and imposing coplanarity with the z-axis.</t>
  </si>
  <si>
    <t xml:space="preserve">Two ideas linked: parametric feet of the common perpendicular with a free parameter, and the coplanarity determinant applied to that perpendicular; then the distance. Comparable to the line-family question 2023-P1-Q16 (L3).</t>
  </si>
  <si>
    <t xml:space="preserve">Q34</t>
  </si>
  <si>
    <t xml:space="preserve">Building the direction of L1 from the plane normals and solving the two perpendicularity conditions for the feet.</t>
  </si>
  <si>
    <t xml:space="preserve">Routine chain of three standard steps (direction from two planes, feet of the common perpendicular, distances from O) without insight. Above the direct line questions 2024-P2-Q6 (L1) because of the chain; same level as 2026-P2-Q1 (L2).</t>
  </si>
  <si>
    <t xml:space="preserve">Q35</t>
  </si>
  <si>
    <t xml:space="preserve">Seeing that for points of a line lying in Pi the angle condition is AP = h/sin(theta) = 5, then solving on the parametrised line of intersection.</t>
  </si>
  <si>
    <t xml:space="preserve">Two linked ideas: the line of intersection of two planes and the conversion of a line-plane angle into a fixed length, then an exact dot product. Comparable to the plane-and-line statement work of 2026-P1-Q6 (L3) and 2025-P1-Q5 (L3); numerical format with no options.</t>
  </si>
  <si>
    <t xml:space="preserve">Q36</t>
  </si>
  <si>
    <t xml:space="preserve">Writing both bisecting planes with normalised equations, then two point-plane distances.</t>
  </si>
  <si>
    <t xml:space="preserve">Routine chain of standard results (normalise, two signs, two distances) with no insight required; the invariant is a check, not a necessity. Like the routine vector-geometry chain of 2026-P2-Q1 (L2), above the one-step plane work of 2024-P2-Q6 (L1).</t>
  </si>
  <si>
    <t xml:space="preserve">Q37</t>
  </si>
  <si>
    <t xml:space="preserve">Writing the image of A in terms of d and imposing that it satisfies the line's equations.</t>
  </si>
  <si>
    <t xml:space="preserve">Routine multi-step: image formula with a parameter, line conditions, then line-plane intersection and a distance. Above the one-step plane work of 2024-P2-Q6 (L1), below the multi-object 2026-P2-Q7 (L3).</t>
  </si>
  <si>
    <t xml:space="preserve">Q38</t>
  </si>
  <si>
    <t xml:space="preserve">Recognising that the images lie on a circle of radius dist(A, L) centred on L, so the answer is 2 dist(A, L).</t>
  </si>
  <si>
    <t xml:space="preserve">The direct route (image as a function of lambda, then maximise a distance between two images) is heavy; the intended route needs the invariant that reflection in a plane through L preserves distances to L. One non-obvious link plus a point-line distance, numerical format. Comparable to the planes-containing-a-line optimisation of 2023-P1-Q16 (L3).</t>
  </si>
  <si>
    <t xml:space="preserve">Q39</t>
  </si>
  <si>
    <t xml:space="preserve">Reducing the 3D family to its traces on z = 0, a family of lines through M, and using the farthest-line property.</t>
  </si>
  <si>
    <t xml:space="preserve">Two ideas from different chapters must be linked (family of planes and the extremal line of a pencil), followed by a routine angle computation. Comparable to 2026-P1-Q6 (L3), a plane through a line with a further condition; numerical format.</t>
  </si>
  <si>
    <t xml:space="preserve">Q40</t>
  </si>
  <si>
    <t xml:space="preserve">Foot of perpendicular on the line, then reading the plane as the perpendicular bisector of A and its image.</t>
  </si>
  <si>
    <t xml:space="preserve">Routine chain of two standard image constructions and one comparison of coefficients, no insight. Between the one-step plane question 2024-P2-Q6 (L1) and the foot-of-perpendicular chain 2026-P2-Q7 (L3).</t>
  </si>
  <si>
    <t xml:space="preserve">Q41</t>
  </si>
  <si>
    <t xml:space="preserve">Decoding the dot products from the triple product identities and using [a x b, b x c, c x a] = [a b c]^2 with the Gram determinant.</t>
  </si>
  <si>
    <t xml:space="preserve">Three standard results chained (vector triple product expansion, square of a box product, dot-product determinant) with exact arithmetic and no options; each is known, the chain is not routine. Close to 2021-P1-Q19 (L3), which also recovers a volume from dot-product data.</t>
  </si>
  <si>
    <t xml:space="preserve">Q42</t>
  </si>
  <si>
    <t xml:space="preserve">Adding OG^2 and CD^2 so that the terms in c.(a + b) cancel.</t>
  </si>
  <si>
    <t xml:space="preserve">Routine vector algebra in a parallelepiped (express two diagonals, add, solve), a short chain with one useful observation. Like 2021-P2-Q5 (L2), which works with diagonals and edges of a parallelepiped built from vectors.</t>
  </si>
  <si>
    <t xml:space="preserve">2021-P2-Q5 (L2)</t>
  </si>
  <si>
    <t xml:space="preserve">Q43</t>
  </si>
  <si>
    <t xml:space="preserve">Recovering OC from the opposite vertex, then using the sign of the scalar triple product.</t>
  </si>
  <si>
    <t xml:space="preserve">Routine chain (vertex relation, 3 x 3 determinant, orientation sign); every step is standard. Above the one-move triple-product question 2024-P1-Q12 (L1) because of the extra vertex and sign steps; like 2026-P2-Q1 (L2).</t>
  </si>
  <si>
    <t xml:space="preserve">Q44</t>
  </si>
  <si>
    <t xml:space="preserve">Locating C, F, H from the parallelepiped structure, then a 3 x 3 box product.</t>
  </si>
  <si>
    <t xml:space="preserve">Routine: build three vertices, one determinant, divide by 6 (or use the one-third relation). Several standard steps, no insight; like 2026-P2-Q1 (L2).</t>
  </si>
  <si>
    <t xml:space="preserve">Q45</t>
  </si>
  <si>
    <t xml:space="preserve">Factorising the circulant coefficient determinant into (1 - x^3)^2 using determinant properties.</t>
  </si>
  <si>
    <t xml:space="preserve">Two linked ideas: box product of linear combinations equals the coefficient determinant times [a b c], and a parametric determinant factorised by properties; a sign choice finishes it. Comparable to 2021-P1-Q19 (L3) and below 2025-P2-Q12 (L4), which needs a coplanarity condition with two unknowns.</t>
  </si>
  <si>
    <t xml:space="preserve">Q46</t>
  </si>
  <si>
    <t xml:space="preserve">Factorising the (1, t, t^3) determinant as product of differences times the sum, then the product of differences from f'(alpha)f'(beta)f'(gamma) with f' = 3x(x-2).</t>
  </si>
  <si>
    <t xml:space="preserve">Two linked ideas: determinant factorisation by properties and the discriminant via symmetric functions, with no roots available; numerical format, no options. Comparable to 2025-P2-Q12 (L4) in using triple-product algebra, but each step here is standard coaching material, so L3 as 2021-P1-Q19 (L3).</t>
  </si>
  <si>
    <t xml:space="preserve">Q47</t>
  </si>
  <si>
    <t xml:space="preserve">Expanding a x (a x r) and dotting with a to find a.r.</t>
  </si>
  <si>
    <t xml:space="preserve">Routine chain: triple product expansion, one dot product, back-substitution and |r x a|^2 by Lagrange's identity; no insight beyond the standard expansion. Like 2026-P2-Q1 (L2) in length.</t>
  </si>
  <si>
    <t xml:space="preserve">Q48</t>
  </si>
  <si>
    <t xml:space="preserve">Opening the nested product from the inside, then two four-vector scalar products with the right pairing of dots.</t>
  </si>
  <si>
    <t xml:space="preserve">Two vector-algebra identities chained, with sign and pairing traps in the four-vector products and a numerical answer. Like 2021-P1-Q19 (L3): abstract data with dot products leading to a triple-product value.</t>
  </si>
  <si>
    <t xml:space="preserve">Q49</t>
  </si>
  <si>
    <t xml:space="preserve">Building a x b and a x (a x b) and using their mutual perpendicularity to read off the coefficients.</t>
  </si>
  <si>
    <t xml:space="preserve">Routine multi-step: two cross products (or a triple-product expansion), then three dot products; nothing non-standard. Like 2024-P2-Q11 (L0) in idea but with a longer chain, so L2 as 2026-P2-Q1 (L2).</t>
  </si>
  <si>
    <t xml:space="preserve">Q50</t>
  </si>
  <si>
    <t xml:space="preserve">Matching coefficients twice: the cevian intersection G in face ABC, then the a-coefficient of the line MG.</t>
  </si>
  <si>
    <t xml:space="preserve">Two linked uses of linear combination (plane then space) with section formula; a slip in ratio direction gives a wrong value and the format is numerical. Like 2025-P1-Q9 (L4) in mass-point flavour but more routine, so L3; similar to 2023-P2-Q4 (L1) plus two more stages.</t>
  </si>
  <si>
    <t xml:space="preserve">2025-P1-Q9 (L4)</t>
  </si>
  <si>
    <t xml:space="preserve">Q51</t>
  </si>
  <si>
    <t xml:space="preserve">Recognising that the determinant condition is only necessary and rejecting lambda = 1 by inconsistency.</t>
  </si>
  <si>
    <t xml:space="preserve">Two ideas linked: uniqueness of linear combinations and consistency of a singular system, with a trap root (lambda = 1) that a hurried student keeps. Comparable to the system casework of 2023-P1-Q14 (L1) but with the trap and numerical format; placed with 2026-P1-Q6 (L3).</t>
  </si>
  <si>
    <t xml:space="preserve">Q52</t>
  </si>
  <si>
    <t xml:space="preserve">Expanding to m r - s a = c and dotting with c (using r.c = 0) to get |c|^2 = -s(a.c).</t>
  </si>
  <si>
    <t xml:space="preserve">The triple-product expansion is routine, but the equation is non-linear and the useful move (dot with r, then with c) must be found; components lead to a messy quadratic system. Two linked ideas with a numerical answer, like 2021-P1-Q19 (L3).</t>
  </si>
  <si>
    <t xml:space="preserve">Q53</t>
  </si>
  <si>
    <t xml:space="preserve">Recognising the excentre opposite A and applying the signed weights.</t>
  </si>
  <si>
    <t xml:space="preserve">Three side lengths in space and one weighted formula with a sign change; recognising the excentre from the description is the only decision. Routine multi-step like 2026-P2-Q1 (L2).</t>
  </si>
  <si>
    <t xml:space="preserve">Q54</t>
  </si>
  <si>
    <t xml:space="preserve">Ratio QD:DR = 3:2 from the bisector, then the section formula.</t>
  </si>
  <si>
    <t xml:space="preserve">Routine chain of distance formula, bisector ratio, section formula and one more distance; no insight. Like 2026-P2-Q1 (L2) and the section-formula checks of 2023-P2-Q4 (L1), one stage longer.</t>
  </si>
  <si>
    <t xml:space="preserve">Q55</t>
  </si>
  <si>
    <t xml:space="preserve">Seeing that the mirror is the external bisector of angle BAC (normal = internal bisector, from the unit-vector sum).</t>
  </si>
  <si>
    <t xml:space="preserve">Routine chain: two unit vectors, their sum, a line through A; the only decision is which bisector is the mirror, settled by the law of reflection. Like 2026-P2-Q17 (L2), an angle question with tangent-direction vectors.</t>
  </si>
  <si>
    <t xml:space="preserve">2026-P2-Q17 (L2)</t>
  </si>
  <si>
    <t xml:space="preserve">Q56</t>
  </si>
  <si>
    <t xml:space="preserve">Shifting the origin to (A + B + 2C)/4 so the linear term vanishes, then writing the constant through side lengths.</t>
  </si>
  <si>
    <t xml:space="preserve">A known vector technique (Leibniz-type identity) applied with unequal weights; several routine expansions, no deep idea. Like 2021-P2-Q18 (L2), a vector-geometry extremum with a standard core.</t>
  </si>
  <si>
    <t xml:space="preserve">2021-P2-Q18 (L2)</t>
  </si>
  <si>
    <t xml:space="preserve">Q57</t>
  </si>
  <si>
    <t xml:space="preserve">Recognising that AB^2+CD^2-BC^2-DA^2 = 2 DB.AC gives BD from the angle, then the midpoint formula 4MN^2 = sum of sides squared minus diagonals squared.</t>
  </si>
  <si>
    <t xml:space="preserve">Two vector identities of a skew quadrilateral linked in sequence; each is a short expansion but the first is not a routinely practised result. Comparable to the vector-length chains of 2021-P1-Q19 (L3), below the mass-point reasoning of 2025-P1-Q9 (L4).</t>
  </si>
  <si>
    <t xml:space="preserve">Q58</t>
  </si>
  <si>
    <t xml:space="preserve">Writing u(theta, phi) in components and recognising cos(p1-p2) inside the dot product.</t>
  </si>
  <si>
    <t xml:space="preserve">Routine chain: components of a direction, a dot product, a compound-angle evaluation and four ratio conversions; no insight beyond setting up the vector. Like the routine vector computation of 2026-P2-Q1 (L2).</t>
  </si>
  <si>
    <t xml:space="preserve">Q59</t>
  </si>
  <si>
    <t xml:space="preserve">Turning OA perpendicular to BC and OB perpendicular to CA into a.b = b.c = c.a, then applying the cosine rule in each face at O.</t>
  </si>
  <si>
    <t xml:space="preserve">Two ideas linked: the vector argument that equalises the three dot products, which students rarely use actively, and three cosine-rule computations with no options. Same kind of dot-product transfer as 2021-P1-Q19 (L3).</t>
  </si>
  <si>
    <t xml:space="preserve">Q60</t>
  </si>
  <si>
    <t xml:space="preserve">Equating squared distances from a general point of AB, where the t^2 terms cancel, then converting t to the signed section ratio.</t>
  </si>
  <si>
    <t xml:space="preserve">Routine chain of distance formula, a linear equation and the section formula; the only trap is the sign of an external division. Above the direct section checks of 2023-P2-Q4 (L1) because of the chain and the numerical format.</t>
  </si>
  <si>
    <t xml:space="preserve">2023-P2-Q4 (L1)</t>
  </si>
  <si>
    <t xml:space="preserve">Q61</t>
  </si>
  <si>
    <t xml:space="preserve">Building the plane through three section points (cross product with fractional coordinates) and intersecting it with the median AG.</t>
  </si>
  <si>
    <t xml:space="preserve">Two ideas linked (section points of a tetrahedron, then plane through three points and line-plane intersection) with fractional arithmetic and no options. Matches the plane-construction demand of 2026-P1-Q6 (L3).</t>
  </si>
  <si>
    <t xml:space="preserve">Q62</t>
  </si>
  <si>
    <t xml:space="preserve">Imposing coplanarity of the unknown line through O with each given line (two determinants) to get its direction, then cutting it with both lines and comparing with the shortest distance.</t>
  </si>
  <si>
    <t xml:space="preserve">Two ideas linked: the coplanarity determinant used on an unknown direction twice (a less-drilled use of it), and the shortest-distance formula, with exact point computations in numerical format. Comparable to the line-family question 2023-P1-Q16 (L3) and 2026-P1-Q6 (L3).</t>
  </si>
  <si>
    <t xml:space="preserve">Q63</t>
  </si>
  <si>
    <t xml:space="preserve">Writing the mid-point with two parameters and eliminating them to get the plane.</t>
  </si>
  <si>
    <t xml:space="preserve">Routine multi-step locus: parametrise, eliminate two parameters, read intercepts; no insight once the parametrisation is written. Like the routine vector-3D chain of 2026-P2-Q1 (L2), above the direct plane item 2024-P1-Q12 (L1).</t>
  </si>
  <si>
    <t xml:space="preserve">Q64</t>
  </si>
  <si>
    <t xml:space="preserve">Distance from an axis as y^2 + z^2, then completing squares in 2(x^2+y^2+z^2) = 3PA^2.</t>
  </si>
  <si>
    <t xml:space="preserve">Routine chain: distance from an axis, expansion, completing squares; no insight. Above a one-move Level 1 such as 2024-P1-Q12 (L1) because of the chain and numerical format.</t>
  </si>
  <si>
    <t xml:space="preserve">Q65</t>
  </si>
  <si>
    <t xml:space="preserve">Writing the squared distance from (x, y, 0) to each line and noticing that the quadratic parts cancel, leaving a straight line.</t>
  </si>
  <si>
    <t xml:space="preserve">Two ideas linked: the point-to-line distance in space for a general point, and a 2D locus whose linearity depends on a hidden symmetry of the directions; exact algebra with no options. Comparable to the 3D foot-of-perpendicular work of 2026-P2-Q7 (L3).</t>
  </si>
  <si>
    <t xml:space="preserve">Q66</t>
  </si>
  <si>
    <t xml:space="preserve">Finding the section circle (centre (0, -5, -1), radius 8) and the distance 6 of its centre from the chord, then the inscribed-angle theorem.</t>
  </si>
  <si>
    <t xml:space="preserve">Routine chain: sphere centre and radius, two point-plane distances, a perpendicular-plane observation and an inscribed-angle fact; no insight beyond noticing the planes are perpendicular. Like the conic-tangent chain of 2026-P2-Q17 (L2).</t>
  </si>
  <si>
    <t xml:space="preserve">Adjusted level = min(5, max(level + equivalence-relation adj, MCQ floor)). Equivalence adj +0.5 when the key step tests equivalence relations/classes; MCQ floor 2.5 for one-or-more-correct questions involving several concepts. Edit columns I-J to change them.</t>
  </si>
  <si>
    <t xml:space="preserve">Difficulty summary</t>
  </si>
  <si>
    <t xml:space="preserve">Source: Vector 3D   |   Evaluated on: 20-Oct-2026</t>
  </si>
  <si>
    <t xml:space="preserve">Label</t>
  </si>
  <si>
    <t xml:space="preserve">Questions</t>
  </si>
  <si>
    <t xml:space="preserve">% of marks</t>
  </si>
  <si>
    <t xml:space="preserve">Easier than JEE Main</t>
  </si>
  <si>
    <t xml:space="preserve">JEE Main level</t>
  </si>
  <si>
    <t xml:space="preserve">Slightly difficult</t>
  </si>
  <si>
    <t xml:space="preserve">Very difficult</t>
  </si>
  <si>
    <t xml:space="preserve">Total</t>
  </si>
  <si>
    <t xml:space="preserve">Scope</t>
  </si>
  <si>
    <t xml:space="preserve">Weighted index (adjusted)</t>
  </si>
  <si>
    <t xml:space="preserve">Weighted index (unadjusted)</t>
  </si>
  <si>
    <t xml:space="preserve">Mean level</t>
  </si>
  <si>
    <t xml:space="preserve">Overall</t>
  </si>
  <si>
    <t xml:space="preserve">Weighted index = sum(marks x level) / sum(marks), scale 0-5. 'Adjusted' uses the adjusted level (equivalence-relation adjustment and MCQ floor); 'unadjusted' uses the integer level.</t>
  </si>
  <si>
    <t xml:space="preserve">User's own ratings of official JEE Advanced maths papers</t>
  </si>
  <si>
    <t xml:space="preserve">Year</t>
  </si>
  <si>
    <t xml:space="preserve">Weighted index</t>
  </si>
  <si>
    <t xml:space="preserve">Marks at L0-1</t>
  </si>
  <si>
    <t xml:space="preserve">Marks at L4-5</t>
  </si>
  <si>
    <t xml:space="preserve">Level-5 questions</t>
  </si>
  <si>
    <t xml:space="preserve">This paper</t>
  </si>
  <si>
    <t xml:space="preserve">Source: the user's ratings in references/anchors.csv, used as given (they already reflect format and topic). 'This paper' uses the adjusted index. Official papers are 120 marks; compare the marks-at-level columns only for full-length papers.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</si>
</sst>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0%"/>
    <numFmt numFmtId="167" formatCode="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3"/>
      <color rgb="FF1A365D"/>
      <name val="Arial"/>
      <family val="0"/>
      <charset val="1"/>
    </font>
    <font>
      <b val="true"/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A365D"/>
        <bgColor rgb="FF333333"/>
      </patternFill>
    </fill>
    <fill>
      <patternFill patternType="solid">
        <fgColor rgb="FFFFF2CC"/>
        <bgColor rgb="FFFCE5CD"/>
      </patternFill>
    </fill>
    <fill>
      <patternFill patternType="solid">
        <fgColor rgb="FFFCE5CD"/>
        <bgColor rgb="FFFFF2CC"/>
      </patternFill>
    </fill>
    <fill>
      <patternFill patternType="solid">
        <fgColor rgb="FFD9EAD3"/>
        <bgColor rgb="FFE8F0D8"/>
      </patternFill>
    </fill>
    <fill>
      <patternFill patternType="solid">
        <fgColor rgb="FFE8F0D8"/>
        <bgColor rgb="FFD9EAD3"/>
      </patternFill>
    </fill>
    <fill>
      <patternFill patternType="solid">
        <fgColor rgb="FFF4CCCC"/>
        <bgColor rgb="FFFCE5CD"/>
      </patternFill>
    </fill>
    <fill>
      <patternFill patternType="solid">
        <fgColor rgb="FFEA9999"/>
        <bgColor rgb="FFFF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A365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CE5CD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8F0D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CE5CD"/>
      <rgbColor rgb="FF99CCFF"/>
      <rgbColor rgb="FFEA9999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A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6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8"/>
    <col collapsed="false" customWidth="true" hidden="false" outlineLevel="0" max="3" min="3" style="0" width="9"/>
    <col collapsed="false" customWidth="true" hidden="false" outlineLevel="0" max="4" min="4" style="0" width="12"/>
    <col collapsed="false" customWidth="true" hidden="false" outlineLevel="0" max="5" min="5" style="0" width="24"/>
    <col collapsed="false" customWidth="true" hidden="false" outlineLevel="0" max="7" min="6" style="0" width="7"/>
    <col collapsed="false" customWidth="true" hidden="false" outlineLevel="0" max="8" min="8" style="0" width="20"/>
    <col collapsed="false" customWidth="true" hidden="false" outlineLevel="0" max="9" min="9" style="0" width="9"/>
    <col collapsed="false" customWidth="true" hidden="false" outlineLevel="0" max="10" min="10" style="0" width="8"/>
    <col collapsed="false" customWidth="true" hidden="false" outlineLevel="0" max="11" min="11" style="0" width="9"/>
    <col collapsed="false" customWidth="true" hidden="false" outlineLevel="0" max="12" min="12" style="0" width="10"/>
    <col collapsed="false" customWidth="true" hidden="false" outlineLevel="0" max="13" min="13" style="0" width="38"/>
    <col collapsed="false" customWidth="true" hidden="false" outlineLevel="0" max="14" min="14" style="0" width="60"/>
    <col collapsed="false" customWidth="true" hidden="false" outlineLevel="0" max="15" min="15" style="0" width="20"/>
    <col collapsed="false" customWidth="true" hidden="false" outlineLevel="0" max="16" min="16" style="0" width="11"/>
  </cols>
  <sheetData>
    <row r="1" customFormat="false" ht="35.0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46.25" hidden="false" customHeight="false" outlineLevel="0" collapsed="false">
      <c r="A2" s="2" t="n">
        <v>1</v>
      </c>
      <c r="B2" s="2"/>
      <c r="C2" s="2" t="s">
        <v>16</v>
      </c>
      <c r="D2" s="2" t="s">
        <v>17</v>
      </c>
      <c r="E2" s="3" t="s">
        <v>18</v>
      </c>
      <c r="F2" s="2" t="n">
        <v>3</v>
      </c>
      <c r="G2" s="4" t="n">
        <v>2</v>
      </c>
      <c r="H2" s="4" t="s">
        <v>19</v>
      </c>
      <c r="I2" s="5" t="n">
        <v>0</v>
      </c>
      <c r="J2" s="5" t="n">
        <v>0</v>
      </c>
      <c r="K2" s="5" t="n">
        <f aca="false">MIN(5,MAX(G2+I2,J2))</f>
        <v>2</v>
      </c>
      <c r="L2" s="5" t="n">
        <f aca="false">F2*K2</f>
        <v>6</v>
      </c>
      <c r="M2" s="3" t="s">
        <v>20</v>
      </c>
      <c r="N2" s="3" t="s">
        <v>21</v>
      </c>
      <c r="O2" s="3" t="s">
        <v>22</v>
      </c>
      <c r="P2" s="2" t="s">
        <v>23</v>
      </c>
    </row>
    <row r="3" customFormat="false" ht="46.25" hidden="false" customHeight="false" outlineLevel="0" collapsed="false">
      <c r="A3" s="2" t="n">
        <v>2</v>
      </c>
      <c r="B3" s="2"/>
      <c r="C3" s="2" t="s">
        <v>24</v>
      </c>
      <c r="D3" s="2" t="s">
        <v>17</v>
      </c>
      <c r="E3" s="3" t="s">
        <v>18</v>
      </c>
      <c r="F3" s="2" t="n">
        <v>3</v>
      </c>
      <c r="G3" s="6" t="n">
        <v>3</v>
      </c>
      <c r="H3" s="6" t="s">
        <v>25</v>
      </c>
      <c r="I3" s="5" t="n">
        <v>0</v>
      </c>
      <c r="J3" s="5" t="n">
        <v>0</v>
      </c>
      <c r="K3" s="5" t="n">
        <f aca="false">MIN(5,MAX(G3+I3,J3))</f>
        <v>3</v>
      </c>
      <c r="L3" s="5" t="n">
        <f aca="false">F3*K3</f>
        <v>9</v>
      </c>
      <c r="M3" s="3" t="s">
        <v>26</v>
      </c>
      <c r="N3" s="3" t="s">
        <v>27</v>
      </c>
      <c r="O3" s="3" t="s">
        <v>28</v>
      </c>
      <c r="P3" s="2" t="s">
        <v>29</v>
      </c>
    </row>
    <row r="4" customFormat="false" ht="35.05" hidden="false" customHeight="false" outlineLevel="0" collapsed="false">
      <c r="A4" s="2" t="n">
        <v>3</v>
      </c>
      <c r="B4" s="2"/>
      <c r="C4" s="2" t="s">
        <v>30</v>
      </c>
      <c r="D4" s="2" t="s">
        <v>17</v>
      </c>
      <c r="E4" s="3" t="s">
        <v>18</v>
      </c>
      <c r="F4" s="2" t="n">
        <v>3</v>
      </c>
      <c r="G4" s="4" t="n">
        <v>2</v>
      </c>
      <c r="H4" s="4" t="s">
        <v>19</v>
      </c>
      <c r="I4" s="5" t="n">
        <v>0</v>
      </c>
      <c r="J4" s="5" t="n">
        <v>0</v>
      </c>
      <c r="K4" s="5" t="n">
        <f aca="false">MIN(5,MAX(G4+I4,J4))</f>
        <v>2</v>
      </c>
      <c r="L4" s="5" t="n">
        <f aca="false">F4*K4</f>
        <v>6</v>
      </c>
      <c r="M4" s="3" t="s">
        <v>31</v>
      </c>
      <c r="N4" s="3" t="s">
        <v>32</v>
      </c>
      <c r="O4" s="3" t="s">
        <v>22</v>
      </c>
      <c r="P4" s="2" t="s">
        <v>29</v>
      </c>
    </row>
    <row r="5" customFormat="false" ht="35.05" hidden="false" customHeight="false" outlineLevel="0" collapsed="false">
      <c r="A5" s="2" t="n">
        <v>4</v>
      </c>
      <c r="B5" s="2"/>
      <c r="C5" s="2" t="s">
        <v>33</v>
      </c>
      <c r="D5" s="2" t="s">
        <v>17</v>
      </c>
      <c r="E5" s="3" t="s">
        <v>18</v>
      </c>
      <c r="F5" s="2" t="n">
        <v>3</v>
      </c>
      <c r="G5" s="4" t="n">
        <v>2</v>
      </c>
      <c r="H5" s="4" t="s">
        <v>19</v>
      </c>
      <c r="I5" s="5" t="n">
        <v>0</v>
      </c>
      <c r="J5" s="5" t="n">
        <v>0</v>
      </c>
      <c r="K5" s="5" t="n">
        <f aca="false">MIN(5,MAX(G5+I5,J5))</f>
        <v>2</v>
      </c>
      <c r="L5" s="5" t="n">
        <f aca="false">F5*K5</f>
        <v>6</v>
      </c>
      <c r="M5" s="3" t="s">
        <v>34</v>
      </c>
      <c r="N5" s="3" t="s">
        <v>35</v>
      </c>
      <c r="O5" s="3" t="s">
        <v>36</v>
      </c>
      <c r="P5" s="2" t="s">
        <v>23</v>
      </c>
    </row>
    <row r="6" customFormat="false" ht="35.05" hidden="false" customHeight="false" outlineLevel="0" collapsed="false">
      <c r="A6" s="2" t="n">
        <v>5</v>
      </c>
      <c r="B6" s="2"/>
      <c r="C6" s="2" t="s">
        <v>37</v>
      </c>
      <c r="D6" s="2" t="s">
        <v>17</v>
      </c>
      <c r="E6" s="3" t="s">
        <v>18</v>
      </c>
      <c r="F6" s="2" t="n">
        <v>3</v>
      </c>
      <c r="G6" s="6" t="n">
        <v>3</v>
      </c>
      <c r="H6" s="6" t="s">
        <v>25</v>
      </c>
      <c r="I6" s="5" t="n">
        <v>0</v>
      </c>
      <c r="J6" s="5" t="n">
        <v>0</v>
      </c>
      <c r="K6" s="5" t="n">
        <f aca="false">MIN(5,MAX(G6+I6,J6))</f>
        <v>3</v>
      </c>
      <c r="L6" s="5" t="n">
        <f aca="false">F6*K6</f>
        <v>9</v>
      </c>
      <c r="M6" s="3" t="s">
        <v>38</v>
      </c>
      <c r="N6" s="3" t="s">
        <v>39</v>
      </c>
      <c r="O6" s="3" t="s">
        <v>40</v>
      </c>
      <c r="P6" s="2" t="s">
        <v>29</v>
      </c>
    </row>
    <row r="7" customFormat="false" ht="57.45" hidden="false" customHeight="false" outlineLevel="0" collapsed="false">
      <c r="A7" s="2" t="n">
        <v>6</v>
      </c>
      <c r="B7" s="2"/>
      <c r="C7" s="2" t="s">
        <v>41</v>
      </c>
      <c r="D7" s="2" t="s">
        <v>17</v>
      </c>
      <c r="E7" s="3" t="s">
        <v>18</v>
      </c>
      <c r="F7" s="2" t="n">
        <v>3</v>
      </c>
      <c r="G7" s="6" t="n">
        <v>3</v>
      </c>
      <c r="H7" s="6" t="s">
        <v>25</v>
      </c>
      <c r="I7" s="5" t="n">
        <v>0</v>
      </c>
      <c r="J7" s="5" t="n">
        <v>0</v>
      </c>
      <c r="K7" s="5" t="n">
        <f aca="false">MIN(5,MAX(G7+I7,J7))</f>
        <v>3</v>
      </c>
      <c r="L7" s="5" t="n">
        <f aca="false">F7*K7</f>
        <v>9</v>
      </c>
      <c r="M7" s="3" t="s">
        <v>42</v>
      </c>
      <c r="N7" s="3" t="s">
        <v>43</v>
      </c>
      <c r="O7" s="3" t="s">
        <v>40</v>
      </c>
      <c r="P7" s="2" t="s">
        <v>29</v>
      </c>
    </row>
    <row r="8" customFormat="false" ht="35.05" hidden="false" customHeight="false" outlineLevel="0" collapsed="false">
      <c r="A8" s="2" t="n">
        <v>7</v>
      </c>
      <c r="B8" s="2"/>
      <c r="C8" s="2" t="s">
        <v>44</v>
      </c>
      <c r="D8" s="2" t="s">
        <v>17</v>
      </c>
      <c r="E8" s="3" t="s">
        <v>18</v>
      </c>
      <c r="F8" s="2" t="n">
        <v>3</v>
      </c>
      <c r="G8" s="4" t="n">
        <v>2</v>
      </c>
      <c r="H8" s="4" t="s">
        <v>19</v>
      </c>
      <c r="I8" s="5" t="n">
        <v>0</v>
      </c>
      <c r="J8" s="5" t="n">
        <v>0</v>
      </c>
      <c r="K8" s="5" t="n">
        <f aca="false">MIN(5,MAX(G8+I8,J8))</f>
        <v>2</v>
      </c>
      <c r="L8" s="5" t="n">
        <f aca="false">F8*K8</f>
        <v>6</v>
      </c>
      <c r="M8" s="3" t="s">
        <v>45</v>
      </c>
      <c r="N8" s="3" t="s">
        <v>46</v>
      </c>
      <c r="O8" s="3" t="s">
        <v>47</v>
      </c>
      <c r="P8" s="2" t="s">
        <v>23</v>
      </c>
    </row>
    <row r="9" customFormat="false" ht="35.05" hidden="false" customHeight="false" outlineLevel="0" collapsed="false">
      <c r="A9" s="2" t="n">
        <v>8</v>
      </c>
      <c r="B9" s="2"/>
      <c r="C9" s="2" t="s">
        <v>48</v>
      </c>
      <c r="D9" s="2" t="s">
        <v>17</v>
      </c>
      <c r="E9" s="3" t="s">
        <v>18</v>
      </c>
      <c r="F9" s="2" t="n">
        <v>3</v>
      </c>
      <c r="G9" s="4" t="n">
        <v>2</v>
      </c>
      <c r="H9" s="4" t="s">
        <v>19</v>
      </c>
      <c r="I9" s="5" t="n">
        <v>0</v>
      </c>
      <c r="J9" s="5" t="n">
        <v>0</v>
      </c>
      <c r="K9" s="5" t="n">
        <f aca="false">MIN(5,MAX(G9+I9,J9))</f>
        <v>2</v>
      </c>
      <c r="L9" s="5" t="n">
        <f aca="false">F9*K9</f>
        <v>6</v>
      </c>
      <c r="M9" s="3" t="s">
        <v>49</v>
      </c>
      <c r="N9" s="3" t="s">
        <v>50</v>
      </c>
      <c r="O9" s="3" t="s">
        <v>22</v>
      </c>
      <c r="P9" s="2" t="s">
        <v>29</v>
      </c>
    </row>
    <row r="10" customFormat="false" ht="46.25" hidden="false" customHeight="false" outlineLevel="0" collapsed="false">
      <c r="A10" s="2" t="n">
        <v>9</v>
      </c>
      <c r="B10" s="2"/>
      <c r="C10" s="2" t="s">
        <v>51</v>
      </c>
      <c r="D10" s="2" t="s">
        <v>17</v>
      </c>
      <c r="E10" s="3" t="s">
        <v>18</v>
      </c>
      <c r="F10" s="2" t="n">
        <v>3</v>
      </c>
      <c r="G10" s="6" t="n">
        <v>3</v>
      </c>
      <c r="H10" s="6" t="s">
        <v>25</v>
      </c>
      <c r="I10" s="5" t="n">
        <v>0</v>
      </c>
      <c r="J10" s="5" t="n">
        <v>0</v>
      </c>
      <c r="K10" s="5" t="n">
        <f aca="false">MIN(5,MAX(G10+I10,J10))</f>
        <v>3</v>
      </c>
      <c r="L10" s="5" t="n">
        <f aca="false">F10*K10</f>
        <v>9</v>
      </c>
      <c r="M10" s="3" t="s">
        <v>52</v>
      </c>
      <c r="N10" s="3" t="s">
        <v>53</v>
      </c>
      <c r="O10" s="3" t="s">
        <v>28</v>
      </c>
      <c r="P10" s="2" t="s">
        <v>29</v>
      </c>
    </row>
    <row r="11" customFormat="false" ht="46.25" hidden="false" customHeight="false" outlineLevel="0" collapsed="false">
      <c r="A11" s="2" t="n">
        <v>10</v>
      </c>
      <c r="B11" s="2"/>
      <c r="C11" s="2" t="s">
        <v>54</v>
      </c>
      <c r="D11" s="2" t="s">
        <v>17</v>
      </c>
      <c r="E11" s="3" t="s">
        <v>18</v>
      </c>
      <c r="F11" s="2" t="n">
        <v>3</v>
      </c>
      <c r="G11" s="6" t="n">
        <v>3</v>
      </c>
      <c r="H11" s="6" t="s">
        <v>25</v>
      </c>
      <c r="I11" s="5" t="n">
        <v>0</v>
      </c>
      <c r="J11" s="5" t="n">
        <v>0</v>
      </c>
      <c r="K11" s="5" t="n">
        <f aca="false">MIN(5,MAX(G11+I11,J11))</f>
        <v>3</v>
      </c>
      <c r="L11" s="5" t="n">
        <f aca="false">F11*K11</f>
        <v>9</v>
      </c>
      <c r="M11" s="3" t="s">
        <v>55</v>
      </c>
      <c r="N11" s="3" t="s">
        <v>56</v>
      </c>
      <c r="O11" s="3" t="s">
        <v>57</v>
      </c>
      <c r="P11" s="2" t="s">
        <v>58</v>
      </c>
    </row>
    <row r="12" customFormat="false" ht="46.25" hidden="false" customHeight="false" outlineLevel="0" collapsed="false">
      <c r="A12" s="2" t="n">
        <v>11</v>
      </c>
      <c r="B12" s="2"/>
      <c r="C12" s="2" t="s">
        <v>59</v>
      </c>
      <c r="D12" s="2" t="s">
        <v>17</v>
      </c>
      <c r="E12" s="3" t="s">
        <v>18</v>
      </c>
      <c r="F12" s="2" t="n">
        <v>3</v>
      </c>
      <c r="G12" s="6" t="n">
        <v>3</v>
      </c>
      <c r="H12" s="6" t="s">
        <v>25</v>
      </c>
      <c r="I12" s="5" t="n">
        <v>0</v>
      </c>
      <c r="J12" s="5" t="n">
        <v>0</v>
      </c>
      <c r="K12" s="5" t="n">
        <f aca="false">MIN(5,MAX(G12+I12,J12))</f>
        <v>3</v>
      </c>
      <c r="L12" s="5" t="n">
        <f aca="false">F12*K12</f>
        <v>9</v>
      </c>
      <c r="M12" s="3" t="s">
        <v>60</v>
      </c>
      <c r="N12" s="3" t="s">
        <v>61</v>
      </c>
      <c r="O12" s="3" t="s">
        <v>57</v>
      </c>
      <c r="P12" s="2" t="s">
        <v>29</v>
      </c>
    </row>
    <row r="13" customFormat="false" ht="35.05" hidden="false" customHeight="false" outlineLevel="0" collapsed="false">
      <c r="A13" s="2" t="n">
        <v>12</v>
      </c>
      <c r="B13" s="2"/>
      <c r="C13" s="2" t="s">
        <v>62</v>
      </c>
      <c r="D13" s="2" t="s">
        <v>17</v>
      </c>
      <c r="E13" s="3" t="s">
        <v>18</v>
      </c>
      <c r="F13" s="2" t="n">
        <v>3</v>
      </c>
      <c r="G13" s="6" t="n">
        <v>3</v>
      </c>
      <c r="H13" s="6" t="s">
        <v>25</v>
      </c>
      <c r="I13" s="5" t="n">
        <v>0</v>
      </c>
      <c r="J13" s="5" t="n">
        <v>0</v>
      </c>
      <c r="K13" s="5" t="n">
        <f aca="false">MIN(5,MAX(G13+I13,J13))</f>
        <v>3</v>
      </c>
      <c r="L13" s="5" t="n">
        <f aca="false">F13*K13</f>
        <v>9</v>
      </c>
      <c r="M13" s="3" t="s">
        <v>63</v>
      </c>
      <c r="N13" s="3" t="s">
        <v>64</v>
      </c>
      <c r="O13" s="3" t="s">
        <v>28</v>
      </c>
      <c r="P13" s="2" t="s">
        <v>29</v>
      </c>
    </row>
    <row r="14" customFormat="false" ht="46.25" hidden="false" customHeight="false" outlineLevel="0" collapsed="false">
      <c r="A14" s="2" t="n">
        <v>13</v>
      </c>
      <c r="B14" s="2"/>
      <c r="C14" s="2" t="s">
        <v>65</v>
      </c>
      <c r="D14" s="2" t="s">
        <v>66</v>
      </c>
      <c r="E14" s="3" t="s">
        <v>18</v>
      </c>
      <c r="F14" s="2" t="n">
        <v>4</v>
      </c>
      <c r="G14" s="4" t="n">
        <v>2</v>
      </c>
      <c r="H14" s="4" t="s">
        <v>19</v>
      </c>
      <c r="I14" s="5" t="n">
        <v>0</v>
      </c>
      <c r="J14" s="5" t="n">
        <v>0</v>
      </c>
      <c r="K14" s="5" t="n">
        <f aca="false">MIN(5,MAX(G14+I14,J14))</f>
        <v>2</v>
      </c>
      <c r="L14" s="5" t="n">
        <f aca="false">F14*K14</f>
        <v>8</v>
      </c>
      <c r="M14" s="3" t="s">
        <v>67</v>
      </c>
      <c r="N14" s="3" t="s">
        <v>68</v>
      </c>
      <c r="O14" s="3" t="s">
        <v>22</v>
      </c>
      <c r="P14" s="2" t="s">
        <v>29</v>
      </c>
    </row>
    <row r="15" customFormat="false" ht="35.05" hidden="false" customHeight="false" outlineLevel="0" collapsed="false">
      <c r="A15" s="2" t="n">
        <v>14</v>
      </c>
      <c r="B15" s="2"/>
      <c r="C15" s="2" t="s">
        <v>69</v>
      </c>
      <c r="D15" s="2" t="s">
        <v>66</v>
      </c>
      <c r="E15" s="3" t="s">
        <v>18</v>
      </c>
      <c r="F15" s="2" t="n">
        <v>4</v>
      </c>
      <c r="G15" s="4" t="n">
        <v>2</v>
      </c>
      <c r="H15" s="4" t="s">
        <v>19</v>
      </c>
      <c r="I15" s="5" t="n">
        <v>0</v>
      </c>
      <c r="J15" s="5" t="n">
        <v>0</v>
      </c>
      <c r="K15" s="5" t="n">
        <f aca="false">MIN(5,MAX(G15+I15,J15))</f>
        <v>2</v>
      </c>
      <c r="L15" s="5" t="n">
        <f aca="false">F15*K15</f>
        <v>8</v>
      </c>
      <c r="M15" s="3" t="s">
        <v>70</v>
      </c>
      <c r="N15" s="3" t="s">
        <v>71</v>
      </c>
      <c r="O15" s="3" t="s">
        <v>22</v>
      </c>
      <c r="P15" s="2" t="s">
        <v>23</v>
      </c>
    </row>
    <row r="16" customFormat="false" ht="35.05" hidden="false" customHeight="false" outlineLevel="0" collapsed="false">
      <c r="A16" s="2" t="n">
        <v>15</v>
      </c>
      <c r="B16" s="2"/>
      <c r="C16" s="2" t="s">
        <v>72</v>
      </c>
      <c r="D16" s="2" t="s">
        <v>66</v>
      </c>
      <c r="E16" s="3" t="s">
        <v>18</v>
      </c>
      <c r="F16" s="2" t="n">
        <v>4</v>
      </c>
      <c r="G16" s="4" t="n">
        <v>2</v>
      </c>
      <c r="H16" s="4" t="s">
        <v>19</v>
      </c>
      <c r="I16" s="5" t="n">
        <v>0</v>
      </c>
      <c r="J16" s="5" t="n">
        <v>0</v>
      </c>
      <c r="K16" s="5" t="n">
        <f aca="false">MIN(5,MAX(G16+I16,J16))</f>
        <v>2</v>
      </c>
      <c r="L16" s="5" t="n">
        <f aca="false">F16*K16</f>
        <v>8</v>
      </c>
      <c r="M16" s="3" t="s">
        <v>73</v>
      </c>
      <c r="N16" s="3" t="s">
        <v>74</v>
      </c>
      <c r="O16" s="3" t="s">
        <v>22</v>
      </c>
      <c r="P16" s="2" t="s">
        <v>29</v>
      </c>
    </row>
    <row r="17" customFormat="false" ht="46.25" hidden="false" customHeight="false" outlineLevel="0" collapsed="false">
      <c r="A17" s="2" t="n">
        <v>16</v>
      </c>
      <c r="B17" s="2"/>
      <c r="C17" s="2" t="s">
        <v>75</v>
      </c>
      <c r="D17" s="2" t="s">
        <v>66</v>
      </c>
      <c r="E17" s="3" t="s">
        <v>18</v>
      </c>
      <c r="F17" s="2" t="n">
        <v>4</v>
      </c>
      <c r="G17" s="4" t="n">
        <v>2</v>
      </c>
      <c r="H17" s="4" t="s">
        <v>19</v>
      </c>
      <c r="I17" s="5" t="n">
        <v>0</v>
      </c>
      <c r="J17" s="5" t="n">
        <v>0</v>
      </c>
      <c r="K17" s="5" t="n">
        <f aca="false">MIN(5,MAX(G17+I17,J17))</f>
        <v>2</v>
      </c>
      <c r="L17" s="5" t="n">
        <f aca="false">F17*K17</f>
        <v>8</v>
      </c>
      <c r="M17" s="3" t="s">
        <v>76</v>
      </c>
      <c r="N17" s="3" t="s">
        <v>77</v>
      </c>
      <c r="O17" s="3" t="s">
        <v>22</v>
      </c>
      <c r="P17" s="2" t="s">
        <v>29</v>
      </c>
    </row>
    <row r="18" customFormat="false" ht="46.25" hidden="false" customHeight="false" outlineLevel="0" collapsed="false">
      <c r="A18" s="2" t="n">
        <v>17</v>
      </c>
      <c r="B18" s="2"/>
      <c r="C18" s="2" t="s">
        <v>78</v>
      </c>
      <c r="D18" s="2" t="s">
        <v>66</v>
      </c>
      <c r="E18" s="3" t="s">
        <v>18</v>
      </c>
      <c r="F18" s="2" t="n">
        <v>4</v>
      </c>
      <c r="G18" s="6" t="n">
        <v>3</v>
      </c>
      <c r="H18" s="6" t="s">
        <v>25</v>
      </c>
      <c r="I18" s="5" t="n">
        <v>0</v>
      </c>
      <c r="J18" s="5" t="n">
        <v>0</v>
      </c>
      <c r="K18" s="5" t="n">
        <f aca="false">MIN(5,MAX(G18+I18,J18))</f>
        <v>3</v>
      </c>
      <c r="L18" s="5" t="n">
        <f aca="false">F18*K18</f>
        <v>12</v>
      </c>
      <c r="M18" s="3" t="s">
        <v>79</v>
      </c>
      <c r="N18" s="3" t="s">
        <v>80</v>
      </c>
      <c r="O18" s="3" t="s">
        <v>81</v>
      </c>
      <c r="P18" s="2" t="s">
        <v>29</v>
      </c>
    </row>
    <row r="19" customFormat="false" ht="35.05" hidden="false" customHeight="false" outlineLevel="0" collapsed="false">
      <c r="A19" s="2" t="n">
        <v>18</v>
      </c>
      <c r="B19" s="2"/>
      <c r="C19" s="2" t="s">
        <v>82</v>
      </c>
      <c r="D19" s="2" t="s">
        <v>66</v>
      </c>
      <c r="E19" s="3" t="s">
        <v>18</v>
      </c>
      <c r="F19" s="2" t="n">
        <v>4</v>
      </c>
      <c r="G19" s="4" t="n">
        <v>2</v>
      </c>
      <c r="H19" s="4" t="s">
        <v>19</v>
      </c>
      <c r="I19" s="5" t="n">
        <v>0</v>
      </c>
      <c r="J19" s="5" t="n">
        <v>0</v>
      </c>
      <c r="K19" s="5" t="n">
        <f aca="false">MIN(5,MAX(G19+I19,J19))</f>
        <v>2</v>
      </c>
      <c r="L19" s="5" t="n">
        <f aca="false">F19*K19</f>
        <v>8</v>
      </c>
      <c r="M19" s="3" t="s">
        <v>83</v>
      </c>
      <c r="N19" s="3" t="s">
        <v>84</v>
      </c>
      <c r="O19" s="3" t="s">
        <v>22</v>
      </c>
      <c r="P19" s="2" t="s">
        <v>23</v>
      </c>
    </row>
    <row r="20" customFormat="false" ht="57.45" hidden="false" customHeight="false" outlineLevel="0" collapsed="false">
      <c r="A20" s="2" t="n">
        <v>19</v>
      </c>
      <c r="B20" s="2"/>
      <c r="C20" s="2" t="s">
        <v>85</v>
      </c>
      <c r="D20" s="2" t="s">
        <v>66</v>
      </c>
      <c r="E20" s="3" t="s">
        <v>18</v>
      </c>
      <c r="F20" s="2" t="n">
        <v>4</v>
      </c>
      <c r="G20" s="6" t="n">
        <v>3</v>
      </c>
      <c r="H20" s="6" t="s">
        <v>25</v>
      </c>
      <c r="I20" s="5" t="n">
        <v>0</v>
      </c>
      <c r="J20" s="5" t="n">
        <v>0</v>
      </c>
      <c r="K20" s="5" t="n">
        <f aca="false">MIN(5,MAX(G20+I20,J20))</f>
        <v>3</v>
      </c>
      <c r="L20" s="5" t="n">
        <f aca="false">F20*K20</f>
        <v>12</v>
      </c>
      <c r="M20" s="3" t="s">
        <v>86</v>
      </c>
      <c r="N20" s="3" t="s">
        <v>87</v>
      </c>
      <c r="O20" s="3" t="s">
        <v>40</v>
      </c>
      <c r="P20" s="2" t="s">
        <v>29</v>
      </c>
    </row>
    <row r="21" customFormat="false" ht="35.05" hidden="false" customHeight="false" outlineLevel="0" collapsed="false">
      <c r="A21" s="2" t="n">
        <v>20</v>
      </c>
      <c r="B21" s="2"/>
      <c r="C21" s="2" t="s">
        <v>88</v>
      </c>
      <c r="D21" s="2" t="s">
        <v>66</v>
      </c>
      <c r="E21" s="3" t="s">
        <v>18</v>
      </c>
      <c r="F21" s="2" t="n">
        <v>4</v>
      </c>
      <c r="G21" s="6" t="n">
        <v>3</v>
      </c>
      <c r="H21" s="6" t="s">
        <v>25</v>
      </c>
      <c r="I21" s="5" t="n">
        <v>0</v>
      </c>
      <c r="J21" s="5" t="n">
        <v>0</v>
      </c>
      <c r="K21" s="5" t="n">
        <f aca="false">MIN(5,MAX(G21+I21,J21))</f>
        <v>3</v>
      </c>
      <c r="L21" s="5" t="n">
        <f aca="false">F21*K21</f>
        <v>12</v>
      </c>
      <c r="M21" s="3" t="s">
        <v>89</v>
      </c>
      <c r="N21" s="3" t="s">
        <v>90</v>
      </c>
      <c r="O21" s="3" t="s">
        <v>40</v>
      </c>
      <c r="P21" s="2" t="s">
        <v>29</v>
      </c>
    </row>
    <row r="22" customFormat="false" ht="46.25" hidden="false" customHeight="false" outlineLevel="0" collapsed="false">
      <c r="A22" s="2" t="n">
        <v>21</v>
      </c>
      <c r="B22" s="2"/>
      <c r="C22" s="2" t="s">
        <v>91</v>
      </c>
      <c r="D22" s="2" t="s">
        <v>66</v>
      </c>
      <c r="E22" s="3" t="s">
        <v>18</v>
      </c>
      <c r="F22" s="2" t="n">
        <v>4</v>
      </c>
      <c r="G22" s="6" t="n">
        <v>3</v>
      </c>
      <c r="H22" s="6" t="s">
        <v>25</v>
      </c>
      <c r="I22" s="5" t="n">
        <v>0</v>
      </c>
      <c r="J22" s="5" t="n">
        <v>0</v>
      </c>
      <c r="K22" s="5" t="n">
        <f aca="false">MIN(5,MAX(G22+I22,J22))</f>
        <v>3</v>
      </c>
      <c r="L22" s="5" t="n">
        <f aca="false">F22*K22</f>
        <v>12</v>
      </c>
      <c r="M22" s="3" t="s">
        <v>92</v>
      </c>
      <c r="N22" s="3" t="s">
        <v>93</v>
      </c>
      <c r="O22" s="3" t="s">
        <v>94</v>
      </c>
      <c r="P22" s="2" t="s">
        <v>29</v>
      </c>
    </row>
    <row r="23" customFormat="false" ht="23.85" hidden="false" customHeight="false" outlineLevel="0" collapsed="false">
      <c r="A23" s="2" t="n">
        <v>22</v>
      </c>
      <c r="B23" s="2"/>
      <c r="C23" s="2" t="s">
        <v>95</v>
      </c>
      <c r="D23" s="2" t="s">
        <v>66</v>
      </c>
      <c r="E23" s="3" t="s">
        <v>18</v>
      </c>
      <c r="F23" s="2" t="n">
        <v>4</v>
      </c>
      <c r="G23" s="4" t="n">
        <v>2</v>
      </c>
      <c r="H23" s="4" t="s">
        <v>19</v>
      </c>
      <c r="I23" s="5" t="n">
        <v>0</v>
      </c>
      <c r="J23" s="5" t="n">
        <v>0</v>
      </c>
      <c r="K23" s="5" t="n">
        <f aca="false">MIN(5,MAX(G23+I23,J23))</f>
        <v>2</v>
      </c>
      <c r="L23" s="5" t="n">
        <f aca="false">F23*K23</f>
        <v>8</v>
      </c>
      <c r="M23" s="3" t="s">
        <v>96</v>
      </c>
      <c r="N23" s="3" t="s">
        <v>97</v>
      </c>
      <c r="O23" s="3" t="s">
        <v>22</v>
      </c>
      <c r="P23" s="2" t="s">
        <v>23</v>
      </c>
    </row>
    <row r="24" customFormat="false" ht="46.25" hidden="false" customHeight="false" outlineLevel="0" collapsed="false">
      <c r="A24" s="2" t="n">
        <v>23</v>
      </c>
      <c r="B24" s="2"/>
      <c r="C24" s="2" t="s">
        <v>98</v>
      </c>
      <c r="D24" s="2" t="s">
        <v>66</v>
      </c>
      <c r="E24" s="3" t="s">
        <v>18</v>
      </c>
      <c r="F24" s="2" t="n">
        <v>4</v>
      </c>
      <c r="G24" s="6" t="n">
        <v>3</v>
      </c>
      <c r="H24" s="6" t="s">
        <v>25</v>
      </c>
      <c r="I24" s="5" t="n">
        <v>0</v>
      </c>
      <c r="J24" s="5" t="n">
        <v>0</v>
      </c>
      <c r="K24" s="5" t="n">
        <f aca="false">MIN(5,MAX(G24+I24,J24))</f>
        <v>3</v>
      </c>
      <c r="L24" s="5" t="n">
        <f aca="false">F24*K24</f>
        <v>12</v>
      </c>
      <c r="M24" s="3" t="s">
        <v>99</v>
      </c>
      <c r="N24" s="3" t="s">
        <v>100</v>
      </c>
      <c r="O24" s="3" t="s">
        <v>101</v>
      </c>
      <c r="P24" s="2" t="s">
        <v>29</v>
      </c>
    </row>
    <row r="25" customFormat="false" ht="46.25" hidden="false" customHeight="false" outlineLevel="0" collapsed="false">
      <c r="A25" s="2" t="n">
        <v>24</v>
      </c>
      <c r="B25" s="2"/>
      <c r="C25" s="2" t="s">
        <v>102</v>
      </c>
      <c r="D25" s="2" t="s">
        <v>66</v>
      </c>
      <c r="E25" s="3" t="s">
        <v>18</v>
      </c>
      <c r="F25" s="2" t="n">
        <v>4</v>
      </c>
      <c r="G25" s="6" t="n">
        <v>3</v>
      </c>
      <c r="H25" s="6" t="s">
        <v>25</v>
      </c>
      <c r="I25" s="5" t="n">
        <v>0</v>
      </c>
      <c r="J25" s="5" t="n">
        <v>0</v>
      </c>
      <c r="K25" s="5" t="n">
        <f aca="false">MIN(5,MAX(G25+I25,J25))</f>
        <v>3</v>
      </c>
      <c r="L25" s="5" t="n">
        <f aca="false">F25*K25</f>
        <v>12</v>
      </c>
      <c r="M25" s="3" t="s">
        <v>103</v>
      </c>
      <c r="N25" s="3" t="s">
        <v>104</v>
      </c>
      <c r="O25" s="3" t="s">
        <v>105</v>
      </c>
      <c r="P25" s="2" t="s">
        <v>29</v>
      </c>
    </row>
    <row r="26" customFormat="false" ht="46.25" hidden="false" customHeight="false" outlineLevel="0" collapsed="false">
      <c r="A26" s="2" t="n">
        <v>25</v>
      </c>
      <c r="B26" s="2"/>
      <c r="C26" s="2" t="s">
        <v>106</v>
      </c>
      <c r="D26" s="2" t="s">
        <v>66</v>
      </c>
      <c r="E26" s="3" t="s">
        <v>18</v>
      </c>
      <c r="F26" s="2" t="n">
        <v>4</v>
      </c>
      <c r="G26" s="6" t="n">
        <v>3</v>
      </c>
      <c r="H26" s="6" t="s">
        <v>25</v>
      </c>
      <c r="I26" s="5" t="n">
        <v>0</v>
      </c>
      <c r="J26" s="5" t="n">
        <v>0</v>
      </c>
      <c r="K26" s="5" t="n">
        <f aca="false">MIN(5,MAX(G26+I26,J26))</f>
        <v>3</v>
      </c>
      <c r="L26" s="5" t="n">
        <f aca="false">F26*K26</f>
        <v>12</v>
      </c>
      <c r="M26" s="3" t="s">
        <v>107</v>
      </c>
      <c r="N26" s="3" t="s">
        <v>108</v>
      </c>
      <c r="O26" s="3" t="s">
        <v>101</v>
      </c>
      <c r="P26" s="2" t="s">
        <v>29</v>
      </c>
    </row>
    <row r="27" customFormat="false" ht="46.25" hidden="false" customHeight="false" outlineLevel="0" collapsed="false">
      <c r="A27" s="2" t="n">
        <v>26</v>
      </c>
      <c r="B27" s="2"/>
      <c r="C27" s="2" t="s">
        <v>109</v>
      </c>
      <c r="D27" s="2" t="s">
        <v>66</v>
      </c>
      <c r="E27" s="3" t="s">
        <v>18</v>
      </c>
      <c r="F27" s="2" t="n">
        <v>4</v>
      </c>
      <c r="G27" s="4" t="n">
        <v>2</v>
      </c>
      <c r="H27" s="4" t="s">
        <v>19</v>
      </c>
      <c r="I27" s="5" t="n">
        <v>0</v>
      </c>
      <c r="J27" s="5" t="n">
        <v>0</v>
      </c>
      <c r="K27" s="5" t="n">
        <f aca="false">MIN(5,MAX(G27+I27,J27))</f>
        <v>2</v>
      </c>
      <c r="L27" s="5" t="n">
        <f aca="false">F27*K27</f>
        <v>8</v>
      </c>
      <c r="M27" s="3" t="s">
        <v>110</v>
      </c>
      <c r="N27" s="3" t="s">
        <v>111</v>
      </c>
      <c r="O27" s="3" t="s">
        <v>22</v>
      </c>
      <c r="P27" s="2" t="s">
        <v>29</v>
      </c>
    </row>
    <row r="28" customFormat="false" ht="46.25" hidden="false" customHeight="false" outlineLevel="0" collapsed="false">
      <c r="A28" s="2" t="n">
        <v>27</v>
      </c>
      <c r="B28" s="2"/>
      <c r="C28" s="2" t="s">
        <v>112</v>
      </c>
      <c r="D28" s="2" t="s">
        <v>66</v>
      </c>
      <c r="E28" s="3" t="s">
        <v>18</v>
      </c>
      <c r="F28" s="2" t="n">
        <v>4</v>
      </c>
      <c r="G28" s="6" t="n">
        <v>3</v>
      </c>
      <c r="H28" s="6" t="s">
        <v>25</v>
      </c>
      <c r="I28" s="5" t="n">
        <v>0</v>
      </c>
      <c r="J28" s="5" t="n">
        <v>0</v>
      </c>
      <c r="K28" s="5" t="n">
        <f aca="false">MIN(5,MAX(G28+I28,J28))</f>
        <v>3</v>
      </c>
      <c r="L28" s="5" t="n">
        <f aca="false">F28*K28</f>
        <v>12</v>
      </c>
      <c r="M28" s="3" t="s">
        <v>113</v>
      </c>
      <c r="N28" s="3" t="s">
        <v>114</v>
      </c>
      <c r="O28" s="3" t="s">
        <v>101</v>
      </c>
      <c r="P28" s="2" t="s">
        <v>29</v>
      </c>
    </row>
    <row r="29" customFormat="false" ht="46.25" hidden="false" customHeight="false" outlineLevel="0" collapsed="false">
      <c r="A29" s="2" t="n">
        <v>28</v>
      </c>
      <c r="B29" s="2"/>
      <c r="C29" s="2" t="s">
        <v>115</v>
      </c>
      <c r="D29" s="2" t="s">
        <v>66</v>
      </c>
      <c r="E29" s="3" t="s">
        <v>18</v>
      </c>
      <c r="F29" s="2" t="n">
        <v>4</v>
      </c>
      <c r="G29" s="6" t="n">
        <v>3</v>
      </c>
      <c r="H29" s="6" t="s">
        <v>25</v>
      </c>
      <c r="I29" s="5" t="n">
        <v>0</v>
      </c>
      <c r="J29" s="5" t="n">
        <v>0</v>
      </c>
      <c r="K29" s="5" t="n">
        <f aca="false">MIN(5,MAX(G29+I29,J29))</f>
        <v>3</v>
      </c>
      <c r="L29" s="5" t="n">
        <f aca="false">F29*K29</f>
        <v>12</v>
      </c>
      <c r="M29" s="3" t="s">
        <v>116</v>
      </c>
      <c r="N29" s="3" t="s">
        <v>117</v>
      </c>
      <c r="O29" s="3" t="s">
        <v>28</v>
      </c>
      <c r="P29" s="2" t="s">
        <v>58</v>
      </c>
    </row>
    <row r="30" customFormat="false" ht="23.85" hidden="false" customHeight="false" outlineLevel="0" collapsed="false">
      <c r="A30" s="2" t="n">
        <v>29</v>
      </c>
      <c r="B30" s="2"/>
      <c r="C30" s="2" t="s">
        <v>118</v>
      </c>
      <c r="D30" s="2" t="s">
        <v>66</v>
      </c>
      <c r="E30" s="3" t="s">
        <v>18</v>
      </c>
      <c r="F30" s="2" t="n">
        <v>4</v>
      </c>
      <c r="G30" s="4" t="n">
        <v>2</v>
      </c>
      <c r="H30" s="4" t="s">
        <v>19</v>
      </c>
      <c r="I30" s="5" t="n">
        <v>0</v>
      </c>
      <c r="J30" s="5" t="n">
        <v>0</v>
      </c>
      <c r="K30" s="5" t="n">
        <f aca="false">MIN(5,MAX(G30+I30,J30))</f>
        <v>2</v>
      </c>
      <c r="L30" s="5" t="n">
        <f aca="false">F30*K30</f>
        <v>8</v>
      </c>
      <c r="M30" s="3" t="s">
        <v>119</v>
      </c>
      <c r="N30" s="3" t="s">
        <v>120</v>
      </c>
      <c r="O30" s="3" t="s">
        <v>22</v>
      </c>
      <c r="P30" s="2" t="s">
        <v>23</v>
      </c>
    </row>
    <row r="31" customFormat="false" ht="35.05" hidden="false" customHeight="false" outlineLevel="0" collapsed="false">
      <c r="A31" s="2" t="n">
        <v>30</v>
      </c>
      <c r="B31" s="2"/>
      <c r="C31" s="2" t="s">
        <v>121</v>
      </c>
      <c r="D31" s="2" t="s">
        <v>66</v>
      </c>
      <c r="E31" s="3" t="s">
        <v>18</v>
      </c>
      <c r="F31" s="2" t="n">
        <v>4</v>
      </c>
      <c r="G31" s="4" t="n">
        <v>2</v>
      </c>
      <c r="H31" s="4" t="s">
        <v>19</v>
      </c>
      <c r="I31" s="5" t="n">
        <v>0</v>
      </c>
      <c r="J31" s="5" t="n">
        <v>0</v>
      </c>
      <c r="K31" s="5" t="n">
        <f aca="false">MIN(5,MAX(G31+I31,J31))</f>
        <v>2</v>
      </c>
      <c r="L31" s="5" t="n">
        <f aca="false">F31*K31</f>
        <v>8</v>
      </c>
      <c r="M31" s="3" t="s">
        <v>122</v>
      </c>
      <c r="N31" s="3" t="s">
        <v>123</v>
      </c>
      <c r="O31" s="3" t="s">
        <v>22</v>
      </c>
      <c r="P31" s="2" t="s">
        <v>23</v>
      </c>
    </row>
    <row r="32" customFormat="false" ht="57.45" hidden="false" customHeight="false" outlineLevel="0" collapsed="false">
      <c r="A32" s="2" t="n">
        <v>31</v>
      </c>
      <c r="B32" s="2"/>
      <c r="C32" s="2" t="s">
        <v>124</v>
      </c>
      <c r="D32" s="2" t="s">
        <v>66</v>
      </c>
      <c r="E32" s="3" t="s">
        <v>18</v>
      </c>
      <c r="F32" s="2" t="n">
        <v>4</v>
      </c>
      <c r="G32" s="4" t="n">
        <v>2</v>
      </c>
      <c r="H32" s="4" t="s">
        <v>19</v>
      </c>
      <c r="I32" s="5" t="n">
        <v>0</v>
      </c>
      <c r="J32" s="5" t="n">
        <v>0</v>
      </c>
      <c r="K32" s="5" t="n">
        <f aca="false">MIN(5,MAX(G32+I32,J32))</f>
        <v>2</v>
      </c>
      <c r="L32" s="5" t="n">
        <f aca="false">F32*K32</f>
        <v>8</v>
      </c>
      <c r="M32" s="3" t="s">
        <v>125</v>
      </c>
      <c r="N32" s="3" t="s">
        <v>126</v>
      </c>
      <c r="O32" s="3" t="s">
        <v>127</v>
      </c>
      <c r="P32" s="2" t="s">
        <v>29</v>
      </c>
    </row>
    <row r="33" customFormat="false" ht="46.25" hidden="false" customHeight="false" outlineLevel="0" collapsed="false">
      <c r="A33" s="2" t="n">
        <v>32</v>
      </c>
      <c r="B33" s="2"/>
      <c r="C33" s="2" t="s">
        <v>128</v>
      </c>
      <c r="D33" s="2" t="s">
        <v>66</v>
      </c>
      <c r="E33" s="3" t="s">
        <v>18</v>
      </c>
      <c r="F33" s="2" t="n">
        <v>4</v>
      </c>
      <c r="G33" s="6" t="n">
        <v>3</v>
      </c>
      <c r="H33" s="6" t="s">
        <v>25</v>
      </c>
      <c r="I33" s="5" t="n">
        <v>0</v>
      </c>
      <c r="J33" s="5" t="n">
        <v>0</v>
      </c>
      <c r="K33" s="5" t="n">
        <f aca="false">MIN(5,MAX(G33+I33,J33))</f>
        <v>3</v>
      </c>
      <c r="L33" s="5" t="n">
        <f aca="false">F33*K33</f>
        <v>12</v>
      </c>
      <c r="M33" s="3" t="s">
        <v>129</v>
      </c>
      <c r="N33" s="3" t="s">
        <v>130</v>
      </c>
      <c r="O33" s="3" t="s">
        <v>131</v>
      </c>
      <c r="P33" s="2" t="s">
        <v>29</v>
      </c>
    </row>
    <row r="34" customFormat="false" ht="46.25" hidden="false" customHeight="false" outlineLevel="0" collapsed="false">
      <c r="A34" s="2" t="n">
        <v>33</v>
      </c>
      <c r="B34" s="2"/>
      <c r="C34" s="2" t="s">
        <v>132</v>
      </c>
      <c r="D34" s="2" t="s">
        <v>66</v>
      </c>
      <c r="E34" s="3" t="s">
        <v>18</v>
      </c>
      <c r="F34" s="2" t="n">
        <v>4</v>
      </c>
      <c r="G34" s="6" t="n">
        <v>3</v>
      </c>
      <c r="H34" s="6" t="s">
        <v>25</v>
      </c>
      <c r="I34" s="5" t="n">
        <v>0</v>
      </c>
      <c r="J34" s="5" t="n">
        <v>0</v>
      </c>
      <c r="K34" s="5" t="n">
        <f aca="false">MIN(5,MAX(G34+I34,J34))</f>
        <v>3</v>
      </c>
      <c r="L34" s="5" t="n">
        <f aca="false">F34*K34</f>
        <v>12</v>
      </c>
      <c r="M34" s="3" t="s">
        <v>133</v>
      </c>
      <c r="N34" s="3" t="s">
        <v>134</v>
      </c>
      <c r="O34" s="3" t="s">
        <v>57</v>
      </c>
      <c r="P34" s="2" t="s">
        <v>29</v>
      </c>
    </row>
    <row r="35" customFormat="false" ht="46.25" hidden="false" customHeight="false" outlineLevel="0" collapsed="false">
      <c r="A35" s="2" t="n">
        <v>34</v>
      </c>
      <c r="B35" s="2"/>
      <c r="C35" s="2" t="s">
        <v>135</v>
      </c>
      <c r="D35" s="2" t="s">
        <v>66</v>
      </c>
      <c r="E35" s="3" t="s">
        <v>18</v>
      </c>
      <c r="F35" s="2" t="n">
        <v>4</v>
      </c>
      <c r="G35" s="4" t="n">
        <v>2</v>
      </c>
      <c r="H35" s="4" t="s">
        <v>19</v>
      </c>
      <c r="I35" s="5" t="n">
        <v>0</v>
      </c>
      <c r="J35" s="5" t="n">
        <v>0</v>
      </c>
      <c r="K35" s="5" t="n">
        <f aca="false">MIN(5,MAX(G35+I35,J35))</f>
        <v>2</v>
      </c>
      <c r="L35" s="5" t="n">
        <f aca="false">F35*K35</f>
        <v>8</v>
      </c>
      <c r="M35" s="3" t="s">
        <v>136</v>
      </c>
      <c r="N35" s="3" t="s">
        <v>137</v>
      </c>
      <c r="O35" s="3" t="s">
        <v>127</v>
      </c>
      <c r="P35" s="2" t="s">
        <v>29</v>
      </c>
    </row>
    <row r="36" customFormat="false" ht="46.25" hidden="false" customHeight="false" outlineLevel="0" collapsed="false">
      <c r="A36" s="2" t="n">
        <v>35</v>
      </c>
      <c r="B36" s="2"/>
      <c r="C36" s="2" t="s">
        <v>138</v>
      </c>
      <c r="D36" s="2" t="s">
        <v>66</v>
      </c>
      <c r="E36" s="3" t="s">
        <v>18</v>
      </c>
      <c r="F36" s="2" t="n">
        <v>4</v>
      </c>
      <c r="G36" s="6" t="n">
        <v>3</v>
      </c>
      <c r="H36" s="6" t="s">
        <v>25</v>
      </c>
      <c r="I36" s="5" t="n">
        <v>0</v>
      </c>
      <c r="J36" s="5" t="n">
        <v>0</v>
      </c>
      <c r="K36" s="5" t="n">
        <f aca="false">MIN(5,MAX(G36+I36,J36))</f>
        <v>3</v>
      </c>
      <c r="L36" s="5" t="n">
        <f aca="false">F36*K36</f>
        <v>12</v>
      </c>
      <c r="M36" s="3" t="s">
        <v>139</v>
      </c>
      <c r="N36" s="3" t="s">
        <v>140</v>
      </c>
      <c r="O36" s="3" t="s">
        <v>28</v>
      </c>
      <c r="P36" s="2" t="s">
        <v>29</v>
      </c>
    </row>
    <row r="37" customFormat="false" ht="46.25" hidden="false" customHeight="false" outlineLevel="0" collapsed="false">
      <c r="A37" s="2" t="n">
        <v>36</v>
      </c>
      <c r="B37" s="2"/>
      <c r="C37" s="2" t="s">
        <v>141</v>
      </c>
      <c r="D37" s="2" t="s">
        <v>66</v>
      </c>
      <c r="E37" s="3" t="s">
        <v>18</v>
      </c>
      <c r="F37" s="2" t="n">
        <v>4</v>
      </c>
      <c r="G37" s="4" t="n">
        <v>2</v>
      </c>
      <c r="H37" s="4" t="s">
        <v>19</v>
      </c>
      <c r="I37" s="5" t="n">
        <v>0</v>
      </c>
      <c r="J37" s="5" t="n">
        <v>0</v>
      </c>
      <c r="K37" s="5" t="n">
        <f aca="false">MIN(5,MAX(G37+I37,J37))</f>
        <v>2</v>
      </c>
      <c r="L37" s="5" t="n">
        <f aca="false">F37*K37</f>
        <v>8</v>
      </c>
      <c r="M37" s="3" t="s">
        <v>142</v>
      </c>
      <c r="N37" s="3" t="s">
        <v>143</v>
      </c>
      <c r="O37" s="3" t="s">
        <v>22</v>
      </c>
      <c r="P37" s="2" t="s">
        <v>23</v>
      </c>
    </row>
    <row r="38" customFormat="false" ht="35.05" hidden="false" customHeight="false" outlineLevel="0" collapsed="false">
      <c r="A38" s="2" t="n">
        <v>37</v>
      </c>
      <c r="B38" s="2"/>
      <c r="C38" s="2" t="s">
        <v>144</v>
      </c>
      <c r="D38" s="2" t="s">
        <v>66</v>
      </c>
      <c r="E38" s="3" t="s">
        <v>18</v>
      </c>
      <c r="F38" s="2" t="n">
        <v>4</v>
      </c>
      <c r="G38" s="4" t="n">
        <v>2</v>
      </c>
      <c r="H38" s="4" t="s">
        <v>19</v>
      </c>
      <c r="I38" s="5" t="n">
        <v>0</v>
      </c>
      <c r="J38" s="5" t="n">
        <v>0</v>
      </c>
      <c r="K38" s="5" t="n">
        <f aca="false">MIN(5,MAX(G38+I38,J38))</f>
        <v>2</v>
      </c>
      <c r="L38" s="5" t="n">
        <f aca="false">F38*K38</f>
        <v>8</v>
      </c>
      <c r="M38" s="3" t="s">
        <v>145</v>
      </c>
      <c r="N38" s="3" t="s">
        <v>146</v>
      </c>
      <c r="O38" s="3" t="s">
        <v>127</v>
      </c>
      <c r="P38" s="2" t="s">
        <v>29</v>
      </c>
    </row>
    <row r="39" customFormat="false" ht="57.45" hidden="false" customHeight="false" outlineLevel="0" collapsed="false">
      <c r="A39" s="2" t="n">
        <v>38</v>
      </c>
      <c r="B39" s="2"/>
      <c r="C39" s="2" t="s">
        <v>147</v>
      </c>
      <c r="D39" s="2" t="s">
        <v>66</v>
      </c>
      <c r="E39" s="3" t="s">
        <v>18</v>
      </c>
      <c r="F39" s="2" t="n">
        <v>4</v>
      </c>
      <c r="G39" s="6" t="n">
        <v>3</v>
      </c>
      <c r="H39" s="6" t="s">
        <v>25</v>
      </c>
      <c r="I39" s="5" t="n">
        <v>0</v>
      </c>
      <c r="J39" s="5" t="n">
        <v>0</v>
      </c>
      <c r="K39" s="5" t="n">
        <f aca="false">MIN(5,MAX(G39+I39,J39))</f>
        <v>3</v>
      </c>
      <c r="L39" s="5" t="n">
        <f aca="false">F39*K39</f>
        <v>12</v>
      </c>
      <c r="M39" s="3" t="s">
        <v>148</v>
      </c>
      <c r="N39" s="3" t="s">
        <v>149</v>
      </c>
      <c r="O39" s="3" t="s">
        <v>57</v>
      </c>
      <c r="P39" s="2" t="s">
        <v>29</v>
      </c>
    </row>
    <row r="40" customFormat="false" ht="46.25" hidden="false" customHeight="false" outlineLevel="0" collapsed="false">
      <c r="A40" s="2" t="n">
        <v>39</v>
      </c>
      <c r="B40" s="2"/>
      <c r="C40" s="2" t="s">
        <v>150</v>
      </c>
      <c r="D40" s="2" t="s">
        <v>66</v>
      </c>
      <c r="E40" s="3" t="s">
        <v>18</v>
      </c>
      <c r="F40" s="2" t="n">
        <v>4</v>
      </c>
      <c r="G40" s="6" t="n">
        <v>3</v>
      </c>
      <c r="H40" s="6" t="s">
        <v>25</v>
      </c>
      <c r="I40" s="5" t="n">
        <v>0</v>
      </c>
      <c r="J40" s="5" t="n">
        <v>0</v>
      </c>
      <c r="K40" s="5" t="n">
        <f aca="false">MIN(5,MAX(G40+I40,J40))</f>
        <v>3</v>
      </c>
      <c r="L40" s="5" t="n">
        <f aca="false">F40*K40</f>
        <v>12</v>
      </c>
      <c r="M40" s="3" t="s">
        <v>151</v>
      </c>
      <c r="N40" s="3" t="s">
        <v>152</v>
      </c>
      <c r="O40" s="3" t="s">
        <v>28</v>
      </c>
      <c r="P40" s="2" t="s">
        <v>29</v>
      </c>
    </row>
    <row r="41" customFormat="false" ht="35.05" hidden="false" customHeight="false" outlineLevel="0" collapsed="false">
      <c r="A41" s="2" t="n">
        <v>40</v>
      </c>
      <c r="B41" s="2"/>
      <c r="C41" s="2" t="s">
        <v>153</v>
      </c>
      <c r="D41" s="2" t="s">
        <v>66</v>
      </c>
      <c r="E41" s="3" t="s">
        <v>18</v>
      </c>
      <c r="F41" s="2" t="n">
        <v>4</v>
      </c>
      <c r="G41" s="4" t="n">
        <v>2</v>
      </c>
      <c r="H41" s="4" t="s">
        <v>19</v>
      </c>
      <c r="I41" s="5" t="n">
        <v>0</v>
      </c>
      <c r="J41" s="5" t="n">
        <v>0</v>
      </c>
      <c r="K41" s="5" t="n">
        <f aca="false">MIN(5,MAX(G41+I41,J41))</f>
        <v>2</v>
      </c>
      <c r="L41" s="5" t="n">
        <f aca="false">F41*K41</f>
        <v>8</v>
      </c>
      <c r="M41" s="3" t="s">
        <v>154</v>
      </c>
      <c r="N41" s="3" t="s">
        <v>155</v>
      </c>
      <c r="O41" s="3" t="s">
        <v>40</v>
      </c>
      <c r="P41" s="2" t="s">
        <v>29</v>
      </c>
    </row>
    <row r="42" customFormat="false" ht="46.25" hidden="false" customHeight="false" outlineLevel="0" collapsed="false">
      <c r="A42" s="2" t="n">
        <v>41</v>
      </c>
      <c r="B42" s="2"/>
      <c r="C42" s="2" t="s">
        <v>156</v>
      </c>
      <c r="D42" s="2" t="s">
        <v>66</v>
      </c>
      <c r="E42" s="3" t="s">
        <v>18</v>
      </c>
      <c r="F42" s="2" t="n">
        <v>4</v>
      </c>
      <c r="G42" s="6" t="n">
        <v>3</v>
      </c>
      <c r="H42" s="6" t="s">
        <v>25</v>
      </c>
      <c r="I42" s="5" t="n">
        <v>0</v>
      </c>
      <c r="J42" s="5" t="n">
        <v>0</v>
      </c>
      <c r="K42" s="5" t="n">
        <f aca="false">MIN(5,MAX(G42+I42,J42))</f>
        <v>3</v>
      </c>
      <c r="L42" s="5" t="n">
        <f aca="false">F42*K42</f>
        <v>12</v>
      </c>
      <c r="M42" s="3" t="s">
        <v>157</v>
      </c>
      <c r="N42" s="3" t="s">
        <v>158</v>
      </c>
      <c r="O42" s="3" t="s">
        <v>101</v>
      </c>
      <c r="P42" s="2" t="s">
        <v>29</v>
      </c>
    </row>
    <row r="43" customFormat="false" ht="46.25" hidden="false" customHeight="false" outlineLevel="0" collapsed="false">
      <c r="A43" s="2" t="n">
        <v>42</v>
      </c>
      <c r="B43" s="2"/>
      <c r="C43" s="2" t="s">
        <v>159</v>
      </c>
      <c r="D43" s="2" t="s">
        <v>66</v>
      </c>
      <c r="E43" s="3" t="s">
        <v>18</v>
      </c>
      <c r="F43" s="2" t="n">
        <v>4</v>
      </c>
      <c r="G43" s="4" t="n">
        <v>2</v>
      </c>
      <c r="H43" s="4" t="s">
        <v>19</v>
      </c>
      <c r="I43" s="5" t="n">
        <v>0</v>
      </c>
      <c r="J43" s="5" t="n">
        <v>0</v>
      </c>
      <c r="K43" s="5" t="n">
        <f aca="false">MIN(5,MAX(G43+I43,J43))</f>
        <v>2</v>
      </c>
      <c r="L43" s="5" t="n">
        <f aca="false">F43*K43</f>
        <v>8</v>
      </c>
      <c r="M43" s="3" t="s">
        <v>160</v>
      </c>
      <c r="N43" s="3" t="s">
        <v>161</v>
      </c>
      <c r="O43" s="3" t="s">
        <v>162</v>
      </c>
      <c r="P43" s="2" t="s">
        <v>29</v>
      </c>
    </row>
    <row r="44" customFormat="false" ht="46.25" hidden="false" customHeight="false" outlineLevel="0" collapsed="false">
      <c r="A44" s="2" t="n">
        <v>43</v>
      </c>
      <c r="B44" s="2"/>
      <c r="C44" s="2" t="s">
        <v>163</v>
      </c>
      <c r="D44" s="2" t="s">
        <v>66</v>
      </c>
      <c r="E44" s="3" t="s">
        <v>18</v>
      </c>
      <c r="F44" s="2" t="n">
        <v>4</v>
      </c>
      <c r="G44" s="4" t="n">
        <v>2</v>
      </c>
      <c r="H44" s="4" t="s">
        <v>19</v>
      </c>
      <c r="I44" s="5" t="n">
        <v>0</v>
      </c>
      <c r="J44" s="5" t="n">
        <v>0</v>
      </c>
      <c r="K44" s="5" t="n">
        <f aca="false">MIN(5,MAX(G44+I44,J44))</f>
        <v>2</v>
      </c>
      <c r="L44" s="5" t="n">
        <f aca="false">F44*K44</f>
        <v>8</v>
      </c>
      <c r="M44" s="3" t="s">
        <v>164</v>
      </c>
      <c r="N44" s="3" t="s">
        <v>165</v>
      </c>
      <c r="O44" s="3" t="s">
        <v>22</v>
      </c>
      <c r="P44" s="2" t="s">
        <v>29</v>
      </c>
    </row>
    <row r="45" customFormat="false" ht="23.85" hidden="false" customHeight="false" outlineLevel="0" collapsed="false">
      <c r="A45" s="2" t="n">
        <v>44</v>
      </c>
      <c r="B45" s="2"/>
      <c r="C45" s="2" t="s">
        <v>166</v>
      </c>
      <c r="D45" s="2" t="s">
        <v>66</v>
      </c>
      <c r="E45" s="3" t="s">
        <v>18</v>
      </c>
      <c r="F45" s="2" t="n">
        <v>4</v>
      </c>
      <c r="G45" s="4" t="n">
        <v>2</v>
      </c>
      <c r="H45" s="4" t="s">
        <v>19</v>
      </c>
      <c r="I45" s="5" t="n">
        <v>0</v>
      </c>
      <c r="J45" s="5" t="n">
        <v>0</v>
      </c>
      <c r="K45" s="5" t="n">
        <f aca="false">MIN(5,MAX(G45+I45,J45))</f>
        <v>2</v>
      </c>
      <c r="L45" s="5" t="n">
        <f aca="false">F45*K45</f>
        <v>8</v>
      </c>
      <c r="M45" s="3" t="s">
        <v>167</v>
      </c>
      <c r="N45" s="3" t="s">
        <v>168</v>
      </c>
      <c r="O45" s="3" t="s">
        <v>22</v>
      </c>
      <c r="P45" s="2" t="s">
        <v>23</v>
      </c>
    </row>
    <row r="46" customFormat="false" ht="57.45" hidden="false" customHeight="false" outlineLevel="0" collapsed="false">
      <c r="A46" s="2" t="n">
        <v>45</v>
      </c>
      <c r="B46" s="2"/>
      <c r="C46" s="2" t="s">
        <v>169</v>
      </c>
      <c r="D46" s="2" t="s">
        <v>66</v>
      </c>
      <c r="E46" s="3" t="s">
        <v>18</v>
      </c>
      <c r="F46" s="2" t="n">
        <v>4</v>
      </c>
      <c r="G46" s="6" t="n">
        <v>3</v>
      </c>
      <c r="H46" s="6" t="s">
        <v>25</v>
      </c>
      <c r="I46" s="5" t="n">
        <v>0</v>
      </c>
      <c r="J46" s="5" t="n">
        <v>0</v>
      </c>
      <c r="K46" s="5" t="n">
        <f aca="false">MIN(5,MAX(G46+I46,J46))</f>
        <v>3</v>
      </c>
      <c r="L46" s="5" t="n">
        <f aca="false">F46*K46</f>
        <v>12</v>
      </c>
      <c r="M46" s="3" t="s">
        <v>170</v>
      </c>
      <c r="N46" s="3" t="s">
        <v>171</v>
      </c>
      <c r="O46" s="3" t="s">
        <v>101</v>
      </c>
      <c r="P46" s="2" t="s">
        <v>29</v>
      </c>
    </row>
    <row r="47" customFormat="false" ht="57.45" hidden="false" customHeight="false" outlineLevel="0" collapsed="false">
      <c r="A47" s="2" t="n">
        <v>46</v>
      </c>
      <c r="B47" s="2"/>
      <c r="C47" s="2" t="s">
        <v>172</v>
      </c>
      <c r="D47" s="2" t="s">
        <v>66</v>
      </c>
      <c r="E47" s="3" t="s">
        <v>18</v>
      </c>
      <c r="F47" s="2" t="n">
        <v>4</v>
      </c>
      <c r="G47" s="6" t="n">
        <v>3</v>
      </c>
      <c r="H47" s="6" t="s">
        <v>25</v>
      </c>
      <c r="I47" s="5" t="n">
        <v>0</v>
      </c>
      <c r="J47" s="5" t="n">
        <v>0</v>
      </c>
      <c r="K47" s="5" t="n">
        <f aca="false">MIN(5,MAX(G47+I47,J47))</f>
        <v>3</v>
      </c>
      <c r="L47" s="5" t="n">
        <f aca="false">F47*K47</f>
        <v>12</v>
      </c>
      <c r="M47" s="3" t="s">
        <v>173</v>
      </c>
      <c r="N47" s="3" t="s">
        <v>174</v>
      </c>
      <c r="O47" s="3" t="s">
        <v>101</v>
      </c>
      <c r="P47" s="2" t="s">
        <v>29</v>
      </c>
    </row>
    <row r="48" customFormat="false" ht="35.05" hidden="false" customHeight="false" outlineLevel="0" collapsed="false">
      <c r="A48" s="2" t="n">
        <v>47</v>
      </c>
      <c r="B48" s="2"/>
      <c r="C48" s="2" t="s">
        <v>175</v>
      </c>
      <c r="D48" s="2" t="s">
        <v>66</v>
      </c>
      <c r="E48" s="3" t="s">
        <v>18</v>
      </c>
      <c r="F48" s="2" t="n">
        <v>4</v>
      </c>
      <c r="G48" s="4" t="n">
        <v>2</v>
      </c>
      <c r="H48" s="4" t="s">
        <v>19</v>
      </c>
      <c r="I48" s="5" t="n">
        <v>0</v>
      </c>
      <c r="J48" s="5" t="n">
        <v>0</v>
      </c>
      <c r="K48" s="5" t="n">
        <f aca="false">MIN(5,MAX(G48+I48,J48))</f>
        <v>2</v>
      </c>
      <c r="L48" s="5" t="n">
        <f aca="false">F48*K48</f>
        <v>8</v>
      </c>
      <c r="M48" s="3" t="s">
        <v>176</v>
      </c>
      <c r="N48" s="3" t="s">
        <v>177</v>
      </c>
      <c r="O48" s="3" t="s">
        <v>22</v>
      </c>
      <c r="P48" s="2" t="s">
        <v>23</v>
      </c>
    </row>
    <row r="49" customFormat="false" ht="35.05" hidden="false" customHeight="false" outlineLevel="0" collapsed="false">
      <c r="A49" s="2" t="n">
        <v>48</v>
      </c>
      <c r="B49" s="2"/>
      <c r="C49" s="2" t="s">
        <v>178</v>
      </c>
      <c r="D49" s="2" t="s">
        <v>66</v>
      </c>
      <c r="E49" s="3" t="s">
        <v>18</v>
      </c>
      <c r="F49" s="2" t="n">
        <v>4</v>
      </c>
      <c r="G49" s="6" t="n">
        <v>3</v>
      </c>
      <c r="H49" s="6" t="s">
        <v>25</v>
      </c>
      <c r="I49" s="5" t="n">
        <v>0</v>
      </c>
      <c r="J49" s="5" t="n">
        <v>0</v>
      </c>
      <c r="K49" s="5" t="n">
        <f aca="false">MIN(5,MAX(G49+I49,J49))</f>
        <v>3</v>
      </c>
      <c r="L49" s="5" t="n">
        <f aca="false">F49*K49</f>
        <v>12</v>
      </c>
      <c r="M49" s="3" t="s">
        <v>179</v>
      </c>
      <c r="N49" s="3" t="s">
        <v>180</v>
      </c>
      <c r="O49" s="3" t="s">
        <v>101</v>
      </c>
      <c r="P49" s="2" t="s">
        <v>29</v>
      </c>
    </row>
    <row r="50" customFormat="false" ht="35.05" hidden="false" customHeight="false" outlineLevel="0" collapsed="false">
      <c r="A50" s="2" t="n">
        <v>49</v>
      </c>
      <c r="B50" s="2"/>
      <c r="C50" s="2" t="s">
        <v>181</v>
      </c>
      <c r="D50" s="2" t="s">
        <v>66</v>
      </c>
      <c r="E50" s="3" t="s">
        <v>18</v>
      </c>
      <c r="F50" s="2" t="n">
        <v>4</v>
      </c>
      <c r="G50" s="4" t="n">
        <v>2</v>
      </c>
      <c r="H50" s="4" t="s">
        <v>19</v>
      </c>
      <c r="I50" s="5" t="n">
        <v>0</v>
      </c>
      <c r="J50" s="5" t="n">
        <v>0</v>
      </c>
      <c r="K50" s="5" t="n">
        <f aca="false">MIN(5,MAX(G50+I50,J50))</f>
        <v>2</v>
      </c>
      <c r="L50" s="5" t="n">
        <f aca="false">F50*K50</f>
        <v>8</v>
      </c>
      <c r="M50" s="3" t="s">
        <v>182</v>
      </c>
      <c r="N50" s="3" t="s">
        <v>183</v>
      </c>
      <c r="O50" s="3" t="s">
        <v>22</v>
      </c>
      <c r="P50" s="2" t="s">
        <v>23</v>
      </c>
    </row>
    <row r="51" customFormat="false" ht="46.25" hidden="false" customHeight="false" outlineLevel="0" collapsed="false">
      <c r="A51" s="2" t="n">
        <v>50</v>
      </c>
      <c r="B51" s="2"/>
      <c r="C51" s="2" t="s">
        <v>184</v>
      </c>
      <c r="D51" s="2" t="s">
        <v>66</v>
      </c>
      <c r="E51" s="3" t="s">
        <v>18</v>
      </c>
      <c r="F51" s="2" t="n">
        <v>4</v>
      </c>
      <c r="G51" s="6" t="n">
        <v>3</v>
      </c>
      <c r="H51" s="6" t="s">
        <v>25</v>
      </c>
      <c r="I51" s="5" t="n">
        <v>0</v>
      </c>
      <c r="J51" s="5" t="n">
        <v>0</v>
      </c>
      <c r="K51" s="5" t="n">
        <f aca="false">MIN(5,MAX(G51+I51,J51))</f>
        <v>3</v>
      </c>
      <c r="L51" s="5" t="n">
        <f aca="false">F51*K51</f>
        <v>12</v>
      </c>
      <c r="M51" s="3" t="s">
        <v>185</v>
      </c>
      <c r="N51" s="3" t="s">
        <v>186</v>
      </c>
      <c r="O51" s="3" t="s">
        <v>187</v>
      </c>
      <c r="P51" s="2" t="s">
        <v>29</v>
      </c>
    </row>
    <row r="52" customFormat="false" ht="46.25" hidden="false" customHeight="false" outlineLevel="0" collapsed="false">
      <c r="A52" s="2" t="n">
        <v>51</v>
      </c>
      <c r="B52" s="2"/>
      <c r="C52" s="2" t="s">
        <v>188</v>
      </c>
      <c r="D52" s="2" t="s">
        <v>66</v>
      </c>
      <c r="E52" s="3" t="s">
        <v>18</v>
      </c>
      <c r="F52" s="2" t="n">
        <v>4</v>
      </c>
      <c r="G52" s="6" t="n">
        <v>3</v>
      </c>
      <c r="H52" s="6" t="s">
        <v>25</v>
      </c>
      <c r="I52" s="5" t="n">
        <v>0</v>
      </c>
      <c r="J52" s="5" t="n">
        <v>0</v>
      </c>
      <c r="K52" s="5" t="n">
        <f aca="false">MIN(5,MAX(G52+I52,J52))</f>
        <v>3</v>
      </c>
      <c r="L52" s="5" t="n">
        <f aca="false">F52*K52</f>
        <v>12</v>
      </c>
      <c r="M52" s="3" t="s">
        <v>189</v>
      </c>
      <c r="N52" s="3" t="s">
        <v>190</v>
      </c>
      <c r="O52" s="3" t="s">
        <v>28</v>
      </c>
      <c r="P52" s="2" t="s">
        <v>29</v>
      </c>
    </row>
    <row r="53" customFormat="false" ht="46.25" hidden="false" customHeight="false" outlineLevel="0" collapsed="false">
      <c r="A53" s="2" t="n">
        <v>52</v>
      </c>
      <c r="B53" s="2"/>
      <c r="C53" s="2" t="s">
        <v>191</v>
      </c>
      <c r="D53" s="2" t="s">
        <v>66</v>
      </c>
      <c r="E53" s="3" t="s">
        <v>18</v>
      </c>
      <c r="F53" s="2" t="n">
        <v>4</v>
      </c>
      <c r="G53" s="6" t="n">
        <v>3</v>
      </c>
      <c r="H53" s="6" t="s">
        <v>25</v>
      </c>
      <c r="I53" s="5" t="n">
        <v>0</v>
      </c>
      <c r="J53" s="5" t="n">
        <v>0</v>
      </c>
      <c r="K53" s="5" t="n">
        <f aca="false">MIN(5,MAX(G53+I53,J53))</f>
        <v>3</v>
      </c>
      <c r="L53" s="5" t="n">
        <f aca="false">F53*K53</f>
        <v>12</v>
      </c>
      <c r="M53" s="3" t="s">
        <v>192</v>
      </c>
      <c r="N53" s="3" t="s">
        <v>193</v>
      </c>
      <c r="O53" s="3" t="s">
        <v>101</v>
      </c>
      <c r="P53" s="2" t="s">
        <v>29</v>
      </c>
    </row>
    <row r="54" customFormat="false" ht="35.05" hidden="false" customHeight="false" outlineLevel="0" collapsed="false">
      <c r="A54" s="2" t="n">
        <v>53</v>
      </c>
      <c r="B54" s="2"/>
      <c r="C54" s="2" t="s">
        <v>194</v>
      </c>
      <c r="D54" s="2" t="s">
        <v>66</v>
      </c>
      <c r="E54" s="3" t="s">
        <v>18</v>
      </c>
      <c r="F54" s="2" t="n">
        <v>4</v>
      </c>
      <c r="G54" s="4" t="n">
        <v>2</v>
      </c>
      <c r="H54" s="4" t="s">
        <v>19</v>
      </c>
      <c r="I54" s="5" t="n">
        <v>0</v>
      </c>
      <c r="J54" s="5" t="n">
        <v>0</v>
      </c>
      <c r="K54" s="5" t="n">
        <f aca="false">MIN(5,MAX(G54+I54,J54))</f>
        <v>2</v>
      </c>
      <c r="L54" s="5" t="n">
        <f aca="false">F54*K54</f>
        <v>8</v>
      </c>
      <c r="M54" s="3" t="s">
        <v>195</v>
      </c>
      <c r="N54" s="3" t="s">
        <v>196</v>
      </c>
      <c r="O54" s="3" t="s">
        <v>22</v>
      </c>
      <c r="P54" s="2" t="s">
        <v>23</v>
      </c>
    </row>
    <row r="55" customFormat="false" ht="35.05" hidden="false" customHeight="false" outlineLevel="0" collapsed="false">
      <c r="A55" s="2" t="n">
        <v>54</v>
      </c>
      <c r="B55" s="2"/>
      <c r="C55" s="2" t="s">
        <v>197</v>
      </c>
      <c r="D55" s="2" t="s">
        <v>66</v>
      </c>
      <c r="E55" s="3" t="s">
        <v>18</v>
      </c>
      <c r="F55" s="2" t="n">
        <v>4</v>
      </c>
      <c r="G55" s="4" t="n">
        <v>2</v>
      </c>
      <c r="H55" s="4" t="s">
        <v>19</v>
      </c>
      <c r="I55" s="5" t="n">
        <v>0</v>
      </c>
      <c r="J55" s="5" t="n">
        <v>0</v>
      </c>
      <c r="K55" s="5" t="n">
        <f aca="false">MIN(5,MAX(G55+I55,J55))</f>
        <v>2</v>
      </c>
      <c r="L55" s="5" t="n">
        <f aca="false">F55*K55</f>
        <v>8</v>
      </c>
      <c r="M55" s="3" t="s">
        <v>198</v>
      </c>
      <c r="N55" s="3" t="s">
        <v>199</v>
      </c>
      <c r="O55" s="3" t="s">
        <v>22</v>
      </c>
      <c r="P55" s="2" t="s">
        <v>23</v>
      </c>
    </row>
    <row r="56" customFormat="false" ht="35.05" hidden="false" customHeight="false" outlineLevel="0" collapsed="false">
      <c r="A56" s="2" t="n">
        <v>55</v>
      </c>
      <c r="B56" s="2"/>
      <c r="C56" s="2" t="s">
        <v>200</v>
      </c>
      <c r="D56" s="2" t="s">
        <v>66</v>
      </c>
      <c r="E56" s="3" t="s">
        <v>18</v>
      </c>
      <c r="F56" s="2" t="n">
        <v>4</v>
      </c>
      <c r="G56" s="4" t="n">
        <v>2</v>
      </c>
      <c r="H56" s="4" t="s">
        <v>19</v>
      </c>
      <c r="I56" s="5" t="n">
        <v>0</v>
      </c>
      <c r="J56" s="5" t="n">
        <v>0</v>
      </c>
      <c r="K56" s="5" t="n">
        <f aca="false">MIN(5,MAX(G56+I56,J56))</f>
        <v>2</v>
      </c>
      <c r="L56" s="5" t="n">
        <f aca="false">F56*K56</f>
        <v>8</v>
      </c>
      <c r="M56" s="3" t="s">
        <v>201</v>
      </c>
      <c r="N56" s="3" t="s">
        <v>202</v>
      </c>
      <c r="O56" s="3" t="s">
        <v>203</v>
      </c>
      <c r="P56" s="2" t="s">
        <v>29</v>
      </c>
    </row>
    <row r="57" customFormat="false" ht="35.05" hidden="false" customHeight="false" outlineLevel="0" collapsed="false">
      <c r="A57" s="2" t="n">
        <v>56</v>
      </c>
      <c r="B57" s="2"/>
      <c r="C57" s="2" t="s">
        <v>204</v>
      </c>
      <c r="D57" s="2" t="s">
        <v>66</v>
      </c>
      <c r="E57" s="3" t="s">
        <v>18</v>
      </c>
      <c r="F57" s="2" t="n">
        <v>4</v>
      </c>
      <c r="G57" s="4" t="n">
        <v>2</v>
      </c>
      <c r="H57" s="4" t="s">
        <v>19</v>
      </c>
      <c r="I57" s="5" t="n">
        <v>0</v>
      </c>
      <c r="J57" s="5" t="n">
        <v>0</v>
      </c>
      <c r="K57" s="5" t="n">
        <f aca="false">MIN(5,MAX(G57+I57,J57))</f>
        <v>2</v>
      </c>
      <c r="L57" s="5" t="n">
        <f aca="false">F57*K57</f>
        <v>8</v>
      </c>
      <c r="M57" s="3" t="s">
        <v>205</v>
      </c>
      <c r="N57" s="3" t="s">
        <v>206</v>
      </c>
      <c r="O57" s="3" t="s">
        <v>207</v>
      </c>
      <c r="P57" s="2" t="s">
        <v>29</v>
      </c>
    </row>
    <row r="58" customFormat="false" ht="46.25" hidden="false" customHeight="false" outlineLevel="0" collapsed="false">
      <c r="A58" s="2" t="n">
        <v>57</v>
      </c>
      <c r="B58" s="2"/>
      <c r="C58" s="2" t="s">
        <v>208</v>
      </c>
      <c r="D58" s="2" t="s">
        <v>66</v>
      </c>
      <c r="E58" s="3" t="s">
        <v>18</v>
      </c>
      <c r="F58" s="2" t="n">
        <v>4</v>
      </c>
      <c r="G58" s="6" t="n">
        <v>3</v>
      </c>
      <c r="H58" s="6" t="s">
        <v>25</v>
      </c>
      <c r="I58" s="5" t="n">
        <v>0</v>
      </c>
      <c r="J58" s="5" t="n">
        <v>0</v>
      </c>
      <c r="K58" s="5" t="n">
        <f aca="false">MIN(5,MAX(G58+I58,J58))</f>
        <v>3</v>
      </c>
      <c r="L58" s="5" t="n">
        <f aca="false">F58*K58</f>
        <v>12</v>
      </c>
      <c r="M58" s="3" t="s">
        <v>209</v>
      </c>
      <c r="N58" s="3" t="s">
        <v>210</v>
      </c>
      <c r="O58" s="3" t="s">
        <v>101</v>
      </c>
      <c r="P58" s="2" t="s">
        <v>29</v>
      </c>
    </row>
    <row r="59" customFormat="false" ht="35.05" hidden="false" customHeight="false" outlineLevel="0" collapsed="false">
      <c r="A59" s="2" t="n">
        <v>58</v>
      </c>
      <c r="B59" s="2"/>
      <c r="C59" s="2" t="s">
        <v>211</v>
      </c>
      <c r="D59" s="2" t="s">
        <v>66</v>
      </c>
      <c r="E59" s="3" t="s">
        <v>18</v>
      </c>
      <c r="F59" s="2" t="n">
        <v>4</v>
      </c>
      <c r="G59" s="4" t="n">
        <v>2</v>
      </c>
      <c r="H59" s="4" t="s">
        <v>19</v>
      </c>
      <c r="I59" s="5" t="n">
        <v>0</v>
      </c>
      <c r="J59" s="5" t="n">
        <v>0</v>
      </c>
      <c r="K59" s="5" t="n">
        <f aca="false">MIN(5,MAX(G59+I59,J59))</f>
        <v>2</v>
      </c>
      <c r="L59" s="5" t="n">
        <f aca="false">F59*K59</f>
        <v>8</v>
      </c>
      <c r="M59" s="3" t="s">
        <v>212</v>
      </c>
      <c r="N59" s="3" t="s">
        <v>213</v>
      </c>
      <c r="O59" s="3" t="s">
        <v>22</v>
      </c>
      <c r="P59" s="2" t="s">
        <v>23</v>
      </c>
    </row>
    <row r="60" customFormat="false" ht="46.25" hidden="false" customHeight="false" outlineLevel="0" collapsed="false">
      <c r="A60" s="2" t="n">
        <v>59</v>
      </c>
      <c r="B60" s="2"/>
      <c r="C60" s="2" t="s">
        <v>214</v>
      </c>
      <c r="D60" s="2" t="s">
        <v>66</v>
      </c>
      <c r="E60" s="3" t="s">
        <v>18</v>
      </c>
      <c r="F60" s="2" t="n">
        <v>4</v>
      </c>
      <c r="G60" s="6" t="n">
        <v>3</v>
      </c>
      <c r="H60" s="6" t="s">
        <v>25</v>
      </c>
      <c r="I60" s="5" t="n">
        <v>0</v>
      </c>
      <c r="J60" s="5" t="n">
        <v>0</v>
      </c>
      <c r="K60" s="5" t="n">
        <f aca="false">MIN(5,MAX(G60+I60,J60))</f>
        <v>3</v>
      </c>
      <c r="L60" s="5" t="n">
        <f aca="false">F60*K60</f>
        <v>12</v>
      </c>
      <c r="M60" s="3" t="s">
        <v>215</v>
      </c>
      <c r="N60" s="3" t="s">
        <v>216</v>
      </c>
      <c r="O60" s="3" t="s">
        <v>101</v>
      </c>
      <c r="P60" s="2" t="s">
        <v>29</v>
      </c>
    </row>
    <row r="61" customFormat="false" ht="46.25" hidden="false" customHeight="false" outlineLevel="0" collapsed="false">
      <c r="A61" s="2" t="n">
        <v>60</v>
      </c>
      <c r="B61" s="2"/>
      <c r="C61" s="2" t="s">
        <v>217</v>
      </c>
      <c r="D61" s="2" t="s">
        <v>66</v>
      </c>
      <c r="E61" s="3" t="s">
        <v>18</v>
      </c>
      <c r="F61" s="2" t="n">
        <v>4</v>
      </c>
      <c r="G61" s="4" t="n">
        <v>2</v>
      </c>
      <c r="H61" s="4" t="s">
        <v>19</v>
      </c>
      <c r="I61" s="5" t="n">
        <v>0</v>
      </c>
      <c r="J61" s="5" t="n">
        <v>0</v>
      </c>
      <c r="K61" s="5" t="n">
        <f aca="false">MIN(5,MAX(G61+I61,J61))</f>
        <v>2</v>
      </c>
      <c r="L61" s="5" t="n">
        <f aca="false">F61*K61</f>
        <v>8</v>
      </c>
      <c r="M61" s="3" t="s">
        <v>218</v>
      </c>
      <c r="N61" s="3" t="s">
        <v>219</v>
      </c>
      <c r="O61" s="3" t="s">
        <v>220</v>
      </c>
      <c r="P61" s="2" t="s">
        <v>29</v>
      </c>
    </row>
    <row r="62" customFormat="false" ht="35.05" hidden="false" customHeight="false" outlineLevel="0" collapsed="false">
      <c r="A62" s="2" t="n">
        <v>61</v>
      </c>
      <c r="B62" s="2"/>
      <c r="C62" s="2" t="s">
        <v>221</v>
      </c>
      <c r="D62" s="2" t="s">
        <v>66</v>
      </c>
      <c r="E62" s="3" t="s">
        <v>18</v>
      </c>
      <c r="F62" s="2" t="n">
        <v>4</v>
      </c>
      <c r="G62" s="6" t="n">
        <v>3</v>
      </c>
      <c r="H62" s="6" t="s">
        <v>25</v>
      </c>
      <c r="I62" s="5" t="n">
        <v>0</v>
      </c>
      <c r="J62" s="5" t="n">
        <v>0</v>
      </c>
      <c r="K62" s="5" t="n">
        <f aca="false">MIN(5,MAX(G62+I62,J62))</f>
        <v>3</v>
      </c>
      <c r="L62" s="5" t="n">
        <f aca="false">F62*K62</f>
        <v>12</v>
      </c>
      <c r="M62" s="3" t="s">
        <v>222</v>
      </c>
      <c r="N62" s="3" t="s">
        <v>223</v>
      </c>
      <c r="O62" s="3" t="s">
        <v>28</v>
      </c>
      <c r="P62" s="2" t="s">
        <v>29</v>
      </c>
    </row>
    <row r="63" customFormat="false" ht="57.45" hidden="false" customHeight="false" outlineLevel="0" collapsed="false">
      <c r="A63" s="2" t="n">
        <v>62</v>
      </c>
      <c r="B63" s="2"/>
      <c r="C63" s="2" t="s">
        <v>224</v>
      </c>
      <c r="D63" s="2" t="s">
        <v>66</v>
      </c>
      <c r="E63" s="3" t="s">
        <v>18</v>
      </c>
      <c r="F63" s="2" t="n">
        <v>4</v>
      </c>
      <c r="G63" s="6" t="n">
        <v>3</v>
      </c>
      <c r="H63" s="6" t="s">
        <v>25</v>
      </c>
      <c r="I63" s="5" t="n">
        <v>0</v>
      </c>
      <c r="J63" s="5" t="n">
        <v>0</v>
      </c>
      <c r="K63" s="5" t="n">
        <f aca="false">MIN(5,MAX(G63+I63,J63))</f>
        <v>3</v>
      </c>
      <c r="L63" s="5" t="n">
        <f aca="false">F63*K63</f>
        <v>12</v>
      </c>
      <c r="M63" s="3" t="s">
        <v>225</v>
      </c>
      <c r="N63" s="3" t="s">
        <v>226</v>
      </c>
      <c r="O63" s="3" t="s">
        <v>57</v>
      </c>
      <c r="P63" s="2" t="s">
        <v>29</v>
      </c>
    </row>
    <row r="64" customFormat="false" ht="46.25" hidden="false" customHeight="false" outlineLevel="0" collapsed="false">
      <c r="A64" s="2" t="n">
        <v>63</v>
      </c>
      <c r="B64" s="2"/>
      <c r="C64" s="2" t="s">
        <v>227</v>
      </c>
      <c r="D64" s="2" t="s">
        <v>66</v>
      </c>
      <c r="E64" s="3" t="s">
        <v>18</v>
      </c>
      <c r="F64" s="2" t="n">
        <v>4</v>
      </c>
      <c r="G64" s="4" t="n">
        <v>2</v>
      </c>
      <c r="H64" s="4" t="s">
        <v>19</v>
      </c>
      <c r="I64" s="5" t="n">
        <v>0</v>
      </c>
      <c r="J64" s="5" t="n">
        <v>0</v>
      </c>
      <c r="K64" s="5" t="n">
        <f aca="false">MIN(5,MAX(G64+I64,J64))</f>
        <v>2</v>
      </c>
      <c r="L64" s="5" t="n">
        <f aca="false">F64*K64</f>
        <v>8</v>
      </c>
      <c r="M64" s="3" t="s">
        <v>228</v>
      </c>
      <c r="N64" s="3" t="s">
        <v>229</v>
      </c>
      <c r="O64" s="3" t="s">
        <v>22</v>
      </c>
      <c r="P64" s="2" t="s">
        <v>23</v>
      </c>
    </row>
    <row r="65" customFormat="false" ht="35.05" hidden="false" customHeight="false" outlineLevel="0" collapsed="false">
      <c r="A65" s="2" t="n">
        <v>64</v>
      </c>
      <c r="B65" s="2"/>
      <c r="C65" s="2" t="s">
        <v>230</v>
      </c>
      <c r="D65" s="2" t="s">
        <v>66</v>
      </c>
      <c r="E65" s="3" t="s">
        <v>18</v>
      </c>
      <c r="F65" s="2" t="n">
        <v>4</v>
      </c>
      <c r="G65" s="4" t="n">
        <v>2</v>
      </c>
      <c r="H65" s="4" t="s">
        <v>19</v>
      </c>
      <c r="I65" s="5" t="n">
        <v>0</v>
      </c>
      <c r="J65" s="5" t="n">
        <v>0</v>
      </c>
      <c r="K65" s="5" t="n">
        <f aca="false">MIN(5,MAX(G65+I65,J65))</f>
        <v>2</v>
      </c>
      <c r="L65" s="5" t="n">
        <f aca="false">F65*K65</f>
        <v>8</v>
      </c>
      <c r="M65" s="3" t="s">
        <v>231</v>
      </c>
      <c r="N65" s="3" t="s">
        <v>232</v>
      </c>
      <c r="O65" s="3" t="s">
        <v>36</v>
      </c>
      <c r="P65" s="2" t="s">
        <v>23</v>
      </c>
    </row>
    <row r="66" customFormat="false" ht="46.25" hidden="false" customHeight="false" outlineLevel="0" collapsed="false">
      <c r="A66" s="2" t="n">
        <v>65</v>
      </c>
      <c r="B66" s="2"/>
      <c r="C66" s="2" t="s">
        <v>233</v>
      </c>
      <c r="D66" s="2" t="s">
        <v>66</v>
      </c>
      <c r="E66" s="3" t="s">
        <v>18</v>
      </c>
      <c r="F66" s="2" t="n">
        <v>4</v>
      </c>
      <c r="G66" s="6" t="n">
        <v>3</v>
      </c>
      <c r="H66" s="6" t="s">
        <v>25</v>
      </c>
      <c r="I66" s="5" t="n">
        <v>0</v>
      </c>
      <c r="J66" s="5" t="n">
        <v>0</v>
      </c>
      <c r="K66" s="5" t="n">
        <f aca="false">MIN(5,MAX(G66+I66,J66))</f>
        <v>3</v>
      </c>
      <c r="L66" s="5" t="n">
        <f aca="false">F66*K66</f>
        <v>12</v>
      </c>
      <c r="M66" s="3" t="s">
        <v>234</v>
      </c>
      <c r="N66" s="3" t="s">
        <v>235</v>
      </c>
      <c r="O66" s="3" t="s">
        <v>40</v>
      </c>
      <c r="P66" s="2" t="s">
        <v>29</v>
      </c>
    </row>
    <row r="67" customFormat="false" ht="46.25" hidden="false" customHeight="false" outlineLevel="0" collapsed="false">
      <c r="A67" s="2" t="n">
        <v>66</v>
      </c>
      <c r="B67" s="2"/>
      <c r="C67" s="2" t="s">
        <v>236</v>
      </c>
      <c r="D67" s="2" t="s">
        <v>66</v>
      </c>
      <c r="E67" s="3" t="s">
        <v>18</v>
      </c>
      <c r="F67" s="2" t="n">
        <v>4</v>
      </c>
      <c r="G67" s="4" t="n">
        <v>2</v>
      </c>
      <c r="H67" s="4" t="s">
        <v>19</v>
      </c>
      <c r="I67" s="5" t="n">
        <v>0</v>
      </c>
      <c r="J67" s="5" t="n">
        <v>0</v>
      </c>
      <c r="K67" s="5" t="n">
        <f aca="false">MIN(5,MAX(G67+I67,J67))</f>
        <v>2</v>
      </c>
      <c r="L67" s="5" t="n">
        <f aca="false">F67*K67</f>
        <v>8</v>
      </c>
      <c r="M67" s="3" t="s">
        <v>237</v>
      </c>
      <c r="N67" s="3" t="s">
        <v>238</v>
      </c>
      <c r="O67" s="3" t="s">
        <v>203</v>
      </c>
      <c r="P67" s="2" t="s">
        <v>29</v>
      </c>
    </row>
    <row r="69" customFormat="false" ht="15" hidden="false" customHeight="false" outlineLevel="0" collapsed="false">
      <c r="A69" s="7" t="s">
        <v>239</v>
      </c>
    </row>
  </sheetData>
  <autoFilter ref="A1:P6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1"/>
    <col collapsed="false" customWidth="true" hidden="false" outlineLevel="0" max="4" min="4" style="0" width="9"/>
    <col collapsed="false" customWidth="true" hidden="false" outlineLevel="0" max="5" min="5" style="0" width="11"/>
  </cols>
  <sheetData>
    <row r="1" customFormat="false" ht="16.15" hidden="false" customHeight="false" outlineLevel="0" collapsed="false">
      <c r="A1" s="8" t="s">
        <v>240</v>
      </c>
    </row>
    <row r="2" customFormat="false" ht="15" hidden="false" customHeight="false" outlineLevel="0" collapsed="false">
      <c r="A2" s="7" t="s">
        <v>241</v>
      </c>
    </row>
    <row r="4" customFormat="false" ht="15" hidden="false" customHeight="false" outlineLevel="0" collapsed="false">
      <c r="A4" s="1" t="s">
        <v>6</v>
      </c>
      <c r="B4" s="1" t="s">
        <v>242</v>
      </c>
      <c r="C4" s="1" t="s">
        <v>243</v>
      </c>
      <c r="D4" s="1" t="s">
        <v>5</v>
      </c>
      <c r="E4" s="1" t="s">
        <v>244</v>
      </c>
    </row>
    <row r="5" customFormat="false" ht="15" hidden="false" customHeight="false" outlineLevel="0" collapsed="false">
      <c r="A5" s="9" t="n">
        <v>0</v>
      </c>
      <c r="B5" s="9" t="s">
        <v>245</v>
      </c>
      <c r="C5" s="9" t="n">
        <f aca="false">COUNTIF(Evaluation!$G$2:$G$67,A5)</f>
        <v>0</v>
      </c>
      <c r="D5" s="9" t="n">
        <f aca="false">SUMIF(Evaluation!$G$2:$G$67,A5,Evaluation!$F$2:$F$67)</f>
        <v>0</v>
      </c>
      <c r="E5" s="10" t="n">
        <f aca="false">IF(SUM($D$5:$D$10)=0,0,D5/SUM($D$5:$D$10))</f>
        <v>0</v>
      </c>
    </row>
    <row r="6" customFormat="false" ht="15" hidden="false" customHeight="false" outlineLevel="0" collapsed="false">
      <c r="A6" s="11" t="n">
        <v>1</v>
      </c>
      <c r="B6" s="11" t="s">
        <v>246</v>
      </c>
      <c r="C6" s="11" t="n">
        <f aca="false">COUNTIF(Evaluation!$G$2:$G$67,A6)</f>
        <v>0</v>
      </c>
      <c r="D6" s="11" t="n">
        <f aca="false">SUMIF(Evaluation!$G$2:$G$67,A6,Evaluation!$F$2:$F$67)</f>
        <v>0</v>
      </c>
      <c r="E6" s="12" t="n">
        <f aca="false">IF(SUM($D$5:$D$10)=0,0,D6/SUM($D$5:$D$10))</f>
        <v>0</v>
      </c>
    </row>
    <row r="7" customFormat="false" ht="15" hidden="false" customHeight="false" outlineLevel="0" collapsed="false">
      <c r="A7" s="13" t="n">
        <v>2</v>
      </c>
      <c r="B7" s="13" t="s">
        <v>19</v>
      </c>
      <c r="C7" s="13" t="n">
        <f aca="false">COUNTIF(Evaluation!$G$2:$G$67,A7)</f>
        <v>33</v>
      </c>
      <c r="D7" s="13" t="n">
        <f aca="false">SUMIF(Evaluation!$G$2:$G$67,A7,Evaluation!$F$2:$F$67)</f>
        <v>127</v>
      </c>
      <c r="E7" s="14" t="n">
        <f aca="false">IF(SUM($D$5:$D$10)=0,0,D7/SUM($D$5:$D$10))</f>
        <v>0.503968253968254</v>
      </c>
    </row>
    <row r="8" customFormat="false" ht="15" hidden="false" customHeight="false" outlineLevel="0" collapsed="false">
      <c r="A8" s="15" t="n">
        <v>3</v>
      </c>
      <c r="B8" s="15" t="s">
        <v>25</v>
      </c>
      <c r="C8" s="15" t="n">
        <f aca="false">COUNTIF(Evaluation!$G$2:$G$67,A8)</f>
        <v>33</v>
      </c>
      <c r="D8" s="15" t="n">
        <f aca="false">SUMIF(Evaluation!$G$2:$G$67,A8,Evaluation!$F$2:$F$67)</f>
        <v>125</v>
      </c>
      <c r="E8" s="16" t="n">
        <f aca="false">IF(SUM($D$5:$D$10)=0,0,D8/SUM($D$5:$D$10))</f>
        <v>0.496031746031746</v>
      </c>
    </row>
    <row r="9" customFormat="false" ht="15" hidden="false" customHeight="false" outlineLevel="0" collapsed="false">
      <c r="A9" s="17" t="n">
        <v>4</v>
      </c>
      <c r="B9" s="17" t="s">
        <v>247</v>
      </c>
      <c r="C9" s="17" t="n">
        <f aca="false">COUNTIF(Evaluation!$G$2:$G$67,A9)</f>
        <v>0</v>
      </c>
      <c r="D9" s="17" t="n">
        <f aca="false">SUMIF(Evaluation!$G$2:$G$67,A9,Evaluation!$F$2:$F$67)</f>
        <v>0</v>
      </c>
      <c r="E9" s="18" t="n">
        <f aca="false">IF(SUM($D$5:$D$10)=0,0,D9/SUM($D$5:$D$10))</f>
        <v>0</v>
      </c>
    </row>
    <row r="10" customFormat="false" ht="15" hidden="false" customHeight="false" outlineLevel="0" collapsed="false">
      <c r="A10" s="19" t="n">
        <v>5</v>
      </c>
      <c r="B10" s="19" t="s">
        <v>248</v>
      </c>
      <c r="C10" s="19" t="n">
        <f aca="false">COUNTIF(Evaluation!$G$2:$G$67,A10)</f>
        <v>0</v>
      </c>
      <c r="D10" s="19" t="n">
        <f aca="false">SUMIF(Evaluation!$G$2:$G$67,A10,Evaluation!$F$2:$F$67)</f>
        <v>0</v>
      </c>
      <c r="E10" s="20" t="n">
        <f aca="false">IF(SUM($D$5:$D$10)=0,0,D10/SUM($D$5:$D$10))</f>
        <v>0</v>
      </c>
    </row>
    <row r="11" customFormat="false" ht="15" hidden="false" customHeight="false" outlineLevel="0" collapsed="false">
      <c r="A11" s="21" t="s">
        <v>249</v>
      </c>
      <c r="C11" s="21" t="n">
        <f aca="false">SUM(C5:C10)</f>
        <v>66</v>
      </c>
      <c r="D11" s="21" t="n">
        <f aca="false">SUM(D5:D10)</f>
        <v>252</v>
      </c>
    </row>
    <row r="13" customFormat="false" ht="46.25" hidden="false" customHeight="false" outlineLevel="0" collapsed="false">
      <c r="A13" s="1" t="s">
        <v>250</v>
      </c>
      <c r="B13" s="1" t="s">
        <v>251</v>
      </c>
      <c r="C13" s="1" t="s">
        <v>252</v>
      </c>
      <c r="D13" s="1" t="s">
        <v>5</v>
      </c>
      <c r="E13" s="1" t="s">
        <v>253</v>
      </c>
    </row>
    <row r="14" customFormat="false" ht="15" hidden="false" customHeight="false" outlineLevel="0" collapsed="false">
      <c r="A14" s="21" t="s">
        <v>254</v>
      </c>
      <c r="B14" s="22" t="n">
        <f aca="false">SUM(Evaluation!$L$2:$L$67)/SUM(Evaluation!$F$2:$F$67)</f>
        <v>2.49603174603175</v>
      </c>
      <c r="C14" s="22" t="n">
        <f aca="false">SUMPRODUCT(Evaluation!$F$2:$F$67,Evaluation!$G$2:$G$67)/SUM(Evaluation!$F$2:$F$67)</f>
        <v>2.49603174603175</v>
      </c>
      <c r="D14" s="21" t="n">
        <f aca="false">SUM(Evaluation!$F$2:$F$67)</f>
        <v>252</v>
      </c>
      <c r="E14" s="22" t="n">
        <f aca="false">AVERAGE(Evaluation!$G$2:$G$67)</f>
        <v>2.5</v>
      </c>
    </row>
    <row r="16" customFormat="false" ht="15" hidden="false" customHeight="false" outlineLevel="0" collapsed="false">
      <c r="A16" s="7" t="s">
        <v>255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5"/>
    <col collapsed="false" customWidth="true" hidden="false" outlineLevel="0" max="3" min="3" style="0" width="11"/>
    <col collapsed="false" customWidth="true" hidden="false" outlineLevel="0" max="5" min="4" style="0" width="13"/>
    <col collapsed="false" customWidth="true" hidden="false" outlineLevel="0" max="6" min="6" style="0" width="15"/>
  </cols>
  <sheetData>
    <row r="1" customFormat="false" ht="16.15" hidden="false" customHeight="false" outlineLevel="0" collapsed="false">
      <c r="A1" s="8" t="s">
        <v>256</v>
      </c>
    </row>
    <row r="3" customFormat="false" ht="23.85" hidden="false" customHeight="false" outlineLevel="0" collapsed="false">
      <c r="A3" s="1" t="s">
        <v>257</v>
      </c>
      <c r="B3" s="1" t="s">
        <v>258</v>
      </c>
      <c r="C3" s="1" t="s">
        <v>253</v>
      </c>
      <c r="D3" s="1" t="s">
        <v>259</v>
      </c>
      <c r="E3" s="1" t="s">
        <v>260</v>
      </c>
      <c r="F3" s="1" t="s">
        <v>261</v>
      </c>
    </row>
    <row r="4" customFormat="false" ht="15" hidden="false" customHeight="false" outlineLevel="0" collapsed="false">
      <c r="A4" s="23" t="n">
        <v>2021</v>
      </c>
      <c r="B4" s="24" t="n">
        <v>2.75833333333333</v>
      </c>
      <c r="C4" s="24" t="n">
        <v>2.89473684210526</v>
      </c>
      <c r="D4" s="23" t="n">
        <v>16</v>
      </c>
      <c r="E4" s="23" t="n">
        <v>34</v>
      </c>
      <c r="F4" s="23" t="n">
        <v>1</v>
      </c>
    </row>
    <row r="5" customFormat="false" ht="15" hidden="false" customHeight="false" outlineLevel="0" collapsed="false">
      <c r="A5" s="23" t="n">
        <v>2023</v>
      </c>
      <c r="B5" s="24" t="n">
        <v>3.19166666666667</v>
      </c>
      <c r="C5" s="24" t="n">
        <v>3.14705882352941</v>
      </c>
      <c r="D5" s="23" t="n">
        <v>13</v>
      </c>
      <c r="E5" s="23" t="n">
        <v>47</v>
      </c>
      <c r="F5" s="23" t="n">
        <v>5</v>
      </c>
    </row>
    <row r="6" customFormat="false" ht="15" hidden="false" customHeight="false" outlineLevel="0" collapsed="false">
      <c r="A6" s="23" t="n">
        <v>2024</v>
      </c>
      <c r="B6" s="24" t="n">
        <v>2.59166666666667</v>
      </c>
      <c r="C6" s="24" t="n">
        <v>2.55882352941176</v>
      </c>
      <c r="D6" s="23" t="n">
        <v>28</v>
      </c>
      <c r="E6" s="23" t="n">
        <v>40</v>
      </c>
      <c r="F6" s="23" t="n">
        <v>1</v>
      </c>
    </row>
    <row r="7" customFormat="false" ht="15" hidden="false" customHeight="false" outlineLevel="0" collapsed="false">
      <c r="A7" s="23" t="n">
        <v>2025</v>
      </c>
      <c r="B7" s="24" t="n">
        <v>3.20833333333333</v>
      </c>
      <c r="C7" s="24" t="n">
        <v>3.1875</v>
      </c>
      <c r="D7" s="23" t="n">
        <v>8</v>
      </c>
      <c r="E7" s="23" t="n">
        <v>65</v>
      </c>
      <c r="F7" s="23" t="n">
        <v>1</v>
      </c>
    </row>
    <row r="8" customFormat="false" ht="15" hidden="false" customHeight="false" outlineLevel="0" collapsed="false">
      <c r="A8" s="23" t="n">
        <v>2026</v>
      </c>
      <c r="B8" s="24" t="n">
        <v>3.025</v>
      </c>
      <c r="C8" s="24" t="n">
        <v>2.94117647058824</v>
      </c>
      <c r="D8" s="23" t="n">
        <v>6</v>
      </c>
      <c r="E8" s="23" t="n">
        <v>38</v>
      </c>
      <c r="F8" s="23" t="n">
        <v>2</v>
      </c>
    </row>
    <row r="9" customFormat="false" ht="15" hidden="false" customHeight="false" outlineLevel="0" collapsed="false">
      <c r="A9" s="21" t="s">
        <v>262</v>
      </c>
      <c r="B9" s="22" t="n">
        <f aca="false">Summary!B14</f>
        <v>2.49603174603175</v>
      </c>
      <c r="C9" s="22" t="n">
        <f aca="false">Summary!E14</f>
        <v>2.5</v>
      </c>
      <c r="D9" s="21" t="n">
        <f aca="false">Summary!D5+Summary!D6</f>
        <v>0</v>
      </c>
      <c r="E9" s="21" t="n">
        <f aca="false">Summary!D9+Summary!D10</f>
        <v>0</v>
      </c>
      <c r="F9" s="21" t="n">
        <f aca="false">Summary!C10</f>
        <v>0</v>
      </c>
    </row>
    <row r="11" customFormat="false" ht="15" hidden="false" customHeight="false" outlineLevel="0" collapsed="false">
      <c r="A11" s="7" t="s">
        <v>263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2026-10-20T02:57:42Z</dcterms:created>
  <dc:creator>openpyxl</dc:creator>
  <dc:description/>
  <dc:language>en-US</dc:language>
  <cp:lastModifiedBy/>
  <dcterms:modified xsi:type="dcterms:W3CDTF">2026-10-20T02:57:42Z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