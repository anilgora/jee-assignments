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valuation" sheetId="1" state="visible" r:id="rId3"/>
    <sheet name="Summary" sheetId="2" state="visible" r:id="rId4"/>
    <sheet name="Reference" sheetId="3" state="visible" r:id="rId5"/>
  </sheets>
  <definedNames>
    <definedName function="false" hidden="true" localSheetId="0" name="_xlnm._FilterDatabase" vbProcedure="false">Evaluation!$A$1:$P$51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<sst xmlns="http://schemas.openxmlformats.org/spreadsheetml/2006/main" count="447" uniqueCount="219">
  <si>
    <t xml:space="preserve">Sr No</t>
  </si>
  <si>
    <t xml:space="preserve">Paper</t>
  </si>
  <si>
    <t xml:space="preserve">Q Ref</t>
  </si>
  <si>
    <t xml:space="preserve">Type</t>
  </si>
  <si>
    <t xml:space="preserve">Chapter</t>
  </si>
  <si>
    <t xml:space="preserve">Marks</t>
  </si>
  <si>
    <t xml:space="preserve">Level</t>
  </si>
  <si>
    <t xml:space="preserve">Level Label</t>
  </si>
  <si>
    <t xml:space="preserve">Equiv. Rel. Adj</t>
  </si>
  <si>
    <t xml:space="preserve">MCQ Floor</t>
  </si>
  <si>
    <t xml:space="preserve">Adjusted Level</t>
  </si>
  <si>
    <t xml:space="preserve">Marks x Adj Level</t>
  </si>
  <si>
    <t xml:space="preserve">Key Step</t>
  </si>
  <si>
    <t xml:space="preserve">Justification</t>
  </si>
  <si>
    <t xml:space="preserve">Nearest Anchor</t>
  </si>
  <si>
    <t xml:space="preserve">Confidence</t>
  </si>
  <si>
    <t xml:space="preserve">Q01</t>
  </si>
  <si>
    <t xml:space="preserve">SCQ</t>
  </si>
  <si>
    <t xml:space="preserve">Permutations and Combinations</t>
  </si>
  <si>
    <t xml:space="preserve">Average Advanced</t>
  </si>
  <si>
    <t xml:space="preserve">Listing the partitions of 8 into parts at least 2 and applying the 1/k! correction pattern by pattern.</t>
  </si>
  <si>
    <t xml:space="preserve">Two ideas are linked: enumerating the size patterns and dividing only for equal unlabelled groups; missing a pattern or a factorial gives a listed distractor. Comparable to the bounded distribution count 2026-P1-Q11 (L3), and above a single-pattern division exercise (L1).</t>
  </si>
  <si>
    <t xml:space="preserve">2026-P1-Q11 (L3)</t>
  </si>
  <si>
    <t xml:space="preserve">Medium</t>
  </si>
  <si>
    <t xml:space="preserve">Q02</t>
  </si>
  <si>
    <t xml:space="preserve">Easier than Advanced</t>
  </si>
  <si>
    <t xml:space="preserve">Inclusion-exclusion over the five vowel-fixing events, giving the partial-derangement sum.</t>
  </si>
  <si>
    <t xml:space="preserve">A routine inclusion-exclusion with five terms; the only decision is that consonants are free. Above the one-step inclusion-exclusion 2021-P2-Q17 (L1) because of the full alternating sum and the D8 trap; level 2.</t>
  </si>
  <si>
    <t xml:space="preserve">2021-P2-Q17 (L1)</t>
  </si>
  <si>
    <t xml:space="preserve">High</t>
  </si>
  <si>
    <t xml:space="preserve">Q03</t>
  </si>
  <si>
    <t xml:space="preserve">Recognising that the sample space is the set of derangements and that the event leaves a derangement of the remaining four.</t>
  </si>
  <si>
    <t xml:space="preserve">Two ideas linked: the conditional sample space (derangements, not all permutations) and the reduction of the event to D4; the natural mistake 1/30 is an option. Comparable to the conditional probability 2024-P1-Q2 (L3).</t>
  </si>
  <si>
    <t xml:space="preserve">2024-P1-Q2 (L3)</t>
  </si>
  <si>
    <t xml:space="preserve">Q04</t>
  </si>
  <si>
    <t xml:space="preserve">Writing the empty slots as five gaps with lower bounds and applying stars and bars.</t>
  </si>
  <si>
    <t xml:space="preserve">A routine chain: gap variables, shift for lower bounds, stars and bars; no insight beyond the standard conversion. Level 2, like the routine counting 2021-P2-Q1 (L2).</t>
  </si>
  <si>
    <t xml:space="preserve">2021-P2-Q1 (L2)</t>
  </si>
  <si>
    <t xml:space="preserve">Q05</t>
  </si>
  <si>
    <t xml:space="preserve">Complementary counting of no-couple committees inside the set with at least two women, case by case on the number of women.</t>
  </si>
  <si>
    <t xml:space="preserve">Several cases each with a restricted choice of men, then a complement and a probability; two ideas linked with a natural slip (forgetting the four-women case). Comparable to 2023-P2-Q10 (L4) in kind but with options and small numbers; level 3 like 2024-P1-Q2 (L3).</t>
  </si>
  <si>
    <t xml:space="preserve">Q06</t>
  </si>
  <si>
    <t xml:space="preserve">Collapsing the weighted sum to C(n+3,7) and using the ratio C(n+3,7)/C(n+2,6) = (n+3)/7.</t>
  </si>
  <si>
    <t xml:space="preserve">A routine chain of standard binomial properties (symmetry, Vandermonde, the m/r ratio), with no hidden step. Above the single coefficient comparison 2023-P1-Q13 (L1); level 2.</t>
  </si>
  <si>
    <t xml:space="preserve">2023-P1-Q13 (L1)</t>
  </si>
  <si>
    <t xml:space="preserve">Q07</t>
  </si>
  <si>
    <t xml:space="preserve">Finding all collinear triples, in particular the midpoint-centre-opposite midpoint lines.</t>
  </si>
  <si>
    <t xml:space="preserve">Standard formula C(n,3) minus collinear triples, but the configuration has three families of collinear triples, one easy to miss; each distractor is a missed family. Comparable to the lattice-point triangle counting in 2023-P1-Q6 (L3).</t>
  </si>
  <si>
    <t xml:space="preserve">2023-P1-Q6 (L3)</t>
  </si>
  <si>
    <t xml:space="preserve">Q08</t>
  </si>
  <si>
    <t xml:space="preserve">Seeing that no path visits both (1,2) and (2,1), then applying three-set inclusion-exclusion with binomial path counts.</t>
  </si>
  <si>
    <t xml:space="preserve">Two ideas linked: path counting by binomials and inclusion-exclusion with an order argument for the empty intersection; arithmetic slips are punished by the options. Comparable to the bounded-count 2026-P1-Q11 (L3).</t>
  </si>
  <si>
    <t xml:space="preserve">Q09</t>
  </si>
  <si>
    <t xml:space="preserve">Choosing the consecutive fixed pair and deranging the other six numbers.</t>
  </si>
  <si>
    <t xml:space="preserve">Two standard steps (choose the fixed set, D6) with no insight; level 2 like the routine counting 2021-P2-Q1 (L2).</t>
  </si>
  <si>
    <t xml:space="preserve">Q10</t>
  </si>
  <si>
    <t xml:space="preserve">Numerical</t>
  </si>
  <si>
    <t xml:space="preserve">Writing k^2+3k+1 = (k+1)(k+2) - 1 so that each term is (k+2)! - k!.</t>
  </si>
  <si>
    <t xml:space="preserve">One non-obvious rewriting followed by a routine telescoping and bookkeeping of the end terms; numerical format adds a little. Level 2, like the routine chains 2024-P1-Q8 (L2) and 2025-P1-Q1 (L2).</t>
  </si>
  <si>
    <t xml:space="preserve">2025-P1-Q1 (L2)</t>
  </si>
  <si>
    <t xml:space="preserve">Q11</t>
  </si>
  <si>
    <t xml:space="preserve">Showing that each (2k)!/k! contains 2 exactly k times.</t>
  </si>
  <si>
    <t xml:space="preserve">One standard factorial identity (or Legendre's formula) followed by summing 1 to 10; routine, two steps. Level 2, like 2024-P1-Q8 (L2).</t>
  </si>
  <si>
    <t xml:space="preserve">2024-P1-Q8 (L2)</t>
  </si>
  <si>
    <t xml:space="preserve">Q12</t>
  </si>
  <si>
    <t xml:space="preserve">Applying Legendre's formula for 5 at n = 2026 and subtracting 506.5.</t>
  </si>
  <si>
    <t xml:space="preserve">A direct application of Legendre's formula with four terms and one subtraction; numerical format, no options. Level 2, like the routine computations 2024-P1-Q8 (L2).</t>
  </si>
  <si>
    <t xml:space="preserve">Q13</t>
  </si>
  <si>
    <t xml:space="preserve">Reducing divisibility by 11 to a + c = b + d and counting it as a sum of products of pair-sum counts with the leading-digit correction.</t>
  </si>
  <si>
    <t xml:space="preserve">Two ideas linked (the 11-test with a bounding argument, and a convolution count with a correction for the leading digit), with a numerical answer and no options. Comparable to the digit-counting 2023-P2-Q10 (L4) but simpler; level 3.</t>
  </si>
  <si>
    <t xml:space="preserve">2023-P2-Q10 (L4)</t>
  </si>
  <si>
    <t xml:space="preserve">Q14</t>
  </si>
  <si>
    <t xml:space="preserve">Counting how often each digit is the hundreds, tens and units digit of an increasing triple.</t>
  </si>
  <si>
    <t xml:space="preserve">The usual permutation-sum shortcut fails; the student must count by position with order statistics, a two-idea chain with a numerical answer. Level 3, comparable to 2026-P1-Q11 (L3).</t>
  </si>
  <si>
    <t xml:space="preserve">Q15</t>
  </si>
  <si>
    <t xml:space="preserve">Turning divisibility by 9 into 3-subsets with digit sum 9 or 18 and divisibility by 25 into the endings 25, 75.</t>
  </si>
  <si>
    <t xml:space="preserve">Two routine divisibility counts and a ratio; no insight. Level 2, like the routine digit counting in 2021-P2-Q1 (L2).</t>
  </si>
  <si>
    <t xml:space="preserve">Q16</t>
  </si>
  <si>
    <t xml:space="preserve">Summing k-digit numbers place by place and adding over k through a geometric progression of ratio 30.</t>
  </si>
  <si>
    <t xml:space="preserve">A two-stage computation (per-length digit sums, then a GP over lengths) with exact arithmetic and no options; routine ideas but a long chain. Level 3, comparable in length to the exact counting of 2026-P1-Q11 (L3).</t>
  </si>
  <si>
    <t xml:space="preserve">Q17</t>
  </si>
  <si>
    <t xml:space="preserve">Computing the rank of PEPPER among 60 words with repeated letters and converting it to p - q.</t>
  </si>
  <si>
    <t xml:space="preserve">A rank computation with repeated letters at several levels plus the total count; one slip in a block changes the answer and there are no options. Level 3; nearest in kind 2021-P2-Q1 (L2) but longer, with a numerical answer.</t>
  </si>
  <si>
    <t xml:space="preserve">Q18</t>
  </si>
  <si>
    <t xml:space="preserve">Reducing a palindromic arrangement to an arrangement of the half multiset S, S, C, E with U in the middle.</t>
  </si>
  <si>
    <t xml:space="preserve">One idea (palindrome = half arrangement with forced middle) followed by a standard alike-objects count. Level 2; the idea is less practised than a direct formula, so not level 1.</t>
  </si>
  <si>
    <t xml:space="preserve">Q19</t>
  </si>
  <si>
    <t xml:space="preserve">Seeing that the encyclopaedia block always kills exactly two gaps, leaving three gaps for three novels.</t>
  </si>
  <si>
    <t xml:space="preserve">Bundle and gap methods linked, with an apparent case split (block at an end or inside) that resolves to one count. Two ideas, numerical answer; level 3.</t>
  </si>
  <si>
    <t xml:space="preserve">2024-P1-Q11 (L4)</t>
  </si>
  <si>
    <t xml:space="preserve">Q20</t>
  </si>
  <si>
    <t xml:space="preserve">Splitting by the number of women and counting each case with the gap method and with the bundle method.</t>
  </si>
  <si>
    <t xml:space="preserve">Casework over three team types, each needing two different arrangement methods, with one empty case; exact arithmetic with no options. Level 3, comparable to the restricted team counting in 2024-P1-Q11 (L4) but more routine.</t>
  </si>
  <si>
    <t xml:space="preserve">Q21</t>
  </si>
  <si>
    <t xml:space="preserve">Gap method on M, T, T with the forced O between adjacent T's.</t>
  </si>
  <si>
    <t xml:space="preserve">A routine gap-method count with a small case split (or a three-term inclusion-exclusion). Level 2.</t>
  </si>
  <si>
    <t xml:space="preserve">Q22</t>
  </si>
  <si>
    <t xml:space="preserve">Counting on the tray with the RL block fixed (T in 3 places), then halving for the garland.</t>
  </si>
  <si>
    <t xml:space="preserve">Two standard circular-permutation steps (block plus restricted place, then the factor 1/2); no insight. Level 2.</t>
  </si>
  <si>
    <t xml:space="preserve">Q23</t>
  </si>
  <si>
    <t xml:space="preserve">Counting both events as necklaces, with the factor 1/2 justified by reflection invariance.</t>
  </si>
  <si>
    <t xml:space="preserve">Two circular counts plus the necklace correction applied consistently to numerator and denominator; a strong student must be careful about what is being divided by 2. Level 3, comparable to 2023-P2-Q2 (L3) probability.</t>
  </si>
  <si>
    <t xml:space="preserve">2023-P2-Q2 (L3)</t>
  </si>
  <si>
    <t xml:space="preserve">Q24</t>
  </si>
  <si>
    <t xml:space="preserve">Fixing Mr. X, seeing that the opposite seat is a women's seat, and arranging the rest alternately.</t>
  </si>
  <si>
    <t xml:space="preserve">Alternating circular seating with one forced seat: two routine steps. Level 2.</t>
  </si>
  <si>
    <t xml:space="preserve">2026-P2-Q2 (L2)</t>
  </si>
  <si>
    <t xml:space="preserve">Q25</t>
  </si>
  <si>
    <t xml:space="preserve">Seeing that with identical white balls a selection is determined by its coloured balls.</t>
  </si>
  <si>
    <t xml:space="preserve">Two short standard counts and a ratio. Level 2 (more than one move, no insight).</t>
  </si>
  <si>
    <t xml:space="preserve">Q26</t>
  </si>
  <si>
    <t xml:space="preserve">Writing the total size as a sum over independent choices of apples, bananas and mangoes.</t>
  </si>
  <si>
    <t xml:space="preserve">The count of selections is standard, but the weighted total needs either the independence idea or a careful triple sum with sum k C(5,k); numerical answer. Level 3.</t>
  </si>
  <si>
    <t xml:space="preserve">2026-P2-Q11 (L3)</t>
  </si>
  <si>
    <t xml:space="preserve">Q27</t>
  </si>
  <si>
    <t xml:space="preserve">Counting weak chains as 4^3 and removing equal neighbours by inclusion-exclusion (or counting by sizes).</t>
  </si>
  <si>
    <t xml:space="preserve">The region-assignment idea is not routine for most students, and the strictness needs a correction; numerical answer. Level 3, like 2023-P1-Q1 (L3) on counting functions between finite sets.</t>
  </si>
  <si>
    <t xml:space="preserve">2023-P1-Q1 (L3)</t>
  </si>
  <si>
    <t xml:space="preserve">Q28</t>
  </si>
  <si>
    <t xml:space="preserve">Shifting the lower bounds and slicing by x3 = t with stars and bars on each slice.</t>
  </si>
  <si>
    <t xml:space="preserve">A routine chain (shift, slice, stars and bars, weighted sum). Level 2.</t>
  </si>
  <si>
    <t xml:space="preserve">Q29</t>
  </si>
  <si>
    <t xml:space="preserve">Listing the triples with q + 2r = 4 and applying the multinomial coefficients with the factor (-1/2)^r.</t>
  </si>
  <si>
    <t xml:space="preserve">A routine multinomial extraction with three terms. Level 2 (several standard steps, no insight).</t>
  </si>
  <si>
    <t xml:space="preserve">Q30</t>
  </si>
  <si>
    <t xml:space="preserve">Using (1 - x)(1 + x + x^2) = 1 - x^3, then extracting c_7, c_4, c_1 by the multinomial theorem.</t>
  </si>
  <si>
    <t xml:space="preserve">One non-obvious simplification plus a multinomial extraction of three coefficients; without the factorisation the direct extraction is long. Level 3, like 2026-P1-Q13 (L3).</t>
  </si>
  <si>
    <t xml:space="preserve">2026-P1-Q13 (L3)</t>
  </si>
  <si>
    <t xml:space="preserve">Q31</t>
  </si>
  <si>
    <t xml:space="preserve">Complementary counting: the only all-different pattern is 0, 1, 3.</t>
  </si>
  <si>
    <t xml:space="preserve">Two ideas (complement and size patterns with equal/unequal groups); easy to miss a pattern in a direct count. Level 3, comparable to 2026-P1-Q11 (L3).</t>
  </si>
  <si>
    <t xml:space="preserve">Q32</t>
  </si>
  <si>
    <t xml:space="preserve">Counting the onto placements of distinct balls (150) and the positive solutions for identical balls (6).</t>
  </si>
  <si>
    <t xml:space="preserve">Two standard counts and a ratio. Level 2.</t>
  </si>
  <si>
    <t xml:space="preserve">Q33</t>
  </si>
  <si>
    <t xml:space="preserve">Halving (total minus ties) by the symmetry between A and B.</t>
  </si>
  <si>
    <t xml:space="preserve">A standard stars-and-bars total plus a short tie sum and a symmetry; level 2.</t>
  </si>
  <si>
    <t xml:space="preserve">Q34</t>
  </si>
  <si>
    <t xml:space="preserve">Inclusion-exclusion over 'range misses 1' and 'range misses 2'.</t>
  </si>
  <si>
    <t xml:space="preserve">A two-set inclusion-exclusion on function counts; routine, and much simpler than the function counting of 2026-P2-Q10 (L4). Level 2.</t>
  </si>
  <si>
    <t xml:space="preserve">2026-P2-Q10 (L4)</t>
  </si>
  <si>
    <t xml:space="preserve">Q35</t>
  </si>
  <si>
    <t xml:space="preserve">Seeing that N(f) is the product of the fibre sizes, then summing over the two fibre patterns.</t>
  </si>
  <si>
    <t xml:space="preserve">Two ideas linked (sections of f are choices in fibres; onto functions by fibre pattern), with a numerical answer. Level 3; the composite-function condition is less familiar than a plain count (like 2026-P2-Q10 (L4), which is harder).</t>
  </si>
  <si>
    <t xml:space="preserve">Q36</t>
  </si>
  <si>
    <t xml:space="preserve">Inclusion-exclusion over missed values with choices depending on whether the argument is a missed value.</t>
  </si>
  <si>
    <t xml:space="preserve">The inclusion-exclusion terms are not the textbook ones; the student must set up the mixed counts correctly; numerical answer. Level 3 (could be 4 for some students; nearest 2026-P2-Q10 (L4) has a similar flavour but fewer steps here).</t>
  </si>
  <si>
    <t xml:space="preserve">Q37</t>
  </si>
  <si>
    <t xml:space="preserve">Writing sum n(A) = e1 + 2e2 + 3e3 and sum n(A n B) = e2 + 3e3.</t>
  </si>
  <si>
    <t xml:space="preserve">The asked quantity is not directly a textbook formula; the student must count multiplicities of each region. Two ideas, numerical answer. Level 3.</t>
  </si>
  <si>
    <t xml:space="preserve">2021-P1-Q13 (L3)</t>
  </si>
  <si>
    <t xml:space="preserve">Q38</t>
  </si>
  <si>
    <t xml:space="preserve">Reducing to factorisations of N/4 and using (d + 1)/2 for a perfect square.</t>
  </si>
  <si>
    <t xml:space="preserve">Two ideas linked (removing the parity condition by substitution, then the perfect-square case of the factor-pair formula); numerical answer. Level 3.</t>
  </si>
  <si>
    <t xml:space="preserve">2026-P2-Q6 (L4)</t>
  </si>
  <si>
    <t xml:space="preserve">Q39</t>
  </si>
  <si>
    <t xml:space="preserve">Counting exponent pairs prime by prime for the lcm condition and for divisibility.</t>
  </si>
  <si>
    <t xml:space="preserve">Two exponent-counting ideas on one sample space, with a numerical answer; routine for a strong student but with two separate counts. Level 3, like 2023-P1-Q6 (L3) probability counting.</t>
  </si>
  <si>
    <t xml:space="preserve">Q40</t>
  </si>
  <si>
    <t xml:space="preserve">Counting lcm pairs by 2e+1 per prime and factor pairs of the perfect square 3600 by (d+1)/2.</t>
  </si>
  <si>
    <t xml:space="preserve">Three standard divisor results linked, with the perfect-square correction; numerical answer. Level 3.</t>
  </si>
  <si>
    <t xml:space="preserve">Q41</t>
  </si>
  <si>
    <t xml:space="preserve">Finding n = 9, then segments = diagonals + 2 x C(9,4).</t>
  </si>
  <si>
    <t xml:space="preserve">Two standard results (diagonal count, C(n,4) intersections) and one double count; routine. Level 2.</t>
  </si>
  <si>
    <t xml:space="preserve">Q42</t>
  </si>
  <si>
    <t xml:space="preserve">Locating D = (-6, 0) as the harmonic conjugate and noticing that it lies on line PQ.</t>
  </si>
  <si>
    <t xml:space="preserve">Two ideas linked (harmonic conjugate by the section formula, then a hidden collinear triple in a triangle count); a student who skips locating D gets 0.8. Level 3.</t>
  </si>
  <si>
    <t xml:space="preserve">Q43</t>
  </si>
  <si>
    <t xml:space="preserve">Counting all regions line by line and the unbounded ones by a large circle.</t>
  </si>
  <si>
    <t xml:space="preserve">Two standard counts (the second less often practised) and a ratio. Level 2.</t>
  </si>
  <si>
    <t xml:space="preserve">Q44</t>
  </si>
  <si>
    <t xml:space="preserve">Taking the complement, which factorises into row and column interval conditions.</t>
  </si>
  <si>
    <t xml:space="preserve">The direct condition is awkward; the complement with the interval bijection makes it a product. Two ideas, numerical answer. Level 3.</t>
  </si>
  <si>
    <t xml:space="preserve">2023-P2-Q16 (L4)</t>
  </si>
  <si>
    <t xml:space="preserve">Q45</t>
  </si>
  <si>
    <t xml:space="preserve">Counting the no-two-adjacent choices by gaps, C(8,3), and the consecutive ones, 8.</t>
  </si>
  <si>
    <t xml:space="preserve">Two short standard counts; level 2.</t>
  </si>
  <si>
    <t xml:space="preserve">Q46</t>
  </si>
  <si>
    <t xml:space="preserve">Counting the 270 committees with all departments and removing the 30 with both X and Y.</t>
  </si>
  <si>
    <t xml:space="preserve">Routine committee casework and a complement; level 2.</t>
  </si>
  <si>
    <t xml:space="preserve">Q47</t>
  </si>
  <si>
    <t xml:space="preserve">Reducing the sums with r C(n,r) = n C(n-1,r-1) and Vandermonde, then using the ratio of central binomial coefficients.</t>
  </si>
  <si>
    <t xml:space="preserve">Two binomial-sum techniques chained (the square of r C(n,r) is the less common step) and a ratio simplification; numerical answer. Level 3.</t>
  </si>
  <si>
    <t xml:space="preserve">2026-P2-Q5 (L4)</t>
  </si>
  <si>
    <t xml:space="preserve">Q48</t>
  </si>
  <si>
    <t xml:space="preserve">Classifying the triples by the number of original vertices and computing the area ratios.</t>
  </si>
  <si>
    <t xml:space="preserve">A short classification of 20 triples with simple area ratios; level 2.</t>
  </si>
  <si>
    <t xml:space="preserve">Q49</t>
  </si>
  <si>
    <t xml:space="preserve">Subtracting the 16 rectangles through the removed corner (4 of them squares) from the full-board counts.</t>
  </si>
  <si>
    <t xml:space="preserve">Standard grid formulas plus one simple correction; level 2.</t>
  </si>
  <si>
    <t xml:space="preserve">Q50</t>
  </si>
  <si>
    <t xml:space="preserve">Splitting the divisors by the power of 2 and using the sum-of-divisors product.</t>
  </si>
  <si>
    <t xml:space="preserve">A routine use of the sum-of-divisors formula with a parity split, with none of the factoring insight of 2026-P2-Q6 (L4); level 2.</t>
  </si>
  <si>
    <t xml:space="preserve">2024-P2-Q8 (L2)</t>
  </si>
  <si>
    <t xml:space="preserve">Adjusted level = min(5, max(level + equivalence-relation adj, MCQ floor)). Equivalence adj +0.5 when the key step tests equivalence relations/classes; MCQ floor 2.5 for one-or-more-correct questions involving several concepts. Edit columns I-J to change them.</t>
  </si>
  <si>
    <t xml:space="preserve">Difficulty summary</t>
  </si>
  <si>
    <t xml:space="preserve">Source: Permutations and Combinations   |   Evaluated on: 2026-10-19</t>
  </si>
  <si>
    <t xml:space="preserve">Label</t>
  </si>
  <si>
    <t xml:space="preserve">Questions</t>
  </si>
  <si>
    <t xml:space="preserve">% of marks</t>
  </si>
  <si>
    <t xml:space="preserve">Easier than JEE Main</t>
  </si>
  <si>
    <t xml:space="preserve">JEE Main level</t>
  </si>
  <si>
    <t xml:space="preserve">Slightly difficult</t>
  </si>
  <si>
    <t xml:space="preserve">Very difficult</t>
  </si>
  <si>
    <t xml:space="preserve">Total</t>
  </si>
  <si>
    <t xml:space="preserve">Scope</t>
  </si>
  <si>
    <t xml:space="preserve">Weighted index (adjusted)</t>
  </si>
  <si>
    <t xml:space="preserve">Weighted index (unadjusted)</t>
  </si>
  <si>
    <t xml:space="preserve">Mean level</t>
  </si>
  <si>
    <t xml:space="preserve">Overall</t>
  </si>
  <si>
    <t xml:space="preserve">Weighted index = sum(marks x level) / sum(marks), scale 0-5. 'Adjusted' uses the adjusted level (equivalence-relation adjustment and MCQ floor); 'unadjusted' uses the integer level.</t>
  </si>
  <si>
    <t xml:space="preserve">User's own ratings of official JEE Advanced maths papers</t>
  </si>
  <si>
    <t xml:space="preserve">Year</t>
  </si>
  <si>
    <t xml:space="preserve">Weighted index</t>
  </si>
  <si>
    <t xml:space="preserve">Marks at L0-1</t>
  </si>
  <si>
    <t xml:space="preserve">Marks at L4-5</t>
  </si>
  <si>
    <t xml:space="preserve">Level-5 questions</t>
  </si>
  <si>
    <t xml:space="preserve">This paper</t>
  </si>
  <si>
    <t xml:space="preserve">Source: the user's ratings in references/anchors.csv, used as given (they already reflect format and topic). 'This paper' uses the adjusted index. Official papers are 120 marks; compare the marks-at-level columns only for full-length papers.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</si>
</sst>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%"/>
    <numFmt numFmtId="167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3"/>
      <color rgb="FF1A365D"/>
      <name val="Arial"/>
      <family val="0"/>
      <charset val="1"/>
    </font>
    <font>
      <b val="true"/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A365D"/>
        <bgColor rgb="FF333333"/>
      </patternFill>
    </fill>
    <fill>
      <patternFill patternType="solid">
        <fgColor rgb="FFFCE5CD"/>
        <bgColor rgb="FFFFF2CC"/>
      </patternFill>
    </fill>
    <fill>
      <patternFill patternType="solid">
        <fgColor rgb="FFFFF2CC"/>
        <bgColor rgb="FFFCE5CD"/>
      </patternFill>
    </fill>
    <fill>
      <patternFill patternType="solid">
        <fgColor rgb="FFD9EAD3"/>
        <bgColor rgb="FFE8F0D8"/>
      </patternFill>
    </fill>
    <fill>
      <patternFill patternType="solid">
        <fgColor rgb="FFE8F0D8"/>
        <bgColor rgb="FFD9EAD3"/>
      </patternFill>
    </fill>
    <fill>
      <patternFill patternType="solid">
        <fgColor rgb="FFF4CCCC"/>
        <bgColor rgb="FFFCE5CD"/>
      </patternFill>
    </fill>
    <fill>
      <patternFill patternType="solid">
        <fgColor rgb="FFEA9999"/>
        <bgColor rgb="FFFF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A365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CE5CD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8F0D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CE5CD"/>
      <rgbColor rgb="FF99CCFF"/>
      <rgbColor rgb="FFEA9999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A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3" min="3" style="0" width="9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7" min="6" style="0" width="7"/>
    <col collapsed="false" customWidth="true" hidden="false" outlineLevel="0" max="8" min="8" style="0" width="20"/>
    <col collapsed="false" customWidth="true" hidden="false" outlineLevel="0" max="9" min="9" style="0" width="9"/>
    <col collapsed="false" customWidth="true" hidden="false" outlineLevel="0" max="10" min="10" style="0" width="8"/>
    <col collapsed="false" customWidth="true" hidden="false" outlineLevel="0" max="11" min="11" style="0" width="9"/>
    <col collapsed="false" customWidth="true" hidden="false" outlineLevel="0" max="12" min="12" style="0" width="10"/>
    <col collapsed="false" customWidth="true" hidden="false" outlineLevel="0" max="13" min="13" style="0" width="38"/>
    <col collapsed="false" customWidth="true" hidden="false" outlineLevel="0" max="14" min="14" style="0" width="60"/>
    <col collapsed="false" customWidth="true" hidden="false" outlineLevel="0" max="15" min="15" style="0" width="20"/>
    <col collapsed="false" customWidth="true" hidden="false" outlineLevel="0" max="16" min="16" style="0" width="11"/>
  </cols>
  <sheetData>
    <row r="1" customFormat="false" ht="3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46.25" hidden="false" customHeight="false" outlineLevel="0" collapsed="false">
      <c r="A2" s="2" t="n">
        <v>1</v>
      </c>
      <c r="B2" s="2"/>
      <c r="C2" s="2" t="s">
        <v>16</v>
      </c>
      <c r="D2" s="2" t="s">
        <v>17</v>
      </c>
      <c r="E2" s="3" t="s">
        <v>18</v>
      </c>
      <c r="F2" s="2" t="n">
        <v>3</v>
      </c>
      <c r="G2" s="4" t="n">
        <v>3</v>
      </c>
      <c r="H2" s="4" t="s">
        <v>19</v>
      </c>
      <c r="I2" s="5" t="n">
        <v>0</v>
      </c>
      <c r="J2" s="5" t="n">
        <v>0</v>
      </c>
      <c r="K2" s="5" t="n">
        <f aca="false">MIN(5,MAX(G2+I2,J2))</f>
        <v>3</v>
      </c>
      <c r="L2" s="5" t="n">
        <f aca="false">F2*K2</f>
        <v>9</v>
      </c>
      <c r="M2" s="3" t="s">
        <v>20</v>
      </c>
      <c r="N2" s="3" t="s">
        <v>21</v>
      </c>
      <c r="O2" s="3" t="s">
        <v>22</v>
      </c>
      <c r="P2" s="2" t="s">
        <v>23</v>
      </c>
    </row>
    <row r="3" customFormat="false" ht="35.05" hidden="false" customHeight="false" outlineLevel="0" collapsed="false">
      <c r="A3" s="2" t="n">
        <v>2</v>
      </c>
      <c r="B3" s="2"/>
      <c r="C3" s="2" t="s">
        <v>24</v>
      </c>
      <c r="D3" s="2" t="s">
        <v>17</v>
      </c>
      <c r="E3" s="3" t="s">
        <v>18</v>
      </c>
      <c r="F3" s="2" t="n">
        <v>3</v>
      </c>
      <c r="G3" s="6" t="n">
        <v>2</v>
      </c>
      <c r="H3" s="6" t="s">
        <v>25</v>
      </c>
      <c r="I3" s="5" t="n">
        <v>0</v>
      </c>
      <c r="J3" s="5" t="n">
        <v>0</v>
      </c>
      <c r="K3" s="5" t="n">
        <f aca="false">MIN(5,MAX(G3+I3,J3))</f>
        <v>2</v>
      </c>
      <c r="L3" s="5" t="n">
        <f aca="false">F3*K3</f>
        <v>6</v>
      </c>
      <c r="M3" s="3" t="s">
        <v>26</v>
      </c>
      <c r="N3" s="3" t="s">
        <v>27</v>
      </c>
      <c r="O3" s="3" t="s">
        <v>28</v>
      </c>
      <c r="P3" s="2" t="s">
        <v>29</v>
      </c>
    </row>
    <row r="4" customFormat="false" ht="46.25" hidden="false" customHeight="false" outlineLevel="0" collapsed="false">
      <c r="A4" s="2" t="n">
        <v>3</v>
      </c>
      <c r="B4" s="2"/>
      <c r="C4" s="2" t="s">
        <v>30</v>
      </c>
      <c r="D4" s="2" t="s">
        <v>17</v>
      </c>
      <c r="E4" s="3" t="s">
        <v>18</v>
      </c>
      <c r="F4" s="2" t="n">
        <v>3</v>
      </c>
      <c r="G4" s="4" t="n">
        <v>3</v>
      </c>
      <c r="H4" s="4" t="s">
        <v>19</v>
      </c>
      <c r="I4" s="5" t="n">
        <v>0</v>
      </c>
      <c r="J4" s="5" t="n">
        <v>0</v>
      </c>
      <c r="K4" s="5" t="n">
        <f aca="false">MIN(5,MAX(G4+I4,J4))</f>
        <v>3</v>
      </c>
      <c r="L4" s="5" t="n">
        <f aca="false">F4*K4</f>
        <v>9</v>
      </c>
      <c r="M4" s="3" t="s">
        <v>31</v>
      </c>
      <c r="N4" s="3" t="s">
        <v>32</v>
      </c>
      <c r="O4" s="3" t="s">
        <v>33</v>
      </c>
      <c r="P4" s="2" t="s">
        <v>23</v>
      </c>
    </row>
    <row r="5" customFormat="false" ht="35.05" hidden="false" customHeight="false" outlineLevel="0" collapsed="false">
      <c r="A5" s="2" t="n">
        <v>4</v>
      </c>
      <c r="B5" s="2"/>
      <c r="C5" s="2" t="s">
        <v>34</v>
      </c>
      <c r="D5" s="2" t="s">
        <v>17</v>
      </c>
      <c r="E5" s="3" t="s">
        <v>18</v>
      </c>
      <c r="F5" s="2" t="n">
        <v>3</v>
      </c>
      <c r="G5" s="6" t="n">
        <v>2</v>
      </c>
      <c r="H5" s="6" t="s">
        <v>25</v>
      </c>
      <c r="I5" s="5" t="n">
        <v>0</v>
      </c>
      <c r="J5" s="5" t="n">
        <v>0</v>
      </c>
      <c r="K5" s="5" t="n">
        <f aca="false">MIN(5,MAX(G5+I5,J5))</f>
        <v>2</v>
      </c>
      <c r="L5" s="5" t="n">
        <f aca="false">F5*K5</f>
        <v>6</v>
      </c>
      <c r="M5" s="3" t="s">
        <v>35</v>
      </c>
      <c r="N5" s="3" t="s">
        <v>36</v>
      </c>
      <c r="O5" s="3" t="s">
        <v>37</v>
      </c>
      <c r="P5" s="2" t="s">
        <v>29</v>
      </c>
    </row>
    <row r="6" customFormat="false" ht="46.25" hidden="false" customHeight="false" outlineLevel="0" collapsed="false">
      <c r="A6" s="2" t="n">
        <v>5</v>
      </c>
      <c r="B6" s="2"/>
      <c r="C6" s="2" t="s">
        <v>38</v>
      </c>
      <c r="D6" s="2" t="s">
        <v>17</v>
      </c>
      <c r="E6" s="3" t="s">
        <v>18</v>
      </c>
      <c r="F6" s="2" t="n">
        <v>3</v>
      </c>
      <c r="G6" s="4" t="n">
        <v>3</v>
      </c>
      <c r="H6" s="4" t="s">
        <v>19</v>
      </c>
      <c r="I6" s="5" t="n">
        <v>0</v>
      </c>
      <c r="J6" s="5" t="n">
        <v>0</v>
      </c>
      <c r="K6" s="5" t="n">
        <f aca="false">MIN(5,MAX(G6+I6,J6))</f>
        <v>3</v>
      </c>
      <c r="L6" s="5" t="n">
        <f aca="false">F6*K6</f>
        <v>9</v>
      </c>
      <c r="M6" s="3" t="s">
        <v>39</v>
      </c>
      <c r="N6" s="3" t="s">
        <v>40</v>
      </c>
      <c r="O6" s="3" t="s">
        <v>33</v>
      </c>
      <c r="P6" s="2" t="s">
        <v>23</v>
      </c>
    </row>
    <row r="7" customFormat="false" ht="35.05" hidden="false" customHeight="false" outlineLevel="0" collapsed="false">
      <c r="A7" s="2" t="n">
        <v>6</v>
      </c>
      <c r="B7" s="2"/>
      <c r="C7" s="2" t="s">
        <v>41</v>
      </c>
      <c r="D7" s="2" t="s">
        <v>17</v>
      </c>
      <c r="E7" s="3" t="s">
        <v>18</v>
      </c>
      <c r="F7" s="2" t="n">
        <v>3</v>
      </c>
      <c r="G7" s="6" t="n">
        <v>2</v>
      </c>
      <c r="H7" s="6" t="s">
        <v>25</v>
      </c>
      <c r="I7" s="5" t="n">
        <v>0</v>
      </c>
      <c r="J7" s="5" t="n">
        <v>0</v>
      </c>
      <c r="K7" s="5" t="n">
        <f aca="false">MIN(5,MAX(G7+I7,J7))</f>
        <v>2</v>
      </c>
      <c r="L7" s="5" t="n">
        <f aca="false">F7*K7</f>
        <v>6</v>
      </c>
      <c r="M7" s="3" t="s">
        <v>42</v>
      </c>
      <c r="N7" s="3" t="s">
        <v>43</v>
      </c>
      <c r="O7" s="3" t="s">
        <v>44</v>
      </c>
      <c r="P7" s="2" t="s">
        <v>29</v>
      </c>
    </row>
    <row r="8" customFormat="false" ht="46.25" hidden="false" customHeight="false" outlineLevel="0" collapsed="false">
      <c r="A8" s="2" t="n">
        <v>7</v>
      </c>
      <c r="B8" s="2"/>
      <c r="C8" s="2" t="s">
        <v>45</v>
      </c>
      <c r="D8" s="2" t="s">
        <v>17</v>
      </c>
      <c r="E8" s="3" t="s">
        <v>18</v>
      </c>
      <c r="F8" s="2" t="n">
        <v>3</v>
      </c>
      <c r="G8" s="4" t="n">
        <v>3</v>
      </c>
      <c r="H8" s="4" t="s">
        <v>19</v>
      </c>
      <c r="I8" s="5" t="n">
        <v>0</v>
      </c>
      <c r="J8" s="5" t="n">
        <v>0</v>
      </c>
      <c r="K8" s="5" t="n">
        <f aca="false">MIN(5,MAX(G8+I8,J8))</f>
        <v>3</v>
      </c>
      <c r="L8" s="5" t="n">
        <f aca="false">F8*K8</f>
        <v>9</v>
      </c>
      <c r="M8" s="3" t="s">
        <v>46</v>
      </c>
      <c r="N8" s="3" t="s">
        <v>47</v>
      </c>
      <c r="O8" s="3" t="s">
        <v>48</v>
      </c>
      <c r="P8" s="2" t="s">
        <v>23</v>
      </c>
    </row>
    <row r="9" customFormat="false" ht="46.25" hidden="false" customHeight="false" outlineLevel="0" collapsed="false">
      <c r="A9" s="2" t="n">
        <v>8</v>
      </c>
      <c r="B9" s="2"/>
      <c r="C9" s="2" t="s">
        <v>49</v>
      </c>
      <c r="D9" s="2" t="s">
        <v>17</v>
      </c>
      <c r="E9" s="3" t="s">
        <v>18</v>
      </c>
      <c r="F9" s="2" t="n">
        <v>3</v>
      </c>
      <c r="G9" s="4" t="n">
        <v>3</v>
      </c>
      <c r="H9" s="4" t="s">
        <v>19</v>
      </c>
      <c r="I9" s="5" t="n">
        <v>0</v>
      </c>
      <c r="J9" s="5" t="n">
        <v>0</v>
      </c>
      <c r="K9" s="5" t="n">
        <f aca="false">MIN(5,MAX(G9+I9,J9))</f>
        <v>3</v>
      </c>
      <c r="L9" s="5" t="n">
        <f aca="false">F9*K9</f>
        <v>9</v>
      </c>
      <c r="M9" s="3" t="s">
        <v>50</v>
      </c>
      <c r="N9" s="3" t="s">
        <v>51</v>
      </c>
      <c r="O9" s="3" t="s">
        <v>22</v>
      </c>
      <c r="P9" s="2" t="s">
        <v>23</v>
      </c>
    </row>
    <row r="10" customFormat="false" ht="23.85" hidden="false" customHeight="false" outlineLevel="0" collapsed="false">
      <c r="A10" s="2" t="n">
        <v>9</v>
      </c>
      <c r="B10" s="2"/>
      <c r="C10" s="2" t="s">
        <v>52</v>
      </c>
      <c r="D10" s="2" t="s">
        <v>17</v>
      </c>
      <c r="E10" s="3" t="s">
        <v>18</v>
      </c>
      <c r="F10" s="2" t="n">
        <v>3</v>
      </c>
      <c r="G10" s="6" t="n">
        <v>2</v>
      </c>
      <c r="H10" s="6" t="s">
        <v>25</v>
      </c>
      <c r="I10" s="5" t="n">
        <v>0</v>
      </c>
      <c r="J10" s="5" t="n">
        <v>0</v>
      </c>
      <c r="K10" s="5" t="n">
        <f aca="false">MIN(5,MAX(G10+I10,J10))</f>
        <v>2</v>
      </c>
      <c r="L10" s="5" t="n">
        <f aca="false">F10*K10</f>
        <v>6</v>
      </c>
      <c r="M10" s="3" t="s">
        <v>53</v>
      </c>
      <c r="N10" s="3" t="s">
        <v>54</v>
      </c>
      <c r="O10" s="3" t="s">
        <v>37</v>
      </c>
      <c r="P10" s="2" t="s">
        <v>29</v>
      </c>
    </row>
    <row r="11" customFormat="false" ht="35.05" hidden="false" customHeight="false" outlineLevel="0" collapsed="false">
      <c r="A11" s="2" t="n">
        <v>10</v>
      </c>
      <c r="B11" s="2"/>
      <c r="C11" s="2" t="s">
        <v>55</v>
      </c>
      <c r="D11" s="2" t="s">
        <v>56</v>
      </c>
      <c r="E11" s="3" t="s">
        <v>18</v>
      </c>
      <c r="F11" s="2" t="n">
        <v>4</v>
      </c>
      <c r="G11" s="6" t="n">
        <v>2</v>
      </c>
      <c r="H11" s="6" t="s">
        <v>25</v>
      </c>
      <c r="I11" s="5" t="n">
        <v>0</v>
      </c>
      <c r="J11" s="5" t="n">
        <v>0</v>
      </c>
      <c r="K11" s="5" t="n">
        <f aca="false">MIN(5,MAX(G11+I11,J11))</f>
        <v>2</v>
      </c>
      <c r="L11" s="5" t="n">
        <f aca="false">F11*K11</f>
        <v>8</v>
      </c>
      <c r="M11" s="3" t="s">
        <v>57</v>
      </c>
      <c r="N11" s="3" t="s">
        <v>58</v>
      </c>
      <c r="O11" s="3" t="s">
        <v>59</v>
      </c>
      <c r="P11" s="2" t="s">
        <v>23</v>
      </c>
    </row>
    <row r="12" customFormat="false" ht="23.85" hidden="false" customHeight="false" outlineLevel="0" collapsed="false">
      <c r="A12" s="2" t="n">
        <v>11</v>
      </c>
      <c r="B12" s="2"/>
      <c r="C12" s="2" t="s">
        <v>60</v>
      </c>
      <c r="D12" s="2" t="s">
        <v>56</v>
      </c>
      <c r="E12" s="3" t="s">
        <v>18</v>
      </c>
      <c r="F12" s="2" t="n">
        <v>4</v>
      </c>
      <c r="G12" s="6" t="n">
        <v>2</v>
      </c>
      <c r="H12" s="6" t="s">
        <v>25</v>
      </c>
      <c r="I12" s="5" t="n">
        <v>0</v>
      </c>
      <c r="J12" s="5" t="n">
        <v>0</v>
      </c>
      <c r="K12" s="5" t="n">
        <f aca="false">MIN(5,MAX(G12+I12,J12))</f>
        <v>2</v>
      </c>
      <c r="L12" s="5" t="n">
        <f aca="false">F12*K12</f>
        <v>8</v>
      </c>
      <c r="M12" s="3" t="s">
        <v>61</v>
      </c>
      <c r="N12" s="3" t="s">
        <v>62</v>
      </c>
      <c r="O12" s="3" t="s">
        <v>63</v>
      </c>
      <c r="P12" s="2" t="s">
        <v>29</v>
      </c>
    </row>
    <row r="13" customFormat="false" ht="35.05" hidden="false" customHeight="false" outlineLevel="0" collapsed="false">
      <c r="A13" s="2" t="n">
        <v>12</v>
      </c>
      <c r="B13" s="2"/>
      <c r="C13" s="2" t="s">
        <v>64</v>
      </c>
      <c r="D13" s="2" t="s">
        <v>56</v>
      </c>
      <c r="E13" s="3" t="s">
        <v>18</v>
      </c>
      <c r="F13" s="2" t="n">
        <v>4</v>
      </c>
      <c r="G13" s="6" t="n">
        <v>2</v>
      </c>
      <c r="H13" s="6" t="s">
        <v>25</v>
      </c>
      <c r="I13" s="5" t="n">
        <v>0</v>
      </c>
      <c r="J13" s="5" t="n">
        <v>0</v>
      </c>
      <c r="K13" s="5" t="n">
        <f aca="false">MIN(5,MAX(G13+I13,J13))</f>
        <v>2</v>
      </c>
      <c r="L13" s="5" t="n">
        <f aca="false">F13*K13</f>
        <v>8</v>
      </c>
      <c r="M13" s="3" t="s">
        <v>65</v>
      </c>
      <c r="N13" s="3" t="s">
        <v>66</v>
      </c>
      <c r="O13" s="3" t="s">
        <v>63</v>
      </c>
      <c r="P13" s="2" t="s">
        <v>29</v>
      </c>
    </row>
    <row r="14" customFormat="false" ht="46.25" hidden="false" customHeight="false" outlineLevel="0" collapsed="false">
      <c r="A14" s="2" t="n">
        <v>13</v>
      </c>
      <c r="B14" s="2"/>
      <c r="C14" s="2" t="s">
        <v>67</v>
      </c>
      <c r="D14" s="2" t="s">
        <v>56</v>
      </c>
      <c r="E14" s="3" t="s">
        <v>18</v>
      </c>
      <c r="F14" s="2" t="n">
        <v>4</v>
      </c>
      <c r="G14" s="4" t="n">
        <v>3</v>
      </c>
      <c r="H14" s="4" t="s">
        <v>19</v>
      </c>
      <c r="I14" s="5" t="n">
        <v>0</v>
      </c>
      <c r="J14" s="5" t="n">
        <v>0</v>
      </c>
      <c r="K14" s="5" t="n">
        <f aca="false">MIN(5,MAX(G14+I14,J14))</f>
        <v>3</v>
      </c>
      <c r="L14" s="5" t="n">
        <f aca="false">F14*K14</f>
        <v>12</v>
      </c>
      <c r="M14" s="3" t="s">
        <v>68</v>
      </c>
      <c r="N14" s="3" t="s">
        <v>69</v>
      </c>
      <c r="O14" s="3" t="s">
        <v>70</v>
      </c>
      <c r="P14" s="2" t="s">
        <v>23</v>
      </c>
    </row>
    <row r="15" customFormat="false" ht="35.05" hidden="false" customHeight="false" outlineLevel="0" collapsed="false">
      <c r="A15" s="2" t="n">
        <v>14</v>
      </c>
      <c r="B15" s="2"/>
      <c r="C15" s="2" t="s">
        <v>71</v>
      </c>
      <c r="D15" s="2" t="s">
        <v>56</v>
      </c>
      <c r="E15" s="3" t="s">
        <v>18</v>
      </c>
      <c r="F15" s="2" t="n">
        <v>4</v>
      </c>
      <c r="G15" s="4" t="n">
        <v>3</v>
      </c>
      <c r="H15" s="4" t="s">
        <v>19</v>
      </c>
      <c r="I15" s="5" t="n">
        <v>0</v>
      </c>
      <c r="J15" s="5" t="n">
        <v>0</v>
      </c>
      <c r="K15" s="5" t="n">
        <f aca="false">MIN(5,MAX(G15+I15,J15))</f>
        <v>3</v>
      </c>
      <c r="L15" s="5" t="n">
        <f aca="false">F15*K15</f>
        <v>12</v>
      </c>
      <c r="M15" s="3" t="s">
        <v>72</v>
      </c>
      <c r="N15" s="3" t="s">
        <v>73</v>
      </c>
      <c r="O15" s="3" t="s">
        <v>22</v>
      </c>
      <c r="P15" s="2" t="s">
        <v>23</v>
      </c>
    </row>
    <row r="16" customFormat="false" ht="35.05" hidden="false" customHeight="false" outlineLevel="0" collapsed="false">
      <c r="A16" s="2" t="n">
        <v>15</v>
      </c>
      <c r="B16" s="2"/>
      <c r="C16" s="2" t="s">
        <v>74</v>
      </c>
      <c r="D16" s="2" t="s">
        <v>56</v>
      </c>
      <c r="E16" s="3" t="s">
        <v>18</v>
      </c>
      <c r="F16" s="2" t="n">
        <v>4</v>
      </c>
      <c r="G16" s="6" t="n">
        <v>2</v>
      </c>
      <c r="H16" s="6" t="s">
        <v>25</v>
      </c>
      <c r="I16" s="5" t="n">
        <v>0</v>
      </c>
      <c r="J16" s="5" t="n">
        <v>0</v>
      </c>
      <c r="K16" s="5" t="n">
        <f aca="false">MIN(5,MAX(G16+I16,J16))</f>
        <v>2</v>
      </c>
      <c r="L16" s="5" t="n">
        <f aca="false">F16*K16</f>
        <v>8</v>
      </c>
      <c r="M16" s="3" t="s">
        <v>75</v>
      </c>
      <c r="N16" s="3" t="s">
        <v>76</v>
      </c>
      <c r="O16" s="3" t="s">
        <v>37</v>
      </c>
      <c r="P16" s="2" t="s">
        <v>29</v>
      </c>
    </row>
    <row r="17" customFormat="false" ht="35.05" hidden="false" customHeight="false" outlineLevel="0" collapsed="false">
      <c r="A17" s="2" t="n">
        <v>16</v>
      </c>
      <c r="B17" s="2"/>
      <c r="C17" s="2" t="s">
        <v>77</v>
      </c>
      <c r="D17" s="2" t="s">
        <v>56</v>
      </c>
      <c r="E17" s="3" t="s">
        <v>18</v>
      </c>
      <c r="F17" s="2" t="n">
        <v>4</v>
      </c>
      <c r="G17" s="4" t="n">
        <v>3</v>
      </c>
      <c r="H17" s="4" t="s">
        <v>19</v>
      </c>
      <c r="I17" s="5" t="n">
        <v>0</v>
      </c>
      <c r="J17" s="5" t="n">
        <v>0</v>
      </c>
      <c r="K17" s="5" t="n">
        <f aca="false">MIN(5,MAX(G17+I17,J17))</f>
        <v>3</v>
      </c>
      <c r="L17" s="5" t="n">
        <f aca="false">F17*K17</f>
        <v>12</v>
      </c>
      <c r="M17" s="3" t="s">
        <v>78</v>
      </c>
      <c r="N17" s="3" t="s">
        <v>79</v>
      </c>
      <c r="O17" s="3" t="s">
        <v>22</v>
      </c>
      <c r="P17" s="2" t="s">
        <v>23</v>
      </c>
    </row>
    <row r="18" customFormat="false" ht="46.25" hidden="false" customHeight="false" outlineLevel="0" collapsed="false">
      <c r="A18" s="2" t="n">
        <v>17</v>
      </c>
      <c r="B18" s="2"/>
      <c r="C18" s="2" t="s">
        <v>80</v>
      </c>
      <c r="D18" s="2" t="s">
        <v>56</v>
      </c>
      <c r="E18" s="3" t="s">
        <v>18</v>
      </c>
      <c r="F18" s="2" t="n">
        <v>4</v>
      </c>
      <c r="G18" s="4" t="n">
        <v>3</v>
      </c>
      <c r="H18" s="4" t="s">
        <v>19</v>
      </c>
      <c r="I18" s="5" t="n">
        <v>0</v>
      </c>
      <c r="J18" s="5" t="n">
        <v>0</v>
      </c>
      <c r="K18" s="5" t="n">
        <f aca="false">MIN(5,MAX(G18+I18,J18))</f>
        <v>3</v>
      </c>
      <c r="L18" s="5" t="n">
        <f aca="false">F18*K18</f>
        <v>12</v>
      </c>
      <c r="M18" s="3" t="s">
        <v>81</v>
      </c>
      <c r="N18" s="3" t="s">
        <v>82</v>
      </c>
      <c r="O18" s="3" t="s">
        <v>37</v>
      </c>
      <c r="P18" s="2" t="s">
        <v>23</v>
      </c>
    </row>
    <row r="19" customFormat="false" ht="35.05" hidden="false" customHeight="false" outlineLevel="0" collapsed="false">
      <c r="A19" s="2" t="n">
        <v>18</v>
      </c>
      <c r="B19" s="2"/>
      <c r="C19" s="2" t="s">
        <v>83</v>
      </c>
      <c r="D19" s="2" t="s">
        <v>56</v>
      </c>
      <c r="E19" s="3" t="s">
        <v>18</v>
      </c>
      <c r="F19" s="2" t="n">
        <v>4</v>
      </c>
      <c r="G19" s="6" t="n">
        <v>2</v>
      </c>
      <c r="H19" s="6" t="s">
        <v>25</v>
      </c>
      <c r="I19" s="5" t="n">
        <v>0</v>
      </c>
      <c r="J19" s="5" t="n">
        <v>0</v>
      </c>
      <c r="K19" s="5" t="n">
        <f aca="false">MIN(5,MAX(G19+I19,J19))</f>
        <v>2</v>
      </c>
      <c r="L19" s="5" t="n">
        <f aca="false">F19*K19</f>
        <v>8</v>
      </c>
      <c r="M19" s="3" t="s">
        <v>84</v>
      </c>
      <c r="N19" s="3" t="s">
        <v>85</v>
      </c>
      <c r="O19" s="3" t="s">
        <v>37</v>
      </c>
      <c r="P19" s="2" t="s">
        <v>23</v>
      </c>
    </row>
    <row r="20" customFormat="false" ht="35.05" hidden="false" customHeight="false" outlineLevel="0" collapsed="false">
      <c r="A20" s="2" t="n">
        <v>19</v>
      </c>
      <c r="B20" s="2"/>
      <c r="C20" s="2" t="s">
        <v>86</v>
      </c>
      <c r="D20" s="2" t="s">
        <v>56</v>
      </c>
      <c r="E20" s="3" t="s">
        <v>18</v>
      </c>
      <c r="F20" s="2" t="n">
        <v>4</v>
      </c>
      <c r="G20" s="4" t="n">
        <v>3</v>
      </c>
      <c r="H20" s="4" t="s">
        <v>19</v>
      </c>
      <c r="I20" s="5" t="n">
        <v>0</v>
      </c>
      <c r="J20" s="5" t="n">
        <v>0</v>
      </c>
      <c r="K20" s="5" t="n">
        <f aca="false">MIN(5,MAX(G20+I20,J20))</f>
        <v>3</v>
      </c>
      <c r="L20" s="5" t="n">
        <f aca="false">F20*K20</f>
        <v>12</v>
      </c>
      <c r="M20" s="3" t="s">
        <v>87</v>
      </c>
      <c r="N20" s="3" t="s">
        <v>88</v>
      </c>
      <c r="O20" s="3" t="s">
        <v>89</v>
      </c>
      <c r="P20" s="2" t="s">
        <v>23</v>
      </c>
    </row>
    <row r="21" customFormat="false" ht="46.25" hidden="false" customHeight="false" outlineLevel="0" collapsed="false">
      <c r="A21" s="2" t="n">
        <v>20</v>
      </c>
      <c r="B21" s="2"/>
      <c r="C21" s="2" t="s">
        <v>90</v>
      </c>
      <c r="D21" s="2" t="s">
        <v>56</v>
      </c>
      <c r="E21" s="3" t="s">
        <v>18</v>
      </c>
      <c r="F21" s="2" t="n">
        <v>4</v>
      </c>
      <c r="G21" s="4" t="n">
        <v>3</v>
      </c>
      <c r="H21" s="4" t="s">
        <v>19</v>
      </c>
      <c r="I21" s="5" t="n">
        <v>0</v>
      </c>
      <c r="J21" s="5" t="n">
        <v>0</v>
      </c>
      <c r="K21" s="5" t="n">
        <f aca="false">MIN(5,MAX(G21+I21,J21))</f>
        <v>3</v>
      </c>
      <c r="L21" s="5" t="n">
        <f aca="false">F21*K21</f>
        <v>12</v>
      </c>
      <c r="M21" s="3" t="s">
        <v>91</v>
      </c>
      <c r="N21" s="3" t="s">
        <v>92</v>
      </c>
      <c r="O21" s="3" t="s">
        <v>89</v>
      </c>
      <c r="P21" s="2" t="s">
        <v>23</v>
      </c>
    </row>
    <row r="22" customFormat="false" ht="23.85" hidden="false" customHeight="false" outlineLevel="0" collapsed="false">
      <c r="A22" s="2" t="n">
        <v>21</v>
      </c>
      <c r="B22" s="2"/>
      <c r="C22" s="2" t="s">
        <v>93</v>
      </c>
      <c r="D22" s="2" t="s">
        <v>56</v>
      </c>
      <c r="E22" s="3" t="s">
        <v>18</v>
      </c>
      <c r="F22" s="2" t="n">
        <v>4</v>
      </c>
      <c r="G22" s="6" t="n">
        <v>2</v>
      </c>
      <c r="H22" s="6" t="s">
        <v>25</v>
      </c>
      <c r="I22" s="5" t="n">
        <v>0</v>
      </c>
      <c r="J22" s="5" t="n">
        <v>0</v>
      </c>
      <c r="K22" s="5" t="n">
        <f aca="false">MIN(5,MAX(G22+I22,J22))</f>
        <v>2</v>
      </c>
      <c r="L22" s="5" t="n">
        <f aca="false">F22*K22</f>
        <v>8</v>
      </c>
      <c r="M22" s="3" t="s">
        <v>94</v>
      </c>
      <c r="N22" s="3" t="s">
        <v>95</v>
      </c>
      <c r="O22" s="3" t="s">
        <v>37</v>
      </c>
      <c r="P22" s="2" t="s">
        <v>29</v>
      </c>
    </row>
    <row r="23" customFormat="false" ht="23.85" hidden="false" customHeight="false" outlineLevel="0" collapsed="false">
      <c r="A23" s="2" t="n">
        <v>22</v>
      </c>
      <c r="B23" s="2"/>
      <c r="C23" s="2" t="s">
        <v>96</v>
      </c>
      <c r="D23" s="2" t="s">
        <v>56</v>
      </c>
      <c r="E23" s="3" t="s">
        <v>18</v>
      </c>
      <c r="F23" s="2" t="n">
        <v>4</v>
      </c>
      <c r="G23" s="6" t="n">
        <v>2</v>
      </c>
      <c r="H23" s="6" t="s">
        <v>25</v>
      </c>
      <c r="I23" s="5" t="n">
        <v>0</v>
      </c>
      <c r="J23" s="5" t="n">
        <v>0</v>
      </c>
      <c r="K23" s="5" t="n">
        <f aca="false">MIN(5,MAX(G23+I23,J23))</f>
        <v>2</v>
      </c>
      <c r="L23" s="5" t="n">
        <f aca="false">F23*K23</f>
        <v>8</v>
      </c>
      <c r="M23" s="3" t="s">
        <v>97</v>
      </c>
      <c r="N23" s="3" t="s">
        <v>98</v>
      </c>
      <c r="O23" s="3" t="s">
        <v>37</v>
      </c>
      <c r="P23" s="2" t="s">
        <v>29</v>
      </c>
    </row>
    <row r="24" customFormat="false" ht="35.05" hidden="false" customHeight="false" outlineLevel="0" collapsed="false">
      <c r="A24" s="2" t="n">
        <v>23</v>
      </c>
      <c r="B24" s="2"/>
      <c r="C24" s="2" t="s">
        <v>99</v>
      </c>
      <c r="D24" s="2" t="s">
        <v>56</v>
      </c>
      <c r="E24" s="3" t="s">
        <v>18</v>
      </c>
      <c r="F24" s="2" t="n">
        <v>4</v>
      </c>
      <c r="G24" s="4" t="n">
        <v>3</v>
      </c>
      <c r="H24" s="4" t="s">
        <v>19</v>
      </c>
      <c r="I24" s="5" t="n">
        <v>0</v>
      </c>
      <c r="J24" s="5" t="n">
        <v>0</v>
      </c>
      <c r="K24" s="5" t="n">
        <f aca="false">MIN(5,MAX(G24+I24,J24))</f>
        <v>3</v>
      </c>
      <c r="L24" s="5" t="n">
        <f aca="false">F24*K24</f>
        <v>12</v>
      </c>
      <c r="M24" s="3" t="s">
        <v>100</v>
      </c>
      <c r="N24" s="3" t="s">
        <v>101</v>
      </c>
      <c r="O24" s="3" t="s">
        <v>102</v>
      </c>
      <c r="P24" s="2" t="s">
        <v>23</v>
      </c>
    </row>
    <row r="25" customFormat="false" ht="35.05" hidden="false" customHeight="false" outlineLevel="0" collapsed="false">
      <c r="A25" s="2" t="n">
        <v>24</v>
      </c>
      <c r="B25" s="2"/>
      <c r="C25" s="2" t="s">
        <v>103</v>
      </c>
      <c r="D25" s="2" t="s">
        <v>56</v>
      </c>
      <c r="E25" s="3" t="s">
        <v>18</v>
      </c>
      <c r="F25" s="2" t="n">
        <v>4</v>
      </c>
      <c r="G25" s="6" t="n">
        <v>2</v>
      </c>
      <c r="H25" s="6" t="s">
        <v>25</v>
      </c>
      <c r="I25" s="5" t="n">
        <v>0</v>
      </c>
      <c r="J25" s="5" t="n">
        <v>0</v>
      </c>
      <c r="K25" s="5" t="n">
        <f aca="false">MIN(5,MAX(G25+I25,J25))</f>
        <v>2</v>
      </c>
      <c r="L25" s="5" t="n">
        <f aca="false">F25*K25</f>
        <v>8</v>
      </c>
      <c r="M25" s="3" t="s">
        <v>104</v>
      </c>
      <c r="N25" s="3" t="s">
        <v>105</v>
      </c>
      <c r="O25" s="3" t="s">
        <v>106</v>
      </c>
      <c r="P25" s="2" t="s">
        <v>29</v>
      </c>
    </row>
    <row r="26" customFormat="false" ht="23.85" hidden="false" customHeight="false" outlineLevel="0" collapsed="false">
      <c r="A26" s="2" t="n">
        <v>25</v>
      </c>
      <c r="B26" s="2"/>
      <c r="C26" s="2" t="s">
        <v>107</v>
      </c>
      <c r="D26" s="2" t="s">
        <v>56</v>
      </c>
      <c r="E26" s="3" t="s">
        <v>18</v>
      </c>
      <c r="F26" s="2" t="n">
        <v>4</v>
      </c>
      <c r="G26" s="6" t="n">
        <v>2</v>
      </c>
      <c r="H26" s="6" t="s">
        <v>25</v>
      </c>
      <c r="I26" s="5" t="n">
        <v>0</v>
      </c>
      <c r="J26" s="5" t="n">
        <v>0</v>
      </c>
      <c r="K26" s="5" t="n">
        <f aca="false">MIN(5,MAX(G26+I26,J26))</f>
        <v>2</v>
      </c>
      <c r="L26" s="5" t="n">
        <f aca="false">F26*K26</f>
        <v>8</v>
      </c>
      <c r="M26" s="3" t="s">
        <v>108</v>
      </c>
      <c r="N26" s="3" t="s">
        <v>109</v>
      </c>
      <c r="O26" s="3" t="s">
        <v>37</v>
      </c>
      <c r="P26" s="2" t="s">
        <v>29</v>
      </c>
    </row>
    <row r="27" customFormat="false" ht="35.05" hidden="false" customHeight="false" outlineLevel="0" collapsed="false">
      <c r="A27" s="2" t="n">
        <v>26</v>
      </c>
      <c r="B27" s="2"/>
      <c r="C27" s="2" t="s">
        <v>110</v>
      </c>
      <c r="D27" s="2" t="s">
        <v>56</v>
      </c>
      <c r="E27" s="3" t="s">
        <v>18</v>
      </c>
      <c r="F27" s="2" t="n">
        <v>4</v>
      </c>
      <c r="G27" s="4" t="n">
        <v>3</v>
      </c>
      <c r="H27" s="4" t="s">
        <v>19</v>
      </c>
      <c r="I27" s="5" t="n">
        <v>0</v>
      </c>
      <c r="J27" s="5" t="n">
        <v>0</v>
      </c>
      <c r="K27" s="5" t="n">
        <f aca="false">MIN(5,MAX(G27+I27,J27))</f>
        <v>3</v>
      </c>
      <c r="L27" s="5" t="n">
        <f aca="false">F27*K27</f>
        <v>12</v>
      </c>
      <c r="M27" s="3" t="s">
        <v>111</v>
      </c>
      <c r="N27" s="3" t="s">
        <v>112</v>
      </c>
      <c r="O27" s="3" t="s">
        <v>113</v>
      </c>
      <c r="P27" s="2" t="s">
        <v>23</v>
      </c>
    </row>
    <row r="28" customFormat="false" ht="35.05" hidden="false" customHeight="false" outlineLevel="0" collapsed="false">
      <c r="A28" s="2" t="n">
        <v>27</v>
      </c>
      <c r="B28" s="2"/>
      <c r="C28" s="2" t="s">
        <v>114</v>
      </c>
      <c r="D28" s="2" t="s">
        <v>56</v>
      </c>
      <c r="E28" s="3" t="s">
        <v>18</v>
      </c>
      <c r="F28" s="2" t="n">
        <v>4</v>
      </c>
      <c r="G28" s="4" t="n">
        <v>3</v>
      </c>
      <c r="H28" s="4" t="s">
        <v>19</v>
      </c>
      <c r="I28" s="5" t="n">
        <v>0</v>
      </c>
      <c r="J28" s="5" t="n">
        <v>0</v>
      </c>
      <c r="K28" s="5" t="n">
        <f aca="false">MIN(5,MAX(G28+I28,J28))</f>
        <v>3</v>
      </c>
      <c r="L28" s="5" t="n">
        <f aca="false">F28*K28</f>
        <v>12</v>
      </c>
      <c r="M28" s="3" t="s">
        <v>115</v>
      </c>
      <c r="N28" s="3" t="s">
        <v>116</v>
      </c>
      <c r="O28" s="3" t="s">
        <v>117</v>
      </c>
      <c r="P28" s="2" t="s">
        <v>23</v>
      </c>
    </row>
    <row r="29" customFormat="false" ht="23.85" hidden="false" customHeight="false" outlineLevel="0" collapsed="false">
      <c r="A29" s="2" t="n">
        <v>28</v>
      </c>
      <c r="B29" s="2"/>
      <c r="C29" s="2" t="s">
        <v>118</v>
      </c>
      <c r="D29" s="2" t="s">
        <v>56</v>
      </c>
      <c r="E29" s="3" t="s">
        <v>18</v>
      </c>
      <c r="F29" s="2" t="n">
        <v>4</v>
      </c>
      <c r="G29" s="6" t="n">
        <v>2</v>
      </c>
      <c r="H29" s="6" t="s">
        <v>25</v>
      </c>
      <c r="I29" s="5" t="n">
        <v>0</v>
      </c>
      <c r="J29" s="5" t="n">
        <v>0</v>
      </c>
      <c r="K29" s="5" t="n">
        <f aca="false">MIN(5,MAX(G29+I29,J29))</f>
        <v>2</v>
      </c>
      <c r="L29" s="5" t="n">
        <f aca="false">F29*K29</f>
        <v>8</v>
      </c>
      <c r="M29" s="3" t="s">
        <v>119</v>
      </c>
      <c r="N29" s="3" t="s">
        <v>120</v>
      </c>
      <c r="O29" s="3" t="s">
        <v>22</v>
      </c>
      <c r="P29" s="2" t="s">
        <v>23</v>
      </c>
    </row>
    <row r="30" customFormat="false" ht="35.05" hidden="false" customHeight="false" outlineLevel="0" collapsed="false">
      <c r="A30" s="2" t="n">
        <v>29</v>
      </c>
      <c r="B30" s="2"/>
      <c r="C30" s="2" t="s">
        <v>121</v>
      </c>
      <c r="D30" s="2" t="s">
        <v>56</v>
      </c>
      <c r="E30" s="3" t="s">
        <v>18</v>
      </c>
      <c r="F30" s="2" t="n">
        <v>4</v>
      </c>
      <c r="G30" s="6" t="n">
        <v>2</v>
      </c>
      <c r="H30" s="6" t="s">
        <v>25</v>
      </c>
      <c r="I30" s="5" t="n">
        <v>0</v>
      </c>
      <c r="J30" s="5" t="n">
        <v>0</v>
      </c>
      <c r="K30" s="5" t="n">
        <f aca="false">MIN(5,MAX(G30+I30,J30))</f>
        <v>2</v>
      </c>
      <c r="L30" s="5" t="n">
        <f aca="false">F30*K30</f>
        <v>8</v>
      </c>
      <c r="M30" s="3" t="s">
        <v>122</v>
      </c>
      <c r="N30" s="3" t="s">
        <v>123</v>
      </c>
      <c r="O30" s="3" t="s">
        <v>59</v>
      </c>
      <c r="P30" s="2" t="s">
        <v>29</v>
      </c>
    </row>
    <row r="31" customFormat="false" ht="35.05" hidden="false" customHeight="false" outlineLevel="0" collapsed="false">
      <c r="A31" s="2" t="n">
        <v>30</v>
      </c>
      <c r="B31" s="2"/>
      <c r="C31" s="2" t="s">
        <v>124</v>
      </c>
      <c r="D31" s="2" t="s">
        <v>56</v>
      </c>
      <c r="E31" s="3" t="s">
        <v>18</v>
      </c>
      <c r="F31" s="2" t="n">
        <v>4</v>
      </c>
      <c r="G31" s="4" t="n">
        <v>3</v>
      </c>
      <c r="H31" s="4" t="s">
        <v>19</v>
      </c>
      <c r="I31" s="5" t="n">
        <v>0</v>
      </c>
      <c r="J31" s="5" t="n">
        <v>0</v>
      </c>
      <c r="K31" s="5" t="n">
        <f aca="false">MIN(5,MAX(G31+I31,J31))</f>
        <v>3</v>
      </c>
      <c r="L31" s="5" t="n">
        <f aca="false">F31*K31</f>
        <v>12</v>
      </c>
      <c r="M31" s="3" t="s">
        <v>125</v>
      </c>
      <c r="N31" s="3" t="s">
        <v>126</v>
      </c>
      <c r="O31" s="3" t="s">
        <v>127</v>
      </c>
      <c r="P31" s="2" t="s">
        <v>23</v>
      </c>
    </row>
    <row r="32" customFormat="false" ht="35.05" hidden="false" customHeight="false" outlineLevel="0" collapsed="false">
      <c r="A32" s="2" t="n">
        <v>31</v>
      </c>
      <c r="B32" s="2"/>
      <c r="C32" s="2" t="s">
        <v>128</v>
      </c>
      <c r="D32" s="2" t="s">
        <v>56</v>
      </c>
      <c r="E32" s="3" t="s">
        <v>18</v>
      </c>
      <c r="F32" s="2" t="n">
        <v>4</v>
      </c>
      <c r="G32" s="4" t="n">
        <v>3</v>
      </c>
      <c r="H32" s="4" t="s">
        <v>19</v>
      </c>
      <c r="I32" s="5" t="n">
        <v>0</v>
      </c>
      <c r="J32" s="5" t="n">
        <v>0</v>
      </c>
      <c r="K32" s="5" t="n">
        <f aca="false">MIN(5,MAX(G32+I32,J32))</f>
        <v>3</v>
      </c>
      <c r="L32" s="5" t="n">
        <f aca="false">F32*K32</f>
        <v>12</v>
      </c>
      <c r="M32" s="3" t="s">
        <v>129</v>
      </c>
      <c r="N32" s="3" t="s">
        <v>130</v>
      </c>
      <c r="O32" s="3" t="s">
        <v>22</v>
      </c>
      <c r="P32" s="2" t="s">
        <v>23</v>
      </c>
    </row>
    <row r="33" customFormat="false" ht="35.05" hidden="false" customHeight="false" outlineLevel="0" collapsed="false">
      <c r="A33" s="2" t="n">
        <v>32</v>
      </c>
      <c r="B33" s="2"/>
      <c r="C33" s="2" t="s">
        <v>131</v>
      </c>
      <c r="D33" s="2" t="s">
        <v>56</v>
      </c>
      <c r="E33" s="3" t="s">
        <v>18</v>
      </c>
      <c r="F33" s="2" t="n">
        <v>4</v>
      </c>
      <c r="G33" s="6" t="n">
        <v>2</v>
      </c>
      <c r="H33" s="6" t="s">
        <v>25</v>
      </c>
      <c r="I33" s="5" t="n">
        <v>0</v>
      </c>
      <c r="J33" s="5" t="n">
        <v>0</v>
      </c>
      <c r="K33" s="5" t="n">
        <f aca="false">MIN(5,MAX(G33+I33,J33))</f>
        <v>2</v>
      </c>
      <c r="L33" s="5" t="n">
        <f aca="false">F33*K33</f>
        <v>8</v>
      </c>
      <c r="M33" s="3" t="s">
        <v>132</v>
      </c>
      <c r="N33" s="3" t="s">
        <v>133</v>
      </c>
      <c r="O33" s="3" t="s">
        <v>37</v>
      </c>
      <c r="P33" s="2" t="s">
        <v>29</v>
      </c>
    </row>
    <row r="34" customFormat="false" ht="23.85" hidden="false" customHeight="false" outlineLevel="0" collapsed="false">
      <c r="A34" s="2" t="n">
        <v>33</v>
      </c>
      <c r="B34" s="2"/>
      <c r="C34" s="2" t="s">
        <v>134</v>
      </c>
      <c r="D34" s="2" t="s">
        <v>56</v>
      </c>
      <c r="E34" s="3" t="s">
        <v>18</v>
      </c>
      <c r="F34" s="2" t="n">
        <v>4</v>
      </c>
      <c r="G34" s="6" t="n">
        <v>2</v>
      </c>
      <c r="H34" s="6" t="s">
        <v>25</v>
      </c>
      <c r="I34" s="5" t="n">
        <v>0</v>
      </c>
      <c r="J34" s="5" t="n">
        <v>0</v>
      </c>
      <c r="K34" s="5" t="n">
        <f aca="false">MIN(5,MAX(G34+I34,J34))</f>
        <v>2</v>
      </c>
      <c r="L34" s="5" t="n">
        <f aca="false">F34*K34</f>
        <v>8</v>
      </c>
      <c r="M34" s="3" t="s">
        <v>135</v>
      </c>
      <c r="N34" s="3" t="s">
        <v>136</v>
      </c>
      <c r="O34" s="3" t="s">
        <v>22</v>
      </c>
      <c r="P34" s="2" t="s">
        <v>23</v>
      </c>
    </row>
    <row r="35" customFormat="false" ht="23.85" hidden="false" customHeight="false" outlineLevel="0" collapsed="false">
      <c r="A35" s="2" t="n">
        <v>34</v>
      </c>
      <c r="B35" s="2"/>
      <c r="C35" s="2" t="s">
        <v>137</v>
      </c>
      <c r="D35" s="2" t="s">
        <v>56</v>
      </c>
      <c r="E35" s="3" t="s">
        <v>18</v>
      </c>
      <c r="F35" s="2" t="n">
        <v>4</v>
      </c>
      <c r="G35" s="6" t="n">
        <v>2</v>
      </c>
      <c r="H35" s="6" t="s">
        <v>25</v>
      </c>
      <c r="I35" s="5" t="n">
        <v>0</v>
      </c>
      <c r="J35" s="5" t="n">
        <v>0</v>
      </c>
      <c r="K35" s="5" t="n">
        <f aca="false">MIN(5,MAX(G35+I35,J35))</f>
        <v>2</v>
      </c>
      <c r="L35" s="5" t="n">
        <f aca="false">F35*K35</f>
        <v>8</v>
      </c>
      <c r="M35" s="3" t="s">
        <v>138</v>
      </c>
      <c r="N35" s="3" t="s">
        <v>139</v>
      </c>
      <c r="O35" s="3" t="s">
        <v>140</v>
      </c>
      <c r="P35" s="2" t="s">
        <v>29</v>
      </c>
    </row>
    <row r="36" customFormat="false" ht="46.25" hidden="false" customHeight="false" outlineLevel="0" collapsed="false">
      <c r="A36" s="2" t="n">
        <v>35</v>
      </c>
      <c r="B36" s="2"/>
      <c r="C36" s="2" t="s">
        <v>141</v>
      </c>
      <c r="D36" s="2" t="s">
        <v>56</v>
      </c>
      <c r="E36" s="3" t="s">
        <v>18</v>
      </c>
      <c r="F36" s="2" t="n">
        <v>4</v>
      </c>
      <c r="G36" s="4" t="n">
        <v>3</v>
      </c>
      <c r="H36" s="4" t="s">
        <v>19</v>
      </c>
      <c r="I36" s="5" t="n">
        <v>0</v>
      </c>
      <c r="J36" s="5" t="n">
        <v>0</v>
      </c>
      <c r="K36" s="5" t="n">
        <f aca="false">MIN(5,MAX(G36+I36,J36))</f>
        <v>3</v>
      </c>
      <c r="L36" s="5" t="n">
        <f aca="false">F36*K36</f>
        <v>12</v>
      </c>
      <c r="M36" s="3" t="s">
        <v>142</v>
      </c>
      <c r="N36" s="3" t="s">
        <v>143</v>
      </c>
      <c r="O36" s="3" t="s">
        <v>140</v>
      </c>
      <c r="P36" s="2" t="s">
        <v>23</v>
      </c>
    </row>
    <row r="37" customFormat="false" ht="46.25" hidden="false" customHeight="false" outlineLevel="0" collapsed="false">
      <c r="A37" s="2" t="n">
        <v>36</v>
      </c>
      <c r="B37" s="2"/>
      <c r="C37" s="2" t="s">
        <v>144</v>
      </c>
      <c r="D37" s="2" t="s">
        <v>56</v>
      </c>
      <c r="E37" s="3" t="s">
        <v>18</v>
      </c>
      <c r="F37" s="2" t="n">
        <v>4</v>
      </c>
      <c r="G37" s="4" t="n">
        <v>3</v>
      </c>
      <c r="H37" s="4" t="s">
        <v>19</v>
      </c>
      <c r="I37" s="5" t="n">
        <v>0</v>
      </c>
      <c r="J37" s="5" t="n">
        <v>0</v>
      </c>
      <c r="K37" s="5" t="n">
        <f aca="false">MIN(5,MAX(G37+I37,J37))</f>
        <v>3</v>
      </c>
      <c r="L37" s="5" t="n">
        <f aca="false">F37*K37</f>
        <v>12</v>
      </c>
      <c r="M37" s="3" t="s">
        <v>145</v>
      </c>
      <c r="N37" s="3" t="s">
        <v>146</v>
      </c>
      <c r="O37" s="3" t="s">
        <v>140</v>
      </c>
      <c r="P37" s="2" t="s">
        <v>23</v>
      </c>
    </row>
    <row r="38" customFormat="false" ht="23.85" hidden="false" customHeight="false" outlineLevel="0" collapsed="false">
      <c r="A38" s="2" t="n">
        <v>37</v>
      </c>
      <c r="B38" s="2"/>
      <c r="C38" s="2" t="s">
        <v>147</v>
      </c>
      <c r="D38" s="2" t="s">
        <v>56</v>
      </c>
      <c r="E38" s="3" t="s">
        <v>18</v>
      </c>
      <c r="F38" s="2" t="n">
        <v>4</v>
      </c>
      <c r="G38" s="4" t="n">
        <v>3</v>
      </c>
      <c r="H38" s="4" t="s">
        <v>19</v>
      </c>
      <c r="I38" s="5" t="n">
        <v>0</v>
      </c>
      <c r="J38" s="5" t="n">
        <v>0</v>
      </c>
      <c r="K38" s="5" t="n">
        <f aca="false">MIN(5,MAX(G38+I38,J38))</f>
        <v>3</v>
      </c>
      <c r="L38" s="5" t="n">
        <f aca="false">F38*K38</f>
        <v>12</v>
      </c>
      <c r="M38" s="3" t="s">
        <v>148</v>
      </c>
      <c r="N38" s="3" t="s">
        <v>149</v>
      </c>
      <c r="O38" s="3" t="s">
        <v>150</v>
      </c>
      <c r="P38" s="2" t="s">
        <v>23</v>
      </c>
    </row>
    <row r="39" customFormat="false" ht="23.85" hidden="false" customHeight="false" outlineLevel="0" collapsed="false">
      <c r="A39" s="2" t="n">
        <v>38</v>
      </c>
      <c r="B39" s="2"/>
      <c r="C39" s="2" t="s">
        <v>151</v>
      </c>
      <c r="D39" s="2" t="s">
        <v>56</v>
      </c>
      <c r="E39" s="3" t="s">
        <v>18</v>
      </c>
      <c r="F39" s="2" t="n">
        <v>4</v>
      </c>
      <c r="G39" s="4" t="n">
        <v>3</v>
      </c>
      <c r="H39" s="4" t="s">
        <v>19</v>
      </c>
      <c r="I39" s="5" t="n">
        <v>0</v>
      </c>
      <c r="J39" s="5" t="n">
        <v>0</v>
      </c>
      <c r="K39" s="5" t="n">
        <f aca="false">MIN(5,MAX(G39+I39,J39))</f>
        <v>3</v>
      </c>
      <c r="L39" s="5" t="n">
        <f aca="false">F39*K39</f>
        <v>12</v>
      </c>
      <c r="M39" s="3" t="s">
        <v>152</v>
      </c>
      <c r="N39" s="3" t="s">
        <v>153</v>
      </c>
      <c r="O39" s="3" t="s">
        <v>154</v>
      </c>
      <c r="P39" s="2" t="s">
        <v>23</v>
      </c>
    </row>
    <row r="40" customFormat="false" ht="35.05" hidden="false" customHeight="false" outlineLevel="0" collapsed="false">
      <c r="A40" s="2" t="n">
        <v>39</v>
      </c>
      <c r="B40" s="2"/>
      <c r="C40" s="2" t="s">
        <v>155</v>
      </c>
      <c r="D40" s="2" t="s">
        <v>56</v>
      </c>
      <c r="E40" s="3" t="s">
        <v>18</v>
      </c>
      <c r="F40" s="2" t="n">
        <v>4</v>
      </c>
      <c r="G40" s="4" t="n">
        <v>3</v>
      </c>
      <c r="H40" s="4" t="s">
        <v>19</v>
      </c>
      <c r="I40" s="5" t="n">
        <v>0</v>
      </c>
      <c r="J40" s="5" t="n">
        <v>0</v>
      </c>
      <c r="K40" s="5" t="n">
        <f aca="false">MIN(5,MAX(G40+I40,J40))</f>
        <v>3</v>
      </c>
      <c r="L40" s="5" t="n">
        <f aca="false">F40*K40</f>
        <v>12</v>
      </c>
      <c r="M40" s="3" t="s">
        <v>156</v>
      </c>
      <c r="N40" s="3" t="s">
        <v>157</v>
      </c>
      <c r="O40" s="3" t="s">
        <v>48</v>
      </c>
      <c r="P40" s="2" t="s">
        <v>23</v>
      </c>
    </row>
    <row r="41" customFormat="false" ht="35.05" hidden="false" customHeight="false" outlineLevel="0" collapsed="false">
      <c r="A41" s="2" t="n">
        <v>40</v>
      </c>
      <c r="B41" s="2"/>
      <c r="C41" s="2" t="s">
        <v>158</v>
      </c>
      <c r="D41" s="2" t="s">
        <v>56</v>
      </c>
      <c r="E41" s="3" t="s">
        <v>18</v>
      </c>
      <c r="F41" s="2" t="n">
        <v>4</v>
      </c>
      <c r="G41" s="4" t="n">
        <v>3</v>
      </c>
      <c r="H41" s="4" t="s">
        <v>19</v>
      </c>
      <c r="I41" s="5" t="n">
        <v>0</v>
      </c>
      <c r="J41" s="5" t="n">
        <v>0</v>
      </c>
      <c r="K41" s="5" t="n">
        <f aca="false">MIN(5,MAX(G41+I41,J41))</f>
        <v>3</v>
      </c>
      <c r="L41" s="5" t="n">
        <f aca="false">F41*K41</f>
        <v>12</v>
      </c>
      <c r="M41" s="3" t="s">
        <v>159</v>
      </c>
      <c r="N41" s="3" t="s">
        <v>160</v>
      </c>
      <c r="O41" s="3" t="s">
        <v>154</v>
      </c>
      <c r="P41" s="2" t="s">
        <v>23</v>
      </c>
    </row>
    <row r="42" customFormat="false" ht="23.85" hidden="false" customHeight="false" outlineLevel="0" collapsed="false">
      <c r="A42" s="2" t="n">
        <v>41</v>
      </c>
      <c r="B42" s="2"/>
      <c r="C42" s="2" t="s">
        <v>161</v>
      </c>
      <c r="D42" s="2" t="s">
        <v>56</v>
      </c>
      <c r="E42" s="3" t="s">
        <v>18</v>
      </c>
      <c r="F42" s="2" t="n">
        <v>4</v>
      </c>
      <c r="G42" s="6" t="n">
        <v>2</v>
      </c>
      <c r="H42" s="6" t="s">
        <v>25</v>
      </c>
      <c r="I42" s="5" t="n">
        <v>0</v>
      </c>
      <c r="J42" s="5" t="n">
        <v>0</v>
      </c>
      <c r="K42" s="5" t="n">
        <f aca="false">MIN(5,MAX(G42+I42,J42))</f>
        <v>2</v>
      </c>
      <c r="L42" s="5" t="n">
        <f aca="false">F42*K42</f>
        <v>8</v>
      </c>
      <c r="M42" s="3" t="s">
        <v>162</v>
      </c>
      <c r="N42" s="3" t="s">
        <v>163</v>
      </c>
      <c r="O42" s="3" t="s">
        <v>37</v>
      </c>
      <c r="P42" s="2" t="s">
        <v>23</v>
      </c>
    </row>
    <row r="43" customFormat="false" ht="35.05" hidden="false" customHeight="false" outlineLevel="0" collapsed="false">
      <c r="A43" s="2" t="n">
        <v>42</v>
      </c>
      <c r="B43" s="2"/>
      <c r="C43" s="2" t="s">
        <v>164</v>
      </c>
      <c r="D43" s="2" t="s">
        <v>56</v>
      </c>
      <c r="E43" s="3" t="s">
        <v>18</v>
      </c>
      <c r="F43" s="2" t="n">
        <v>4</v>
      </c>
      <c r="G43" s="4" t="n">
        <v>3</v>
      </c>
      <c r="H43" s="4" t="s">
        <v>19</v>
      </c>
      <c r="I43" s="5" t="n">
        <v>0</v>
      </c>
      <c r="J43" s="5" t="n">
        <v>0</v>
      </c>
      <c r="K43" s="5" t="n">
        <f aca="false">MIN(5,MAX(G43+I43,J43))</f>
        <v>3</v>
      </c>
      <c r="L43" s="5" t="n">
        <f aca="false">F43*K43</f>
        <v>12</v>
      </c>
      <c r="M43" s="3" t="s">
        <v>165</v>
      </c>
      <c r="N43" s="3" t="s">
        <v>166</v>
      </c>
      <c r="O43" s="3" t="s">
        <v>48</v>
      </c>
      <c r="P43" s="2" t="s">
        <v>23</v>
      </c>
    </row>
    <row r="44" customFormat="false" ht="23.85" hidden="false" customHeight="false" outlineLevel="0" collapsed="false">
      <c r="A44" s="2" t="n">
        <v>43</v>
      </c>
      <c r="B44" s="2"/>
      <c r="C44" s="2" t="s">
        <v>167</v>
      </c>
      <c r="D44" s="2" t="s">
        <v>56</v>
      </c>
      <c r="E44" s="3" t="s">
        <v>18</v>
      </c>
      <c r="F44" s="2" t="n">
        <v>4</v>
      </c>
      <c r="G44" s="6" t="n">
        <v>2</v>
      </c>
      <c r="H44" s="6" t="s">
        <v>25</v>
      </c>
      <c r="I44" s="5" t="n">
        <v>0</v>
      </c>
      <c r="J44" s="5" t="n">
        <v>0</v>
      </c>
      <c r="K44" s="5" t="n">
        <f aca="false">MIN(5,MAX(G44+I44,J44))</f>
        <v>2</v>
      </c>
      <c r="L44" s="5" t="n">
        <f aca="false">F44*K44</f>
        <v>8</v>
      </c>
      <c r="M44" s="3" t="s">
        <v>168</v>
      </c>
      <c r="N44" s="3" t="s">
        <v>169</v>
      </c>
      <c r="O44" s="3" t="s">
        <v>37</v>
      </c>
      <c r="P44" s="2" t="s">
        <v>23</v>
      </c>
    </row>
    <row r="45" customFormat="false" ht="23.85" hidden="false" customHeight="false" outlineLevel="0" collapsed="false">
      <c r="A45" s="2" t="n">
        <v>44</v>
      </c>
      <c r="B45" s="2"/>
      <c r="C45" s="2" t="s">
        <v>170</v>
      </c>
      <c r="D45" s="2" t="s">
        <v>56</v>
      </c>
      <c r="E45" s="3" t="s">
        <v>18</v>
      </c>
      <c r="F45" s="2" t="n">
        <v>4</v>
      </c>
      <c r="G45" s="4" t="n">
        <v>3</v>
      </c>
      <c r="H45" s="4" t="s">
        <v>19</v>
      </c>
      <c r="I45" s="5" t="n">
        <v>0</v>
      </c>
      <c r="J45" s="5" t="n">
        <v>0</v>
      </c>
      <c r="K45" s="5" t="n">
        <f aca="false">MIN(5,MAX(G45+I45,J45))</f>
        <v>3</v>
      </c>
      <c r="L45" s="5" t="n">
        <f aca="false">F45*K45</f>
        <v>12</v>
      </c>
      <c r="M45" s="3" t="s">
        <v>171</v>
      </c>
      <c r="N45" s="3" t="s">
        <v>172</v>
      </c>
      <c r="O45" s="3" t="s">
        <v>173</v>
      </c>
      <c r="P45" s="2" t="s">
        <v>23</v>
      </c>
    </row>
    <row r="46" customFormat="false" ht="23.85" hidden="false" customHeight="false" outlineLevel="0" collapsed="false">
      <c r="A46" s="2" t="n">
        <v>45</v>
      </c>
      <c r="B46" s="2"/>
      <c r="C46" s="2" t="s">
        <v>174</v>
      </c>
      <c r="D46" s="2" t="s">
        <v>56</v>
      </c>
      <c r="E46" s="3" t="s">
        <v>18</v>
      </c>
      <c r="F46" s="2" t="n">
        <v>4</v>
      </c>
      <c r="G46" s="6" t="n">
        <v>2</v>
      </c>
      <c r="H46" s="6" t="s">
        <v>25</v>
      </c>
      <c r="I46" s="5" t="n">
        <v>0</v>
      </c>
      <c r="J46" s="5" t="n">
        <v>0</v>
      </c>
      <c r="K46" s="5" t="n">
        <f aca="false">MIN(5,MAX(G46+I46,J46))</f>
        <v>2</v>
      </c>
      <c r="L46" s="5" t="n">
        <f aca="false">F46*K46</f>
        <v>8</v>
      </c>
      <c r="M46" s="3" t="s">
        <v>175</v>
      </c>
      <c r="N46" s="3" t="s">
        <v>176</v>
      </c>
      <c r="O46" s="3" t="s">
        <v>37</v>
      </c>
      <c r="P46" s="2" t="s">
        <v>29</v>
      </c>
    </row>
    <row r="47" customFormat="false" ht="35.05" hidden="false" customHeight="false" outlineLevel="0" collapsed="false">
      <c r="A47" s="2" t="n">
        <v>46</v>
      </c>
      <c r="B47" s="2"/>
      <c r="C47" s="2" t="s">
        <v>177</v>
      </c>
      <c r="D47" s="2" t="s">
        <v>56</v>
      </c>
      <c r="E47" s="3" t="s">
        <v>18</v>
      </c>
      <c r="F47" s="2" t="n">
        <v>4</v>
      </c>
      <c r="G47" s="6" t="n">
        <v>2</v>
      </c>
      <c r="H47" s="6" t="s">
        <v>25</v>
      </c>
      <c r="I47" s="5" t="n">
        <v>0</v>
      </c>
      <c r="J47" s="5" t="n">
        <v>0</v>
      </c>
      <c r="K47" s="5" t="n">
        <f aca="false">MIN(5,MAX(G47+I47,J47))</f>
        <v>2</v>
      </c>
      <c r="L47" s="5" t="n">
        <f aca="false">F47*K47</f>
        <v>8</v>
      </c>
      <c r="M47" s="3" t="s">
        <v>178</v>
      </c>
      <c r="N47" s="3" t="s">
        <v>179</v>
      </c>
      <c r="O47" s="3" t="s">
        <v>37</v>
      </c>
      <c r="P47" s="2" t="s">
        <v>29</v>
      </c>
    </row>
    <row r="48" customFormat="false" ht="35.05" hidden="false" customHeight="false" outlineLevel="0" collapsed="false">
      <c r="A48" s="2" t="n">
        <v>47</v>
      </c>
      <c r="B48" s="2"/>
      <c r="C48" s="2" t="s">
        <v>180</v>
      </c>
      <c r="D48" s="2" t="s">
        <v>56</v>
      </c>
      <c r="E48" s="3" t="s">
        <v>18</v>
      </c>
      <c r="F48" s="2" t="n">
        <v>4</v>
      </c>
      <c r="G48" s="4" t="n">
        <v>3</v>
      </c>
      <c r="H48" s="4" t="s">
        <v>19</v>
      </c>
      <c r="I48" s="5" t="n">
        <v>0</v>
      </c>
      <c r="J48" s="5" t="n">
        <v>0</v>
      </c>
      <c r="K48" s="5" t="n">
        <f aca="false">MIN(5,MAX(G48+I48,J48))</f>
        <v>3</v>
      </c>
      <c r="L48" s="5" t="n">
        <f aca="false">F48*K48</f>
        <v>12</v>
      </c>
      <c r="M48" s="3" t="s">
        <v>181</v>
      </c>
      <c r="N48" s="3" t="s">
        <v>182</v>
      </c>
      <c r="O48" s="3" t="s">
        <v>183</v>
      </c>
      <c r="P48" s="2" t="s">
        <v>23</v>
      </c>
    </row>
    <row r="49" customFormat="false" ht="23.85" hidden="false" customHeight="false" outlineLevel="0" collapsed="false">
      <c r="A49" s="2" t="n">
        <v>48</v>
      </c>
      <c r="B49" s="2"/>
      <c r="C49" s="2" t="s">
        <v>184</v>
      </c>
      <c r="D49" s="2" t="s">
        <v>56</v>
      </c>
      <c r="E49" s="3" t="s">
        <v>18</v>
      </c>
      <c r="F49" s="2" t="n">
        <v>4</v>
      </c>
      <c r="G49" s="6" t="n">
        <v>2</v>
      </c>
      <c r="H49" s="6" t="s">
        <v>25</v>
      </c>
      <c r="I49" s="5" t="n">
        <v>0</v>
      </c>
      <c r="J49" s="5" t="n">
        <v>0</v>
      </c>
      <c r="K49" s="5" t="n">
        <f aca="false">MIN(5,MAX(G49+I49,J49))</f>
        <v>2</v>
      </c>
      <c r="L49" s="5" t="n">
        <f aca="false">F49*K49</f>
        <v>8</v>
      </c>
      <c r="M49" s="3" t="s">
        <v>185</v>
      </c>
      <c r="N49" s="3" t="s">
        <v>186</v>
      </c>
      <c r="O49" s="3" t="s">
        <v>48</v>
      </c>
      <c r="P49" s="2" t="s">
        <v>23</v>
      </c>
    </row>
    <row r="50" customFormat="false" ht="35.05" hidden="false" customHeight="false" outlineLevel="0" collapsed="false">
      <c r="A50" s="2" t="n">
        <v>49</v>
      </c>
      <c r="B50" s="2"/>
      <c r="C50" s="2" t="s">
        <v>187</v>
      </c>
      <c r="D50" s="2" t="s">
        <v>56</v>
      </c>
      <c r="E50" s="3" t="s">
        <v>18</v>
      </c>
      <c r="F50" s="2" t="n">
        <v>4</v>
      </c>
      <c r="G50" s="6" t="n">
        <v>2</v>
      </c>
      <c r="H50" s="6" t="s">
        <v>25</v>
      </c>
      <c r="I50" s="5" t="n">
        <v>0</v>
      </c>
      <c r="J50" s="5" t="n">
        <v>0</v>
      </c>
      <c r="K50" s="5" t="n">
        <f aca="false">MIN(5,MAX(G50+I50,J50))</f>
        <v>2</v>
      </c>
      <c r="L50" s="5" t="n">
        <f aca="false">F50*K50</f>
        <v>8</v>
      </c>
      <c r="M50" s="3" t="s">
        <v>188</v>
      </c>
      <c r="N50" s="3" t="s">
        <v>189</v>
      </c>
      <c r="O50" s="3" t="s">
        <v>37</v>
      </c>
      <c r="P50" s="2" t="s">
        <v>29</v>
      </c>
    </row>
    <row r="51" customFormat="false" ht="23.85" hidden="false" customHeight="false" outlineLevel="0" collapsed="false">
      <c r="A51" s="2" t="n">
        <v>50</v>
      </c>
      <c r="B51" s="2"/>
      <c r="C51" s="2" t="s">
        <v>190</v>
      </c>
      <c r="D51" s="2" t="s">
        <v>56</v>
      </c>
      <c r="E51" s="3" t="s">
        <v>18</v>
      </c>
      <c r="F51" s="2" t="n">
        <v>4</v>
      </c>
      <c r="G51" s="6" t="n">
        <v>2</v>
      </c>
      <c r="H51" s="6" t="s">
        <v>25</v>
      </c>
      <c r="I51" s="5" t="n">
        <v>0</v>
      </c>
      <c r="J51" s="5" t="n">
        <v>0</v>
      </c>
      <c r="K51" s="5" t="n">
        <f aca="false">MIN(5,MAX(G51+I51,J51))</f>
        <v>2</v>
      </c>
      <c r="L51" s="5" t="n">
        <f aca="false">F51*K51</f>
        <v>8</v>
      </c>
      <c r="M51" s="3" t="s">
        <v>191</v>
      </c>
      <c r="N51" s="3" t="s">
        <v>192</v>
      </c>
      <c r="O51" s="3" t="s">
        <v>193</v>
      </c>
      <c r="P51" s="2" t="s">
        <v>29</v>
      </c>
    </row>
    <row r="53" customFormat="false" ht="15" hidden="false" customHeight="false" outlineLevel="0" collapsed="false">
      <c r="A53" s="7" t="s">
        <v>194</v>
      </c>
    </row>
  </sheetData>
  <autoFilter ref="A1:P5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5" min="5" style="0" width="11"/>
  </cols>
  <sheetData>
    <row r="1" customFormat="false" ht="16.15" hidden="false" customHeight="false" outlineLevel="0" collapsed="false">
      <c r="A1" s="8" t="s">
        <v>195</v>
      </c>
    </row>
    <row r="2" customFormat="false" ht="15" hidden="false" customHeight="false" outlineLevel="0" collapsed="false">
      <c r="A2" s="7" t="s">
        <v>196</v>
      </c>
    </row>
    <row r="4" customFormat="false" ht="15" hidden="false" customHeight="false" outlineLevel="0" collapsed="false">
      <c r="A4" s="1" t="s">
        <v>6</v>
      </c>
      <c r="B4" s="1" t="s">
        <v>197</v>
      </c>
      <c r="C4" s="1" t="s">
        <v>198</v>
      </c>
      <c r="D4" s="1" t="s">
        <v>5</v>
      </c>
      <c r="E4" s="1" t="s">
        <v>199</v>
      </c>
    </row>
    <row r="5" customFormat="false" ht="15" hidden="false" customHeight="false" outlineLevel="0" collapsed="false">
      <c r="A5" s="9" t="n">
        <v>0</v>
      </c>
      <c r="B5" s="9" t="s">
        <v>200</v>
      </c>
      <c r="C5" s="9" t="n">
        <f aca="false">COUNTIF(Evaluation!$G$2:$G$51,A5)</f>
        <v>0</v>
      </c>
      <c r="D5" s="9" t="n">
        <f aca="false">SUMIF(Evaluation!$G$2:$G$51,A5,Evaluation!$F$2:$F$51)</f>
        <v>0</v>
      </c>
      <c r="E5" s="10" t="n">
        <f aca="false">IF(SUM($D$5:$D$10)=0,0,D5/SUM($D$5:$D$10))</f>
        <v>0</v>
      </c>
    </row>
    <row r="6" customFormat="false" ht="15" hidden="false" customHeight="false" outlineLevel="0" collapsed="false">
      <c r="A6" s="11" t="n">
        <v>1</v>
      </c>
      <c r="B6" s="11" t="s">
        <v>201</v>
      </c>
      <c r="C6" s="11" t="n">
        <f aca="false">COUNTIF(Evaluation!$G$2:$G$51,A6)</f>
        <v>0</v>
      </c>
      <c r="D6" s="11" t="n">
        <f aca="false">SUMIF(Evaluation!$G$2:$G$51,A6,Evaluation!$F$2:$F$51)</f>
        <v>0</v>
      </c>
      <c r="E6" s="12" t="n">
        <f aca="false">IF(SUM($D$5:$D$10)=0,0,D6/SUM($D$5:$D$10))</f>
        <v>0</v>
      </c>
    </row>
    <row r="7" customFormat="false" ht="15" hidden="false" customHeight="false" outlineLevel="0" collapsed="false">
      <c r="A7" s="13" t="n">
        <v>2</v>
      </c>
      <c r="B7" s="13" t="s">
        <v>25</v>
      </c>
      <c r="C7" s="13" t="n">
        <f aca="false">COUNTIF(Evaluation!$G$2:$G$51,A7)</f>
        <v>25</v>
      </c>
      <c r="D7" s="13" t="n">
        <f aca="false">SUMIF(Evaluation!$G$2:$G$51,A7,Evaluation!$F$2:$F$51)</f>
        <v>96</v>
      </c>
      <c r="E7" s="14" t="n">
        <f aca="false">IF(SUM($D$5:$D$10)=0,0,D7/SUM($D$5:$D$10))</f>
        <v>0.50261780104712</v>
      </c>
    </row>
    <row r="8" customFormat="false" ht="15" hidden="false" customHeight="false" outlineLevel="0" collapsed="false">
      <c r="A8" s="15" t="n">
        <v>3</v>
      </c>
      <c r="B8" s="15" t="s">
        <v>19</v>
      </c>
      <c r="C8" s="15" t="n">
        <f aca="false">COUNTIF(Evaluation!$G$2:$G$51,A8)</f>
        <v>25</v>
      </c>
      <c r="D8" s="15" t="n">
        <f aca="false">SUMIF(Evaluation!$G$2:$G$51,A8,Evaluation!$F$2:$F$51)</f>
        <v>95</v>
      </c>
      <c r="E8" s="16" t="n">
        <f aca="false">IF(SUM($D$5:$D$10)=0,0,D8/SUM($D$5:$D$10))</f>
        <v>0.49738219895288</v>
      </c>
    </row>
    <row r="9" customFormat="false" ht="15" hidden="false" customHeight="false" outlineLevel="0" collapsed="false">
      <c r="A9" s="17" t="n">
        <v>4</v>
      </c>
      <c r="B9" s="17" t="s">
        <v>202</v>
      </c>
      <c r="C9" s="17" t="n">
        <f aca="false">COUNTIF(Evaluation!$G$2:$G$51,A9)</f>
        <v>0</v>
      </c>
      <c r="D9" s="17" t="n">
        <f aca="false">SUMIF(Evaluation!$G$2:$G$51,A9,Evaluation!$F$2:$F$51)</f>
        <v>0</v>
      </c>
      <c r="E9" s="18" t="n">
        <f aca="false">IF(SUM($D$5:$D$10)=0,0,D9/SUM($D$5:$D$10))</f>
        <v>0</v>
      </c>
    </row>
    <row r="10" customFormat="false" ht="15" hidden="false" customHeight="false" outlineLevel="0" collapsed="false">
      <c r="A10" s="19" t="n">
        <v>5</v>
      </c>
      <c r="B10" s="19" t="s">
        <v>203</v>
      </c>
      <c r="C10" s="19" t="n">
        <f aca="false">COUNTIF(Evaluation!$G$2:$G$51,A10)</f>
        <v>0</v>
      </c>
      <c r="D10" s="19" t="n">
        <f aca="false">SUMIF(Evaluation!$G$2:$G$51,A10,Evaluation!$F$2:$F$51)</f>
        <v>0</v>
      </c>
      <c r="E10" s="20" t="n">
        <f aca="false">IF(SUM($D$5:$D$10)=0,0,D10/SUM($D$5:$D$10))</f>
        <v>0</v>
      </c>
    </row>
    <row r="11" customFormat="false" ht="15" hidden="false" customHeight="false" outlineLevel="0" collapsed="false">
      <c r="A11" s="21" t="s">
        <v>204</v>
      </c>
      <c r="C11" s="21" t="n">
        <f aca="false">SUM(C5:C10)</f>
        <v>50</v>
      </c>
      <c r="D11" s="21" t="n">
        <f aca="false">SUM(D5:D10)</f>
        <v>191</v>
      </c>
    </row>
    <row r="13" customFormat="false" ht="46.25" hidden="false" customHeight="false" outlineLevel="0" collapsed="false">
      <c r="A13" s="1" t="s">
        <v>205</v>
      </c>
      <c r="B13" s="1" t="s">
        <v>206</v>
      </c>
      <c r="C13" s="1" t="s">
        <v>207</v>
      </c>
      <c r="D13" s="1" t="s">
        <v>5</v>
      </c>
      <c r="E13" s="1" t="s">
        <v>208</v>
      </c>
    </row>
    <row r="14" customFormat="false" ht="15" hidden="false" customHeight="false" outlineLevel="0" collapsed="false">
      <c r="A14" s="21" t="s">
        <v>209</v>
      </c>
      <c r="B14" s="22" t="n">
        <f aca="false">SUM(Evaluation!$L$2:$L$51)/SUM(Evaluation!$F$2:$F$51)</f>
        <v>2.49738219895288</v>
      </c>
      <c r="C14" s="22" t="n">
        <f aca="false">SUMPRODUCT(Evaluation!$F$2:$F$51,Evaluation!$G$2:$G$51)/SUM(Evaluation!$F$2:$F$51)</f>
        <v>2.49738219895288</v>
      </c>
      <c r="D14" s="21" t="n">
        <f aca="false">SUM(Evaluation!$F$2:$F$51)</f>
        <v>191</v>
      </c>
      <c r="E14" s="22" t="n">
        <f aca="false">AVERAGE(Evaluation!$G$2:$G$51)</f>
        <v>2.5</v>
      </c>
    </row>
    <row r="16" customFormat="false" ht="15" hidden="false" customHeight="false" outlineLevel="0" collapsed="false">
      <c r="A16" s="7" t="s">
        <v>210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3" min="3" style="0" width="11"/>
    <col collapsed="false" customWidth="true" hidden="false" outlineLevel="0" max="5" min="4" style="0" width="13"/>
    <col collapsed="false" customWidth="true" hidden="false" outlineLevel="0" max="6" min="6" style="0" width="15"/>
  </cols>
  <sheetData>
    <row r="1" customFormat="false" ht="16.15" hidden="false" customHeight="false" outlineLevel="0" collapsed="false">
      <c r="A1" s="8" t="s">
        <v>211</v>
      </c>
    </row>
    <row r="3" customFormat="false" ht="23.85" hidden="false" customHeight="false" outlineLevel="0" collapsed="false">
      <c r="A3" s="1" t="s">
        <v>212</v>
      </c>
      <c r="B3" s="1" t="s">
        <v>213</v>
      </c>
      <c r="C3" s="1" t="s">
        <v>208</v>
      </c>
      <c r="D3" s="1" t="s">
        <v>214</v>
      </c>
      <c r="E3" s="1" t="s">
        <v>215</v>
      </c>
      <c r="F3" s="1" t="s">
        <v>216</v>
      </c>
    </row>
    <row r="4" customFormat="false" ht="15" hidden="false" customHeight="false" outlineLevel="0" collapsed="false">
      <c r="A4" s="23" t="n">
        <v>2021</v>
      </c>
      <c r="B4" s="24" t="n">
        <v>2.75833333333333</v>
      </c>
      <c r="C4" s="24" t="n">
        <v>2.89473684210526</v>
      </c>
      <c r="D4" s="23" t="n">
        <v>16</v>
      </c>
      <c r="E4" s="23" t="n">
        <v>34</v>
      </c>
      <c r="F4" s="23" t="n">
        <v>1</v>
      </c>
    </row>
    <row r="5" customFormat="false" ht="15" hidden="false" customHeight="false" outlineLevel="0" collapsed="false">
      <c r="A5" s="23" t="n">
        <v>2023</v>
      </c>
      <c r="B5" s="24" t="n">
        <v>3.19166666666667</v>
      </c>
      <c r="C5" s="24" t="n">
        <v>3.14705882352941</v>
      </c>
      <c r="D5" s="23" t="n">
        <v>13</v>
      </c>
      <c r="E5" s="23" t="n">
        <v>47</v>
      </c>
      <c r="F5" s="23" t="n">
        <v>5</v>
      </c>
    </row>
    <row r="6" customFormat="false" ht="15" hidden="false" customHeight="false" outlineLevel="0" collapsed="false">
      <c r="A6" s="23" t="n">
        <v>2024</v>
      </c>
      <c r="B6" s="24" t="n">
        <v>2.59166666666667</v>
      </c>
      <c r="C6" s="24" t="n">
        <v>2.55882352941176</v>
      </c>
      <c r="D6" s="23" t="n">
        <v>28</v>
      </c>
      <c r="E6" s="23" t="n">
        <v>40</v>
      </c>
      <c r="F6" s="23" t="n">
        <v>1</v>
      </c>
    </row>
    <row r="7" customFormat="false" ht="15" hidden="false" customHeight="false" outlineLevel="0" collapsed="false">
      <c r="A7" s="23" t="n">
        <v>2025</v>
      </c>
      <c r="B7" s="24" t="n">
        <v>3.20833333333333</v>
      </c>
      <c r="C7" s="24" t="n">
        <v>3.1875</v>
      </c>
      <c r="D7" s="23" t="n">
        <v>8</v>
      </c>
      <c r="E7" s="23" t="n">
        <v>65</v>
      </c>
      <c r="F7" s="23" t="n">
        <v>1</v>
      </c>
    </row>
    <row r="8" customFormat="false" ht="15" hidden="false" customHeight="false" outlineLevel="0" collapsed="false">
      <c r="A8" s="23" t="n">
        <v>2026</v>
      </c>
      <c r="B8" s="24" t="n">
        <v>3.025</v>
      </c>
      <c r="C8" s="24" t="n">
        <v>2.94117647058824</v>
      </c>
      <c r="D8" s="23" t="n">
        <v>6</v>
      </c>
      <c r="E8" s="23" t="n">
        <v>38</v>
      </c>
      <c r="F8" s="23" t="n">
        <v>2</v>
      </c>
    </row>
    <row r="9" customFormat="false" ht="15" hidden="false" customHeight="false" outlineLevel="0" collapsed="false">
      <c r="A9" s="21" t="s">
        <v>217</v>
      </c>
      <c r="B9" s="22" t="n">
        <f aca="false">Summary!B14</f>
        <v>2.49738219895288</v>
      </c>
      <c r="C9" s="22" t="n">
        <f aca="false">Summary!E14</f>
        <v>2.5</v>
      </c>
      <c r="D9" s="21" t="n">
        <f aca="false">Summary!D5+Summary!D6</f>
        <v>0</v>
      </c>
      <c r="E9" s="21" t="n">
        <f aca="false">Summary!D9+Summary!D10</f>
        <v>0</v>
      </c>
      <c r="F9" s="21" t="n">
        <f aca="false">Summary!C10</f>
        <v>0</v>
      </c>
    </row>
    <row r="11" customFormat="false" ht="15" hidden="false" customHeight="false" outlineLevel="0" collapsed="false">
      <c r="A11" s="7" t="s">
        <v>218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2026-10-19T09:22:40Z</dcterms:created>
  <dc:creator>openpyxl</dc:creator>
  <dc:description/>
  <dc:language>en-US</dc:language>
  <cp:lastModifiedBy/>
  <dcterms:modified xsi:type="dcterms:W3CDTF">2026-10-19T09:22:40Z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