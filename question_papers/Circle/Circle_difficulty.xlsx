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<sst xmlns="http://schemas.openxmlformats.org/spreadsheetml/2006/main" count="327" uniqueCount="165">
  <si>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</si>
  <si>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</si>
  <si>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</si>
  <si>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</si>
  <si>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</si>
  <si>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</si>
  <si>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</si>
  <si>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</si>
  <si>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</si>
  <si>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</si>
  <si>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</si>
  <si>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</si>
  <si>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</si>
  <si>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</si>
  <si>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</si>
  <si>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</si>
  <si>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</si>
  <si>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</si>
  <si>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Circle</t>
  </si>
  <si>
    <t xml:space="preserve">Easier than Advanced</t>
  </si>
  <si>
    <t xml:space="preserve">Recognise that {angle APB &gt;= pi/3, y&gt;0} is the major segment of the circle through A, B with r = 2 sqrt 3, then segment area.</t>
  </si>
  <si>
    <t xml:space="preserve">Two routine circle facts (angle at centre, segment area) chained, plus the translation of an inequality into a region; no non-standard idea. Comparable to 2026-P1-Q2 (L2) in demand.</t>
  </si>
  <si>
    <t xml:space="preserve">2026-P1-Q2 (L2)</t>
  </si>
  <si>
    <t xml:space="preserve">High</t>
  </si>
  <si>
    <t xml:space="preserve">Q02</t>
  </si>
  <si>
    <t xml:space="preserve">Solve the three equations from the two intercepts and the point, then use S(0,0) = c to test the origin.</t>
  </si>
  <si>
    <t xml:space="preserve">A chain of standard formulas (intercepts, point on circle, position by sign of S) with a two-way case split; no insight needed. Matches the routine multi-step L2 anchors such as 2026-P1-Q2 (L2).</t>
  </si>
  <si>
    <t xml:space="preserve">Q03</t>
  </si>
  <si>
    <t xml:space="preserve">Turn the half-angle product into the fixed point (9/2, 0) through the parametric chord, then the midpoint locus is the circle on OA as diameter.</t>
  </si>
  <si>
    <t xml:space="preserve">Two familiar coaching results chained (parametric chord through a fixed point, midpoint locus of chords through a point); each is routine for a prepared student, so L2 rather than L3. Nearest 2026-P1-Q2 (L2); 2021-P1-Q1 (L3) needs more.</t>
  </si>
  <si>
    <t xml:space="preserve">Medium</t>
  </si>
  <si>
    <t xml:space="preserve">Q04</t>
  </si>
  <si>
    <t xml:space="preserve">Recognise PT as the tangent length from P to C1, so P is on the radical axis S1 - S2 = 0.</t>
  </si>
  <si>
    <t xml:space="preserve">A short chain of standard results (tangent at a point, tangent length as power, radical axis) with one recognition step; comparable to the routine L2 circle anchors such as 2026-P1-Q2 (L2).</t>
  </si>
  <si>
    <t xml:space="preserve">Q05</t>
  </si>
  <si>
    <t xml:space="preserve">Distance from the focus to the tangent at t is sqrt(1 + t^2); equate to sqrt 5 to get t = +-2.</t>
  </si>
  <si>
    <t xml:space="preserve">Parametric tangent plus the distance condition, then a triangle area: a routine chain with a pleasant simplification, no new idea. Comparable to 2026-P2-Q2 (L2) on parabola tangents.</t>
  </si>
  <si>
    <t xml:space="preserve">2026-P2-Q2 (L2)</t>
  </si>
  <si>
    <t xml:space="preserve">Q06</t>
  </si>
  <si>
    <t xml:space="preserve">Average Advanced</t>
  </si>
  <si>
    <t xml:space="preserve">Set the two polars proportional, see that q must be 0, and solve p^2 - 5p + 4 = 0; then the chord of contact of (4,0).</t>
  </si>
  <si>
    <t xml:space="preserve">The defining property (equal polars) is unfamiliar and must be decoded through proportional coefficients, then linked to a chord of contact: two ideas linked. Placed with 2021-P1-Q1 (L3) and below the radical-axis anchor 2023-P2-Q13 (L4).</t>
  </si>
  <si>
    <t xml:space="preserve">2021-P1-Q1 (L3)</t>
  </si>
  <si>
    <t xml:space="preserve">Q07</t>
  </si>
  <si>
    <t xml:space="preserve">See that all common chords pass through K(2,-1), then the shortest chord of C through K is perpendicular to O'K.</t>
  </si>
  <si>
    <t xml:space="preserve">Two ideas linked: the pencil of radical axes through a fixed point and the shortest chord through an interior point, with an attainment check. Comparable to 2021-P1-Q1 (L3); simpler than 2023-P2-Q13 (L4).</t>
  </si>
  <si>
    <t xml:space="preserve">Q08</t>
  </si>
  <si>
    <t xml:space="preserve">Numerical</t>
  </si>
  <si>
    <t xml:space="preserve">Translate 'right angle attained, no obtuse angle' into tangency to the circle on AB as diameter.</t>
  </si>
  <si>
    <t xml:space="preserve">Diametric circle, the inside/outside angle fact and the tangency distance: a routine three-step chain once decoded; numerical answer. Comparable to 2026-P2-Q2 (L2).</t>
  </si>
  <si>
    <t xml:space="preserve">Q09</t>
  </si>
  <si>
    <t xml:space="preserve">Compute Delta for the family, get lambda = -8/15, then the intersection by partial derivatives (or as the pole of y = x).</t>
  </si>
  <si>
    <t xml:space="preserve">Two ideas (the Delta condition on a family and locating the intersection of the pair) with a heavier 3x3 expansion and no options; average Advanced numerical. Compare 2026-P2-Q13 (L3) for conic identification.</t>
  </si>
  <si>
    <t xml:space="preserve">2026-P2-Q13 (L3)</t>
  </si>
  <si>
    <t xml:space="preserve">Q10</t>
  </si>
  <si>
    <t xml:space="preserve">Parametrise, set u = cos t + sin t, minimise 8u^2 + 12u + 1 on [-sqrt2, sqrt2].</t>
  </si>
  <si>
    <t xml:space="preserve">Parametric form plus a standard trigonometric substitution and a range check: a routine multi-step chain. Comparable to 2024-P1-Q3 (L3) in kind but simpler; placed at L2 like 2026-P2-Q3 (L2).</t>
  </si>
  <si>
    <t xml:space="preserve">2026-P2-Q3 (L2)</t>
  </si>
  <si>
    <t xml:space="preserve">Q11</t>
  </si>
  <si>
    <t xml:space="preserve">Tangency of y = 3t^2 x - 2t^3 with the circle gives 100u^3 - 9u^2 - 1 = 0, u = 1/4; then the foot of the perpendicular.</t>
  </si>
  <si>
    <t xml:space="preserve">Three stages (tangent to curve, tangency condition leading to a cubic solved by inspection, contact point) with no options; average Advanced numerical. Comparable to 2025-P2-Q14 (L3).</t>
  </si>
  <si>
    <t xml:space="preserve">2025-P2-Q14 (L3)</t>
  </si>
  <si>
    <t xml:space="preserve">Q12</t>
  </si>
  <si>
    <t xml:space="preserve">Distance from the focus to the normal at t is |t| sqrt(1 + t^2); solve t^2(1 + t^2) = 90.</t>
  </si>
  <si>
    <t xml:space="preserve">Parametric normal plus a distance condition that simplifies only if the student spots the factor (1 + t^2), then intercept geometry; numerical. Comparable to 2023-P1-Q7 (L2) but with a quartic and an extra stage, so L3 like 2026-P2-Q13 (L3).</t>
  </si>
  <si>
    <t xml:space="preserve">Q13</t>
  </si>
  <si>
    <t xml:space="preserve">Use the common normal: the ellipse normal must pass through K, giving cos t = 1/2, A, B = (2, +-3).</t>
  </si>
  <si>
    <t xml:space="preserve">Two linked ideas (common normal of touching curves; ellipse tangents and kite area) with a uniqueness check; numerical. Comparable to 2023-P1-Q2 (L3) on ellipse tangents.</t>
  </si>
  <si>
    <t xml:space="preserve">2023-P1-Q2 (L3)</t>
  </si>
  <si>
    <t xml:space="preserve">Q14</t>
  </si>
  <si>
    <t xml:space="preserve">Area of triangle PAB from the tangent length and half-angle, minus the similar triangle cut off by the parallel tangent at the nearest point.</t>
  </si>
  <si>
    <t xml:space="preserve">Four standard tangent facts linked in one figure with two areas; no options and exact decimal arithmetic. Average Advanced numerical, like 2021-P1-Q1 (L3).</t>
  </si>
  <si>
    <t xml:space="preserve">Q15</t>
  </si>
  <si>
    <t xml:space="preserve">Write the chord of contact hx + ky = 4 and impose tangency to C2, noticing 2h + k - 4 = -5 on the line.</t>
  </si>
  <si>
    <t xml:space="preserve">Chord of contact, tangency distance and a quadratic, plus the existence check; three linked steps without options. Comparable to 2021-P1-Q1 (L3).</t>
  </si>
  <si>
    <t xml:space="preserve">Q16</t>
  </si>
  <si>
    <t xml:space="preserve">Recover P from OM . OP = r^2, then the triangle on the chord of contact.</t>
  </si>
  <si>
    <t xml:space="preserve">Chord with a given midpoint, the chord-of-contact relation and a triangle area: routine chain without a new idea. Comparable to 2026-P1-Q2 (L2).</t>
  </si>
  <si>
    <t xml:space="preserve">Q17</t>
  </si>
  <si>
    <t xml:space="preserve">Midpoints of chords through P lie on the circle on OP as diameter; intersect with y = x + 3.</t>
  </si>
  <si>
    <t xml:space="preserve">Two standard results chained (midpoint locus, chord length from midpoint) with simple algebra. Comparable to 2026-P1-Q2 (L2).</t>
  </si>
  <si>
    <t xml:space="preserve">Q18</t>
  </si>
  <si>
    <t xml:space="preserve">Combine slope -4/k of the parabola chord with perpendicularity to O'M (h = -3) and the focus condition (k^2 = 4).</t>
  </si>
  <si>
    <t xml:space="preserve">Two chord-with-midpoint conditions from two chapters plus the focus condition and existence checks: two ideas linked, numerical. Comparable to 2023-P1-Q7 (L2) but with an extra linked condition, so L3 like 2026-P2-Q13 (L3).</t>
  </si>
  <si>
    <t xml:space="preserve">Q19</t>
  </si>
  <si>
    <t xml:space="preserve">Write both chords of contact by T = 0 and notice they are parallel.</t>
  </si>
  <si>
    <t xml:space="preserve">Two T = 0 equations and a distance between parallel lines: routine multi-step, no new idea. Comparable to 2026-P2-Q2 (L2).</t>
  </si>
  <si>
    <t xml:space="preserve">Q20</t>
  </si>
  <si>
    <t xml:space="preserve">Write d = |4 + k|, r1 = |k| and solve d = r1 + 2 and d = |r1 - 2| case by case.</t>
  </si>
  <si>
    <t xml:space="preserve">Standard touching conditions with an absolute-value case split; routine multi-step. Comparable to 2026-P1-Q2 (L2).</t>
  </si>
  <si>
    <t xml:space="preserve">Q21</t>
  </si>
  <si>
    <t xml:space="preserve">Decide that the circles intersect, so only direct tangents exist, then external division in 3 : 1.</t>
  </si>
  <si>
    <t xml:space="preserve">Position test plus the external-division property: a short chain of standard facts. Comparable to 2026-P1-Q2 (L2).</t>
  </si>
  <si>
    <t xml:space="preserve">Q22</t>
  </si>
  <si>
    <t xml:space="preserve">Subtract the two squared lengths to get 4 r1 r2 = 144.</t>
  </si>
  <si>
    <t xml:space="preserve">Two standard formulas and one subtraction; routine but more than one move. Comparable to 2021-P1-Q18 (L2) in demand.</t>
  </si>
  <si>
    <t xml:space="preserve">2021-P1-Q18 (L2)</t>
  </si>
  <si>
    <t xml:space="preserve">Q23</t>
  </si>
  <si>
    <t xml:space="preserve">Write the polar x + y = 1/p and impose distance 1/sqrt2 from (3,0).</t>
  </si>
  <si>
    <t xml:space="preserve">Polar equation plus a tangency distance and a modulus equation: routine multi-step, no new idea. Comparable to 2026-P1-Q2 (L2).</t>
  </si>
  <si>
    <t xml:space="preserve">Q24</t>
  </si>
  <si>
    <t xml:space="preserve">Normalise S1 + lambda S2, then the radical axis with S3 through (3,1) gives lambda = -5/3.</t>
  </si>
  <si>
    <t xml:space="preserve">Family plus radical axis with a normalisation trap and fraction work; two ideas linked, numerical. Comparable to 2021-P1-Q1 (L3) and below 2023-P2-Q13 (L4).</t>
  </si>
  <si>
    <t xml:space="preserve">Q25</t>
  </si>
  <si>
    <t xml:space="preserve">K is the radical centre, so KA . KB = -S1(K) = 20 by the power of a point.</t>
  </si>
  <si>
    <t xml:space="preserve">Two radical axes, power of a point on a chord: a routine chain of standard results. Comparable to 2026-P1-Q2 (L2); much lighter than 2023-P2-Q13 (L4).</t>
  </si>
  <si>
    <t xml:space="preserve">Q26</t>
  </si>
  <si>
    <t xml:space="preserve">The tangent to C2 at P is perpendicular to L, so phi = pi/2 - theta.</t>
  </si>
  <si>
    <t xml:space="preserve">Two angle definitions and one perpendicularity observation (or the cosine formula); routine. Comparable to 2026-P2-Q17 (L2), the angle between tangents of two conics.</t>
  </si>
  <si>
    <t xml:space="preserve">2026-P2-Q17 (L2)</t>
  </si>
  <si>
    <t xml:space="preserve">Q27</t>
  </si>
  <si>
    <t xml:space="preserve">Apply the angle formula; the alpha^2 terms cancel to give cos theta = 5/r.</t>
  </si>
  <si>
    <t xml:space="preserve">Formula plus a cancellation and a sign choice: a short routine chain. Comparable to 2026-P2-Q17 (L2).</t>
  </si>
  <si>
    <t xml:space="preserve">Q28</t>
  </si>
  <si>
    <t xml:space="preserve">Orthogonality to a circle centred at the origin gives c = 9 directly; then g and f.</t>
  </si>
  <si>
    <t xml:space="preserve">Orthogonality condition and two linear conditions: routine chain. Comparable to 2026-P1-Q2 (L2).</t>
  </si>
  <si>
    <t xml:space="preserve">Q29</t>
  </si>
  <si>
    <t xml:space="preserve">Fix lambda by orthogonality, then the common chord of orthogonal circles is 2 r1 r2/d.</t>
  </si>
  <si>
    <t xml:space="preserve">Family plus orthogonality plus the chord of orthogonal circles: two ideas linked, numerical. Comparable to 2021-P1-Q1 (L3).</t>
  </si>
  <si>
    <t xml:space="preserve">Q30</t>
  </si>
  <si>
    <t xml:space="preserve">Image of the centre is (5 cos 2a, 5 sin 2a); touching gives cos 2a = 3/5.</t>
  </si>
  <si>
    <t xml:space="preserve">Reflection of the centre and the tangency distance: a routine two-to-three step chain. Comparable to 2026-P1-Q2 (L2).</t>
  </si>
  <si>
    <t xml:space="preserve">Q31</t>
  </si>
  <si>
    <t xml:space="preserve">M - m = 2 min(d, r); split the sum at the point where P_k leaves the circle.</t>
  </si>
  <si>
    <t xml:space="preserve">Standard distance facts with a position split and a small sum; routine multi-step. Comparable to 2026-P1-Q2 (L2).</t>
  </si>
  <si>
    <t xml:space="preserve">Q32</t>
  </si>
  <si>
    <t xml:space="preserve">Minimise OQ^2 = (u - 10)^2 + 64 with u = t + 18/t &gt;= 6 sqrt2; the minimum is not at the vertex.</t>
  </si>
  <si>
    <t xml:space="preserve">Distance-to-circle reduction plus a curve minimisation with a symmetry trap; two linked ideas, numerical. Comparable to 2026-P1-Q1 (L3) on locating an extremum.</t>
  </si>
  <si>
    <t xml:space="preserve">2026-P1-Q1 (L3)</t>
  </si>
  <si>
    <t xml:space="preserve">Q33</t>
  </si>
  <si>
    <t xml:space="preserve">Write M(t) = t^2 + 27/(4t) and apply three-term AM-GM with the split 27/(8t) twice.</t>
  </si>
  <si>
    <t xml:space="preserve">The distance step is routine, but the unequal AM-GM split (or calculus with a cube root) is a less practised step; numerical. Borderline L2/L3, placed with 2023-P2-Q8 (L3) as an optimisation numerical.</t>
  </si>
  <si>
    <t xml:space="preserve">2023-P2-Q8 (L3)</t>
  </si>
  <si>
    <t xml:space="preserve">Q34</t>
  </si>
  <si>
    <t xml:space="preserve">Apply PS = e PM at both points and choose the branch with e &lt; 1.</t>
  </si>
  <si>
    <t xml:space="preserve">Two focus-directrix equations, a modulus split and a rejection; routine multi-step. Comparable to 2025-P2-Q4 (L2).</t>
  </si>
  <si>
    <t xml:space="preserve">2025-P2-Q4 (L2)</t>
  </si>
  <si>
    <t xml:space="preserve">Q35</t>
  </si>
  <si>
    <t xml:space="preserve">Find e = 1/2 from the point, then a/e - ae = 15 gives a = 10 and the centre at distance ae from the focus.</t>
  </si>
  <si>
    <t xml:space="preserve">Two linked stages through the focus-directrix definition with a direction decision; numerical. Comparable to 2026-P2-Q13 (L3).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</si>
  <si>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</si>
  <si>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</si>
  <si>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Circle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</si>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</sst>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22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27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28</v>
      </c>
      <c r="N4" s="3" t="s">
        <v>29</v>
      </c>
      <c r="O4" s="3" t="s">
        <v>22</v>
      </c>
      <c r="P4" s="2" t="s">
        <v>30</v>
      </c>
    </row>
    <row r="5" customFormat="false" ht="35.05" hidden="false" customHeight="false" outlineLevel="0" collapsed="false">
      <c r="A5" s="2" t="n">
        <v>4</v>
      </c>
      <c r="B5" s="2"/>
      <c r="C5" s="2" t="s">
        <v>31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32</v>
      </c>
      <c r="N5" s="3" t="s">
        <v>33</v>
      </c>
      <c r="O5" s="3" t="s">
        <v>22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34</v>
      </c>
      <c r="D6" s="2" t="s">
        <v>17</v>
      </c>
      <c r="E6" s="3" t="s">
        <v>18</v>
      </c>
      <c r="F6" s="2" t="n">
        <v>3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35</v>
      </c>
      <c r="N6" s="3" t="s">
        <v>36</v>
      </c>
      <c r="O6" s="3" t="s">
        <v>37</v>
      </c>
      <c r="P6" s="2" t="s">
        <v>23</v>
      </c>
    </row>
    <row r="7" customFormat="false" ht="46.25" hidden="false" customHeight="false" outlineLevel="0" collapsed="false">
      <c r="A7" s="2" t="n">
        <v>6</v>
      </c>
      <c r="B7" s="2"/>
      <c r="C7" s="2" t="s">
        <v>38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39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40</v>
      </c>
      <c r="N7" s="3" t="s">
        <v>41</v>
      </c>
      <c r="O7" s="3" t="s">
        <v>42</v>
      </c>
      <c r="P7" s="2" t="s">
        <v>30</v>
      </c>
    </row>
    <row r="8" customFormat="false" ht="35.05" hidden="false" customHeight="false" outlineLevel="0" collapsed="false">
      <c r="A8" s="2" t="n">
        <v>7</v>
      </c>
      <c r="B8" s="2"/>
      <c r="C8" s="2" t="s">
        <v>43</v>
      </c>
      <c r="D8" s="2" t="s">
        <v>17</v>
      </c>
      <c r="E8" s="3" t="s">
        <v>18</v>
      </c>
      <c r="F8" s="2" t="n">
        <v>3</v>
      </c>
      <c r="G8" s="6" t="n">
        <v>3</v>
      </c>
      <c r="H8" s="6" t="s">
        <v>39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9</v>
      </c>
      <c r="M8" s="3" t="s">
        <v>44</v>
      </c>
      <c r="N8" s="3" t="s">
        <v>45</v>
      </c>
      <c r="O8" s="3" t="s">
        <v>42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46</v>
      </c>
      <c r="D9" s="2" t="s">
        <v>47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48</v>
      </c>
      <c r="N9" s="3" t="s">
        <v>49</v>
      </c>
      <c r="O9" s="3" t="s">
        <v>37</v>
      </c>
      <c r="P9" s="2" t="s">
        <v>30</v>
      </c>
    </row>
    <row r="10" customFormat="false" ht="35.05" hidden="false" customHeight="false" outlineLevel="0" collapsed="false">
      <c r="A10" s="2" t="n">
        <v>9</v>
      </c>
      <c r="B10" s="2"/>
      <c r="C10" s="2" t="s">
        <v>50</v>
      </c>
      <c r="D10" s="2" t="s">
        <v>47</v>
      </c>
      <c r="E10" s="3" t="s">
        <v>18</v>
      </c>
      <c r="F10" s="2" t="n">
        <v>4</v>
      </c>
      <c r="G10" s="6" t="n">
        <v>3</v>
      </c>
      <c r="H10" s="6" t="s">
        <v>39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51</v>
      </c>
      <c r="N10" s="3" t="s">
        <v>52</v>
      </c>
      <c r="O10" s="3" t="s">
        <v>53</v>
      </c>
      <c r="P10" s="2" t="s">
        <v>30</v>
      </c>
    </row>
    <row r="11" customFormat="false" ht="35.05" hidden="false" customHeight="false" outlineLevel="0" collapsed="false">
      <c r="A11" s="2" t="n">
        <v>10</v>
      </c>
      <c r="B11" s="2"/>
      <c r="C11" s="2" t="s">
        <v>54</v>
      </c>
      <c r="D11" s="2" t="s">
        <v>47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55</v>
      </c>
      <c r="N11" s="3" t="s">
        <v>56</v>
      </c>
      <c r="O11" s="3" t="s">
        <v>57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58</v>
      </c>
      <c r="D12" s="2" t="s">
        <v>47</v>
      </c>
      <c r="E12" s="3" t="s">
        <v>18</v>
      </c>
      <c r="F12" s="2" t="n">
        <v>4</v>
      </c>
      <c r="G12" s="6" t="n">
        <v>3</v>
      </c>
      <c r="H12" s="6" t="s">
        <v>39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59</v>
      </c>
      <c r="N12" s="3" t="s">
        <v>60</v>
      </c>
      <c r="O12" s="3" t="s">
        <v>61</v>
      </c>
      <c r="P12" s="2" t="s">
        <v>30</v>
      </c>
    </row>
    <row r="13" customFormat="false" ht="46.25" hidden="false" customHeight="false" outlineLevel="0" collapsed="false">
      <c r="A13" s="2" t="n">
        <v>12</v>
      </c>
      <c r="B13" s="2"/>
      <c r="C13" s="2" t="s">
        <v>62</v>
      </c>
      <c r="D13" s="2" t="s">
        <v>47</v>
      </c>
      <c r="E13" s="3" t="s">
        <v>18</v>
      </c>
      <c r="F13" s="2" t="n">
        <v>4</v>
      </c>
      <c r="G13" s="6" t="n">
        <v>3</v>
      </c>
      <c r="H13" s="6" t="s">
        <v>39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63</v>
      </c>
      <c r="N13" s="3" t="s">
        <v>64</v>
      </c>
      <c r="O13" s="3" t="s">
        <v>53</v>
      </c>
      <c r="P13" s="2" t="s">
        <v>30</v>
      </c>
    </row>
    <row r="14" customFormat="false" ht="35.05" hidden="false" customHeight="false" outlineLevel="0" collapsed="false">
      <c r="A14" s="2" t="n">
        <v>13</v>
      </c>
      <c r="B14" s="2"/>
      <c r="C14" s="2" t="s">
        <v>65</v>
      </c>
      <c r="D14" s="2" t="s">
        <v>47</v>
      </c>
      <c r="E14" s="3" t="s">
        <v>18</v>
      </c>
      <c r="F14" s="2" t="n">
        <v>4</v>
      </c>
      <c r="G14" s="6" t="n">
        <v>3</v>
      </c>
      <c r="H14" s="6" t="s">
        <v>39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66</v>
      </c>
      <c r="N14" s="3" t="s">
        <v>67</v>
      </c>
      <c r="O14" s="3" t="s">
        <v>68</v>
      </c>
      <c r="P14" s="2" t="s">
        <v>30</v>
      </c>
    </row>
    <row r="15" customFormat="false" ht="35.05" hidden="false" customHeight="false" outlineLevel="0" collapsed="false">
      <c r="A15" s="2" t="n">
        <v>14</v>
      </c>
      <c r="B15" s="2"/>
      <c r="C15" s="2" t="s">
        <v>69</v>
      </c>
      <c r="D15" s="2" t="s">
        <v>47</v>
      </c>
      <c r="E15" s="3" t="s">
        <v>18</v>
      </c>
      <c r="F15" s="2" t="n">
        <v>4</v>
      </c>
      <c r="G15" s="6" t="n">
        <v>3</v>
      </c>
      <c r="H15" s="6" t="s">
        <v>39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70</v>
      </c>
      <c r="N15" s="3" t="s">
        <v>71</v>
      </c>
      <c r="O15" s="3" t="s">
        <v>42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72</v>
      </c>
      <c r="D16" s="2" t="s">
        <v>47</v>
      </c>
      <c r="E16" s="3" t="s">
        <v>18</v>
      </c>
      <c r="F16" s="2" t="n">
        <v>4</v>
      </c>
      <c r="G16" s="6" t="n">
        <v>3</v>
      </c>
      <c r="H16" s="6" t="s">
        <v>39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73</v>
      </c>
      <c r="N16" s="3" t="s">
        <v>74</v>
      </c>
      <c r="O16" s="3" t="s">
        <v>42</v>
      </c>
      <c r="P16" s="2" t="s">
        <v>30</v>
      </c>
    </row>
    <row r="17" customFormat="false" ht="23.85" hidden="false" customHeight="false" outlineLevel="0" collapsed="false">
      <c r="A17" s="2" t="n">
        <v>16</v>
      </c>
      <c r="B17" s="2"/>
      <c r="C17" s="2" t="s">
        <v>75</v>
      </c>
      <c r="D17" s="2" t="s">
        <v>47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76</v>
      </c>
      <c r="N17" s="3" t="s">
        <v>77</v>
      </c>
      <c r="O17" s="3" t="s">
        <v>22</v>
      </c>
      <c r="P17" s="2" t="s">
        <v>23</v>
      </c>
    </row>
    <row r="18" customFormat="false" ht="23.85" hidden="false" customHeight="false" outlineLevel="0" collapsed="false">
      <c r="A18" s="2" t="n">
        <v>17</v>
      </c>
      <c r="B18" s="2"/>
      <c r="C18" s="2" t="s">
        <v>78</v>
      </c>
      <c r="D18" s="2" t="s">
        <v>47</v>
      </c>
      <c r="E18" s="3" t="s">
        <v>18</v>
      </c>
      <c r="F18" s="2" t="n">
        <v>4</v>
      </c>
      <c r="G18" s="4" t="n">
        <v>2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79</v>
      </c>
      <c r="N18" s="3" t="s">
        <v>80</v>
      </c>
      <c r="O18" s="3" t="s">
        <v>22</v>
      </c>
      <c r="P18" s="2" t="s">
        <v>23</v>
      </c>
    </row>
    <row r="19" customFormat="false" ht="46.25" hidden="false" customHeight="false" outlineLevel="0" collapsed="false">
      <c r="A19" s="2" t="n">
        <v>18</v>
      </c>
      <c r="B19" s="2"/>
      <c r="C19" s="2" t="s">
        <v>81</v>
      </c>
      <c r="D19" s="2" t="s">
        <v>47</v>
      </c>
      <c r="E19" s="3" t="s">
        <v>18</v>
      </c>
      <c r="F19" s="2" t="n">
        <v>4</v>
      </c>
      <c r="G19" s="6" t="n">
        <v>3</v>
      </c>
      <c r="H19" s="6" t="s">
        <v>39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82</v>
      </c>
      <c r="N19" s="3" t="s">
        <v>83</v>
      </c>
      <c r="O19" s="3" t="s">
        <v>53</v>
      </c>
      <c r="P19" s="2" t="s">
        <v>30</v>
      </c>
    </row>
    <row r="20" customFormat="false" ht="23.85" hidden="false" customHeight="false" outlineLevel="0" collapsed="false">
      <c r="A20" s="2" t="n">
        <v>19</v>
      </c>
      <c r="B20" s="2"/>
      <c r="C20" s="2" t="s">
        <v>84</v>
      </c>
      <c r="D20" s="2" t="s">
        <v>47</v>
      </c>
      <c r="E20" s="3" t="s">
        <v>18</v>
      </c>
      <c r="F20" s="2" t="n">
        <v>4</v>
      </c>
      <c r="G20" s="4" t="n">
        <v>2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85</v>
      </c>
      <c r="N20" s="3" t="s">
        <v>86</v>
      </c>
      <c r="O20" s="3" t="s">
        <v>37</v>
      </c>
      <c r="P20" s="2" t="s">
        <v>23</v>
      </c>
    </row>
    <row r="21" customFormat="false" ht="23.85" hidden="false" customHeight="false" outlineLevel="0" collapsed="false">
      <c r="A21" s="2" t="n">
        <v>20</v>
      </c>
      <c r="B21" s="2"/>
      <c r="C21" s="2" t="s">
        <v>87</v>
      </c>
      <c r="D21" s="2" t="s">
        <v>47</v>
      </c>
      <c r="E21" s="3" t="s">
        <v>18</v>
      </c>
      <c r="F21" s="2" t="n">
        <v>4</v>
      </c>
      <c r="G21" s="4" t="n">
        <v>2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88</v>
      </c>
      <c r="N21" s="3" t="s">
        <v>89</v>
      </c>
      <c r="O21" s="3" t="s">
        <v>22</v>
      </c>
      <c r="P21" s="2" t="s">
        <v>23</v>
      </c>
    </row>
    <row r="22" customFormat="false" ht="23.85" hidden="false" customHeight="false" outlineLevel="0" collapsed="false">
      <c r="A22" s="2" t="n">
        <v>21</v>
      </c>
      <c r="B22" s="2"/>
      <c r="C22" s="2" t="s">
        <v>90</v>
      </c>
      <c r="D22" s="2" t="s">
        <v>47</v>
      </c>
      <c r="E22" s="3" t="s">
        <v>18</v>
      </c>
      <c r="F22" s="2" t="n">
        <v>4</v>
      </c>
      <c r="G22" s="4" t="n">
        <v>2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91</v>
      </c>
      <c r="N22" s="3" t="s">
        <v>92</v>
      </c>
      <c r="O22" s="3" t="s">
        <v>22</v>
      </c>
      <c r="P22" s="2" t="s">
        <v>23</v>
      </c>
    </row>
    <row r="23" customFormat="false" ht="23.85" hidden="false" customHeight="false" outlineLevel="0" collapsed="false">
      <c r="A23" s="2" t="n">
        <v>22</v>
      </c>
      <c r="B23" s="2"/>
      <c r="C23" s="2" t="s">
        <v>93</v>
      </c>
      <c r="D23" s="2" t="s">
        <v>47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94</v>
      </c>
      <c r="N23" s="3" t="s">
        <v>95</v>
      </c>
      <c r="O23" s="3" t="s">
        <v>96</v>
      </c>
      <c r="P23" s="2" t="s">
        <v>23</v>
      </c>
    </row>
    <row r="24" customFormat="false" ht="23.85" hidden="false" customHeight="false" outlineLevel="0" collapsed="false">
      <c r="A24" s="2" t="n">
        <v>23</v>
      </c>
      <c r="B24" s="2"/>
      <c r="C24" s="2" t="s">
        <v>97</v>
      </c>
      <c r="D24" s="2" t="s">
        <v>47</v>
      </c>
      <c r="E24" s="3" t="s">
        <v>18</v>
      </c>
      <c r="F24" s="2" t="n">
        <v>4</v>
      </c>
      <c r="G24" s="4" t="n">
        <v>2</v>
      </c>
      <c r="H24" s="4" t="s">
        <v>19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98</v>
      </c>
      <c r="N24" s="3" t="s">
        <v>99</v>
      </c>
      <c r="O24" s="3" t="s">
        <v>22</v>
      </c>
      <c r="P24" s="2" t="s">
        <v>23</v>
      </c>
    </row>
    <row r="25" customFormat="false" ht="35.05" hidden="false" customHeight="false" outlineLevel="0" collapsed="false">
      <c r="A25" s="2" t="n">
        <v>24</v>
      </c>
      <c r="B25" s="2"/>
      <c r="C25" s="2" t="s">
        <v>100</v>
      </c>
      <c r="D25" s="2" t="s">
        <v>47</v>
      </c>
      <c r="E25" s="3" t="s">
        <v>18</v>
      </c>
      <c r="F25" s="2" t="n">
        <v>4</v>
      </c>
      <c r="G25" s="6" t="n">
        <v>3</v>
      </c>
      <c r="H25" s="6" t="s">
        <v>39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101</v>
      </c>
      <c r="N25" s="3" t="s">
        <v>102</v>
      </c>
      <c r="O25" s="3" t="s">
        <v>42</v>
      </c>
      <c r="P25" s="2" t="s">
        <v>30</v>
      </c>
    </row>
    <row r="26" customFormat="false" ht="35.05" hidden="false" customHeight="false" outlineLevel="0" collapsed="false">
      <c r="A26" s="2" t="n">
        <v>25</v>
      </c>
      <c r="B26" s="2"/>
      <c r="C26" s="2" t="s">
        <v>103</v>
      </c>
      <c r="D26" s="2" t="s">
        <v>47</v>
      </c>
      <c r="E26" s="3" t="s">
        <v>18</v>
      </c>
      <c r="F26" s="2" t="n">
        <v>4</v>
      </c>
      <c r="G26" s="4" t="n">
        <v>2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104</v>
      </c>
      <c r="N26" s="3" t="s">
        <v>105</v>
      </c>
      <c r="O26" s="3" t="s">
        <v>22</v>
      </c>
      <c r="P26" s="2" t="s">
        <v>23</v>
      </c>
    </row>
    <row r="27" customFormat="false" ht="35.05" hidden="false" customHeight="false" outlineLevel="0" collapsed="false">
      <c r="A27" s="2" t="n">
        <v>26</v>
      </c>
      <c r="B27" s="2"/>
      <c r="C27" s="2" t="s">
        <v>106</v>
      </c>
      <c r="D27" s="2" t="s">
        <v>47</v>
      </c>
      <c r="E27" s="3" t="s">
        <v>18</v>
      </c>
      <c r="F27" s="2" t="n">
        <v>4</v>
      </c>
      <c r="G27" s="4" t="n">
        <v>2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107</v>
      </c>
      <c r="N27" s="3" t="s">
        <v>108</v>
      </c>
      <c r="O27" s="3" t="s">
        <v>109</v>
      </c>
      <c r="P27" s="2" t="s">
        <v>23</v>
      </c>
    </row>
    <row r="28" customFormat="false" ht="23.85" hidden="false" customHeight="false" outlineLevel="0" collapsed="false">
      <c r="A28" s="2" t="n">
        <v>27</v>
      </c>
      <c r="B28" s="2"/>
      <c r="C28" s="2" t="s">
        <v>110</v>
      </c>
      <c r="D28" s="2" t="s">
        <v>47</v>
      </c>
      <c r="E28" s="3" t="s">
        <v>18</v>
      </c>
      <c r="F28" s="2" t="n">
        <v>4</v>
      </c>
      <c r="G28" s="4" t="n">
        <v>2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2</v>
      </c>
      <c r="L28" s="5" t="n">
        <f aca="false">F28*K28</f>
        <v>8</v>
      </c>
      <c r="M28" s="3" t="s">
        <v>111</v>
      </c>
      <c r="N28" s="3" t="s">
        <v>112</v>
      </c>
      <c r="O28" s="3" t="s">
        <v>109</v>
      </c>
      <c r="P28" s="2" t="s">
        <v>23</v>
      </c>
    </row>
    <row r="29" customFormat="false" ht="23.85" hidden="false" customHeight="false" outlineLevel="0" collapsed="false">
      <c r="A29" s="2" t="n">
        <v>28</v>
      </c>
      <c r="B29" s="2"/>
      <c r="C29" s="2" t="s">
        <v>113</v>
      </c>
      <c r="D29" s="2" t="s">
        <v>47</v>
      </c>
      <c r="E29" s="3" t="s">
        <v>18</v>
      </c>
      <c r="F29" s="2" t="n">
        <v>4</v>
      </c>
      <c r="G29" s="4" t="n">
        <v>2</v>
      </c>
      <c r="H29" s="4" t="s">
        <v>19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114</v>
      </c>
      <c r="N29" s="3" t="s">
        <v>115</v>
      </c>
      <c r="O29" s="3" t="s">
        <v>22</v>
      </c>
      <c r="P29" s="2" t="s">
        <v>23</v>
      </c>
    </row>
    <row r="30" customFormat="false" ht="23.85" hidden="false" customHeight="false" outlineLevel="0" collapsed="false">
      <c r="A30" s="2" t="n">
        <v>29</v>
      </c>
      <c r="B30" s="2"/>
      <c r="C30" s="2" t="s">
        <v>116</v>
      </c>
      <c r="D30" s="2" t="s">
        <v>47</v>
      </c>
      <c r="E30" s="3" t="s">
        <v>18</v>
      </c>
      <c r="F30" s="2" t="n">
        <v>4</v>
      </c>
      <c r="G30" s="6" t="n">
        <v>3</v>
      </c>
      <c r="H30" s="6" t="s">
        <v>39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117</v>
      </c>
      <c r="N30" s="3" t="s">
        <v>118</v>
      </c>
      <c r="O30" s="3" t="s">
        <v>42</v>
      </c>
      <c r="P30" s="2" t="s">
        <v>30</v>
      </c>
    </row>
    <row r="31" customFormat="false" ht="23.85" hidden="false" customHeight="false" outlineLevel="0" collapsed="false">
      <c r="A31" s="2" t="n">
        <v>30</v>
      </c>
      <c r="B31" s="2"/>
      <c r="C31" s="2" t="s">
        <v>119</v>
      </c>
      <c r="D31" s="2" t="s">
        <v>47</v>
      </c>
      <c r="E31" s="3" t="s">
        <v>18</v>
      </c>
      <c r="F31" s="2" t="n">
        <v>4</v>
      </c>
      <c r="G31" s="4" t="n">
        <v>2</v>
      </c>
      <c r="H31" s="4" t="s">
        <v>19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120</v>
      </c>
      <c r="N31" s="3" t="s">
        <v>121</v>
      </c>
      <c r="O31" s="3" t="s">
        <v>22</v>
      </c>
      <c r="P31" s="2" t="s">
        <v>23</v>
      </c>
    </row>
    <row r="32" customFormat="false" ht="23.85" hidden="false" customHeight="false" outlineLevel="0" collapsed="false">
      <c r="A32" s="2" t="n">
        <v>31</v>
      </c>
      <c r="B32" s="2"/>
      <c r="C32" s="2" t="s">
        <v>122</v>
      </c>
      <c r="D32" s="2" t="s">
        <v>47</v>
      </c>
      <c r="E32" s="3" t="s">
        <v>18</v>
      </c>
      <c r="F32" s="2" t="n">
        <v>4</v>
      </c>
      <c r="G32" s="4" t="n">
        <v>2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2</v>
      </c>
      <c r="L32" s="5" t="n">
        <f aca="false">F32*K32</f>
        <v>8</v>
      </c>
      <c r="M32" s="3" t="s">
        <v>123</v>
      </c>
      <c r="N32" s="3" t="s">
        <v>124</v>
      </c>
      <c r="O32" s="3" t="s">
        <v>22</v>
      </c>
      <c r="P32" s="2" t="s">
        <v>23</v>
      </c>
    </row>
    <row r="33" customFormat="false" ht="35.05" hidden="false" customHeight="false" outlineLevel="0" collapsed="false">
      <c r="A33" s="2" t="n">
        <v>32</v>
      </c>
      <c r="B33" s="2"/>
      <c r="C33" s="2" t="s">
        <v>125</v>
      </c>
      <c r="D33" s="2" t="s">
        <v>47</v>
      </c>
      <c r="E33" s="3" t="s">
        <v>18</v>
      </c>
      <c r="F33" s="2" t="n">
        <v>4</v>
      </c>
      <c r="G33" s="6" t="n">
        <v>3</v>
      </c>
      <c r="H33" s="6" t="s">
        <v>39</v>
      </c>
      <c r="I33" s="5" t="n">
        <v>0</v>
      </c>
      <c r="J33" s="5" t="n">
        <v>0</v>
      </c>
      <c r="K33" s="5" t="n">
        <f aca="false">MIN(5,MAX(G33+I33,J33))</f>
        <v>3</v>
      </c>
      <c r="L33" s="5" t="n">
        <f aca="false">F33*K33</f>
        <v>12</v>
      </c>
      <c r="M33" s="3" t="s">
        <v>126</v>
      </c>
      <c r="N33" s="3" t="s">
        <v>127</v>
      </c>
      <c r="O33" s="3" t="s">
        <v>128</v>
      </c>
      <c r="P33" s="2" t="s">
        <v>30</v>
      </c>
    </row>
    <row r="34" customFormat="false" ht="35.05" hidden="false" customHeight="false" outlineLevel="0" collapsed="false">
      <c r="A34" s="2" t="n">
        <v>33</v>
      </c>
      <c r="B34" s="2"/>
      <c r="C34" s="2" t="s">
        <v>129</v>
      </c>
      <c r="D34" s="2" t="s">
        <v>47</v>
      </c>
      <c r="E34" s="3" t="s">
        <v>18</v>
      </c>
      <c r="F34" s="2" t="n">
        <v>4</v>
      </c>
      <c r="G34" s="6" t="n">
        <v>3</v>
      </c>
      <c r="H34" s="6" t="s">
        <v>39</v>
      </c>
      <c r="I34" s="5" t="n">
        <v>0</v>
      </c>
      <c r="J34" s="5" t="n">
        <v>0</v>
      </c>
      <c r="K34" s="5" t="n">
        <f aca="false">MIN(5,MAX(G34+I34,J34))</f>
        <v>3</v>
      </c>
      <c r="L34" s="5" t="n">
        <f aca="false">F34*K34</f>
        <v>12</v>
      </c>
      <c r="M34" s="3" t="s">
        <v>130</v>
      </c>
      <c r="N34" s="3" t="s">
        <v>131</v>
      </c>
      <c r="O34" s="3" t="s">
        <v>132</v>
      </c>
      <c r="P34" s="2" t="s">
        <v>30</v>
      </c>
    </row>
    <row r="35" customFormat="false" ht="23.85" hidden="false" customHeight="false" outlineLevel="0" collapsed="false">
      <c r="A35" s="2" t="n">
        <v>34</v>
      </c>
      <c r="B35" s="2"/>
      <c r="C35" s="2" t="s">
        <v>133</v>
      </c>
      <c r="D35" s="2" t="s">
        <v>47</v>
      </c>
      <c r="E35" s="3" t="s">
        <v>18</v>
      </c>
      <c r="F35" s="2" t="n">
        <v>4</v>
      </c>
      <c r="G35" s="4" t="n">
        <v>2</v>
      </c>
      <c r="H35" s="4" t="s">
        <v>19</v>
      </c>
      <c r="I35" s="5" t="n">
        <v>0</v>
      </c>
      <c r="J35" s="5" t="n">
        <v>0</v>
      </c>
      <c r="K35" s="5" t="n">
        <f aca="false">MIN(5,MAX(G35+I35,J35))</f>
        <v>2</v>
      </c>
      <c r="L35" s="5" t="n">
        <f aca="false">F35*K35</f>
        <v>8</v>
      </c>
      <c r="M35" s="3" t="s">
        <v>134</v>
      </c>
      <c r="N35" s="3" t="s">
        <v>135</v>
      </c>
      <c r="O35" s="3" t="s">
        <v>136</v>
      </c>
      <c r="P35" s="2" t="s">
        <v>23</v>
      </c>
    </row>
    <row r="36" customFormat="false" ht="35.05" hidden="false" customHeight="false" outlineLevel="0" collapsed="false">
      <c r="A36" s="2" t="n">
        <v>35</v>
      </c>
      <c r="B36" s="2"/>
      <c r="C36" s="2" t="s">
        <v>137</v>
      </c>
      <c r="D36" s="2" t="s">
        <v>47</v>
      </c>
      <c r="E36" s="3" t="s">
        <v>18</v>
      </c>
      <c r="F36" s="2" t="n">
        <v>4</v>
      </c>
      <c r="G36" s="6" t="n">
        <v>3</v>
      </c>
      <c r="H36" s="6" t="s">
        <v>39</v>
      </c>
      <c r="I36" s="5" t="n">
        <v>0</v>
      </c>
      <c r="J36" s="5" t="n">
        <v>0</v>
      </c>
      <c r="K36" s="5" t="n">
        <f aca="false">MIN(5,MAX(G36+I36,J36))</f>
        <v>3</v>
      </c>
      <c r="L36" s="5" t="n">
        <f aca="false">F36*K36</f>
        <v>12</v>
      </c>
      <c r="M36" s="3" t="s">
        <v>138</v>
      </c>
      <c r="N36" s="3" t="s">
        <v>139</v>
      </c>
      <c r="O36" s="3" t="s">
        <v>53</v>
      </c>
      <c r="P36" s="2" t="s">
        <v>30</v>
      </c>
    </row>
    <row r="38" customFormat="false" ht="15" hidden="false" customHeight="false" outlineLevel="0" collapsed="false">
      <c r="A38" s="7" t="s">
        <v>140</v>
      </c>
    </row>
  </sheetData>
  <autoFilter ref="A1:P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141</v>
      </c>
    </row>
    <row r="2" customFormat="false" ht="15" hidden="false" customHeight="false" outlineLevel="0" collapsed="false">
      <c r="A2" s="7" t="s">
        <v>142</v>
      </c>
    </row>
    <row r="4" customFormat="false" ht="15" hidden="false" customHeight="false" outlineLevel="0" collapsed="false">
      <c r="A4" s="1" t="s">
        <v>6</v>
      </c>
      <c r="B4" s="1" t="s">
        <v>143</v>
      </c>
      <c r="C4" s="1" t="s">
        <v>144</v>
      </c>
      <c r="D4" s="1" t="s">
        <v>5</v>
      </c>
      <c r="E4" s="1" t="s">
        <v>145</v>
      </c>
    </row>
    <row r="5" customFormat="false" ht="15" hidden="false" customHeight="false" outlineLevel="0" collapsed="false">
      <c r="A5" s="9" t="n">
        <v>0</v>
      </c>
      <c r="B5" s="9" t="s">
        <v>146</v>
      </c>
      <c r="C5" s="9" t="n">
        <f aca="false">COUNTIF(Evaluation!$G$2:$G$36,A5)</f>
        <v>0</v>
      </c>
      <c r="D5" s="9" t="n">
        <f aca="false">SUMIF(Evaluation!$G$2:$G$36,A5,Evaluation!$F$2:$F$36)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147</v>
      </c>
      <c r="C6" s="11" t="n">
        <f aca="false">COUNTIF(Evaluation!$G$2:$G$36,A6)</f>
        <v>0</v>
      </c>
      <c r="D6" s="11" t="n">
        <f aca="false">SUMIF(Evaluation!$G$2:$G$36,A6,Evaluation!$F$2:$F$36)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COUNTIF(Evaluation!$G$2:$G$36,A7)</f>
        <v>21</v>
      </c>
      <c r="D7" s="13" t="n">
        <f aca="false">SUMIF(Evaluation!$G$2:$G$36,A7,Evaluation!$F$2:$F$36)</f>
        <v>79</v>
      </c>
      <c r="E7" s="14" t="n">
        <f aca="false">IF(SUM($D$5:$D$10)=0,0,D7/SUM($D$5:$D$10))</f>
        <v>0.593984962406015</v>
      </c>
    </row>
    <row r="8" customFormat="false" ht="15" hidden="false" customHeight="false" outlineLevel="0" collapsed="false">
      <c r="A8" s="15" t="n">
        <v>3</v>
      </c>
      <c r="B8" s="15" t="s">
        <v>39</v>
      </c>
      <c r="C8" s="15" t="n">
        <f aca="false">COUNTIF(Evaluation!$G$2:$G$36,A8)</f>
        <v>14</v>
      </c>
      <c r="D8" s="15" t="n">
        <f aca="false">SUMIF(Evaluation!$G$2:$G$36,A8,Evaluation!$F$2:$F$36)</f>
        <v>54</v>
      </c>
      <c r="E8" s="16" t="n">
        <f aca="false">IF(SUM($D$5:$D$10)=0,0,D8/SUM($D$5:$D$10))</f>
        <v>0.406015037593985</v>
      </c>
    </row>
    <row r="9" customFormat="false" ht="15" hidden="false" customHeight="false" outlineLevel="0" collapsed="false">
      <c r="A9" s="17" t="n">
        <v>4</v>
      </c>
      <c r="B9" s="17" t="s">
        <v>148</v>
      </c>
      <c r="C9" s="17" t="n">
        <f aca="false">COUNTIF(Evaluation!$G$2:$G$36,A9)</f>
        <v>0</v>
      </c>
      <c r="D9" s="17" t="n">
        <f aca="false">SUMIF(Evaluation!$G$2:$G$36,A9,Evaluation!$F$2:$F$36)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149</v>
      </c>
      <c r="C10" s="19" t="n">
        <f aca="false">COUNTIF(Evaluation!$G$2:$G$36,A10)</f>
        <v>0</v>
      </c>
      <c r="D10" s="19" t="n">
        <f aca="false">SUMIF(Evaluation!$G$2:$G$36,A10,Evaluation!$F$2:$F$36)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150</v>
      </c>
      <c r="C11" s="21" t="n">
        <f aca="false">SUM(C5:C10)</f>
        <v>35</v>
      </c>
      <c r="D11" s="21" t="n">
        <f aca="false">SUM(D5:D10)</f>
        <v>133</v>
      </c>
    </row>
    <row r="13" customFormat="false" ht="46.25" hidden="false" customHeight="false" outlineLevel="0" collapsed="false">
      <c r="A13" s="1" t="s">
        <v>151</v>
      </c>
      <c r="B13" s="1" t="s">
        <v>152</v>
      </c>
      <c r="C13" s="1" t="s">
        <v>153</v>
      </c>
      <c r="D13" s="1" t="s">
        <v>5</v>
      </c>
      <c r="E13" s="1" t="s">
        <v>154</v>
      </c>
    </row>
    <row r="14" customFormat="false" ht="15" hidden="false" customHeight="false" outlineLevel="0" collapsed="false">
      <c r="A14" s="21" t="s">
        <v>155</v>
      </c>
      <c r="B14" s="22" t="n">
        <f aca="false">SUM(Evaluation!$L$2:$L$36)/SUM(Evaluation!$F$2:$F$36)</f>
        <v>2.40601503759399</v>
      </c>
      <c r="C14" s="22" t="n">
        <f aca="false">SUMPRODUCT(Evaluation!$F$2:$F$36,Evaluation!$G$2:$G$36)/SUM(Evaluation!$F$2:$F$36)</f>
        <v>2.40601503759399</v>
      </c>
      <c r="D14" s="21" t="n">
        <f aca="false">SUM(Evaluation!$F$2:$F$36)</f>
        <v>133</v>
      </c>
      <c r="E14" s="22" t="n">
        <f aca="false">AVERAGE(Evaluation!$G$2:$G$36)</f>
        <v>2.4</v>
      </c>
    </row>
    <row r="16" customFormat="false" ht="15" hidden="false" customHeight="false" outlineLevel="0" collapsed="false">
      <c r="A16" s="7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157</v>
      </c>
    </row>
    <row r="3" customFormat="false" ht="23.85" hidden="false" customHeight="false" outlineLevel="0" collapsed="false">
      <c r="A3" s="1" t="s">
        <v>158</v>
      </c>
      <c r="B3" s="1" t="s">
        <v>159</v>
      </c>
      <c r="C3" s="1" t="s">
        <v>154</v>
      </c>
      <c r="D3" s="1" t="s">
        <v>160</v>
      </c>
      <c r="E3" s="1" t="s">
        <v>161</v>
      </c>
      <c r="F3" s="1" t="s">
        <v>162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163</v>
      </c>
      <c r="B9" s="22" t="n">
        <f aca="false">Summary!B14</f>
        <v>2.40601503759399</v>
      </c>
      <c r="C9" s="22" t="n">
        <f aca="false">Summary!E14</f>
        <v>2.4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2026-10-18T16:47:01Z</dcterms:created>
  <dc:creator>openpyxl</dc:creator>
  <dc:description/>
  <dc:language>en-US</dc:language>
  <cp:lastModifiedBy/>
  <dcterms:modified xsi:type="dcterms:W3CDTF">2026-10-18T16:47:01Z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