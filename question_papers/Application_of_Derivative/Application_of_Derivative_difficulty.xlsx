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luation" sheetId="1" state="visible" r:id="rId3"/>
    <sheet name="Summary" sheetId="2" state="visible" r:id="rId4"/>
    <sheet name="Reference" sheetId="3" state="visible" r:id="rId5"/>
  </sheets>
  <definedNames>
    <definedName function="false" hidden="true" localSheetId="0" name="_xlnm._FilterDatabase" vbProcedure="false">Evaluation!$A$1:$P$23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<sst xmlns="http://schemas.openxmlformats.org/spreadsheetml/2006/main" count="223" uniqueCount="135">
  <si>
    <t xml:space="preserve">Sr No</t>
  </si>
  <si>
    <t xml:space="preserve">Paper</t>
  </si>
  <si>
    <t xml:space="preserve">Q Ref</t>
  </si>
  <si>
    <t xml:space="preserve">Type</t>
  </si>
  <si>
    <t xml:space="preserve">Chapter</t>
  </si>
  <si>
    <t xml:space="preserve">Marks</t>
  </si>
  <si>
    <t xml:space="preserve">Level</t>
  </si>
  <si>
    <t xml:space="preserve">Level Label</t>
  </si>
  <si>
    <t xml:space="preserve">Equiv. Rel. Adj</t>
  </si>
  <si>
    <t xml:space="preserve">MCQ Floor</t>
  </si>
  <si>
    <t xml:space="preserve">Adjusted Level</t>
  </si>
  <si>
    <t xml:space="preserve">Marks x Adj Level</t>
  </si>
  <si>
    <t xml:space="preserve">Key Step</t>
  </si>
  <si>
    <t xml:space="preserve">Justification</t>
  </si>
  <si>
    <t xml:space="preserve">Nearest Anchor</t>
  </si>
  <si>
    <t xml:space="preserve">Confidence</t>
  </si>
  <si>
    <t xml:space="preserve">Q01</t>
  </si>
  <si>
    <t xml:space="preserve">SCQ</t>
  </si>
  <si>
    <t xml:space="preserve">Application of Derivative</t>
  </si>
  <si>
    <t xml:space="preserve">Average Advanced</t>
  </si>
  <si>
    <t xml:space="preserve">Recognise that exactly two tangents through P means a double root of 2a^3-3ha^2+k, i.e. P on the cubic or on its inflection tangent.</t>
  </si>
  <si>
    <t xml:space="preserve">Two ideas linked: root counting of the tangent cubic via critical values, and the parametric/slope form of the parabola; the rejected origin case is the trap. Comparable to the sign analysis of 2026-P1-Q1 (L3); as an SCQ with options it stays at 3.</t>
  </si>
  <si>
    <t xml:space="preserve">2026-P1-Q1 (L3)</t>
  </si>
  <si>
    <t xml:space="preserve">Medium</t>
  </si>
  <si>
    <t xml:space="preserve">Q02</t>
  </si>
  <si>
    <t xml:space="preserve">Easier than Advanced</t>
  </si>
  <si>
    <t xml:space="preserve">Implicit differentiation of the circle to get dy/dt, then the differential estimate of the area.</t>
  </si>
  <si>
    <t xml:space="preserve">Routine chain of three standard steps with no insight (implicit rate, product rule, differential), the profile of the L2 anchors such as 2023-P2-Q9; options allow a check, so not higher.</t>
  </si>
  <si>
    <t xml:space="preserve">2023-P2-Q9 (L2)</t>
  </si>
  <si>
    <t xml:space="preserve">High</t>
  </si>
  <si>
    <t xml:space="preserve">Q03</t>
  </si>
  <si>
    <t xml:space="preserve">Write tan(theta) by tan(A-B), pick the correct one of the two positions x = 1, 3, and invert the differential.</t>
  </si>
  <si>
    <t xml:space="preserve">Two ideas linked (compound-angle model and inverse error estimate) plus a branch decision whose wrong choice is an offered option; this matches the L3 trig-evaluation anchor 2024-P1-Q3 rather than the one-move L1 items.</t>
  </si>
  <si>
    <t xml:space="preserve">2024-P1-Q3 (L3)</t>
  </si>
  <si>
    <t xml:space="preserve">Q04</t>
  </si>
  <si>
    <t xml:space="preserve">Simplify f' to x^2/(x^2-2x+2) and compare f at the four points with f(0).</t>
  </si>
  <si>
    <t xml:space="preserve">A routine chain (derivative simplification, monotonicity, four substitutions) with no insight, as in the monotonicity anchors 2024-P2-Q10 (L1) and 2021-P1-Q12 (L2); four evaluations push it to 2.</t>
  </si>
  <si>
    <t xml:space="preserve">2024-P2-Q10 (L1) / 2021-P1-Q12 (L2)</t>
  </si>
  <si>
    <t xml:space="preserve">Q05</t>
  </si>
  <si>
    <t xml:space="preserve">Numerical</t>
  </si>
  <si>
    <t xml:space="preserve">Normal through (0,9/2) gives a^2 = 4; base TG = y/m + ym.</t>
  </si>
  <si>
    <t xml:space="preserve">Routine two-stage chain (normal condition, then subtangent/subnormal) with no insight; numerical format nudges it but it stays at the level of 2023-P1-Q7 (L2).</t>
  </si>
  <si>
    <t xml:space="preserve">2023-P1-Q7 (L2)</t>
  </si>
  <si>
    <t xml:space="preserve">Q06</t>
  </si>
  <si>
    <t xml:space="preserve">Find the two tangents from the external point, then impose tangency to C2 by a zero discriminant.</t>
  </si>
  <si>
    <t xml:space="preserve">Standard chain (tangents from an external point, discriminant tangency) with no insight; similar demand to the parabola tangent anchor 2026-P2-Q2 (L2).</t>
  </si>
  <si>
    <t xml:space="preserve">2026-P2-Q2 (L2)</t>
  </si>
  <si>
    <t xml:space="preserve">Q07</t>
  </si>
  <si>
    <t xml:space="preserve">Equate the slope-form normal of one parabola with the parametric normal of the other and factor the quintic at s = 1.</t>
  </si>
  <si>
    <t xml:space="preserve">Standard normal forms chained with a factorisation; the uniqueness is given in the stem so the student only needs the real root s = 1, making it a routine numerical (L2, like 2023-P1-Q7), below the L4 parabola-normal anchor 2024-P2-Q12 which has a hidden ratio.</t>
  </si>
  <si>
    <t xml:space="preserve">2024-P2-Q12 (L4) / 2023-P1-Q7 (L2)</t>
  </si>
  <si>
    <t xml:space="preserve">Q08</t>
  </si>
  <si>
    <t xml:space="preserve">Factor t^3 - 3t + 2 = (t-1)^2(t+2) to find Q, then write the normal at Q.</t>
  </si>
  <si>
    <t xml:space="preserve">Routine chain of parametric slope, re-intersection by factorisation and normal: three standard steps with no insight, L2 like 2026-P2-Q2; easier than the L3 derivative anchor 2025-P2-Q14.</t>
  </si>
  <si>
    <t xml:space="preserve">2025-P2-Q14 (L3) / 2026-P2-Q2 (L2)</t>
  </si>
  <si>
    <t xml:space="preserve">Q09</t>
  </si>
  <si>
    <t xml:space="preserve">Equal slopes at the nearest points give b = 3/2 - a; the normal condition reduces to 8a^3 + 4a - 3 = 0.</t>
  </si>
  <si>
    <t xml:space="preserve">Routine common-normal computation ending in a cubic with an obvious root; no insight beyond the standard method, L2 like the conic-tangent anchor 2026-P2-Q17.</t>
  </si>
  <si>
    <t xml:space="preserve">2026-P2-Q17 (L2)</t>
  </si>
  <si>
    <t xml:space="preserve">Q10</t>
  </si>
  <si>
    <t xml:space="preserve">Minimise (x - alpha)^2 + 12x at x = alpha - 6 and subtract the radius.</t>
  </si>
  <si>
    <t xml:space="preserve">Standard reduction of curve-circle distance to point-curve distance followed by a one-variable minimum; a routine L2 chain like the area/conic anchor 2024-P2-Q2, well below the L4 inscribed-circle anchor 2021-P2-Q7.</t>
  </si>
  <si>
    <t xml:space="preserve">2021-P2-Q7 (L4) / 2024-P2-Q2 (L2)</t>
  </si>
  <si>
    <t xml:space="preserve">Q11</t>
  </si>
  <si>
    <t xml:space="preserve">Orthogonality and the common point fix p and q; tangency by discriminant gives a quadratic in a.</t>
  </si>
  <si>
    <t xml:space="preserve">A routine chain of standard steps (orthogonality, common point, discriminant tangency, Vieta) with surd arithmetic but no insight; L2 like the angle-between-tangents anchor 2026-P2-Q17.</t>
  </si>
  <si>
    <t xml:space="preserve">Q12</t>
  </si>
  <si>
    <t xml:space="preserve">Identify the radius (x^2+y^2)/(2x), form the homogeneous DE and integrate (1+v^2)/(v(1-v^2)) by partial fractions.</t>
  </si>
  <si>
    <t xml:space="preserve">Two ideas linked (geometric translation and a homogeneous DE needing a non-obvious partial fraction), more than the routine homogeneous DE 2025-P2-Q9 (L2) and level with the family-membership anchor 2021-P2-Q4 (L3).</t>
  </si>
  <si>
    <t xml:space="preserve">2025-P2-Q9 (L2) / 2021-P2-Q4 (L3)</t>
  </si>
  <si>
    <t xml:space="preserve">Q13</t>
  </si>
  <si>
    <t xml:space="preserve">Convert the angular rate to radians, use the constant-area constraint to get dr/dt, then differentiate the perimeter.</t>
  </si>
  <si>
    <t xml:space="preserve">Two ideas linked (unit conversion that is easy to miss, and a two-stage related-rate chain through a constraint) in numerical format with no options; above the routine L2 measure anchor 2021-P1-Q18 and comparable to 2024-P1-Q3 (L3).</t>
  </si>
  <si>
    <t xml:space="preserve">2021-P1-Q18 (L2) / 2024-P1-Q3 (L3)</t>
  </si>
  <si>
    <t xml:space="preserve">Q14</t>
  </si>
  <si>
    <t xml:space="preserve">See that for 0&lt;t&lt;1 the window minimum is at an endpoint and g is maximal when f(t) = f(t+1).</t>
  </si>
  <si>
    <t xml:space="preserve">Casework over t plus a balancing argument and a golden-ratio equation: two ideas linked with exact algebra in numerical form, like the extremum-sign anchor 2026-P1-Q1 (L3) and above the routine monotonicity anchor 2021-P1-Q12 (L2).</t>
  </si>
  <si>
    <t xml:space="preserve">2026-P1-Q1 (L3) / 2021-P1-Q12 (L2)</t>
  </si>
  <si>
    <t xml:space="preserve">Q15</t>
  </si>
  <si>
    <t xml:space="preserve">One-one on the half-line means increasing there; the minimum of f' on [0, infinity) depends on the sign of a.</t>
  </si>
  <si>
    <t xml:space="preserve">Two ideas linked (one-one equals monotonic, monotonicity on a half-line with a vertex case split) followed by careful counting with boundary cases; comparable to the bounded counting anchor 2026-P1-Q11 (L3).</t>
  </si>
  <si>
    <t xml:space="preserve">2026-P1-Q11 (L3) / 2021-P1-Q12 (L2)</t>
  </si>
  <si>
    <t xml:space="preserve">Q16</t>
  </si>
  <si>
    <t xml:space="preserve">Use the series at 0 for beta but the growth comparison at infinity for alpha; prove both extremal cases by a monotone auxiliary function.</t>
  </si>
  <si>
    <t xml:space="preserve">Two linked ideas (series comparison and monotonicity proof) with a trap (the series suggests alpha = 1/2); similar to the series-bound anchor 2021-P2-Q16 (L3) and short of the L4 limit-expansion anchor 2025-P1-Q11.</t>
  </si>
  <si>
    <t xml:space="preserve">2021-P2-Q16 (L3) / 2025-P1-Q11 (L4)</t>
  </si>
  <si>
    <t xml:space="preserve">Q17</t>
  </si>
  <si>
    <t xml:space="preserve">Use f(1) = f(4) to get k, then f'(c) = 1 - 4/(ab).</t>
  </si>
  <si>
    <t xml:space="preserve">Two standard theorem applications in sequence, each one routine step; a routine chain at L2, like the Rolle/IVT statements of 2021-P2-Q3.</t>
  </si>
  <si>
    <t xml:space="preserve">2021-P2-Q3 (L2)</t>
  </si>
  <si>
    <t xml:space="preserve">Q18</t>
  </si>
  <si>
    <t xml:space="preserve">Recognise P' + 2P as e^{-2x}(e^{2x}P)', apply Rolle three times and the IVT once to show all four roots are real.</t>
  </si>
  <si>
    <t xml:space="preserve">Two ideas linked (Rolle on an auxiliary function, then IVT for the remaining root) before a Vieta finish; the hidden auxiliary function is a known coaching trick, so 3 rather than 4, compared with 2023-P2-Q7 (L3).</t>
  </si>
  <si>
    <t xml:space="preserve">2023-P2-Q7 (L3) / 2024-P2-Q10 (L1)</t>
  </si>
  <si>
    <t xml:space="preserve">Q19</t>
  </si>
  <si>
    <t xml:space="preserve">Translate the Lipschitz inequality via LMVT into |a|+|b| &lt;= 6 and the one-one condition into |b| &lt;= |a|, then count lattice points.</t>
  </si>
  <si>
    <t xml:space="preserve">Two linked conversions (LMVT in both directions, one-one via monotonicity) and a lattice count with boundary cases; below the L4 counting anchor 2026-P2-Q10 because each step is standard, above the routine L2 2021-P1-Q12.</t>
  </si>
  <si>
    <t xml:space="preserve">2026-P2-Q10 (L4) / 2021-P1-Q12 (L2)</t>
  </si>
  <si>
    <t xml:space="preserve">Q20</t>
  </si>
  <si>
    <t xml:space="preserve">Range of the inner bounded function is [-4,4]; then absolute extrema of the cubic on this closed interval.</t>
  </si>
  <si>
    <t xml:space="preserve">Two ideas linked (bounded inner function supplies the interval, then closed-interval extrema with four values to compare) in numerical form; one stage beyond the routine range anchor 2021-P1-Q12 (L2).</t>
  </si>
  <si>
    <t xml:space="preserve">2021-P1-Q12 (L2) / 2026-P1-Q1 (L3)</t>
  </si>
  <si>
    <t xml:space="preserve">Q21</t>
  </si>
  <si>
    <t xml:space="preserve">Parametrise by the signed distance u = d/11 of the cutting plane from the centre and maximise (25 - u^2)(11 - u).</t>
  </si>
  <si>
    <t xml:space="preserve">Routine optimisation once the sphere-section geometry is set up (three standard steps, one cubic derivative); L2 numerical, between the L1 and L3 3D anchors 2024-P2-Q6 and 2026-P1-Q6.</t>
  </si>
  <si>
    <t xml:space="preserve">2026-P1-Q6 (L3) / 2024-P2-Q6 (L1)</t>
  </si>
  <si>
    <t xml:space="preserve">Q22</t>
  </si>
  <si>
    <t xml:space="preserve">Identify max{F(x),F(-x)} = F(-|x|) from the odd part, then find the sign changes of g''.</t>
  </si>
  <si>
    <t xml:space="preserve">Two ideas linked (deciding the max via the odd part, then second-derivative sign analysis with the trap at x = 0 and the F(|x|) trap); numerical, comparable to 2026-P1-Q1 (L3), less than the parity insight of 2021-P2-Q9 (L4).</t>
  </si>
  <si>
    <t xml:space="preserve">2021-P2-Q9 (L4) / 2026-P1-Q1 (L3)</t>
  </si>
  <si>
    <t xml:space="preserve">Adjusted level = min(5, max(level + equivalence-relation adj, MCQ floor)). Equivalence adj +0.5 when the key step tests equivalence relations/classes; MCQ floor 2.5 for one-or-more-correct questions involving several concepts. Edit columns I-J to change them.</t>
  </si>
  <si>
    <t xml:space="preserve">Difficulty summary</t>
  </si>
  <si>
    <t xml:space="preserve">Source: Application of Derivative   |   Evaluated on: 2026-10-18</t>
  </si>
  <si>
    <t xml:space="preserve">Label</t>
  </si>
  <si>
    <t xml:space="preserve">Questions</t>
  </si>
  <si>
    <t xml:space="preserve">% of marks</t>
  </si>
  <si>
    <t xml:space="preserve">Easier than JEE Main</t>
  </si>
  <si>
    <t xml:space="preserve">JEE Main level</t>
  </si>
  <si>
    <t xml:space="preserve">Slightly difficult</t>
  </si>
  <si>
    <t xml:space="preserve">Very difficult</t>
  </si>
  <si>
    <t xml:space="preserve">Total</t>
  </si>
  <si>
    <t xml:space="preserve">Scope</t>
  </si>
  <si>
    <t xml:space="preserve">Weighted index (adjusted)</t>
  </si>
  <si>
    <t xml:space="preserve">Weighted index (unadjusted)</t>
  </si>
  <si>
    <t xml:space="preserve">Mean level</t>
  </si>
  <si>
    <t xml:space="preserve">Overall</t>
  </si>
  <si>
    <t xml:space="preserve">Weighted index = sum(marks x level) / sum(marks), scale 0-5. 'Adjusted' uses the adjusted level (equivalence-relation adjustment and MCQ floor); 'unadjusted' uses the integer level.</t>
  </si>
  <si>
    <t xml:space="preserve">User's own ratings of official JEE Advanced maths papers</t>
  </si>
  <si>
    <t xml:space="preserve">Year</t>
  </si>
  <si>
    <t xml:space="preserve">Weighted index</t>
  </si>
  <si>
    <t xml:space="preserve">Marks at L0-1</t>
  </si>
  <si>
    <t xml:space="preserve">Marks at L4-5</t>
  </si>
  <si>
    <t xml:space="preserve">Level-5 questions</t>
  </si>
  <si>
    <t xml:space="preserve">This paper</t>
  </si>
  <si>
    <t xml:space="preserve">Source: the user's ratings in references/anchors.csv, used as given (they already reflect format and topic). 'This paper' uses the adjusted index. Official papers are 120 marks; compare the marks-at-level columns only for full-length papers.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</si>
</sst>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%"/>
    <numFmt numFmtId="167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A365D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365D"/>
        <bgColor rgb="FF333333"/>
      </patternFill>
    </fill>
    <fill>
      <patternFill patternType="solid">
        <fgColor rgb="FFFCE5CD"/>
        <bgColor rgb="FFFFF2CC"/>
      </patternFill>
    </fill>
    <fill>
      <patternFill patternType="solid">
        <fgColor rgb="FFFFF2CC"/>
        <bgColor rgb="FFFCE5CD"/>
      </patternFill>
    </fill>
    <fill>
      <patternFill patternType="solid">
        <fgColor rgb="FFD9EAD3"/>
        <bgColor rgb="FFE8F0D8"/>
      </patternFill>
    </fill>
    <fill>
      <patternFill patternType="solid">
        <fgColor rgb="FFE8F0D8"/>
        <bgColor rgb="FFD9EAD3"/>
      </patternFill>
    </fill>
    <fill>
      <patternFill patternType="solid">
        <fgColor rgb="FFF4CCCC"/>
        <bgColor rgb="FFFCE5CD"/>
      </patternFill>
    </fill>
    <fill>
      <patternFill patternType="solid">
        <fgColor rgb="FFEA9999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A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F0D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EA9999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A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7" min="6" style="0" width="7"/>
    <col collapsed="false" customWidth="true" hidden="false" outlineLevel="0" max="8" min="8" style="0" width="20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38"/>
    <col collapsed="false" customWidth="true" hidden="false" outlineLevel="0" max="14" min="14" style="0" width="60"/>
    <col collapsed="false" customWidth="true" hidden="false" outlineLevel="0" max="15" min="15" style="0" width="20"/>
    <col collapsed="false" customWidth="true" hidden="false" outlineLevel="0" max="16" min="16" style="0" width="11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46.25" hidden="false" customHeight="false" outlineLevel="0" collapsed="false">
      <c r="A2" s="2" t="n">
        <v>1</v>
      </c>
      <c r="B2" s="2"/>
      <c r="C2" s="2" t="s">
        <v>16</v>
      </c>
      <c r="D2" s="2" t="s">
        <v>17</v>
      </c>
      <c r="E2" s="3" t="s">
        <v>18</v>
      </c>
      <c r="F2" s="2" t="n">
        <v>3</v>
      </c>
      <c r="G2" s="4" t="n">
        <v>3</v>
      </c>
      <c r="H2" s="4" t="s">
        <v>19</v>
      </c>
      <c r="I2" s="5" t="n">
        <v>0</v>
      </c>
      <c r="J2" s="5" t="n">
        <v>0</v>
      </c>
      <c r="K2" s="5" t="n">
        <f aca="false">MIN(5,MAX(G2+I2,J2))</f>
        <v>3</v>
      </c>
      <c r="L2" s="5" t="n">
        <f aca="false">F2*K2</f>
        <v>9</v>
      </c>
      <c r="M2" s="3" t="s">
        <v>20</v>
      </c>
      <c r="N2" s="3" t="s">
        <v>21</v>
      </c>
      <c r="O2" s="3" t="s">
        <v>22</v>
      </c>
      <c r="P2" s="2" t="s">
        <v>23</v>
      </c>
    </row>
    <row r="3" customFormat="false" ht="35.05" hidden="false" customHeight="false" outlineLevel="0" collapsed="false">
      <c r="A3" s="2" t="n">
        <v>2</v>
      </c>
      <c r="B3" s="2"/>
      <c r="C3" s="2" t="s">
        <v>24</v>
      </c>
      <c r="D3" s="2" t="s">
        <v>17</v>
      </c>
      <c r="E3" s="3" t="s">
        <v>18</v>
      </c>
      <c r="F3" s="2" t="n">
        <v>3</v>
      </c>
      <c r="G3" s="6" t="n">
        <v>2</v>
      </c>
      <c r="H3" s="6" t="s">
        <v>25</v>
      </c>
      <c r="I3" s="5" t="n">
        <v>0</v>
      </c>
      <c r="J3" s="5" t="n">
        <v>0</v>
      </c>
      <c r="K3" s="5" t="n">
        <f aca="false">MIN(5,MAX(G3+I3,J3))</f>
        <v>2</v>
      </c>
      <c r="L3" s="5" t="n">
        <f aca="false">F3*K3</f>
        <v>6</v>
      </c>
      <c r="M3" s="3" t="s">
        <v>26</v>
      </c>
      <c r="N3" s="3" t="s">
        <v>27</v>
      </c>
      <c r="O3" s="3" t="s">
        <v>28</v>
      </c>
      <c r="P3" s="2" t="s">
        <v>29</v>
      </c>
    </row>
    <row r="4" customFormat="false" ht="46.25" hidden="false" customHeight="false" outlineLevel="0" collapsed="false">
      <c r="A4" s="2" t="n">
        <v>3</v>
      </c>
      <c r="B4" s="2"/>
      <c r="C4" s="2" t="s">
        <v>30</v>
      </c>
      <c r="D4" s="2" t="s">
        <v>17</v>
      </c>
      <c r="E4" s="3" t="s">
        <v>18</v>
      </c>
      <c r="F4" s="2" t="n">
        <v>3</v>
      </c>
      <c r="G4" s="4" t="n">
        <v>3</v>
      </c>
      <c r="H4" s="4" t="s">
        <v>19</v>
      </c>
      <c r="I4" s="5" t="n">
        <v>0</v>
      </c>
      <c r="J4" s="5" t="n">
        <v>0</v>
      </c>
      <c r="K4" s="5" t="n">
        <f aca="false">MIN(5,MAX(G4+I4,J4))</f>
        <v>3</v>
      </c>
      <c r="L4" s="5" t="n">
        <f aca="false">F4*K4</f>
        <v>9</v>
      </c>
      <c r="M4" s="3" t="s">
        <v>31</v>
      </c>
      <c r="N4" s="3" t="s">
        <v>32</v>
      </c>
      <c r="O4" s="3" t="s">
        <v>33</v>
      </c>
      <c r="P4" s="2" t="s">
        <v>23</v>
      </c>
    </row>
    <row r="5" customFormat="false" ht="35.05" hidden="false" customHeight="false" outlineLevel="0" collapsed="false">
      <c r="A5" s="2" t="n">
        <v>4</v>
      </c>
      <c r="B5" s="2"/>
      <c r="C5" s="2" t="s">
        <v>34</v>
      </c>
      <c r="D5" s="2" t="s">
        <v>17</v>
      </c>
      <c r="E5" s="3" t="s">
        <v>18</v>
      </c>
      <c r="F5" s="2" t="n">
        <v>3</v>
      </c>
      <c r="G5" s="6" t="n">
        <v>2</v>
      </c>
      <c r="H5" s="6" t="s">
        <v>25</v>
      </c>
      <c r="I5" s="5" t="n">
        <v>0</v>
      </c>
      <c r="J5" s="5" t="n">
        <v>0</v>
      </c>
      <c r="K5" s="5" t="n">
        <f aca="false">MIN(5,MAX(G5+I5,J5))</f>
        <v>2</v>
      </c>
      <c r="L5" s="5" t="n">
        <f aca="false">F5*K5</f>
        <v>6</v>
      </c>
      <c r="M5" s="3" t="s">
        <v>35</v>
      </c>
      <c r="N5" s="3" t="s">
        <v>36</v>
      </c>
      <c r="O5" s="3" t="s">
        <v>37</v>
      </c>
      <c r="P5" s="2" t="s">
        <v>23</v>
      </c>
    </row>
    <row r="6" customFormat="false" ht="35.05" hidden="false" customHeight="false" outlineLevel="0" collapsed="false">
      <c r="A6" s="2" t="n">
        <v>5</v>
      </c>
      <c r="B6" s="2"/>
      <c r="C6" s="2" t="s">
        <v>38</v>
      </c>
      <c r="D6" s="2" t="s">
        <v>39</v>
      </c>
      <c r="E6" s="3" t="s">
        <v>18</v>
      </c>
      <c r="F6" s="2" t="n">
        <v>4</v>
      </c>
      <c r="G6" s="6" t="n">
        <v>2</v>
      </c>
      <c r="H6" s="6" t="s">
        <v>25</v>
      </c>
      <c r="I6" s="5" t="n">
        <v>0</v>
      </c>
      <c r="J6" s="5" t="n">
        <v>0</v>
      </c>
      <c r="K6" s="5" t="n">
        <f aca="false">MIN(5,MAX(G6+I6,J6))</f>
        <v>2</v>
      </c>
      <c r="L6" s="5" t="n">
        <f aca="false">F6*K6</f>
        <v>8</v>
      </c>
      <c r="M6" s="3" t="s">
        <v>40</v>
      </c>
      <c r="N6" s="3" t="s">
        <v>41</v>
      </c>
      <c r="O6" s="3" t="s">
        <v>42</v>
      </c>
      <c r="P6" s="2" t="s">
        <v>29</v>
      </c>
    </row>
    <row r="7" customFormat="false" ht="35.05" hidden="false" customHeight="false" outlineLevel="0" collapsed="false">
      <c r="A7" s="2" t="n">
        <v>6</v>
      </c>
      <c r="B7" s="2"/>
      <c r="C7" s="2" t="s">
        <v>43</v>
      </c>
      <c r="D7" s="2" t="s">
        <v>39</v>
      </c>
      <c r="E7" s="3" t="s">
        <v>18</v>
      </c>
      <c r="F7" s="2" t="n">
        <v>4</v>
      </c>
      <c r="G7" s="6" t="n">
        <v>2</v>
      </c>
      <c r="H7" s="6" t="s">
        <v>25</v>
      </c>
      <c r="I7" s="5" t="n">
        <v>0</v>
      </c>
      <c r="J7" s="5" t="n">
        <v>0</v>
      </c>
      <c r="K7" s="5" t="n">
        <f aca="false">MIN(5,MAX(G7+I7,J7))</f>
        <v>2</v>
      </c>
      <c r="L7" s="5" t="n">
        <f aca="false">F7*K7</f>
        <v>8</v>
      </c>
      <c r="M7" s="3" t="s">
        <v>44</v>
      </c>
      <c r="N7" s="3" t="s">
        <v>45</v>
      </c>
      <c r="O7" s="3" t="s">
        <v>46</v>
      </c>
      <c r="P7" s="2" t="s">
        <v>23</v>
      </c>
    </row>
    <row r="8" customFormat="false" ht="46.25" hidden="false" customHeight="false" outlineLevel="0" collapsed="false">
      <c r="A8" s="2" t="n">
        <v>7</v>
      </c>
      <c r="B8" s="2"/>
      <c r="C8" s="2" t="s">
        <v>47</v>
      </c>
      <c r="D8" s="2" t="s">
        <v>39</v>
      </c>
      <c r="E8" s="3" t="s">
        <v>18</v>
      </c>
      <c r="F8" s="2" t="n">
        <v>4</v>
      </c>
      <c r="G8" s="6" t="n">
        <v>2</v>
      </c>
      <c r="H8" s="6" t="s">
        <v>25</v>
      </c>
      <c r="I8" s="5" t="n">
        <v>0</v>
      </c>
      <c r="J8" s="5" t="n">
        <v>0</v>
      </c>
      <c r="K8" s="5" t="n">
        <f aca="false">MIN(5,MAX(G8+I8,J8))</f>
        <v>2</v>
      </c>
      <c r="L8" s="5" t="n">
        <f aca="false">F8*K8</f>
        <v>8</v>
      </c>
      <c r="M8" s="3" t="s">
        <v>48</v>
      </c>
      <c r="N8" s="3" t="s">
        <v>49</v>
      </c>
      <c r="O8" s="3" t="s">
        <v>50</v>
      </c>
      <c r="P8" s="2" t="s">
        <v>23</v>
      </c>
    </row>
    <row r="9" customFormat="false" ht="35.05" hidden="false" customHeight="false" outlineLevel="0" collapsed="false">
      <c r="A9" s="2" t="n">
        <v>8</v>
      </c>
      <c r="B9" s="2"/>
      <c r="C9" s="2" t="s">
        <v>51</v>
      </c>
      <c r="D9" s="2" t="s">
        <v>39</v>
      </c>
      <c r="E9" s="3" t="s">
        <v>18</v>
      </c>
      <c r="F9" s="2" t="n">
        <v>4</v>
      </c>
      <c r="G9" s="6" t="n">
        <v>2</v>
      </c>
      <c r="H9" s="6" t="s">
        <v>25</v>
      </c>
      <c r="I9" s="5" t="n">
        <v>0</v>
      </c>
      <c r="J9" s="5" t="n">
        <v>0</v>
      </c>
      <c r="K9" s="5" t="n">
        <f aca="false">MIN(5,MAX(G9+I9,J9))</f>
        <v>2</v>
      </c>
      <c r="L9" s="5" t="n">
        <f aca="false">F9*K9</f>
        <v>8</v>
      </c>
      <c r="M9" s="3" t="s">
        <v>52</v>
      </c>
      <c r="N9" s="3" t="s">
        <v>53</v>
      </c>
      <c r="O9" s="3" t="s">
        <v>54</v>
      </c>
      <c r="P9" s="2" t="s">
        <v>29</v>
      </c>
    </row>
    <row r="10" customFormat="false" ht="35.05" hidden="false" customHeight="false" outlineLevel="0" collapsed="false">
      <c r="A10" s="2" t="n">
        <v>9</v>
      </c>
      <c r="B10" s="2"/>
      <c r="C10" s="2" t="s">
        <v>55</v>
      </c>
      <c r="D10" s="2" t="s">
        <v>39</v>
      </c>
      <c r="E10" s="3" t="s">
        <v>18</v>
      </c>
      <c r="F10" s="2" t="n">
        <v>4</v>
      </c>
      <c r="G10" s="6" t="n">
        <v>2</v>
      </c>
      <c r="H10" s="6" t="s">
        <v>25</v>
      </c>
      <c r="I10" s="5" t="n">
        <v>0</v>
      </c>
      <c r="J10" s="5" t="n">
        <v>0</v>
      </c>
      <c r="K10" s="5" t="n">
        <f aca="false">MIN(5,MAX(G10+I10,J10))</f>
        <v>2</v>
      </c>
      <c r="L10" s="5" t="n">
        <f aca="false">F10*K10</f>
        <v>8</v>
      </c>
      <c r="M10" s="3" t="s">
        <v>56</v>
      </c>
      <c r="N10" s="3" t="s">
        <v>57</v>
      </c>
      <c r="O10" s="3" t="s">
        <v>58</v>
      </c>
      <c r="P10" s="2" t="s">
        <v>23</v>
      </c>
    </row>
    <row r="11" customFormat="false" ht="46.25" hidden="false" customHeight="false" outlineLevel="0" collapsed="false">
      <c r="A11" s="2" t="n">
        <v>10</v>
      </c>
      <c r="B11" s="2"/>
      <c r="C11" s="2" t="s">
        <v>59</v>
      </c>
      <c r="D11" s="2" t="s">
        <v>39</v>
      </c>
      <c r="E11" s="3" t="s">
        <v>18</v>
      </c>
      <c r="F11" s="2" t="n">
        <v>4</v>
      </c>
      <c r="G11" s="6" t="n">
        <v>2</v>
      </c>
      <c r="H11" s="6" t="s">
        <v>25</v>
      </c>
      <c r="I11" s="5" t="n">
        <v>0</v>
      </c>
      <c r="J11" s="5" t="n">
        <v>0</v>
      </c>
      <c r="K11" s="5" t="n">
        <f aca="false">MIN(5,MAX(G11+I11,J11))</f>
        <v>2</v>
      </c>
      <c r="L11" s="5" t="n">
        <f aca="false">F11*K11</f>
        <v>8</v>
      </c>
      <c r="M11" s="3" t="s">
        <v>60</v>
      </c>
      <c r="N11" s="3" t="s">
        <v>61</v>
      </c>
      <c r="O11" s="3" t="s">
        <v>62</v>
      </c>
      <c r="P11" s="2" t="s">
        <v>23</v>
      </c>
    </row>
    <row r="12" customFormat="false" ht="35.05" hidden="false" customHeight="false" outlineLevel="0" collapsed="false">
      <c r="A12" s="2" t="n">
        <v>11</v>
      </c>
      <c r="B12" s="2"/>
      <c r="C12" s="2" t="s">
        <v>63</v>
      </c>
      <c r="D12" s="2" t="s">
        <v>39</v>
      </c>
      <c r="E12" s="3" t="s">
        <v>18</v>
      </c>
      <c r="F12" s="2" t="n">
        <v>4</v>
      </c>
      <c r="G12" s="6" t="n">
        <v>2</v>
      </c>
      <c r="H12" s="6" t="s">
        <v>25</v>
      </c>
      <c r="I12" s="5" t="n">
        <v>0</v>
      </c>
      <c r="J12" s="5" t="n">
        <v>0</v>
      </c>
      <c r="K12" s="5" t="n">
        <f aca="false">MIN(5,MAX(G12+I12,J12))</f>
        <v>2</v>
      </c>
      <c r="L12" s="5" t="n">
        <f aca="false">F12*K12</f>
        <v>8</v>
      </c>
      <c r="M12" s="3" t="s">
        <v>64</v>
      </c>
      <c r="N12" s="3" t="s">
        <v>65</v>
      </c>
      <c r="O12" s="3" t="s">
        <v>58</v>
      </c>
      <c r="P12" s="2" t="s">
        <v>23</v>
      </c>
    </row>
    <row r="13" customFormat="false" ht="46.25" hidden="false" customHeight="false" outlineLevel="0" collapsed="false">
      <c r="A13" s="2" t="n">
        <v>12</v>
      </c>
      <c r="B13" s="2"/>
      <c r="C13" s="2" t="s">
        <v>66</v>
      </c>
      <c r="D13" s="2" t="s">
        <v>39</v>
      </c>
      <c r="E13" s="3" t="s">
        <v>18</v>
      </c>
      <c r="F13" s="2" t="n">
        <v>4</v>
      </c>
      <c r="G13" s="4" t="n">
        <v>3</v>
      </c>
      <c r="H13" s="4" t="s">
        <v>19</v>
      </c>
      <c r="I13" s="5" t="n">
        <v>0</v>
      </c>
      <c r="J13" s="5" t="n">
        <v>0</v>
      </c>
      <c r="K13" s="5" t="n">
        <f aca="false">MIN(5,MAX(G13+I13,J13))</f>
        <v>3</v>
      </c>
      <c r="L13" s="5" t="n">
        <f aca="false">F13*K13</f>
        <v>12</v>
      </c>
      <c r="M13" s="3" t="s">
        <v>67</v>
      </c>
      <c r="N13" s="3" t="s">
        <v>68</v>
      </c>
      <c r="O13" s="3" t="s">
        <v>69</v>
      </c>
      <c r="P13" s="2" t="s">
        <v>23</v>
      </c>
    </row>
    <row r="14" customFormat="false" ht="46.25" hidden="false" customHeight="false" outlineLevel="0" collapsed="false">
      <c r="A14" s="2" t="n">
        <v>13</v>
      </c>
      <c r="B14" s="2"/>
      <c r="C14" s="2" t="s">
        <v>70</v>
      </c>
      <c r="D14" s="2" t="s">
        <v>39</v>
      </c>
      <c r="E14" s="3" t="s">
        <v>18</v>
      </c>
      <c r="F14" s="2" t="n">
        <v>4</v>
      </c>
      <c r="G14" s="4" t="n">
        <v>3</v>
      </c>
      <c r="H14" s="4" t="s">
        <v>19</v>
      </c>
      <c r="I14" s="5" t="n">
        <v>0</v>
      </c>
      <c r="J14" s="5" t="n">
        <v>0</v>
      </c>
      <c r="K14" s="5" t="n">
        <f aca="false">MIN(5,MAX(G14+I14,J14))</f>
        <v>3</v>
      </c>
      <c r="L14" s="5" t="n">
        <f aca="false">F14*K14</f>
        <v>12</v>
      </c>
      <c r="M14" s="3" t="s">
        <v>71</v>
      </c>
      <c r="N14" s="3" t="s">
        <v>72</v>
      </c>
      <c r="O14" s="3" t="s">
        <v>73</v>
      </c>
      <c r="P14" s="2" t="s">
        <v>23</v>
      </c>
    </row>
    <row r="15" customFormat="false" ht="46.25" hidden="false" customHeight="false" outlineLevel="0" collapsed="false">
      <c r="A15" s="2" t="n">
        <v>14</v>
      </c>
      <c r="B15" s="2"/>
      <c r="C15" s="2" t="s">
        <v>74</v>
      </c>
      <c r="D15" s="2" t="s">
        <v>39</v>
      </c>
      <c r="E15" s="3" t="s">
        <v>18</v>
      </c>
      <c r="F15" s="2" t="n">
        <v>4</v>
      </c>
      <c r="G15" s="4" t="n">
        <v>3</v>
      </c>
      <c r="H15" s="4" t="s">
        <v>19</v>
      </c>
      <c r="I15" s="5" t="n">
        <v>0</v>
      </c>
      <c r="J15" s="5" t="n">
        <v>0</v>
      </c>
      <c r="K15" s="5" t="n">
        <f aca="false">MIN(5,MAX(G15+I15,J15))</f>
        <v>3</v>
      </c>
      <c r="L15" s="5" t="n">
        <f aca="false">F15*K15</f>
        <v>12</v>
      </c>
      <c r="M15" s="3" t="s">
        <v>75</v>
      </c>
      <c r="N15" s="3" t="s">
        <v>76</v>
      </c>
      <c r="O15" s="3" t="s">
        <v>77</v>
      </c>
      <c r="P15" s="2" t="s">
        <v>23</v>
      </c>
    </row>
    <row r="16" customFormat="false" ht="35.05" hidden="false" customHeight="false" outlineLevel="0" collapsed="false">
      <c r="A16" s="2" t="n">
        <v>15</v>
      </c>
      <c r="B16" s="2"/>
      <c r="C16" s="2" t="s">
        <v>78</v>
      </c>
      <c r="D16" s="2" t="s">
        <v>39</v>
      </c>
      <c r="E16" s="3" t="s">
        <v>18</v>
      </c>
      <c r="F16" s="2" t="n">
        <v>4</v>
      </c>
      <c r="G16" s="4" t="n">
        <v>3</v>
      </c>
      <c r="H16" s="4" t="s">
        <v>19</v>
      </c>
      <c r="I16" s="5" t="n">
        <v>0</v>
      </c>
      <c r="J16" s="5" t="n">
        <v>0</v>
      </c>
      <c r="K16" s="5" t="n">
        <f aca="false">MIN(5,MAX(G16+I16,J16))</f>
        <v>3</v>
      </c>
      <c r="L16" s="5" t="n">
        <f aca="false">F16*K16</f>
        <v>12</v>
      </c>
      <c r="M16" s="3" t="s">
        <v>79</v>
      </c>
      <c r="N16" s="3" t="s">
        <v>80</v>
      </c>
      <c r="O16" s="3" t="s">
        <v>81</v>
      </c>
      <c r="P16" s="2" t="s">
        <v>23</v>
      </c>
    </row>
    <row r="17" customFormat="false" ht="46.25" hidden="false" customHeight="false" outlineLevel="0" collapsed="false">
      <c r="A17" s="2" t="n">
        <v>16</v>
      </c>
      <c r="B17" s="2"/>
      <c r="C17" s="2" t="s">
        <v>82</v>
      </c>
      <c r="D17" s="2" t="s">
        <v>39</v>
      </c>
      <c r="E17" s="3" t="s">
        <v>18</v>
      </c>
      <c r="F17" s="2" t="n">
        <v>4</v>
      </c>
      <c r="G17" s="4" t="n">
        <v>3</v>
      </c>
      <c r="H17" s="4" t="s">
        <v>19</v>
      </c>
      <c r="I17" s="5" t="n">
        <v>0</v>
      </c>
      <c r="J17" s="5" t="n">
        <v>0</v>
      </c>
      <c r="K17" s="5" t="n">
        <f aca="false">MIN(5,MAX(G17+I17,J17))</f>
        <v>3</v>
      </c>
      <c r="L17" s="5" t="n">
        <f aca="false">F17*K17</f>
        <v>12</v>
      </c>
      <c r="M17" s="3" t="s">
        <v>83</v>
      </c>
      <c r="N17" s="3" t="s">
        <v>84</v>
      </c>
      <c r="O17" s="3" t="s">
        <v>85</v>
      </c>
      <c r="P17" s="2" t="s">
        <v>23</v>
      </c>
    </row>
    <row r="18" customFormat="false" ht="23.85" hidden="false" customHeight="false" outlineLevel="0" collapsed="false">
      <c r="A18" s="2" t="n">
        <v>17</v>
      </c>
      <c r="B18" s="2"/>
      <c r="C18" s="2" t="s">
        <v>86</v>
      </c>
      <c r="D18" s="2" t="s">
        <v>39</v>
      </c>
      <c r="E18" s="3" t="s">
        <v>18</v>
      </c>
      <c r="F18" s="2" t="n">
        <v>4</v>
      </c>
      <c r="G18" s="6" t="n">
        <v>2</v>
      </c>
      <c r="H18" s="6" t="s">
        <v>25</v>
      </c>
      <c r="I18" s="5" t="n">
        <v>0</v>
      </c>
      <c r="J18" s="5" t="n">
        <v>0</v>
      </c>
      <c r="K18" s="5" t="n">
        <f aca="false">MIN(5,MAX(G18+I18,J18))</f>
        <v>2</v>
      </c>
      <c r="L18" s="5" t="n">
        <f aca="false">F18*K18</f>
        <v>8</v>
      </c>
      <c r="M18" s="3" t="s">
        <v>87</v>
      </c>
      <c r="N18" s="3" t="s">
        <v>88</v>
      </c>
      <c r="O18" s="3" t="s">
        <v>89</v>
      </c>
      <c r="P18" s="2" t="s">
        <v>29</v>
      </c>
    </row>
    <row r="19" customFormat="false" ht="35.05" hidden="false" customHeight="false" outlineLevel="0" collapsed="false">
      <c r="A19" s="2" t="n">
        <v>18</v>
      </c>
      <c r="B19" s="2"/>
      <c r="C19" s="2" t="s">
        <v>90</v>
      </c>
      <c r="D19" s="2" t="s">
        <v>39</v>
      </c>
      <c r="E19" s="3" t="s">
        <v>18</v>
      </c>
      <c r="F19" s="2" t="n">
        <v>4</v>
      </c>
      <c r="G19" s="4" t="n">
        <v>3</v>
      </c>
      <c r="H19" s="4" t="s">
        <v>19</v>
      </c>
      <c r="I19" s="5" t="n">
        <v>0</v>
      </c>
      <c r="J19" s="5" t="n">
        <v>0</v>
      </c>
      <c r="K19" s="5" t="n">
        <f aca="false">MIN(5,MAX(G19+I19,J19))</f>
        <v>3</v>
      </c>
      <c r="L19" s="5" t="n">
        <f aca="false">F19*K19</f>
        <v>12</v>
      </c>
      <c r="M19" s="3" t="s">
        <v>91</v>
      </c>
      <c r="N19" s="3" t="s">
        <v>92</v>
      </c>
      <c r="O19" s="3" t="s">
        <v>93</v>
      </c>
      <c r="P19" s="2" t="s">
        <v>23</v>
      </c>
    </row>
    <row r="20" customFormat="false" ht="46.25" hidden="false" customHeight="false" outlineLevel="0" collapsed="false">
      <c r="A20" s="2" t="n">
        <v>19</v>
      </c>
      <c r="B20" s="2"/>
      <c r="C20" s="2" t="s">
        <v>94</v>
      </c>
      <c r="D20" s="2" t="s">
        <v>39</v>
      </c>
      <c r="E20" s="3" t="s">
        <v>18</v>
      </c>
      <c r="F20" s="2" t="n">
        <v>4</v>
      </c>
      <c r="G20" s="4" t="n">
        <v>3</v>
      </c>
      <c r="H20" s="4" t="s">
        <v>19</v>
      </c>
      <c r="I20" s="5" t="n">
        <v>0</v>
      </c>
      <c r="J20" s="5" t="n">
        <v>0</v>
      </c>
      <c r="K20" s="5" t="n">
        <f aca="false">MIN(5,MAX(G20+I20,J20))</f>
        <v>3</v>
      </c>
      <c r="L20" s="5" t="n">
        <f aca="false">F20*K20</f>
        <v>12</v>
      </c>
      <c r="M20" s="3" t="s">
        <v>95</v>
      </c>
      <c r="N20" s="3" t="s">
        <v>96</v>
      </c>
      <c r="O20" s="3" t="s">
        <v>97</v>
      </c>
      <c r="P20" s="2" t="s">
        <v>23</v>
      </c>
    </row>
    <row r="21" customFormat="false" ht="35.05" hidden="false" customHeight="false" outlineLevel="0" collapsed="false">
      <c r="A21" s="2" t="n">
        <v>20</v>
      </c>
      <c r="B21" s="2"/>
      <c r="C21" s="2" t="s">
        <v>98</v>
      </c>
      <c r="D21" s="2" t="s">
        <v>39</v>
      </c>
      <c r="E21" s="3" t="s">
        <v>18</v>
      </c>
      <c r="F21" s="2" t="n">
        <v>4</v>
      </c>
      <c r="G21" s="4" t="n">
        <v>3</v>
      </c>
      <c r="H21" s="4" t="s">
        <v>19</v>
      </c>
      <c r="I21" s="5" t="n">
        <v>0</v>
      </c>
      <c r="J21" s="5" t="n">
        <v>0</v>
      </c>
      <c r="K21" s="5" t="n">
        <f aca="false">MIN(5,MAX(G21+I21,J21))</f>
        <v>3</v>
      </c>
      <c r="L21" s="5" t="n">
        <f aca="false">F21*K21</f>
        <v>12</v>
      </c>
      <c r="M21" s="3" t="s">
        <v>99</v>
      </c>
      <c r="N21" s="3" t="s">
        <v>100</v>
      </c>
      <c r="O21" s="3" t="s">
        <v>101</v>
      </c>
      <c r="P21" s="2" t="s">
        <v>23</v>
      </c>
    </row>
    <row r="22" customFormat="false" ht="35.05" hidden="false" customHeight="false" outlineLevel="0" collapsed="false">
      <c r="A22" s="2" t="n">
        <v>21</v>
      </c>
      <c r="B22" s="2"/>
      <c r="C22" s="2" t="s">
        <v>102</v>
      </c>
      <c r="D22" s="2" t="s">
        <v>39</v>
      </c>
      <c r="E22" s="3" t="s">
        <v>18</v>
      </c>
      <c r="F22" s="2" t="n">
        <v>4</v>
      </c>
      <c r="G22" s="6" t="n">
        <v>2</v>
      </c>
      <c r="H22" s="6" t="s">
        <v>25</v>
      </c>
      <c r="I22" s="5" t="n">
        <v>0</v>
      </c>
      <c r="J22" s="5" t="n">
        <v>0</v>
      </c>
      <c r="K22" s="5" t="n">
        <f aca="false">MIN(5,MAX(G22+I22,J22))</f>
        <v>2</v>
      </c>
      <c r="L22" s="5" t="n">
        <f aca="false">F22*K22</f>
        <v>8</v>
      </c>
      <c r="M22" s="3" t="s">
        <v>103</v>
      </c>
      <c r="N22" s="3" t="s">
        <v>104</v>
      </c>
      <c r="O22" s="3" t="s">
        <v>105</v>
      </c>
      <c r="P22" s="2" t="s">
        <v>23</v>
      </c>
    </row>
    <row r="23" customFormat="false" ht="46.25" hidden="false" customHeight="false" outlineLevel="0" collapsed="false">
      <c r="A23" s="2" t="n">
        <v>22</v>
      </c>
      <c r="B23" s="2"/>
      <c r="C23" s="2" t="s">
        <v>106</v>
      </c>
      <c r="D23" s="2" t="s">
        <v>39</v>
      </c>
      <c r="E23" s="3" t="s">
        <v>18</v>
      </c>
      <c r="F23" s="2" t="n">
        <v>4</v>
      </c>
      <c r="G23" s="4" t="n">
        <v>3</v>
      </c>
      <c r="H23" s="4" t="s">
        <v>19</v>
      </c>
      <c r="I23" s="5" t="n">
        <v>0</v>
      </c>
      <c r="J23" s="5" t="n">
        <v>0</v>
      </c>
      <c r="K23" s="5" t="n">
        <f aca="false">MIN(5,MAX(G23+I23,J23))</f>
        <v>3</v>
      </c>
      <c r="L23" s="5" t="n">
        <f aca="false">F23*K23</f>
        <v>12</v>
      </c>
      <c r="M23" s="3" t="s">
        <v>107</v>
      </c>
      <c r="N23" s="3" t="s">
        <v>108</v>
      </c>
      <c r="O23" s="3" t="s">
        <v>109</v>
      </c>
      <c r="P23" s="2" t="s">
        <v>23</v>
      </c>
    </row>
    <row r="25" customFormat="false" ht="15" hidden="false" customHeight="false" outlineLevel="0" collapsed="false">
      <c r="A25" s="7" t="s">
        <v>110</v>
      </c>
    </row>
  </sheetData>
  <autoFilter ref="A1:P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</cols>
  <sheetData>
    <row r="1" customFormat="false" ht="16.15" hidden="false" customHeight="false" outlineLevel="0" collapsed="false">
      <c r="A1" s="8" t="s">
        <v>111</v>
      </c>
    </row>
    <row r="2" customFormat="false" ht="15" hidden="false" customHeight="false" outlineLevel="0" collapsed="false">
      <c r="A2" s="7" t="s">
        <v>112</v>
      </c>
    </row>
    <row r="4" customFormat="false" ht="15" hidden="false" customHeight="false" outlineLevel="0" collapsed="false">
      <c r="A4" s="1" t="s">
        <v>6</v>
      </c>
      <c r="B4" s="1" t="s">
        <v>113</v>
      </c>
      <c r="C4" s="1" t="s">
        <v>114</v>
      </c>
      <c r="D4" s="1" t="s">
        <v>5</v>
      </c>
      <c r="E4" s="1" t="s">
        <v>115</v>
      </c>
    </row>
    <row r="5" customFormat="false" ht="15" hidden="false" customHeight="false" outlineLevel="0" collapsed="false">
      <c r="A5" s="9" t="n">
        <v>0</v>
      </c>
      <c r="B5" s="9" t="s">
        <v>116</v>
      </c>
      <c r="C5" s="9" t="n">
        <f aca="false">COUNTIF(Evaluation!$G$2:$G$23,A5)</f>
        <v>0</v>
      </c>
      <c r="D5" s="9" t="n">
        <f aca="false">SUMIF(Evaluation!$G$2:$G$23,A5,Evaluation!$F$2:$F$23)</f>
        <v>0</v>
      </c>
      <c r="E5" s="10" t="n">
        <f aca="false">IF(SUM($D$5:$D$10)=0,0,D5/SUM($D$5:$D$10))</f>
        <v>0</v>
      </c>
    </row>
    <row r="6" customFormat="false" ht="15" hidden="false" customHeight="false" outlineLevel="0" collapsed="false">
      <c r="A6" s="11" t="n">
        <v>1</v>
      </c>
      <c r="B6" s="11" t="s">
        <v>117</v>
      </c>
      <c r="C6" s="11" t="n">
        <f aca="false">COUNTIF(Evaluation!$G$2:$G$23,A6)</f>
        <v>0</v>
      </c>
      <c r="D6" s="11" t="n">
        <f aca="false">SUMIF(Evaluation!$G$2:$G$23,A6,Evaluation!$F$2:$F$23)</f>
        <v>0</v>
      </c>
      <c r="E6" s="12" t="n">
        <f aca="false">IF(SUM($D$5:$D$10)=0,0,D6/SUM($D$5:$D$10))</f>
        <v>0</v>
      </c>
    </row>
    <row r="7" customFormat="false" ht="15" hidden="false" customHeight="false" outlineLevel="0" collapsed="false">
      <c r="A7" s="13" t="n">
        <v>2</v>
      </c>
      <c r="B7" s="13" t="s">
        <v>25</v>
      </c>
      <c r="C7" s="13" t="n">
        <f aca="false">COUNTIF(Evaluation!$G$2:$G$23,A7)</f>
        <v>11</v>
      </c>
      <c r="D7" s="13" t="n">
        <f aca="false">SUMIF(Evaluation!$G$2:$G$23,A7,Evaluation!$F$2:$F$23)</f>
        <v>42</v>
      </c>
      <c r="E7" s="14" t="n">
        <f aca="false">IF(SUM($D$5:$D$10)=0,0,D7/SUM($D$5:$D$10))</f>
        <v>0.5</v>
      </c>
    </row>
    <row r="8" customFormat="false" ht="15" hidden="false" customHeight="false" outlineLevel="0" collapsed="false">
      <c r="A8" s="15" t="n">
        <v>3</v>
      </c>
      <c r="B8" s="15" t="s">
        <v>19</v>
      </c>
      <c r="C8" s="15" t="n">
        <f aca="false">COUNTIF(Evaluation!$G$2:$G$23,A8)</f>
        <v>11</v>
      </c>
      <c r="D8" s="15" t="n">
        <f aca="false">SUMIF(Evaluation!$G$2:$G$23,A8,Evaluation!$F$2:$F$23)</f>
        <v>42</v>
      </c>
      <c r="E8" s="16" t="n">
        <f aca="false">IF(SUM($D$5:$D$10)=0,0,D8/SUM($D$5:$D$10))</f>
        <v>0.5</v>
      </c>
    </row>
    <row r="9" customFormat="false" ht="15" hidden="false" customHeight="false" outlineLevel="0" collapsed="false">
      <c r="A9" s="17" t="n">
        <v>4</v>
      </c>
      <c r="B9" s="17" t="s">
        <v>118</v>
      </c>
      <c r="C9" s="17" t="n">
        <f aca="false">COUNTIF(Evaluation!$G$2:$G$23,A9)</f>
        <v>0</v>
      </c>
      <c r="D9" s="17" t="n">
        <f aca="false">SUMIF(Evaluation!$G$2:$G$23,A9,Evaluation!$F$2:$F$23)</f>
        <v>0</v>
      </c>
      <c r="E9" s="18" t="n">
        <f aca="false">IF(SUM($D$5:$D$10)=0,0,D9/SUM($D$5:$D$10))</f>
        <v>0</v>
      </c>
    </row>
    <row r="10" customFormat="false" ht="15" hidden="false" customHeight="false" outlineLevel="0" collapsed="false">
      <c r="A10" s="19" t="n">
        <v>5</v>
      </c>
      <c r="B10" s="19" t="s">
        <v>119</v>
      </c>
      <c r="C10" s="19" t="n">
        <f aca="false">COUNTIF(Evaluation!$G$2:$G$23,A10)</f>
        <v>0</v>
      </c>
      <c r="D10" s="19" t="n">
        <f aca="false">SUMIF(Evaluation!$G$2:$G$23,A10,Evaluation!$F$2:$F$23)</f>
        <v>0</v>
      </c>
      <c r="E10" s="20" t="n">
        <f aca="false">IF(SUM($D$5:$D$10)=0,0,D10/SUM($D$5:$D$10))</f>
        <v>0</v>
      </c>
    </row>
    <row r="11" customFormat="false" ht="15" hidden="false" customHeight="false" outlineLevel="0" collapsed="false">
      <c r="A11" s="21" t="s">
        <v>120</v>
      </c>
      <c r="C11" s="21" t="n">
        <f aca="false">SUM(C5:C10)</f>
        <v>22</v>
      </c>
      <c r="D11" s="21" t="n">
        <f aca="false">SUM(D5:D10)</f>
        <v>84</v>
      </c>
    </row>
    <row r="13" customFormat="false" ht="46.25" hidden="false" customHeight="false" outlineLevel="0" collapsed="false">
      <c r="A13" s="1" t="s">
        <v>121</v>
      </c>
      <c r="B13" s="1" t="s">
        <v>122</v>
      </c>
      <c r="C13" s="1" t="s">
        <v>123</v>
      </c>
      <c r="D13" s="1" t="s">
        <v>5</v>
      </c>
      <c r="E13" s="1" t="s">
        <v>124</v>
      </c>
    </row>
    <row r="14" customFormat="false" ht="15" hidden="false" customHeight="false" outlineLevel="0" collapsed="false">
      <c r="A14" s="21" t="s">
        <v>125</v>
      </c>
      <c r="B14" s="22" t="n">
        <f aca="false">SUM(Evaluation!$L$2:$L$23)/SUM(Evaluation!$F$2:$F$23)</f>
        <v>2.5</v>
      </c>
      <c r="C14" s="22" t="n">
        <f aca="false">SUMPRODUCT(Evaluation!$F$2:$F$23,Evaluation!$G$2:$G$23)/SUM(Evaluation!$F$2:$F$23)</f>
        <v>2.5</v>
      </c>
      <c r="D14" s="21" t="n">
        <f aca="false">SUM(Evaluation!$F$2:$F$23)</f>
        <v>84</v>
      </c>
      <c r="E14" s="22" t="n">
        <f aca="false">AVERAGE(Evaluation!$G$2:$G$23)</f>
        <v>2.5</v>
      </c>
    </row>
    <row r="16" customFormat="false" ht="15" hidden="false" customHeight="false" outlineLevel="0" collapsed="false">
      <c r="A16" s="7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5" min="4" style="0" width="13"/>
    <col collapsed="false" customWidth="true" hidden="false" outlineLevel="0" max="6" min="6" style="0" width="15"/>
  </cols>
  <sheetData>
    <row r="1" customFormat="false" ht="16.15" hidden="false" customHeight="false" outlineLevel="0" collapsed="false">
      <c r="A1" s="8" t="s">
        <v>127</v>
      </c>
    </row>
    <row r="3" customFormat="false" ht="23.85" hidden="false" customHeight="false" outlineLevel="0" collapsed="false">
      <c r="A3" s="1" t="s">
        <v>128</v>
      </c>
      <c r="B3" s="1" t="s">
        <v>129</v>
      </c>
      <c r="C3" s="1" t="s">
        <v>124</v>
      </c>
      <c r="D3" s="1" t="s">
        <v>130</v>
      </c>
      <c r="E3" s="1" t="s">
        <v>131</v>
      </c>
      <c r="F3" s="1" t="s">
        <v>132</v>
      </c>
    </row>
    <row r="4" customFormat="false" ht="15" hidden="false" customHeight="false" outlineLevel="0" collapsed="false">
      <c r="A4" s="23" t="n">
        <v>2021</v>
      </c>
      <c r="B4" s="24" t="n">
        <v>2.75833333333333</v>
      </c>
      <c r="C4" s="24" t="n">
        <v>2.89473684210526</v>
      </c>
      <c r="D4" s="23" t="n">
        <v>16</v>
      </c>
      <c r="E4" s="23" t="n">
        <v>34</v>
      </c>
      <c r="F4" s="23" t="n">
        <v>1</v>
      </c>
    </row>
    <row r="5" customFormat="false" ht="15" hidden="false" customHeight="false" outlineLevel="0" collapsed="false">
      <c r="A5" s="23" t="n">
        <v>2023</v>
      </c>
      <c r="B5" s="24" t="n">
        <v>3.19166666666667</v>
      </c>
      <c r="C5" s="24" t="n">
        <v>3.14705882352941</v>
      </c>
      <c r="D5" s="23" t="n">
        <v>13</v>
      </c>
      <c r="E5" s="23" t="n">
        <v>47</v>
      </c>
      <c r="F5" s="23" t="n">
        <v>5</v>
      </c>
    </row>
    <row r="6" customFormat="false" ht="15" hidden="false" customHeight="false" outlineLevel="0" collapsed="false">
      <c r="A6" s="23" t="n">
        <v>2024</v>
      </c>
      <c r="B6" s="24" t="n">
        <v>2.59166666666667</v>
      </c>
      <c r="C6" s="24" t="n">
        <v>2.55882352941176</v>
      </c>
      <c r="D6" s="23" t="n">
        <v>28</v>
      </c>
      <c r="E6" s="23" t="n">
        <v>40</v>
      </c>
      <c r="F6" s="23" t="n">
        <v>1</v>
      </c>
    </row>
    <row r="7" customFormat="false" ht="15" hidden="false" customHeight="false" outlineLevel="0" collapsed="false">
      <c r="A7" s="23" t="n">
        <v>2025</v>
      </c>
      <c r="B7" s="24" t="n">
        <v>3.20833333333333</v>
      </c>
      <c r="C7" s="24" t="n">
        <v>3.1875</v>
      </c>
      <c r="D7" s="23" t="n">
        <v>8</v>
      </c>
      <c r="E7" s="23" t="n">
        <v>65</v>
      </c>
      <c r="F7" s="23" t="n">
        <v>1</v>
      </c>
    </row>
    <row r="8" customFormat="false" ht="15" hidden="false" customHeight="false" outlineLevel="0" collapsed="false">
      <c r="A8" s="23" t="n">
        <v>2026</v>
      </c>
      <c r="B8" s="24" t="n">
        <v>3.025</v>
      </c>
      <c r="C8" s="24" t="n">
        <v>2.94117647058824</v>
      </c>
      <c r="D8" s="23" t="n">
        <v>6</v>
      </c>
      <c r="E8" s="23" t="n">
        <v>38</v>
      </c>
      <c r="F8" s="23" t="n">
        <v>2</v>
      </c>
    </row>
    <row r="9" customFormat="false" ht="15" hidden="false" customHeight="false" outlineLevel="0" collapsed="false">
      <c r="A9" s="21" t="s">
        <v>133</v>
      </c>
      <c r="B9" s="22" t="n">
        <f aca="false">Summary!B14</f>
        <v>2.5</v>
      </c>
      <c r="C9" s="22" t="n">
        <f aca="false">Summary!E14</f>
        <v>2.5</v>
      </c>
      <c r="D9" s="21" t="n">
        <f aca="false">Summary!D5+Summary!D6</f>
        <v>0</v>
      </c>
      <c r="E9" s="21" t="n">
        <f aca="false">Summary!D9+Summary!D10</f>
        <v>0</v>
      </c>
      <c r="F9" s="21" t="n">
        <f aca="false">Summary!C10</f>
        <v>0</v>
      </c>
    </row>
    <row r="11" customFormat="false" ht="15" hidden="false" customHeight="false" outlineLevel="0" collapsed="false">
      <c r="A11" s="7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2026-10-18T15:01:50Z</dcterms:created>
  <dc:creator>openpyxl</dc:creator>
  <dc:description/>
  <dc:language>en-US</dc:language>
  <cp:lastModifiedBy/>
  <dcterms:modified xsi:type="dcterms:W3CDTF">2026-10-18T15:01:50Z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