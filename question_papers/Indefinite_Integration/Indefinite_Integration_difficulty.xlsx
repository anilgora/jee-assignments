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valuation" sheetId="1" state="visible" r:id="rId3"/>
    <sheet name="Summary" sheetId="2" state="visible" r:id="rId4"/>
    <sheet name="Reference" sheetId="3" state="visible" r:id="rId5"/>
  </sheets>
  <definedNames>
    <definedName function="false" hidden="true" localSheetId="0" name="_xlnm._FilterDatabase" vbProcedure="false">Evaluation!$A$1:$P$19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<sst xmlns="http://schemas.openxmlformats.org/spreadsheetml/2006/main" count="191" uniqueCount="112">
  <si>
    <t xml:space="preserve">Sr No</t>
  </si>
  <si>
    <t xml:space="preserve">Paper</t>
  </si>
  <si>
    <t xml:space="preserve">Q Ref</t>
  </si>
  <si>
    <t xml:space="preserve">Type</t>
  </si>
  <si>
    <t xml:space="preserve">Chapter</t>
  </si>
  <si>
    <t xml:space="preserve">Marks</t>
  </si>
  <si>
    <t xml:space="preserve">Level</t>
  </si>
  <si>
    <t xml:space="preserve">Level Label</t>
  </si>
  <si>
    <t xml:space="preserve">Equiv. Rel. Adj</t>
  </si>
  <si>
    <t xml:space="preserve">MCQ Floor</t>
  </si>
  <si>
    <t xml:space="preserve">Adjusted Level</t>
  </si>
  <si>
    <t xml:space="preserve">Marks x Adj Level</t>
  </si>
  <si>
    <t xml:space="preserve">Key Step</t>
  </si>
  <si>
    <t xml:space="preserve">Justification</t>
  </si>
  <si>
    <t xml:space="preserve">Nearest Anchor</t>
  </si>
  <si>
    <t xml:space="preserve">Confidence</t>
  </si>
  <si>
    <t xml:space="preserve">Q01</t>
  </si>
  <si>
    <t xml:space="preserve">SCQ</t>
  </si>
  <si>
    <t xml:space="preserve">Indefinite Integration</t>
  </si>
  <si>
    <t xml:space="preserve">Average Advanced</t>
  </si>
  <si>
    <t xml:space="preserve">Translating the tangent's y-intercept into y'/y = x ln x, then integrating x ln x by parts and fixing the constant.</t>
  </si>
  <si>
    <t xml:space="preserve">Three linked stages (tangent intercept, separation, by parts) with a by-parts sign trap the options exploit. Above the plain separable DE 2026-P2-Q3 (L2) because the equation must first be extracted from a geometric condition; comparable to 2023-P2-Q1 (L2) plus one stage.</t>
  </si>
  <si>
    <t xml:space="preserve">2026-P2-Q3 (L2)</t>
  </si>
  <si>
    <t xml:space="preserve">Medium</t>
  </si>
  <si>
    <t xml:space="preserve">Q02</t>
  </si>
  <si>
    <t xml:space="preserve">Recognising that F is periodic only when the constant term of F' is zero, then maximising the resulting product sin x cos^3 x.</t>
  </si>
  <si>
    <t xml:space="preserve">Two ideas linked: periodicity of an antiderivative forces zero mean, and an extremum of the antiderivative. Each step is standard but the first is not a routine exercise. Comparable to 2024-P1-Q3 (L3) trig evaluation with an extra calculus stage.</t>
  </si>
  <si>
    <t xml:space="preserve">2024-P1-Q3 (L3)</t>
  </si>
  <si>
    <t xml:space="preserve">Q03</t>
  </si>
  <si>
    <t xml:space="preserve">Splitting the numerator, then using boundedness for p and the odd-part limit for q (log terms cancel, arctan terms add).</t>
  </si>
  <si>
    <t xml:space="preserve">Standard integral form, but the two coefficients are recovered from limit behaviour of the antiderivative, which needs care with which terms survive. Two ideas linked, options help; comparable to 2025-P2-Q1 (L2) limit-with-a-given-function raised to L3 by the two-condition setup, near 2023-P2-Q3 (L3).</t>
  </si>
  <si>
    <t xml:space="preserve">2023-P2-Q3 (L3)</t>
  </si>
  <si>
    <t xml:space="preserve">Q04</t>
  </si>
  <si>
    <t xml:space="preserve">Easier than Advanced</t>
  </si>
  <si>
    <t xml:space="preserve">Writing the numerator as denominator + derivative of denominator, then evaluating at tan x = 7.</t>
  </si>
  <si>
    <t xml:space="preserve">A routine chain: one standard decomposition, a sign analysis and an evaluation. No insight beyond the standard method; comparable to 2023-P2-Q9 (L2), a solve-then-maximise question.</t>
  </si>
  <si>
    <t xml:space="preserve">2023-P2-Q9 (L2)</t>
  </si>
  <si>
    <t xml:space="preserve">High</t>
  </si>
  <si>
    <t xml:space="preserve">Q05</t>
  </si>
  <si>
    <t xml:space="preserve">Euler substitution sqrt(x^2+2x) = t - x turning the integrand into a rational function, then the asymptotics of both terms.</t>
  </si>
  <si>
    <t xml:space="preserve">An Euler substitution is less practised than standard forms (F1), followed by a limit that needs both parts of the antiderivative. Two linked ideas with options to check; comparable to 2025-P2-Q1 (L2) and 2023-P2-Q8 (L3), placed at L3.</t>
  </si>
  <si>
    <t xml:space="preserve">2023-P2-Q8 (L3)</t>
  </si>
  <si>
    <t xml:space="preserve">Q06</t>
  </si>
  <si>
    <t xml:space="preserve">x = 1/t reduces the integrand to -t/sqrt(t^2+t+1), which is split into a derivative part and a standard 1/sqrt(quadratic) part.</t>
  </si>
  <si>
    <t xml:space="preserve">A routine chain of standard steps (reciprocal substitution, numerator splitting, standard form, two evaluations) with no hidden idea. Level 2 like 2026-P2-Q3 (L2) separable-DE chain; options allow a sign check.</t>
  </si>
  <si>
    <t xml:space="preserve">Q07</t>
  </si>
  <si>
    <t xml:space="preserve">Numerical</t>
  </si>
  <si>
    <t xml:space="preserve">Recognising that on R minus {0} the general antiderivative has a separate constant on each side, then using the symmetry condition to link them.</t>
  </si>
  <si>
    <t xml:space="preserve">The integration itself is basic, but the key idea (independent constants on disjoint intervals, verified against the condition) is rarely practised, and the numerical format gives no check. Comparable to 2024-P2-Q13 (L3) where piecewise antiderivative behaviour decides the answer.</t>
  </si>
  <si>
    <t xml:space="preserve">2024-P2-Q13 (L3)</t>
  </si>
  <si>
    <t xml:space="preserve">Q08</t>
  </si>
  <si>
    <t xml:space="preserve">Reading MN as the subnormal |yy'|, fixing its sign from f(0)=0, then the substitution u = x^2 + 9.</t>
  </si>
  <si>
    <t xml:space="preserve">Three linked stages (geometric translation with a sign argument, separation, substitution) in numerical format. Above 2026-P2-Q3 (L2) because of the geometric set-up and the sign decision; comparable to 2025-P2-Q9 (L2) plus a stage, so L3.</t>
  </si>
  <si>
    <t xml:space="preserve">2025-P2-Q9 (L2)</t>
  </si>
  <si>
    <t xml:space="preserve">Q09</t>
  </si>
  <si>
    <t xml:space="preserve">Substituting x = 3 sin(theta) to get (9/2)theta - (9/4) sin 2theta, matching the given value at theta = -pi/8 with uniqueness, and converting to degrees.</t>
  </si>
  <si>
    <t xml:space="preserve">Trigonometric substitution plus an inverse step (matching a value, with a monotonicity check) and a units conversion, with no options. Two ideas linked; comparable to 2024-P2-Q16 (L2) circle-area integral raised one level by the inversion and numerical format, near 2023-P2-Q8 (L3).</t>
  </si>
  <si>
    <t xml:space="preserve">Q10</t>
  </si>
  <si>
    <t xml:space="preserve">Spotting that (x^3 - x^2 + x + 1)/(1+x^2)^2 = g + g' with g = x/(1+x^2), and using boundedness to set C = 0.</t>
  </si>
  <si>
    <t xml:space="preserve">Two linked ideas: the e^x(f+f') pattern, which is not visible at once in the rational form, and a boundedness condition selecting the solution, then a maximum. Comparable to 2021-P2-Q4 (L3) linear-DE family question and above 2023-P2-Q9 (L2).</t>
  </si>
  <si>
    <t xml:space="preserve">2021-P2-Q4 (L3)</t>
  </si>
  <si>
    <t xml:space="preserve">Q11</t>
  </si>
  <si>
    <t xml:space="preserve">Applying the e^(ax) sin(bx) formula twice and computing the amplitude sqrt(119^2 + 120^2) = 169.</t>
  </si>
  <si>
    <t xml:space="preserve">A routine but multi-step chain of standard results (repeating integral twice, limit fixing constants, amplitude). No insight needed; numerical format but clean numbers. Level 2 like 2023-P2-Q9 (L2).</t>
  </si>
  <si>
    <t xml:space="preserve">Q12</t>
  </si>
  <si>
    <t xml:space="preserve">Partial fractions with coefficients 1, 1, -2 and combining the logs so that the limit at infinity fixes the constant.</t>
  </si>
  <si>
    <t xml:space="preserve">A routine chain (decomposition, integration, limit, evaluation) with no hidden idea. Level 2 like 2026-P2-Q3 (L2).</t>
  </si>
  <si>
    <t xml:space="preserve">Q13</t>
  </si>
  <si>
    <t xml:space="preserve">Completing both squares, integrating to tan^-1(y-1) = (1/2) tan^-1((x+2)/3), and a half-angle evaluation.</t>
  </si>
  <si>
    <t xml:space="preserve">Routine chain of standard results (separation, two standard integrals, half-angle) with no hidden idea. Level 2 like 2026-P2-Q3 (L2) separable DE with a non-trivial finish.</t>
  </si>
  <si>
    <t xml:space="preserve">Q14</t>
  </si>
  <si>
    <t xml:space="preserve">Dividing by x^2 and substituting t = x - 1/x with k kept general, then reading the limit pi/(2 sqrt(k+2)).</t>
  </si>
  <si>
    <t xml:space="preserve">The substitution is a known trick, but here it must be run with a parameter and combined with a limit and a reverse step to find k, in numerical format. Two ideas linked; comparable to 2025-P2-Q16 (L4) in spirit but much more standard, placed at L3 next to 2023-P2-Q8 (L3).</t>
  </si>
  <si>
    <t xml:space="preserve">Q15</t>
  </si>
  <si>
    <t xml:space="preserve">Integrating both forms (tan x and tan(x/2) substitutions) and matching tan^-1(s)/(as) with (1/2) tan^-1(1/2) to get s = 1/2, a = 4.</t>
  </si>
  <si>
    <t xml:space="preserve">Two standard integrals and a matching of parameters; the matching is guided by the structure. A routine multi-step chain without a real insight, level 2 like 2026-P2-Q12 (L2), which also recovers unknowns from two given values.</t>
  </si>
  <si>
    <t xml:space="preserve">2026-P2-Q12 (L2)</t>
  </si>
  <si>
    <t xml:space="preserve">Q16</t>
  </si>
  <si>
    <t xml:space="preserve">Factoring the half-angle quadratic (1-sqrt3)t^2 + 2t + (1+sqrt3) with roots -1 and 2+sqrt3, integrating to a single log, and inverting at tan(theta/2) = sqrt3.</t>
  </si>
  <si>
    <t xml:space="preserve">Two linked ideas: solving the trigonometric equation by the half-angle substitution to factor the denominator, then a partial-fraction log antiderivative that must be inverted, with surd arithmetic and no options. Comparable to 2025-P2-Q3 (L3) trig-equation question and 2023-P2-Q8 (L3).</t>
  </si>
  <si>
    <t xml:space="preserve">2025-P2-Q3 (L3)</t>
  </si>
  <si>
    <t xml:space="preserve">Q17</t>
  </si>
  <si>
    <t xml:space="preserve">Assuming F = (px+q)/(x(x+1)) and matching coefficients (or making the log residues vanish), which forces b = 2.</t>
  </si>
  <si>
    <t xml:space="preserve">The key idea (a rational antiderivative means no log residues, found by undetermined coefficients) is less routine than plain partial fractions, linked to an extremum condition, in numerical format. Comparable to 2024-P2-Q13 (L3) and 2023-P2-Q8 (L3).</t>
  </si>
  <si>
    <t xml:space="preserve">Q18</t>
  </si>
  <si>
    <t xml:space="preserve">Regrouping into d(xy) - x^2y^2 [d(y/x) + dx] = 0 and dividing by (xy)^2.</t>
  </si>
  <si>
    <t xml:space="preserve">Integrating factor by inspection is a less practised idea (F1) and must be found in a non-standard grouping, then a branch decision, in numerical format. Comparable to 2021-P2-Q4 (L3) and the DE anchors at L2-L3; L3.</t>
  </si>
  <si>
    <t xml:space="preserve">Adjusted level = min(5, max(level + equivalence-relation adj, MCQ floor)). Equivalence adj +0.5 when the key step tests equivalence relations/classes; MCQ floor 2.5 for one-or-more-correct questions involving several concepts. Edit columns I-J to change them.</t>
  </si>
  <si>
    <t xml:space="preserve">Difficulty summary</t>
  </si>
  <si>
    <t xml:space="preserve">Source: Indefinite Integration   |   Evaluated on: 2026-10-19</t>
  </si>
  <si>
    <t xml:space="preserve">Label</t>
  </si>
  <si>
    <t xml:space="preserve">Questions</t>
  </si>
  <si>
    <t xml:space="preserve">% of marks</t>
  </si>
  <si>
    <t xml:space="preserve">Easier than JEE Main</t>
  </si>
  <si>
    <t xml:space="preserve">JEE Main level</t>
  </si>
  <si>
    <t xml:space="preserve">Slightly difficult</t>
  </si>
  <si>
    <t xml:space="preserve">Very difficult</t>
  </si>
  <si>
    <t xml:space="preserve">Total</t>
  </si>
  <si>
    <t xml:space="preserve">Scope</t>
  </si>
  <si>
    <t xml:space="preserve">Weighted index (adjusted)</t>
  </si>
  <si>
    <t xml:space="preserve">Weighted index (unadjusted)</t>
  </si>
  <si>
    <t xml:space="preserve">Mean level</t>
  </si>
  <si>
    <t xml:space="preserve">Overall</t>
  </si>
  <si>
    <t xml:space="preserve">Weighted index = sum(marks x level) / sum(marks), scale 0-5. 'Adjusted' uses the adjusted level (equivalence-relation adjustment and MCQ floor); 'unadjusted' uses the integer level.</t>
  </si>
  <si>
    <t xml:space="preserve">User's own ratings of official JEE Advanced maths papers</t>
  </si>
  <si>
    <t xml:space="preserve">Year</t>
  </si>
  <si>
    <t xml:space="preserve">Weighted index</t>
  </si>
  <si>
    <t xml:space="preserve">Marks at L0-1</t>
  </si>
  <si>
    <t xml:space="preserve">Marks at L4-5</t>
  </si>
  <si>
    <t xml:space="preserve">Level-5 questions</t>
  </si>
  <si>
    <t xml:space="preserve">This paper</t>
  </si>
  <si>
    <t xml:space="preserve">Source: the user's ratings in references/anchors.csv, used as given (they already reflect format and topic). 'This paper' uses the adjusted index. Official papers are 120 marks; compare the marks-at-level columns only for full-length papers.</t>
  </si>
</sst>
</file>

<file path=xl/styles.xml><?xml version="1.0" encoding="utf-8"?>
<styleSheet xmlns="http://schemas.openxmlformats.org/spreadsheetml/2006/main">
  <numFmts count="4">
    <numFmt numFmtId="164" formatCode="General"/>
    <numFmt numFmtId="165" formatCode="0.0"/>
    <numFmt numFmtId="166" formatCode="0%"/>
    <numFmt numFmtId="167" formatCode="0.00"/>
  </numFmts>
  <fonts count="9">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i val="true"/>
      <sz val="9"/>
      <color rgb="FF595959"/>
      <name val="Arial"/>
      <family val="0"/>
      <charset val="1"/>
    </font>
    <font>
      <b val="true"/>
      <sz val="13"/>
      <color rgb="FF1A365D"/>
      <name val="Arial"/>
      <family val="0"/>
      <charset val="1"/>
    </font>
    <font>
      <b val="true"/>
      <sz val="10"/>
      <name val="Arial"/>
      <family val="0"/>
      <charset val="1"/>
    </font>
  </fonts>
  <fills count="9">
    <fill>
      <patternFill patternType="none"/>
    </fill>
    <fill>
      <patternFill patternType="gray125"/>
    </fill>
    <fill>
      <patternFill patternType="solid">
        <fgColor rgb="FF1A365D"/>
        <bgColor rgb="FF333333"/>
      </patternFill>
    </fill>
    <fill>
      <patternFill patternType="solid">
        <fgColor rgb="FFFCE5CD"/>
        <bgColor rgb="FFFFF2CC"/>
      </patternFill>
    </fill>
    <fill>
      <patternFill patternType="solid">
        <fgColor rgb="FFFFF2CC"/>
        <bgColor rgb="FFFCE5CD"/>
      </patternFill>
    </fill>
    <fill>
      <patternFill patternType="solid">
        <fgColor rgb="FFD9EAD3"/>
        <bgColor rgb="FFE8F0D8"/>
      </patternFill>
    </fill>
    <fill>
      <patternFill patternType="solid">
        <fgColor rgb="FFE8F0D8"/>
        <bgColor rgb="FFD9EAD3"/>
      </patternFill>
    </fill>
    <fill>
      <patternFill patternType="solid">
        <fgColor rgb="FFF4CCCC"/>
        <bgColor rgb="FFFCE5CD"/>
      </patternFill>
    </fill>
    <fill>
      <patternFill patternType="solid">
        <fgColor rgb="FFEA9999"/>
        <bgColor rgb="FFFF808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true" applyProtection="false">
      <alignment horizontal="center" vertical="top"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3" borderId="1" xfId="0" applyFont="true" applyBorder="true" applyAlignment="true" applyProtection="false">
      <alignment horizontal="center" vertical="top" textRotation="0" wrapText="fals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5" fillId="4"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64" fontId="5" fillId="4" borderId="1" xfId="0" applyFont="true" applyBorder="true" applyAlignment="false" applyProtection="false">
      <alignment horizontal="general" vertical="bottom" textRotation="0" wrapText="false" indent="0" shrinkToFit="false"/>
      <protection locked="true" hidden="false"/>
    </xf>
    <xf numFmtId="166" fontId="5" fillId="4" borderId="1" xfId="0" applyFont="true" applyBorder="true" applyAlignment="false" applyProtection="false">
      <alignment horizontal="general" vertical="bottom" textRotation="0" wrapText="false" indent="0" shrinkToFit="false"/>
      <protection locked="true" hidden="false"/>
    </xf>
    <xf numFmtId="164" fontId="5" fillId="3" borderId="1" xfId="0" applyFont="true" applyBorder="true" applyAlignment="false" applyProtection="false">
      <alignment horizontal="general" vertical="bottom" textRotation="0" wrapText="false" indent="0" shrinkToFit="false"/>
      <protection locked="true" hidden="false"/>
    </xf>
    <xf numFmtId="166" fontId="5" fillId="3" borderId="1" xfId="0" applyFont="true" applyBorder="true" applyAlignment="false" applyProtection="false">
      <alignment horizontal="general" vertical="bottom" textRotation="0" wrapText="false" indent="0" shrinkToFit="false"/>
      <protection locked="true" hidden="false"/>
    </xf>
    <xf numFmtId="164" fontId="5" fillId="7" borderId="1" xfId="0" applyFont="true" applyBorder="true" applyAlignment="false" applyProtection="false">
      <alignment horizontal="general" vertical="bottom" textRotation="0" wrapText="false" indent="0" shrinkToFit="false"/>
      <protection locked="true" hidden="false"/>
    </xf>
    <xf numFmtId="166" fontId="5" fillId="7" borderId="1" xfId="0" applyFont="true" applyBorder="true" applyAlignment="false" applyProtection="false">
      <alignment horizontal="general" vertical="bottom" textRotation="0" wrapText="false" indent="0" shrinkToFit="false"/>
      <protection locked="true" hidden="false"/>
    </xf>
    <xf numFmtId="164" fontId="5" fillId="8" borderId="1" xfId="0" applyFont="true" applyBorder="true" applyAlignment="false" applyProtection="false">
      <alignment horizontal="general" vertical="bottom" textRotation="0" wrapText="false" indent="0" shrinkToFit="false"/>
      <protection locked="true" hidden="false"/>
    </xf>
    <xf numFmtId="166" fontId="5" fillId="8"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A365D"/>
          <bgColor rgb="FF000000"/>
        </patternFill>
      </fill>
    </dxf>
    <dxf>
      <fill>
        <patternFill patternType="solid">
          <bgColor rgb="FF000000"/>
        </patternFill>
      </fill>
    </dxf>
    <dxf>
      <fill>
        <patternFill patternType="solid">
          <fgColor rgb="FFFFFFFF"/>
          <bgColor rgb="FF000000"/>
        </patternFill>
      </fill>
    </dxf>
    <dxf>
      <fill>
        <patternFill patternType="solid">
          <fgColor rgb="FFFCE5CD"/>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8F0D8"/>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D9EAD3"/>
      <rgbColor rgb="FFFCE5CD"/>
      <rgbColor rgb="FF99CCFF"/>
      <rgbColor rgb="FFEA9999"/>
      <rgbColor rgb="FFCC99FF"/>
      <rgbColor rgb="FFF4CCCC"/>
      <rgbColor rgb="FF3366FF"/>
      <rgbColor rgb="FF33CCCC"/>
      <rgbColor rgb="FF99CC00"/>
      <rgbColor rgb="FFFFCC00"/>
      <rgbColor rgb="FFFF9900"/>
      <rgbColor rgb="FFFF6600"/>
      <rgbColor rgb="FF595959"/>
      <rgbColor rgb="FF969696"/>
      <rgbColor rgb="FF1A365D"/>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7"/>
    <col collapsed="false" customWidth="true" hidden="false" outlineLevel="0" max="2" min="2" style="0" width="8"/>
    <col collapsed="false" customWidth="true" hidden="false" outlineLevel="0" max="3" min="3" style="0" width="9"/>
    <col collapsed="false" customWidth="true" hidden="false" outlineLevel="0" max="4" min="4" style="0" width="12"/>
    <col collapsed="false" customWidth="true" hidden="false" outlineLevel="0" max="5" min="5" style="0" width="24"/>
    <col collapsed="false" customWidth="true" hidden="false" outlineLevel="0" max="7" min="6" style="0" width="7"/>
    <col collapsed="false" customWidth="true" hidden="false" outlineLevel="0" max="8" min="8" style="0" width="20"/>
    <col collapsed="false" customWidth="true" hidden="false" outlineLevel="0" max="9" min="9" style="0" width="9"/>
    <col collapsed="false" customWidth="true" hidden="false" outlineLevel="0" max="10" min="10" style="0" width="8"/>
    <col collapsed="false" customWidth="true" hidden="false" outlineLevel="0" max="11" min="11" style="0" width="9"/>
    <col collapsed="false" customWidth="true" hidden="false" outlineLevel="0" max="12" min="12" style="0" width="10"/>
    <col collapsed="false" customWidth="true" hidden="false" outlineLevel="0" max="13" min="13" style="0" width="38"/>
    <col collapsed="false" customWidth="true" hidden="false" outlineLevel="0" max="14" min="14" style="0" width="60"/>
    <col collapsed="false" customWidth="true" hidden="false" outlineLevel="0" max="15" min="15" style="0" width="20"/>
    <col collapsed="false" customWidth="true" hidden="false" outlineLevel="0" max="16" min="16" style="0" width="11"/>
  </cols>
  <sheetData>
    <row r="1" customFormat="false" ht="35.05"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ustomFormat="false" ht="46.25" hidden="false" customHeight="false" outlineLevel="0" collapsed="false">
      <c r="A2" s="2" t="n">
        <v>1</v>
      </c>
      <c r="B2" s="2"/>
      <c r="C2" s="2" t="s">
        <v>16</v>
      </c>
      <c r="D2" s="2" t="s">
        <v>17</v>
      </c>
      <c r="E2" s="3" t="s">
        <v>18</v>
      </c>
      <c r="F2" s="2" t="n">
        <v>3</v>
      </c>
      <c r="G2" s="4" t="n">
        <v>3</v>
      </c>
      <c r="H2" s="4" t="s">
        <v>19</v>
      </c>
      <c r="I2" s="5" t="n">
        <v>0</v>
      </c>
      <c r="J2" s="5" t="n">
        <v>0</v>
      </c>
      <c r="K2" s="5" t="n">
        <f aca="false">MIN(5,MAX(G2+I2,J2))</f>
        <v>3</v>
      </c>
      <c r="L2" s="5" t="n">
        <f aca="false">F2*K2</f>
        <v>9</v>
      </c>
      <c r="M2" s="3" t="s">
        <v>20</v>
      </c>
      <c r="N2" s="3" t="s">
        <v>21</v>
      </c>
      <c r="O2" s="3" t="s">
        <v>22</v>
      </c>
      <c r="P2" s="2" t="s">
        <v>23</v>
      </c>
    </row>
    <row r="3" customFormat="false" ht="46.25" hidden="false" customHeight="false" outlineLevel="0" collapsed="false">
      <c r="A3" s="2" t="n">
        <v>2</v>
      </c>
      <c r="B3" s="2"/>
      <c r="C3" s="2" t="s">
        <v>24</v>
      </c>
      <c r="D3" s="2" t="s">
        <v>17</v>
      </c>
      <c r="E3" s="3" t="s">
        <v>18</v>
      </c>
      <c r="F3" s="2" t="n">
        <v>3</v>
      </c>
      <c r="G3" s="4" t="n">
        <v>3</v>
      </c>
      <c r="H3" s="4" t="s">
        <v>19</v>
      </c>
      <c r="I3" s="5" t="n">
        <v>0</v>
      </c>
      <c r="J3" s="5" t="n">
        <v>0</v>
      </c>
      <c r="K3" s="5" t="n">
        <f aca="false">MIN(5,MAX(G3+I3,J3))</f>
        <v>3</v>
      </c>
      <c r="L3" s="5" t="n">
        <f aca="false">F3*K3</f>
        <v>9</v>
      </c>
      <c r="M3" s="3" t="s">
        <v>25</v>
      </c>
      <c r="N3" s="3" t="s">
        <v>26</v>
      </c>
      <c r="O3" s="3" t="s">
        <v>27</v>
      </c>
      <c r="P3" s="2" t="s">
        <v>23</v>
      </c>
    </row>
    <row r="4" customFormat="false" ht="57.45" hidden="false" customHeight="false" outlineLevel="0" collapsed="false">
      <c r="A4" s="2" t="n">
        <v>3</v>
      </c>
      <c r="B4" s="2"/>
      <c r="C4" s="2" t="s">
        <v>28</v>
      </c>
      <c r="D4" s="2" t="s">
        <v>17</v>
      </c>
      <c r="E4" s="3" t="s">
        <v>18</v>
      </c>
      <c r="F4" s="2" t="n">
        <v>3</v>
      </c>
      <c r="G4" s="4" t="n">
        <v>3</v>
      </c>
      <c r="H4" s="4" t="s">
        <v>19</v>
      </c>
      <c r="I4" s="5" t="n">
        <v>0</v>
      </c>
      <c r="J4" s="5" t="n">
        <v>0</v>
      </c>
      <c r="K4" s="5" t="n">
        <f aca="false">MIN(5,MAX(G4+I4,J4))</f>
        <v>3</v>
      </c>
      <c r="L4" s="5" t="n">
        <f aca="false">F4*K4</f>
        <v>9</v>
      </c>
      <c r="M4" s="3" t="s">
        <v>29</v>
      </c>
      <c r="N4" s="3" t="s">
        <v>30</v>
      </c>
      <c r="O4" s="3" t="s">
        <v>31</v>
      </c>
      <c r="P4" s="2" t="s">
        <v>23</v>
      </c>
    </row>
    <row r="5" customFormat="false" ht="35.05" hidden="false" customHeight="false" outlineLevel="0" collapsed="false">
      <c r="A5" s="2" t="n">
        <v>4</v>
      </c>
      <c r="B5" s="2"/>
      <c r="C5" s="2" t="s">
        <v>32</v>
      </c>
      <c r="D5" s="2" t="s">
        <v>17</v>
      </c>
      <c r="E5" s="3" t="s">
        <v>18</v>
      </c>
      <c r="F5" s="2" t="n">
        <v>3</v>
      </c>
      <c r="G5" s="6" t="n">
        <v>2</v>
      </c>
      <c r="H5" s="6" t="s">
        <v>33</v>
      </c>
      <c r="I5" s="5" t="n">
        <v>0</v>
      </c>
      <c r="J5" s="5" t="n">
        <v>0</v>
      </c>
      <c r="K5" s="5" t="n">
        <f aca="false">MIN(5,MAX(G5+I5,J5))</f>
        <v>2</v>
      </c>
      <c r="L5" s="5" t="n">
        <f aca="false">F5*K5</f>
        <v>6</v>
      </c>
      <c r="M5" s="3" t="s">
        <v>34</v>
      </c>
      <c r="N5" s="3" t="s">
        <v>35</v>
      </c>
      <c r="O5" s="3" t="s">
        <v>36</v>
      </c>
      <c r="P5" s="2" t="s">
        <v>37</v>
      </c>
    </row>
    <row r="6" customFormat="false" ht="46.25" hidden="false" customHeight="false" outlineLevel="0" collapsed="false">
      <c r="A6" s="2" t="n">
        <v>5</v>
      </c>
      <c r="B6" s="2"/>
      <c r="C6" s="2" t="s">
        <v>38</v>
      </c>
      <c r="D6" s="2" t="s">
        <v>17</v>
      </c>
      <c r="E6" s="3" t="s">
        <v>18</v>
      </c>
      <c r="F6" s="2" t="n">
        <v>3</v>
      </c>
      <c r="G6" s="4" t="n">
        <v>3</v>
      </c>
      <c r="H6" s="4" t="s">
        <v>19</v>
      </c>
      <c r="I6" s="5" t="n">
        <v>0</v>
      </c>
      <c r="J6" s="5" t="n">
        <v>0</v>
      </c>
      <c r="K6" s="5" t="n">
        <f aca="false">MIN(5,MAX(G6+I6,J6))</f>
        <v>3</v>
      </c>
      <c r="L6" s="5" t="n">
        <f aca="false">F6*K6</f>
        <v>9</v>
      </c>
      <c r="M6" s="3" t="s">
        <v>39</v>
      </c>
      <c r="N6" s="3" t="s">
        <v>40</v>
      </c>
      <c r="O6" s="3" t="s">
        <v>41</v>
      </c>
      <c r="P6" s="2" t="s">
        <v>23</v>
      </c>
    </row>
    <row r="7" customFormat="false" ht="35.05" hidden="false" customHeight="false" outlineLevel="0" collapsed="false">
      <c r="A7" s="2" t="n">
        <v>6</v>
      </c>
      <c r="B7" s="2"/>
      <c r="C7" s="2" t="s">
        <v>42</v>
      </c>
      <c r="D7" s="2" t="s">
        <v>17</v>
      </c>
      <c r="E7" s="3" t="s">
        <v>18</v>
      </c>
      <c r="F7" s="2" t="n">
        <v>3</v>
      </c>
      <c r="G7" s="6" t="n">
        <v>2</v>
      </c>
      <c r="H7" s="6" t="s">
        <v>33</v>
      </c>
      <c r="I7" s="5" t="n">
        <v>0</v>
      </c>
      <c r="J7" s="5" t="n">
        <v>0</v>
      </c>
      <c r="K7" s="5" t="n">
        <f aca="false">MIN(5,MAX(G7+I7,J7))</f>
        <v>2</v>
      </c>
      <c r="L7" s="5" t="n">
        <f aca="false">F7*K7</f>
        <v>6</v>
      </c>
      <c r="M7" s="3" t="s">
        <v>43</v>
      </c>
      <c r="N7" s="3" t="s">
        <v>44</v>
      </c>
      <c r="O7" s="3" t="s">
        <v>22</v>
      </c>
      <c r="P7" s="2" t="s">
        <v>37</v>
      </c>
    </row>
    <row r="8" customFormat="false" ht="46.25" hidden="false" customHeight="false" outlineLevel="0" collapsed="false">
      <c r="A8" s="2" t="n">
        <v>7</v>
      </c>
      <c r="B8" s="2"/>
      <c r="C8" s="2" t="s">
        <v>45</v>
      </c>
      <c r="D8" s="2" t="s">
        <v>46</v>
      </c>
      <c r="E8" s="3" t="s">
        <v>18</v>
      </c>
      <c r="F8" s="2" t="n">
        <v>4</v>
      </c>
      <c r="G8" s="4" t="n">
        <v>3</v>
      </c>
      <c r="H8" s="4" t="s">
        <v>19</v>
      </c>
      <c r="I8" s="5" t="n">
        <v>0</v>
      </c>
      <c r="J8" s="5" t="n">
        <v>0</v>
      </c>
      <c r="K8" s="5" t="n">
        <f aca="false">MIN(5,MAX(G8+I8,J8))</f>
        <v>3</v>
      </c>
      <c r="L8" s="5" t="n">
        <f aca="false">F8*K8</f>
        <v>12</v>
      </c>
      <c r="M8" s="3" t="s">
        <v>47</v>
      </c>
      <c r="N8" s="3" t="s">
        <v>48</v>
      </c>
      <c r="O8" s="3" t="s">
        <v>49</v>
      </c>
      <c r="P8" s="2" t="s">
        <v>23</v>
      </c>
    </row>
    <row r="9" customFormat="false" ht="46.25" hidden="false" customHeight="false" outlineLevel="0" collapsed="false">
      <c r="A9" s="2" t="n">
        <v>8</v>
      </c>
      <c r="B9" s="2"/>
      <c r="C9" s="2" t="s">
        <v>50</v>
      </c>
      <c r="D9" s="2" t="s">
        <v>46</v>
      </c>
      <c r="E9" s="3" t="s">
        <v>18</v>
      </c>
      <c r="F9" s="2" t="n">
        <v>4</v>
      </c>
      <c r="G9" s="4" t="n">
        <v>3</v>
      </c>
      <c r="H9" s="4" t="s">
        <v>19</v>
      </c>
      <c r="I9" s="5" t="n">
        <v>0</v>
      </c>
      <c r="J9" s="5" t="n">
        <v>0</v>
      </c>
      <c r="K9" s="5" t="n">
        <f aca="false">MIN(5,MAX(G9+I9,J9))</f>
        <v>3</v>
      </c>
      <c r="L9" s="5" t="n">
        <f aca="false">F9*K9</f>
        <v>12</v>
      </c>
      <c r="M9" s="3" t="s">
        <v>51</v>
      </c>
      <c r="N9" s="3" t="s">
        <v>52</v>
      </c>
      <c r="O9" s="3" t="s">
        <v>53</v>
      </c>
      <c r="P9" s="2" t="s">
        <v>23</v>
      </c>
    </row>
    <row r="10" customFormat="false" ht="46.25" hidden="false" customHeight="false" outlineLevel="0" collapsed="false">
      <c r="A10" s="2" t="n">
        <v>9</v>
      </c>
      <c r="B10" s="2"/>
      <c r="C10" s="2" t="s">
        <v>54</v>
      </c>
      <c r="D10" s="2" t="s">
        <v>46</v>
      </c>
      <c r="E10" s="3" t="s">
        <v>18</v>
      </c>
      <c r="F10" s="2" t="n">
        <v>4</v>
      </c>
      <c r="G10" s="4" t="n">
        <v>3</v>
      </c>
      <c r="H10" s="4" t="s">
        <v>19</v>
      </c>
      <c r="I10" s="5" t="n">
        <v>0</v>
      </c>
      <c r="J10" s="5" t="n">
        <v>0</v>
      </c>
      <c r="K10" s="5" t="n">
        <f aca="false">MIN(5,MAX(G10+I10,J10))</f>
        <v>3</v>
      </c>
      <c r="L10" s="5" t="n">
        <f aca="false">F10*K10</f>
        <v>12</v>
      </c>
      <c r="M10" s="3" t="s">
        <v>55</v>
      </c>
      <c r="N10" s="3" t="s">
        <v>56</v>
      </c>
      <c r="O10" s="3" t="s">
        <v>41</v>
      </c>
      <c r="P10" s="2" t="s">
        <v>23</v>
      </c>
    </row>
    <row r="11" customFormat="false" ht="46.25" hidden="false" customHeight="false" outlineLevel="0" collapsed="false">
      <c r="A11" s="2" t="n">
        <v>10</v>
      </c>
      <c r="B11" s="2"/>
      <c r="C11" s="2" t="s">
        <v>57</v>
      </c>
      <c r="D11" s="2" t="s">
        <v>46</v>
      </c>
      <c r="E11" s="3" t="s">
        <v>18</v>
      </c>
      <c r="F11" s="2" t="n">
        <v>4</v>
      </c>
      <c r="G11" s="4" t="n">
        <v>3</v>
      </c>
      <c r="H11" s="4" t="s">
        <v>19</v>
      </c>
      <c r="I11" s="5" t="n">
        <v>0</v>
      </c>
      <c r="J11" s="5" t="n">
        <v>0</v>
      </c>
      <c r="K11" s="5" t="n">
        <f aca="false">MIN(5,MAX(G11+I11,J11))</f>
        <v>3</v>
      </c>
      <c r="L11" s="5" t="n">
        <f aca="false">F11*K11</f>
        <v>12</v>
      </c>
      <c r="M11" s="3" t="s">
        <v>58</v>
      </c>
      <c r="N11" s="3" t="s">
        <v>59</v>
      </c>
      <c r="O11" s="3" t="s">
        <v>60</v>
      </c>
      <c r="P11" s="2" t="s">
        <v>23</v>
      </c>
    </row>
    <row r="12" customFormat="false" ht="35.05" hidden="false" customHeight="false" outlineLevel="0" collapsed="false">
      <c r="A12" s="2" t="n">
        <v>11</v>
      </c>
      <c r="B12" s="2"/>
      <c r="C12" s="2" t="s">
        <v>61</v>
      </c>
      <c r="D12" s="2" t="s">
        <v>46</v>
      </c>
      <c r="E12" s="3" t="s">
        <v>18</v>
      </c>
      <c r="F12" s="2" t="n">
        <v>4</v>
      </c>
      <c r="G12" s="6" t="n">
        <v>2</v>
      </c>
      <c r="H12" s="6" t="s">
        <v>33</v>
      </c>
      <c r="I12" s="5" t="n">
        <v>0</v>
      </c>
      <c r="J12" s="5" t="n">
        <v>0</v>
      </c>
      <c r="K12" s="5" t="n">
        <f aca="false">MIN(5,MAX(G12+I12,J12))</f>
        <v>2</v>
      </c>
      <c r="L12" s="5" t="n">
        <f aca="false">F12*K12</f>
        <v>8</v>
      </c>
      <c r="M12" s="3" t="s">
        <v>62</v>
      </c>
      <c r="N12" s="3" t="s">
        <v>63</v>
      </c>
      <c r="O12" s="3" t="s">
        <v>36</v>
      </c>
      <c r="P12" s="2" t="s">
        <v>37</v>
      </c>
    </row>
    <row r="13" customFormat="false" ht="35.05" hidden="false" customHeight="false" outlineLevel="0" collapsed="false">
      <c r="A13" s="2" t="n">
        <v>12</v>
      </c>
      <c r="B13" s="2"/>
      <c r="C13" s="2" t="s">
        <v>64</v>
      </c>
      <c r="D13" s="2" t="s">
        <v>46</v>
      </c>
      <c r="E13" s="3" t="s">
        <v>18</v>
      </c>
      <c r="F13" s="2" t="n">
        <v>4</v>
      </c>
      <c r="G13" s="6" t="n">
        <v>2</v>
      </c>
      <c r="H13" s="6" t="s">
        <v>33</v>
      </c>
      <c r="I13" s="5" t="n">
        <v>0</v>
      </c>
      <c r="J13" s="5" t="n">
        <v>0</v>
      </c>
      <c r="K13" s="5" t="n">
        <f aca="false">MIN(5,MAX(G13+I13,J13))</f>
        <v>2</v>
      </c>
      <c r="L13" s="5" t="n">
        <f aca="false">F13*K13</f>
        <v>8</v>
      </c>
      <c r="M13" s="3" t="s">
        <v>65</v>
      </c>
      <c r="N13" s="3" t="s">
        <v>66</v>
      </c>
      <c r="O13" s="3" t="s">
        <v>22</v>
      </c>
      <c r="P13" s="2" t="s">
        <v>37</v>
      </c>
    </row>
    <row r="14" customFormat="false" ht="35.05" hidden="false" customHeight="false" outlineLevel="0" collapsed="false">
      <c r="A14" s="2" t="n">
        <v>13</v>
      </c>
      <c r="B14" s="2"/>
      <c r="C14" s="2" t="s">
        <v>67</v>
      </c>
      <c r="D14" s="2" t="s">
        <v>46</v>
      </c>
      <c r="E14" s="3" t="s">
        <v>18</v>
      </c>
      <c r="F14" s="2" t="n">
        <v>4</v>
      </c>
      <c r="G14" s="6" t="n">
        <v>2</v>
      </c>
      <c r="H14" s="6" t="s">
        <v>33</v>
      </c>
      <c r="I14" s="5" t="n">
        <v>0</v>
      </c>
      <c r="J14" s="5" t="n">
        <v>0</v>
      </c>
      <c r="K14" s="5" t="n">
        <f aca="false">MIN(5,MAX(G14+I14,J14))</f>
        <v>2</v>
      </c>
      <c r="L14" s="5" t="n">
        <f aca="false">F14*K14</f>
        <v>8</v>
      </c>
      <c r="M14" s="3" t="s">
        <v>68</v>
      </c>
      <c r="N14" s="3" t="s">
        <v>69</v>
      </c>
      <c r="O14" s="3" t="s">
        <v>22</v>
      </c>
      <c r="P14" s="2" t="s">
        <v>37</v>
      </c>
    </row>
    <row r="15" customFormat="false" ht="46.25" hidden="false" customHeight="false" outlineLevel="0" collapsed="false">
      <c r="A15" s="2" t="n">
        <v>14</v>
      </c>
      <c r="B15" s="2"/>
      <c r="C15" s="2" t="s">
        <v>70</v>
      </c>
      <c r="D15" s="2" t="s">
        <v>46</v>
      </c>
      <c r="E15" s="3" t="s">
        <v>18</v>
      </c>
      <c r="F15" s="2" t="n">
        <v>4</v>
      </c>
      <c r="G15" s="4" t="n">
        <v>3</v>
      </c>
      <c r="H15" s="4" t="s">
        <v>19</v>
      </c>
      <c r="I15" s="5" t="n">
        <v>0</v>
      </c>
      <c r="J15" s="5" t="n">
        <v>0</v>
      </c>
      <c r="K15" s="5" t="n">
        <f aca="false">MIN(5,MAX(G15+I15,J15))</f>
        <v>3</v>
      </c>
      <c r="L15" s="5" t="n">
        <f aca="false">F15*K15</f>
        <v>12</v>
      </c>
      <c r="M15" s="3" t="s">
        <v>71</v>
      </c>
      <c r="N15" s="3" t="s">
        <v>72</v>
      </c>
      <c r="O15" s="3" t="s">
        <v>41</v>
      </c>
      <c r="P15" s="2" t="s">
        <v>23</v>
      </c>
    </row>
    <row r="16" customFormat="false" ht="46.25" hidden="false" customHeight="false" outlineLevel="0" collapsed="false">
      <c r="A16" s="2" t="n">
        <v>15</v>
      </c>
      <c r="B16" s="2"/>
      <c r="C16" s="2" t="s">
        <v>73</v>
      </c>
      <c r="D16" s="2" t="s">
        <v>46</v>
      </c>
      <c r="E16" s="3" t="s">
        <v>18</v>
      </c>
      <c r="F16" s="2" t="n">
        <v>4</v>
      </c>
      <c r="G16" s="6" t="n">
        <v>2</v>
      </c>
      <c r="H16" s="6" t="s">
        <v>33</v>
      </c>
      <c r="I16" s="5" t="n">
        <v>0</v>
      </c>
      <c r="J16" s="5" t="n">
        <v>0</v>
      </c>
      <c r="K16" s="5" t="n">
        <f aca="false">MIN(5,MAX(G16+I16,J16))</f>
        <v>2</v>
      </c>
      <c r="L16" s="5" t="n">
        <f aca="false">F16*K16</f>
        <v>8</v>
      </c>
      <c r="M16" s="3" t="s">
        <v>74</v>
      </c>
      <c r="N16" s="3" t="s">
        <v>75</v>
      </c>
      <c r="O16" s="3" t="s">
        <v>76</v>
      </c>
      <c r="P16" s="2" t="s">
        <v>23</v>
      </c>
    </row>
    <row r="17" customFormat="false" ht="57.45" hidden="false" customHeight="false" outlineLevel="0" collapsed="false">
      <c r="A17" s="2" t="n">
        <v>16</v>
      </c>
      <c r="B17" s="2"/>
      <c r="C17" s="2" t="s">
        <v>77</v>
      </c>
      <c r="D17" s="2" t="s">
        <v>46</v>
      </c>
      <c r="E17" s="3" t="s">
        <v>18</v>
      </c>
      <c r="F17" s="2" t="n">
        <v>4</v>
      </c>
      <c r="G17" s="4" t="n">
        <v>3</v>
      </c>
      <c r="H17" s="4" t="s">
        <v>19</v>
      </c>
      <c r="I17" s="5" t="n">
        <v>0</v>
      </c>
      <c r="J17" s="5" t="n">
        <v>0</v>
      </c>
      <c r="K17" s="5" t="n">
        <f aca="false">MIN(5,MAX(G17+I17,J17))</f>
        <v>3</v>
      </c>
      <c r="L17" s="5" t="n">
        <f aca="false">F17*K17</f>
        <v>12</v>
      </c>
      <c r="M17" s="3" t="s">
        <v>78</v>
      </c>
      <c r="N17" s="3" t="s">
        <v>79</v>
      </c>
      <c r="O17" s="3" t="s">
        <v>80</v>
      </c>
      <c r="P17" s="2" t="s">
        <v>23</v>
      </c>
    </row>
    <row r="18" customFormat="false" ht="46.25" hidden="false" customHeight="false" outlineLevel="0" collapsed="false">
      <c r="A18" s="2" t="n">
        <v>17</v>
      </c>
      <c r="B18" s="2"/>
      <c r="C18" s="2" t="s">
        <v>81</v>
      </c>
      <c r="D18" s="2" t="s">
        <v>46</v>
      </c>
      <c r="E18" s="3" t="s">
        <v>18</v>
      </c>
      <c r="F18" s="2" t="n">
        <v>4</v>
      </c>
      <c r="G18" s="4" t="n">
        <v>3</v>
      </c>
      <c r="H18" s="4" t="s">
        <v>19</v>
      </c>
      <c r="I18" s="5" t="n">
        <v>0</v>
      </c>
      <c r="J18" s="5" t="n">
        <v>0</v>
      </c>
      <c r="K18" s="5" t="n">
        <f aca="false">MIN(5,MAX(G18+I18,J18))</f>
        <v>3</v>
      </c>
      <c r="L18" s="5" t="n">
        <f aca="false">F18*K18</f>
        <v>12</v>
      </c>
      <c r="M18" s="3" t="s">
        <v>82</v>
      </c>
      <c r="N18" s="3" t="s">
        <v>83</v>
      </c>
      <c r="O18" s="3" t="s">
        <v>49</v>
      </c>
      <c r="P18" s="2" t="s">
        <v>23</v>
      </c>
    </row>
    <row r="19" customFormat="false" ht="35.05" hidden="false" customHeight="false" outlineLevel="0" collapsed="false">
      <c r="A19" s="2" t="n">
        <v>18</v>
      </c>
      <c r="B19" s="2"/>
      <c r="C19" s="2" t="s">
        <v>84</v>
      </c>
      <c r="D19" s="2" t="s">
        <v>46</v>
      </c>
      <c r="E19" s="3" t="s">
        <v>18</v>
      </c>
      <c r="F19" s="2" t="n">
        <v>4</v>
      </c>
      <c r="G19" s="4" t="n">
        <v>3</v>
      </c>
      <c r="H19" s="4" t="s">
        <v>19</v>
      </c>
      <c r="I19" s="5" t="n">
        <v>0</v>
      </c>
      <c r="J19" s="5" t="n">
        <v>0</v>
      </c>
      <c r="K19" s="5" t="n">
        <f aca="false">MIN(5,MAX(G19+I19,J19))</f>
        <v>3</v>
      </c>
      <c r="L19" s="5" t="n">
        <f aca="false">F19*K19</f>
        <v>12</v>
      </c>
      <c r="M19" s="3" t="s">
        <v>85</v>
      </c>
      <c r="N19" s="3" t="s">
        <v>86</v>
      </c>
      <c r="O19" s="3" t="s">
        <v>60</v>
      </c>
      <c r="P19" s="2" t="s">
        <v>23</v>
      </c>
    </row>
    <row r="21" customFormat="false" ht="15" hidden="false" customHeight="false" outlineLevel="0" collapsed="false">
      <c r="A21" s="7" t="s">
        <v>87</v>
      </c>
    </row>
  </sheetData>
  <autoFilter ref="A1:P1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11"/>
    <col collapsed="false" customWidth="true" hidden="false" outlineLevel="0" max="4" min="4" style="0" width="9"/>
    <col collapsed="false" customWidth="true" hidden="false" outlineLevel="0" max="5" min="5" style="0" width="11"/>
  </cols>
  <sheetData>
    <row r="1" customFormat="false" ht="16.15" hidden="false" customHeight="false" outlineLevel="0" collapsed="false">
      <c r="A1" s="8" t="s">
        <v>88</v>
      </c>
    </row>
    <row r="2" customFormat="false" ht="15" hidden="false" customHeight="false" outlineLevel="0" collapsed="false">
      <c r="A2" s="7" t="s">
        <v>89</v>
      </c>
    </row>
    <row r="4" customFormat="false" ht="15" hidden="false" customHeight="false" outlineLevel="0" collapsed="false">
      <c r="A4" s="1" t="s">
        <v>6</v>
      </c>
      <c r="B4" s="1" t="s">
        <v>90</v>
      </c>
      <c r="C4" s="1" t="s">
        <v>91</v>
      </c>
      <c r="D4" s="1" t="s">
        <v>5</v>
      </c>
      <c r="E4" s="1" t="s">
        <v>92</v>
      </c>
    </row>
    <row r="5" customFormat="false" ht="15" hidden="false" customHeight="false" outlineLevel="0" collapsed="false">
      <c r="A5" s="9" t="n">
        <v>0</v>
      </c>
      <c r="B5" s="9" t="s">
        <v>93</v>
      </c>
      <c r="C5" s="9" t="n">
        <f aca="false">COUNTIF(Evaluation!$G$2:$G$19,A5)</f>
        <v>0</v>
      </c>
      <c r="D5" s="9" t="n">
        <f aca="false">SUMIF(Evaluation!$G$2:$G$19,A5,Evaluation!$F$2:$F$19)</f>
        <v>0</v>
      </c>
      <c r="E5" s="10" t="n">
        <f aca="false">IF(SUM($D$5:$D$10)=0,0,D5/SUM($D$5:$D$10))</f>
        <v>0</v>
      </c>
    </row>
    <row r="6" customFormat="false" ht="15" hidden="false" customHeight="false" outlineLevel="0" collapsed="false">
      <c r="A6" s="11" t="n">
        <v>1</v>
      </c>
      <c r="B6" s="11" t="s">
        <v>94</v>
      </c>
      <c r="C6" s="11" t="n">
        <f aca="false">COUNTIF(Evaluation!$G$2:$G$19,A6)</f>
        <v>0</v>
      </c>
      <c r="D6" s="11" t="n">
        <f aca="false">SUMIF(Evaluation!$G$2:$G$19,A6,Evaluation!$F$2:$F$19)</f>
        <v>0</v>
      </c>
      <c r="E6" s="12" t="n">
        <f aca="false">IF(SUM($D$5:$D$10)=0,0,D6/SUM($D$5:$D$10))</f>
        <v>0</v>
      </c>
    </row>
    <row r="7" customFormat="false" ht="15" hidden="false" customHeight="false" outlineLevel="0" collapsed="false">
      <c r="A7" s="13" t="n">
        <v>2</v>
      </c>
      <c r="B7" s="13" t="s">
        <v>33</v>
      </c>
      <c r="C7" s="13" t="n">
        <f aca="false">COUNTIF(Evaluation!$G$2:$G$19,A7)</f>
        <v>6</v>
      </c>
      <c r="D7" s="13" t="n">
        <f aca="false">SUMIF(Evaluation!$G$2:$G$19,A7,Evaluation!$F$2:$F$19)</f>
        <v>22</v>
      </c>
      <c r="E7" s="14" t="n">
        <f aca="false">IF(SUM($D$5:$D$10)=0,0,D7/SUM($D$5:$D$10))</f>
        <v>0.333333333333333</v>
      </c>
    </row>
    <row r="8" customFormat="false" ht="15" hidden="false" customHeight="false" outlineLevel="0" collapsed="false">
      <c r="A8" s="15" t="n">
        <v>3</v>
      </c>
      <c r="B8" s="15" t="s">
        <v>19</v>
      </c>
      <c r="C8" s="15" t="n">
        <f aca="false">COUNTIF(Evaluation!$G$2:$G$19,A8)</f>
        <v>12</v>
      </c>
      <c r="D8" s="15" t="n">
        <f aca="false">SUMIF(Evaluation!$G$2:$G$19,A8,Evaluation!$F$2:$F$19)</f>
        <v>44</v>
      </c>
      <c r="E8" s="16" t="n">
        <f aca="false">IF(SUM($D$5:$D$10)=0,0,D8/SUM($D$5:$D$10))</f>
        <v>0.666666666666667</v>
      </c>
    </row>
    <row r="9" customFormat="false" ht="15" hidden="false" customHeight="false" outlineLevel="0" collapsed="false">
      <c r="A9" s="17" t="n">
        <v>4</v>
      </c>
      <c r="B9" s="17" t="s">
        <v>95</v>
      </c>
      <c r="C9" s="17" t="n">
        <f aca="false">COUNTIF(Evaluation!$G$2:$G$19,A9)</f>
        <v>0</v>
      </c>
      <c r="D9" s="17" t="n">
        <f aca="false">SUMIF(Evaluation!$G$2:$G$19,A9,Evaluation!$F$2:$F$19)</f>
        <v>0</v>
      </c>
      <c r="E9" s="18" t="n">
        <f aca="false">IF(SUM($D$5:$D$10)=0,0,D9/SUM($D$5:$D$10))</f>
        <v>0</v>
      </c>
    </row>
    <row r="10" customFormat="false" ht="15" hidden="false" customHeight="false" outlineLevel="0" collapsed="false">
      <c r="A10" s="19" t="n">
        <v>5</v>
      </c>
      <c r="B10" s="19" t="s">
        <v>96</v>
      </c>
      <c r="C10" s="19" t="n">
        <f aca="false">COUNTIF(Evaluation!$G$2:$G$19,A10)</f>
        <v>0</v>
      </c>
      <c r="D10" s="19" t="n">
        <f aca="false">SUMIF(Evaluation!$G$2:$G$19,A10,Evaluation!$F$2:$F$19)</f>
        <v>0</v>
      </c>
      <c r="E10" s="20" t="n">
        <f aca="false">IF(SUM($D$5:$D$10)=0,0,D10/SUM($D$5:$D$10))</f>
        <v>0</v>
      </c>
    </row>
    <row r="11" customFormat="false" ht="15" hidden="false" customHeight="false" outlineLevel="0" collapsed="false">
      <c r="A11" s="21" t="s">
        <v>97</v>
      </c>
      <c r="C11" s="21" t="n">
        <f aca="false">SUM(C5:C10)</f>
        <v>18</v>
      </c>
      <c r="D11" s="21" t="n">
        <f aca="false">SUM(D5:D10)</f>
        <v>66</v>
      </c>
    </row>
    <row r="13" customFormat="false" ht="46.25" hidden="false" customHeight="false" outlineLevel="0" collapsed="false">
      <c r="A13" s="1" t="s">
        <v>98</v>
      </c>
      <c r="B13" s="1" t="s">
        <v>99</v>
      </c>
      <c r="C13" s="1" t="s">
        <v>100</v>
      </c>
      <c r="D13" s="1" t="s">
        <v>5</v>
      </c>
      <c r="E13" s="1" t="s">
        <v>101</v>
      </c>
    </row>
    <row r="14" customFormat="false" ht="15" hidden="false" customHeight="false" outlineLevel="0" collapsed="false">
      <c r="A14" s="21" t="s">
        <v>102</v>
      </c>
      <c r="B14" s="22" t="n">
        <f aca="false">SUM(Evaluation!$L$2:$L$19)/SUM(Evaluation!$F$2:$F$19)</f>
        <v>2.66666666666667</v>
      </c>
      <c r="C14" s="22" t="n">
        <f aca="false">SUMPRODUCT(Evaluation!$F$2:$F$19,Evaluation!$G$2:$G$19)/SUM(Evaluation!$F$2:$F$19)</f>
        <v>2.66666666666667</v>
      </c>
      <c r="D14" s="21" t="n">
        <f aca="false">SUM(Evaluation!$F$2:$F$19)</f>
        <v>66</v>
      </c>
      <c r="E14" s="22" t="n">
        <f aca="false">AVERAGE(Evaluation!$G$2:$G$19)</f>
        <v>2.66666666666667</v>
      </c>
    </row>
    <row r="16" customFormat="false" ht="15" hidden="false" customHeight="false" outlineLevel="0" collapsed="false">
      <c r="A16" s="7" t="s">
        <v>103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5"/>
    <col collapsed="false" customWidth="true" hidden="false" outlineLevel="0" max="3" min="3" style="0" width="11"/>
    <col collapsed="false" customWidth="true" hidden="false" outlineLevel="0" max="5" min="4" style="0" width="13"/>
    <col collapsed="false" customWidth="true" hidden="false" outlineLevel="0" max="6" min="6" style="0" width="15"/>
  </cols>
  <sheetData>
    <row r="1" customFormat="false" ht="16.15" hidden="false" customHeight="false" outlineLevel="0" collapsed="false">
      <c r="A1" s="8" t="s">
        <v>104</v>
      </c>
    </row>
    <row r="3" customFormat="false" ht="23.85" hidden="false" customHeight="false" outlineLevel="0" collapsed="false">
      <c r="A3" s="1" t="s">
        <v>105</v>
      </c>
      <c r="B3" s="1" t="s">
        <v>106</v>
      </c>
      <c r="C3" s="1" t="s">
        <v>101</v>
      </c>
      <c r="D3" s="1" t="s">
        <v>107</v>
      </c>
      <c r="E3" s="1" t="s">
        <v>108</v>
      </c>
      <c r="F3" s="1" t="s">
        <v>109</v>
      </c>
    </row>
    <row r="4" customFormat="false" ht="15" hidden="false" customHeight="false" outlineLevel="0" collapsed="false">
      <c r="A4" s="23" t="n">
        <v>2021</v>
      </c>
      <c r="B4" s="24" t="n">
        <v>2.75833333333333</v>
      </c>
      <c r="C4" s="24" t="n">
        <v>2.89473684210526</v>
      </c>
      <c r="D4" s="23" t="n">
        <v>16</v>
      </c>
      <c r="E4" s="23" t="n">
        <v>34</v>
      </c>
      <c r="F4" s="23" t="n">
        <v>1</v>
      </c>
    </row>
    <row r="5" customFormat="false" ht="15" hidden="false" customHeight="false" outlineLevel="0" collapsed="false">
      <c r="A5" s="23" t="n">
        <v>2023</v>
      </c>
      <c r="B5" s="24" t="n">
        <v>3.19166666666667</v>
      </c>
      <c r="C5" s="24" t="n">
        <v>3.14705882352941</v>
      </c>
      <c r="D5" s="23" t="n">
        <v>13</v>
      </c>
      <c r="E5" s="23" t="n">
        <v>47</v>
      </c>
      <c r="F5" s="23" t="n">
        <v>5</v>
      </c>
    </row>
    <row r="6" customFormat="false" ht="15" hidden="false" customHeight="false" outlineLevel="0" collapsed="false">
      <c r="A6" s="23" t="n">
        <v>2024</v>
      </c>
      <c r="B6" s="24" t="n">
        <v>2.59166666666667</v>
      </c>
      <c r="C6" s="24" t="n">
        <v>2.55882352941176</v>
      </c>
      <c r="D6" s="23" t="n">
        <v>28</v>
      </c>
      <c r="E6" s="23" t="n">
        <v>40</v>
      </c>
      <c r="F6" s="23" t="n">
        <v>1</v>
      </c>
    </row>
    <row r="7" customFormat="false" ht="15" hidden="false" customHeight="false" outlineLevel="0" collapsed="false">
      <c r="A7" s="23" t="n">
        <v>2025</v>
      </c>
      <c r="B7" s="24" t="n">
        <v>3.20833333333333</v>
      </c>
      <c r="C7" s="24" t="n">
        <v>3.1875</v>
      </c>
      <c r="D7" s="23" t="n">
        <v>8</v>
      </c>
      <c r="E7" s="23" t="n">
        <v>65</v>
      </c>
      <c r="F7" s="23" t="n">
        <v>1</v>
      </c>
    </row>
    <row r="8" customFormat="false" ht="15" hidden="false" customHeight="false" outlineLevel="0" collapsed="false">
      <c r="A8" s="23" t="n">
        <v>2026</v>
      </c>
      <c r="B8" s="24" t="n">
        <v>3.025</v>
      </c>
      <c r="C8" s="24" t="n">
        <v>2.94117647058824</v>
      </c>
      <c r="D8" s="23" t="n">
        <v>6</v>
      </c>
      <c r="E8" s="23" t="n">
        <v>38</v>
      </c>
      <c r="F8" s="23" t="n">
        <v>2</v>
      </c>
    </row>
    <row r="9" customFormat="false" ht="15" hidden="false" customHeight="false" outlineLevel="0" collapsed="false">
      <c r="A9" s="21" t="s">
        <v>110</v>
      </c>
      <c r="B9" s="22" t="n">
        <f aca="false">Summary!B14</f>
        <v>2.66666666666667</v>
      </c>
      <c r="C9" s="22" t="n">
        <f aca="false">Summary!E14</f>
        <v>2.66666666666667</v>
      </c>
      <c r="D9" s="21" t="n">
        <f aca="false">Summary!D5+Summary!D6</f>
        <v>0</v>
      </c>
      <c r="E9" s="21" t="n">
        <f aca="false">Summary!D9+Summary!D10</f>
        <v>0</v>
      </c>
      <c r="F9" s="21" t="n">
        <f aca="false">Summary!C10</f>
        <v>0</v>
      </c>
    </row>
    <row r="11" customFormat="false" ht="15" hidden="false" customHeight="false" outlineLevel="0" collapsed="false">
      <c r="A11" s="7" t="s">
        <v>111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2026-10-19T02:08:32Z</dcterms:created>
  <dc:creator>openpyxl</dc:creator>
  <dc:description/>
  <dc:language>en-US</dc:language>
  <cp:lastModifiedBy/>
  <dcterms:modified xsi:type="dcterms:W3CDTF">2026-10-19T02:08:32Z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