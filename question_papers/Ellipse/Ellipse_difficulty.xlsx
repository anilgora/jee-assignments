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<sst xmlns="http://schemas.openxmlformats.org/spreadsheetml/2006/main" count="255" uniqueCount="139">
  <si>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</si>
  <si>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</si>
  <si>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</si>
  <si>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</si>
  <si>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</si>
  <si>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</si>
  <si>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</si>
  <si>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</si>
  <si>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</si>
  <si>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</si>
  <si>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</si>
  <si>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</si>
  <si>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</si>
  <si>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</si>
  <si>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</si>
  <si>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</si>
  <si>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</si>
  <si>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</si>
  <si>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Ellipse</t>
  </si>
  <si>
    <t xml:space="preserve">Average Advanced</t>
  </si>
  <si>
    <t xml:space="preserve">PQ = SP + SQ = 2a - e(x1 + x2) turns the radius into e times the distance of the midpoint from the directrix.</t>
  </si>
  <si>
    <t xml:space="preserve">Two ideas linked: diametric circle (centre = midpoint, radius = half chord) and focal distance a - ex; the invariant is not a standard ellipse result. Comparable to 2023-P1-Q2 (L3), an ellipse SCQ-style chain with a structural check.</t>
  </si>
  <si>
    <t xml:space="preserve">2023-P1-Q2 (L3)</t>
  </si>
  <si>
    <t xml:space="preserve">Medium</t>
  </si>
  <si>
    <t xml:space="preserve">Q02</t>
  </si>
  <si>
    <t xml:space="preserve">Decode 'parallel to the line' into cos(alpha + beta) = -1/2, then 10 cos(alpha - beta) - 3.</t>
  </si>
  <si>
    <t xml:space="preserve">Two linked ideas: the chord-direction condition on eccentric angles and the extreme of a trigonometric expression under the constraint alpha + beta fixed. Comparable to 2025-P2-Q7 (L3), eccentric-angle reasoning on an ellipse.</t>
  </si>
  <si>
    <t xml:space="preserve">2025-P2-Q7 (L3)</t>
  </si>
  <si>
    <t xml:space="preserve">Q03</t>
  </si>
  <si>
    <t xml:space="preserve">Easier than Advanced</t>
  </si>
  <si>
    <t xml:space="preserve">OA = 3 sec theta, OB = 2 cosec theta, then AM-GM twice on sec + cosec.</t>
  </si>
  <si>
    <t xml:space="preserve">Routine chain: parametric tangent, intercepts, and a standard AM-GM bound with an equality check; no unfamiliar idea. Comparable to 2024-P1-Q4 (L2), a routine ellipse tangent SCQ.</t>
  </si>
  <si>
    <t xml:space="preserve">2024-P1-Q4 (L2)</t>
  </si>
  <si>
    <t xml:space="preserve">High</t>
  </si>
  <si>
    <t xml:space="preserve">Q04</t>
  </si>
  <si>
    <t xml:space="preserve">Make the chord T = S1 with midpoint (h, h) pass through (2, 0) to get h = 2/5.</t>
  </si>
  <si>
    <t xml:space="preserve">Routine chain: midpoint chord equation, one linear condition, then the other end and the length. Comparable to 2021-P2-Q18 (L2), a routine ellipse chord/midpoint computation.</t>
  </si>
  <si>
    <t xml:space="preserve">2021-P2-Q18 (L2)</t>
  </si>
  <si>
    <t xml:space="preserve">Q05</t>
  </si>
  <si>
    <t xml:space="preserve">Chord of contact T = 0 through (2,0) fixes h = 4, so P = (4, 2).</t>
  </si>
  <si>
    <t xml:space="preserve">Routine chain of three steps: chord-of-contact equation with a point condition, intersection with the ellipse, length. Comparable to 2024-P1-Q4 (L2) on tangents from an external point to an ellipse.</t>
  </si>
  <si>
    <t xml:space="preserve">Q06</t>
  </si>
  <si>
    <t xml:space="preserve">Numerical</t>
  </si>
  <si>
    <t xml:space="preserve">Centre (3,1) from the axis line and x + y = 4, then a^2 - 3a - 4 = 0 from b^2/a = 3 and ae = 2.</t>
  </si>
  <si>
    <t xml:space="preserve">Several elements of the ellipse must be linked (latus rectum orientation and length, focus, centre on a line, quadratic for a) before the directrix is read off, with no options to check against. Comparable to 2026-P2-Q13 (L3), a numerical conic question built from foci and axes.</t>
  </si>
  <si>
    <t xml:space="preserve">2026-P2-Q13 (L3)</t>
  </si>
  <si>
    <t xml:space="preserve">Q07</t>
  </si>
  <si>
    <t xml:space="preserve">Write a^2 + b^2 = (a^2 + b^2)(16/a^2 + 9/b^2) and apply AM-GM; equality gives b^2/a^2 = 3/4.</t>
  </si>
  <si>
    <t xml:space="preserve">Two ideas linked: the constrained AM-GM (multiply by the constraint) and the elements of the ellipse (axis ends, foci) with an equality check; numerical answer. Comparable to 2026-P2-Q13 (L3), a numerical conic question linking foci and axes.</t>
  </si>
  <si>
    <t xml:space="preserve">Q08</t>
  </si>
  <si>
    <t xml:space="preserve">Complete squares to get centre (2,-1), a = 5, ae = 4, then pair the left focus with x = 2 - 25/4.</t>
  </si>
  <si>
    <t xml:space="preserve">Routine chain: completing squares, elements of the shifted ellipse, choosing the nearer focus and its directrix; no insight beyond care with the pairing. Comparable to 2026-P2-Q12 (L2), a short routine numerical.</t>
  </si>
  <si>
    <t xml:space="preserve">2026-P2-Q12 (L2)</t>
  </si>
  <si>
    <t xml:space="preserve">Q09</t>
  </si>
  <si>
    <t xml:space="preserve">p = a(1 - e^2)/e = 4 with a = 15/4 gives e = 3/5; then step SA = a(1 - e) along the normal (3,4)/5.</t>
  </si>
  <si>
    <t xml:space="preserve">Routine chain: focus-directrix distance, quadratic for e, and locating the vertex along the oblique axis; each step standard. Comparable to 2026-P2-Q12 (L2), a short multi-step numerical.</t>
  </si>
  <si>
    <t xml:space="preserve">Q10</t>
  </si>
  <si>
    <t xml:space="preserve">Equate the two focal-distance laws SX = u + 10 and SX = (u + 35)/2 to get the common chord u = 15.</t>
  </si>
  <si>
    <t xml:space="preserve">Once both definitions are written along the common axis the problem is a routine chain (linear equation, circle-line intersection, area). Comparable to 2025-P2-Q4 (L2), a conic set up by a locus definition.</t>
  </si>
  <si>
    <t xml:space="preserve">2025-P2-Q4 (L2)</t>
  </si>
  <si>
    <t xml:space="preserve">Q11</t>
  </si>
  <si>
    <t xml:space="preserve">The normal's x-intercept is e^2 times the abscissa of the point, so x_(n+1) = (9/25) x_n.</t>
  </si>
  <si>
    <t xml:space="preserve">Two ideas linked: the parametric normal and its intercept, then recognising the iteration as a geometric progression; numerical format. Closest in demand to 2023-P1-Q2 (L3), an ellipse question chaining tangent/normal facts.</t>
  </si>
  <si>
    <t xml:space="preserve">Q12</t>
  </si>
  <si>
    <t xml:space="preserve">Replace SP by a - ex = 3 - 2 cos theta so that SP + PM = 11/2 - (2 cos theta + sqrt5 sin theta).</t>
  </si>
  <si>
    <t xml:space="preserve">Two ideas linked: focal distance in linear form and the range of a cos + b sin; numerical answer with no options. Comparable to 2025-P2-Q7 (L3), eccentric-angle reasoning on an ellipse.</t>
  </si>
  <si>
    <t xml:space="preserve">Q13</t>
  </si>
  <si>
    <t xml:space="preserve">Equate the slope of the T = S1 chord (-1/2) with the parametric tangent slope -(sqrt3/2) cot theta and choose theta = 4 pi/3.</t>
  </si>
  <si>
    <t xml:space="preserve">Three concepts chained (midpoint chord, parametric tangent, normal) with a branch choice; each step standard, numerical answer. Comparable to 2023-P1-Q2 (L3) on tangents of an ellipse; could be read as L2.</t>
  </si>
  <si>
    <t xml:space="preserve">Q14</t>
  </si>
  <si>
    <t xml:space="preserve">Chord PQ is x + y = 4; maximise the distance |8 cos(t - pi/6) - 4|/sqrt2, attained on the far arc.</t>
  </si>
  <si>
    <t xml:space="preserve">Routine chain: points from eccentric angles, chord equation, distance from a line and a trigonometric range; the far-arc check is the only trap. Comparable to 2021-P2-Q18 (L2), a routine ellipse extremum.</t>
  </si>
  <si>
    <t xml:space="preserve">Q15</t>
  </si>
  <si>
    <t xml:space="preserve">Row-by-row count with m^2 + n^2 &lt; 49 and 4m^2 + 49n^2 &gt; 196.</t>
  </si>
  <si>
    <t xml:space="preserve">Routine casework with two position tests; some precision risk in the rows n = +-1, +-2 but no idea beyond S1 &gt; 0. Comparable to 2023-P1-Q6 (L3) lattice points in conics, but simpler (direct count, no probability).</t>
  </si>
  <si>
    <t xml:space="preserve">2023-P1-Q6 (L3)</t>
  </si>
  <si>
    <t xml:space="preserve">Q16</t>
  </si>
  <si>
    <t xml:space="preserve">Recognise PS = (3/4)PN as x^2/16 + y^2/7 = 1, so the condition is S1 &lt; 0.</t>
  </si>
  <si>
    <t xml:space="preserve">Short chain: identify the ellipse from focus, directrix and e, then a quadratic inequality and an integer count; the hidden ellipse is the only idea. Comparable to 2021-P1-Q17 (L1) and 2024-P1-Q8 (L2) in effort; L2.</t>
  </si>
  <si>
    <t xml:space="preserve">2024-P1-Q8 (L2)</t>
  </si>
  <si>
    <t xml:space="preserve">Q17</t>
  </si>
  <si>
    <t xml:space="preserve">Tangent y = 2 - x from the derivative, then c^2 = a^2 m^2 + b^2 gives b^2 = 1 and the contact point (3/2, 1/2).</t>
  </si>
  <si>
    <t xml:space="preserve">Routine three-step chain across two chapters (derivative, tangency condition, contact point); nothing unfamiliar. Comparable to 2026-P1-Q2 (L2), tangent slopes on several curves.</t>
  </si>
  <si>
    <t xml:space="preserve">2026-P1-Q2 (L2)</t>
  </si>
  <si>
    <t xml:space="preserve">Q18</t>
  </si>
  <si>
    <t xml:space="preserve">Perpendicular tangents come from the director circle x^2 + y^2 = 36; uniqueness means the line touches it.</t>
  </si>
  <si>
    <t xml:space="preserve">Two routine steps (director circle, tangency of a line to a circle) in numerical format; nothing unfamiliar. Comparable to 2026-P2-Q2 (L2), perpendicular tangents with a short finish.</t>
  </si>
  <si>
    <t xml:space="preserve">2026-P2-Q2 (L2)</t>
  </si>
  <si>
    <t xml:space="preserve">Q19</t>
  </si>
  <si>
    <t xml:space="preserve">Locate P(3,4) on the director circle, then sum of roots of (h^2 - a^2)m^2 - 2hkm + (k^2 - b^2) = 0.</t>
  </si>
  <si>
    <t xml:space="preserve">Two ideas linked (director circle to find P, slope quadratic of tangents from P) with a numerical answer. Comparable to 2023-P1-Q2 (L3), tangents of an ellipse with a structural step; could be read as L2.</t>
  </si>
  <si>
    <t xml:space="preserve">Q20</t>
  </si>
  <si>
    <t xml:space="preserve">Tangency condition through P gives 17m^2 + 16m - 1 = 0, slopes 1/17 and -1.</t>
  </si>
  <si>
    <t xml:space="preserve">Routine chain: tangency condition, quadratic in m, intercepts, area. Comparable to 2024-P1-Q4 (L2), tangents from an external point to an ellipse.</t>
  </si>
  <si>
    <t xml:space="preserve">Q21</t>
  </si>
  <si>
    <t xml:space="preserve">T = S1 slope -3h/(4k) = 1/2 puts M on y = -3x/2; intersect with x - y = 1.</t>
  </si>
  <si>
    <t xml:space="preserve">Short routine chain (midpoint-chord slope, intersection of two lines, existence check). Comparable to 2021-P2-Q18 (L2) on ellipse chord midpoints; could be read as L1.</t>
  </si>
  <si>
    <t xml:space="preserve">Q22</t>
  </si>
  <si>
    <t xml:space="preserve">Identify the chord of contact of R with the chord T = S1 bisected at Q, giving R = (8/5)Q, and confirm R lies on the polar of Q.</t>
  </si>
  <si>
    <t xml:space="preserve">Two linked ideas (polar of an interior point and its reciprocity with chords of contact, plus the midpoint-chord equation), numerical answer. Comparable to 2023-P2-Q13 (L4) in using a polar-type line, but much shorter; nearest in demand to 2023-P1-Q2 (L3).</t>
  </si>
  <si>
    <t xml:space="preserve">Q23</t>
  </si>
  <si>
    <t xml:space="preserve">Put x = 0 in SS1 = T^2 to get y^2 + 42y - 135 = 0.</t>
  </si>
  <si>
    <t xml:space="preserve">Routine: joint equation of the pair of tangents, one substitution, a quadratic and an area. Comparable to 2024-P2-Q7 (L2), tangents from a point with lengths.</t>
  </si>
  <si>
    <t xml:space="preserve">2024-P2-Q7 (L2)</t>
  </si>
  <si>
    <t xml:space="preserve">Q24</t>
  </si>
  <si>
    <t xml:space="preserve">A = 1/6, B = 1/10, H = -4/15 from SS1 = T^2, then tan theta = 2 sqrt(H^2 - AB)/|A + B|.</t>
  </si>
  <si>
    <t xml:space="preserve">Routine application of the pair-of-tangents equation and the angle formula (or Vieta on the slope quadratic); several steps, no insight. Comparable to 2026-P2-Q17 (L2), angle between tangents to ellipses.</t>
  </si>
  <si>
    <t xml:space="preserve">2026-P2-Q17 (L2)</t>
  </si>
  <si>
    <t xml:space="preserve">Q25</t>
  </si>
  <si>
    <t xml:space="preserve">Reflection property sends the ray from S via B through S'(-3,0); intersect BS' with E to get Q(-4,-1).</t>
  </si>
  <si>
    <t xml:space="preserve">Two ideas linked (reflection property of the ellipse, then the tangent at the new point) in numerical format. Comparable to 2023-P1-Q2 (L3), an ellipse question chaining tangent properties.</t>
  </si>
  <si>
    <t xml:space="preserve">Q26</t>
  </si>
  <si>
    <t xml:space="preserve">Feet of focal perpendiculars lie on x^2 + y^2 = 20, so OU.OV = (OU^2 + OV^2 - UV^2)/2 with UV from the distance 2 sqrt2.</t>
  </si>
  <si>
    <t xml:space="preserve">Routine once the auxiliary-circle property is recalled: tangent from the eccentric angle, distance from the centre, chord length, dot product. Comparable to 2021-P2-Q18 (L2), a short ellipse computation with a standard property.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</si>
  <si>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</si>
  <si>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</si>
  <si>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Ellipse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</si>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</sst>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3</v>
      </c>
      <c r="H3" s="4" t="s">
        <v>19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25</v>
      </c>
      <c r="N3" s="3" t="s">
        <v>26</v>
      </c>
      <c r="O3" s="3" t="s">
        <v>27</v>
      </c>
      <c r="P3" s="2" t="s">
        <v>23</v>
      </c>
    </row>
    <row r="4" customFormat="false" ht="35.05" hidden="false" customHeight="false" outlineLevel="0" collapsed="false">
      <c r="A4" s="2" t="n">
        <v>3</v>
      </c>
      <c r="B4" s="2"/>
      <c r="C4" s="2" t="s">
        <v>28</v>
      </c>
      <c r="D4" s="2" t="s">
        <v>17</v>
      </c>
      <c r="E4" s="3" t="s">
        <v>18</v>
      </c>
      <c r="F4" s="2" t="n">
        <v>3</v>
      </c>
      <c r="G4" s="6" t="n">
        <v>2</v>
      </c>
      <c r="H4" s="6" t="s">
        <v>29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30</v>
      </c>
      <c r="N4" s="3" t="s">
        <v>31</v>
      </c>
      <c r="O4" s="3" t="s">
        <v>32</v>
      </c>
      <c r="P4" s="2" t="s">
        <v>33</v>
      </c>
    </row>
    <row r="5" customFormat="false" ht="35.05" hidden="false" customHeight="false" outlineLevel="0" collapsed="false">
      <c r="A5" s="2" t="n">
        <v>4</v>
      </c>
      <c r="B5" s="2"/>
      <c r="C5" s="2" t="s">
        <v>34</v>
      </c>
      <c r="D5" s="2" t="s">
        <v>17</v>
      </c>
      <c r="E5" s="3" t="s">
        <v>18</v>
      </c>
      <c r="F5" s="2" t="n">
        <v>3</v>
      </c>
      <c r="G5" s="6" t="n">
        <v>2</v>
      </c>
      <c r="H5" s="6" t="s">
        <v>29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35</v>
      </c>
      <c r="N5" s="3" t="s">
        <v>36</v>
      </c>
      <c r="O5" s="3" t="s">
        <v>37</v>
      </c>
      <c r="P5" s="2" t="s">
        <v>33</v>
      </c>
    </row>
    <row r="6" customFormat="false" ht="35.05" hidden="false" customHeight="false" outlineLevel="0" collapsed="false">
      <c r="A6" s="2" t="n">
        <v>5</v>
      </c>
      <c r="B6" s="2"/>
      <c r="C6" s="2" t="s">
        <v>38</v>
      </c>
      <c r="D6" s="2" t="s">
        <v>17</v>
      </c>
      <c r="E6" s="3" t="s">
        <v>18</v>
      </c>
      <c r="F6" s="2" t="n">
        <v>3</v>
      </c>
      <c r="G6" s="6" t="n">
        <v>2</v>
      </c>
      <c r="H6" s="6" t="s">
        <v>29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6</v>
      </c>
      <c r="M6" s="3" t="s">
        <v>39</v>
      </c>
      <c r="N6" s="3" t="s">
        <v>40</v>
      </c>
      <c r="O6" s="3" t="s">
        <v>32</v>
      </c>
      <c r="P6" s="2" t="s">
        <v>23</v>
      </c>
    </row>
    <row r="7" customFormat="false" ht="46.25" hidden="false" customHeight="false" outlineLevel="0" collapsed="false">
      <c r="A7" s="2" t="n">
        <v>6</v>
      </c>
      <c r="B7" s="2"/>
      <c r="C7" s="2" t="s">
        <v>41</v>
      </c>
      <c r="D7" s="2" t="s">
        <v>42</v>
      </c>
      <c r="E7" s="3" t="s">
        <v>18</v>
      </c>
      <c r="F7" s="2" t="n">
        <v>4</v>
      </c>
      <c r="G7" s="4" t="n">
        <v>3</v>
      </c>
      <c r="H7" s="4" t="s">
        <v>19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43</v>
      </c>
      <c r="N7" s="3" t="s">
        <v>44</v>
      </c>
      <c r="O7" s="3" t="s">
        <v>45</v>
      </c>
      <c r="P7" s="2" t="s">
        <v>23</v>
      </c>
    </row>
    <row r="8" customFormat="false" ht="46.25" hidden="false" customHeight="false" outlineLevel="0" collapsed="false">
      <c r="A8" s="2" t="n">
        <v>7</v>
      </c>
      <c r="B8" s="2"/>
      <c r="C8" s="2" t="s">
        <v>46</v>
      </c>
      <c r="D8" s="2" t="s">
        <v>42</v>
      </c>
      <c r="E8" s="3" t="s">
        <v>18</v>
      </c>
      <c r="F8" s="2" t="n">
        <v>4</v>
      </c>
      <c r="G8" s="4" t="n">
        <v>3</v>
      </c>
      <c r="H8" s="4" t="s">
        <v>19</v>
      </c>
      <c r="I8" s="5" t="n">
        <v>0</v>
      </c>
      <c r="J8" s="5" t="n">
        <v>0</v>
      </c>
      <c r="K8" s="5" t="n">
        <f aca="false">MIN(5,MAX(G8+I8,J8))</f>
        <v>3</v>
      </c>
      <c r="L8" s="5" t="n">
        <f aca="false">F8*K8</f>
        <v>12</v>
      </c>
      <c r="M8" s="3" t="s">
        <v>47</v>
      </c>
      <c r="N8" s="3" t="s">
        <v>48</v>
      </c>
      <c r="O8" s="3" t="s">
        <v>45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49</v>
      </c>
      <c r="D9" s="2" t="s">
        <v>42</v>
      </c>
      <c r="E9" s="3" t="s">
        <v>18</v>
      </c>
      <c r="F9" s="2" t="n">
        <v>4</v>
      </c>
      <c r="G9" s="6" t="n">
        <v>2</v>
      </c>
      <c r="H9" s="6" t="s">
        <v>29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50</v>
      </c>
      <c r="N9" s="3" t="s">
        <v>51</v>
      </c>
      <c r="O9" s="3" t="s">
        <v>52</v>
      </c>
      <c r="P9" s="2" t="s">
        <v>33</v>
      </c>
    </row>
    <row r="10" customFormat="false" ht="35.05" hidden="false" customHeight="false" outlineLevel="0" collapsed="false">
      <c r="A10" s="2" t="n">
        <v>9</v>
      </c>
      <c r="B10" s="2"/>
      <c r="C10" s="2" t="s">
        <v>53</v>
      </c>
      <c r="D10" s="2" t="s">
        <v>42</v>
      </c>
      <c r="E10" s="3" t="s">
        <v>18</v>
      </c>
      <c r="F10" s="2" t="n">
        <v>4</v>
      </c>
      <c r="G10" s="6" t="n">
        <v>2</v>
      </c>
      <c r="H10" s="6" t="s">
        <v>29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8</v>
      </c>
      <c r="M10" s="3" t="s">
        <v>54</v>
      </c>
      <c r="N10" s="3" t="s">
        <v>55</v>
      </c>
      <c r="O10" s="3" t="s">
        <v>52</v>
      </c>
      <c r="P10" s="2" t="s">
        <v>23</v>
      </c>
    </row>
    <row r="11" customFormat="false" ht="35.05" hidden="false" customHeight="false" outlineLevel="0" collapsed="false">
      <c r="A11" s="2" t="n">
        <v>10</v>
      </c>
      <c r="B11" s="2"/>
      <c r="C11" s="2" t="s">
        <v>56</v>
      </c>
      <c r="D11" s="2" t="s">
        <v>42</v>
      </c>
      <c r="E11" s="3" t="s">
        <v>18</v>
      </c>
      <c r="F11" s="2" t="n">
        <v>4</v>
      </c>
      <c r="G11" s="6" t="n">
        <v>2</v>
      </c>
      <c r="H11" s="6" t="s">
        <v>29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57</v>
      </c>
      <c r="N11" s="3" t="s">
        <v>58</v>
      </c>
      <c r="O11" s="3" t="s">
        <v>59</v>
      </c>
      <c r="P11" s="2" t="s">
        <v>23</v>
      </c>
    </row>
    <row r="12" customFormat="false" ht="46.25" hidden="false" customHeight="false" outlineLevel="0" collapsed="false">
      <c r="A12" s="2" t="n">
        <v>11</v>
      </c>
      <c r="B12" s="2"/>
      <c r="C12" s="2" t="s">
        <v>60</v>
      </c>
      <c r="D12" s="2" t="s">
        <v>42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61</v>
      </c>
      <c r="N12" s="3" t="s">
        <v>62</v>
      </c>
      <c r="O12" s="3" t="s">
        <v>22</v>
      </c>
      <c r="P12" s="2" t="s">
        <v>23</v>
      </c>
    </row>
    <row r="13" customFormat="false" ht="35.05" hidden="false" customHeight="false" outlineLevel="0" collapsed="false">
      <c r="A13" s="2" t="n">
        <v>12</v>
      </c>
      <c r="B13" s="2"/>
      <c r="C13" s="2" t="s">
        <v>63</v>
      </c>
      <c r="D13" s="2" t="s">
        <v>42</v>
      </c>
      <c r="E13" s="3" t="s">
        <v>18</v>
      </c>
      <c r="F13" s="2" t="n">
        <v>4</v>
      </c>
      <c r="G13" s="4" t="n">
        <v>3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64</v>
      </c>
      <c r="N13" s="3" t="s">
        <v>65</v>
      </c>
      <c r="O13" s="3" t="s">
        <v>27</v>
      </c>
      <c r="P13" s="2" t="s">
        <v>23</v>
      </c>
    </row>
    <row r="14" customFormat="false" ht="35.05" hidden="false" customHeight="false" outlineLevel="0" collapsed="false">
      <c r="A14" s="2" t="n">
        <v>13</v>
      </c>
      <c r="B14" s="2"/>
      <c r="C14" s="2" t="s">
        <v>66</v>
      </c>
      <c r="D14" s="2" t="s">
        <v>42</v>
      </c>
      <c r="E14" s="3" t="s">
        <v>18</v>
      </c>
      <c r="F14" s="2" t="n">
        <v>4</v>
      </c>
      <c r="G14" s="4" t="n">
        <v>3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67</v>
      </c>
      <c r="N14" s="3" t="s">
        <v>68</v>
      </c>
      <c r="O14" s="3" t="s">
        <v>22</v>
      </c>
      <c r="P14" s="2" t="s">
        <v>23</v>
      </c>
    </row>
    <row r="15" customFormat="false" ht="35.05" hidden="false" customHeight="false" outlineLevel="0" collapsed="false">
      <c r="A15" s="2" t="n">
        <v>14</v>
      </c>
      <c r="B15" s="2"/>
      <c r="C15" s="2" t="s">
        <v>69</v>
      </c>
      <c r="D15" s="2" t="s">
        <v>42</v>
      </c>
      <c r="E15" s="3" t="s">
        <v>18</v>
      </c>
      <c r="F15" s="2" t="n">
        <v>4</v>
      </c>
      <c r="G15" s="6" t="n">
        <v>2</v>
      </c>
      <c r="H15" s="6" t="s">
        <v>29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70</v>
      </c>
      <c r="N15" s="3" t="s">
        <v>71</v>
      </c>
      <c r="O15" s="3" t="s">
        <v>37</v>
      </c>
      <c r="P15" s="2" t="s">
        <v>33</v>
      </c>
    </row>
    <row r="16" customFormat="false" ht="35.05" hidden="false" customHeight="false" outlineLevel="0" collapsed="false">
      <c r="A16" s="2" t="n">
        <v>15</v>
      </c>
      <c r="B16" s="2"/>
      <c r="C16" s="2" t="s">
        <v>72</v>
      </c>
      <c r="D16" s="2" t="s">
        <v>42</v>
      </c>
      <c r="E16" s="3" t="s">
        <v>18</v>
      </c>
      <c r="F16" s="2" t="n">
        <v>4</v>
      </c>
      <c r="G16" s="6" t="n">
        <v>2</v>
      </c>
      <c r="H16" s="6" t="s">
        <v>29</v>
      </c>
      <c r="I16" s="5" t="n">
        <v>0</v>
      </c>
      <c r="J16" s="5" t="n">
        <v>0</v>
      </c>
      <c r="K16" s="5" t="n">
        <f aca="false">MIN(5,MAX(G16+I16,J16))</f>
        <v>2</v>
      </c>
      <c r="L16" s="5" t="n">
        <f aca="false">F16*K16</f>
        <v>8</v>
      </c>
      <c r="M16" s="3" t="s">
        <v>73</v>
      </c>
      <c r="N16" s="3" t="s">
        <v>74</v>
      </c>
      <c r="O16" s="3" t="s">
        <v>75</v>
      </c>
      <c r="P16" s="2" t="s">
        <v>23</v>
      </c>
    </row>
    <row r="17" customFormat="false" ht="35.05" hidden="false" customHeight="false" outlineLevel="0" collapsed="false">
      <c r="A17" s="2" t="n">
        <v>16</v>
      </c>
      <c r="B17" s="2"/>
      <c r="C17" s="2" t="s">
        <v>76</v>
      </c>
      <c r="D17" s="2" t="s">
        <v>42</v>
      </c>
      <c r="E17" s="3" t="s">
        <v>18</v>
      </c>
      <c r="F17" s="2" t="n">
        <v>4</v>
      </c>
      <c r="G17" s="6" t="n">
        <v>2</v>
      </c>
      <c r="H17" s="6" t="s">
        <v>29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77</v>
      </c>
      <c r="N17" s="3" t="s">
        <v>78</v>
      </c>
      <c r="O17" s="3" t="s">
        <v>79</v>
      </c>
      <c r="P17" s="2" t="s">
        <v>23</v>
      </c>
    </row>
    <row r="18" customFormat="false" ht="35.05" hidden="false" customHeight="false" outlineLevel="0" collapsed="false">
      <c r="A18" s="2" t="n">
        <v>17</v>
      </c>
      <c r="B18" s="2"/>
      <c r="C18" s="2" t="s">
        <v>80</v>
      </c>
      <c r="D18" s="2" t="s">
        <v>42</v>
      </c>
      <c r="E18" s="3" t="s">
        <v>18</v>
      </c>
      <c r="F18" s="2" t="n">
        <v>4</v>
      </c>
      <c r="G18" s="6" t="n">
        <v>2</v>
      </c>
      <c r="H18" s="6" t="s">
        <v>29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81</v>
      </c>
      <c r="N18" s="3" t="s">
        <v>82</v>
      </c>
      <c r="O18" s="3" t="s">
        <v>83</v>
      </c>
      <c r="P18" s="2" t="s">
        <v>33</v>
      </c>
    </row>
    <row r="19" customFormat="false" ht="35.05" hidden="false" customHeight="false" outlineLevel="0" collapsed="false">
      <c r="A19" s="2" t="n">
        <v>18</v>
      </c>
      <c r="B19" s="2"/>
      <c r="C19" s="2" t="s">
        <v>84</v>
      </c>
      <c r="D19" s="2" t="s">
        <v>42</v>
      </c>
      <c r="E19" s="3" t="s">
        <v>18</v>
      </c>
      <c r="F19" s="2" t="n">
        <v>4</v>
      </c>
      <c r="G19" s="6" t="n">
        <v>2</v>
      </c>
      <c r="H19" s="6" t="s">
        <v>29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85</v>
      </c>
      <c r="N19" s="3" t="s">
        <v>86</v>
      </c>
      <c r="O19" s="3" t="s">
        <v>87</v>
      </c>
      <c r="P19" s="2" t="s">
        <v>23</v>
      </c>
    </row>
    <row r="20" customFormat="false" ht="35.05" hidden="false" customHeight="false" outlineLevel="0" collapsed="false">
      <c r="A20" s="2" t="n">
        <v>19</v>
      </c>
      <c r="B20" s="2"/>
      <c r="C20" s="2" t="s">
        <v>88</v>
      </c>
      <c r="D20" s="2" t="s">
        <v>42</v>
      </c>
      <c r="E20" s="3" t="s">
        <v>18</v>
      </c>
      <c r="F20" s="2" t="n">
        <v>4</v>
      </c>
      <c r="G20" s="4" t="n">
        <v>3</v>
      </c>
      <c r="H20" s="4" t="s">
        <v>19</v>
      </c>
      <c r="I20" s="5" t="n">
        <v>0</v>
      </c>
      <c r="J20" s="5" t="n">
        <v>0</v>
      </c>
      <c r="K20" s="5" t="n">
        <f aca="false">MIN(5,MAX(G20+I20,J20))</f>
        <v>3</v>
      </c>
      <c r="L20" s="5" t="n">
        <f aca="false">F20*K20</f>
        <v>12</v>
      </c>
      <c r="M20" s="3" t="s">
        <v>89</v>
      </c>
      <c r="N20" s="3" t="s">
        <v>90</v>
      </c>
      <c r="O20" s="3" t="s">
        <v>22</v>
      </c>
      <c r="P20" s="2" t="s">
        <v>23</v>
      </c>
    </row>
    <row r="21" customFormat="false" ht="35.05" hidden="false" customHeight="false" outlineLevel="0" collapsed="false">
      <c r="A21" s="2" t="n">
        <v>20</v>
      </c>
      <c r="B21" s="2"/>
      <c r="C21" s="2" t="s">
        <v>91</v>
      </c>
      <c r="D21" s="2" t="s">
        <v>42</v>
      </c>
      <c r="E21" s="3" t="s">
        <v>18</v>
      </c>
      <c r="F21" s="2" t="n">
        <v>4</v>
      </c>
      <c r="G21" s="6" t="n">
        <v>2</v>
      </c>
      <c r="H21" s="6" t="s">
        <v>29</v>
      </c>
      <c r="I21" s="5" t="n">
        <v>0</v>
      </c>
      <c r="J21" s="5" t="n">
        <v>0</v>
      </c>
      <c r="K21" s="5" t="n">
        <f aca="false">MIN(5,MAX(G21+I21,J21))</f>
        <v>2</v>
      </c>
      <c r="L21" s="5" t="n">
        <f aca="false">F21*K21</f>
        <v>8</v>
      </c>
      <c r="M21" s="3" t="s">
        <v>92</v>
      </c>
      <c r="N21" s="3" t="s">
        <v>93</v>
      </c>
      <c r="O21" s="3" t="s">
        <v>32</v>
      </c>
      <c r="P21" s="2" t="s">
        <v>33</v>
      </c>
    </row>
    <row r="22" customFormat="false" ht="35.05" hidden="false" customHeight="false" outlineLevel="0" collapsed="false">
      <c r="A22" s="2" t="n">
        <v>21</v>
      </c>
      <c r="B22" s="2"/>
      <c r="C22" s="2" t="s">
        <v>94</v>
      </c>
      <c r="D22" s="2" t="s">
        <v>42</v>
      </c>
      <c r="E22" s="3" t="s">
        <v>18</v>
      </c>
      <c r="F22" s="2" t="n">
        <v>4</v>
      </c>
      <c r="G22" s="6" t="n">
        <v>2</v>
      </c>
      <c r="H22" s="6" t="s">
        <v>29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95</v>
      </c>
      <c r="N22" s="3" t="s">
        <v>96</v>
      </c>
      <c r="O22" s="3" t="s">
        <v>37</v>
      </c>
      <c r="P22" s="2" t="s">
        <v>23</v>
      </c>
    </row>
    <row r="23" customFormat="false" ht="46.25" hidden="false" customHeight="false" outlineLevel="0" collapsed="false">
      <c r="A23" s="2" t="n">
        <v>22</v>
      </c>
      <c r="B23" s="2"/>
      <c r="C23" s="2" t="s">
        <v>97</v>
      </c>
      <c r="D23" s="2" t="s">
        <v>42</v>
      </c>
      <c r="E23" s="3" t="s">
        <v>18</v>
      </c>
      <c r="F23" s="2" t="n">
        <v>4</v>
      </c>
      <c r="G23" s="4" t="n">
        <v>3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3</v>
      </c>
      <c r="L23" s="5" t="n">
        <f aca="false">F23*K23</f>
        <v>12</v>
      </c>
      <c r="M23" s="3" t="s">
        <v>98</v>
      </c>
      <c r="N23" s="3" t="s">
        <v>99</v>
      </c>
      <c r="O23" s="3" t="s">
        <v>22</v>
      </c>
      <c r="P23" s="2" t="s">
        <v>23</v>
      </c>
    </row>
    <row r="24" customFormat="false" ht="35.05" hidden="false" customHeight="false" outlineLevel="0" collapsed="false">
      <c r="A24" s="2" t="n">
        <v>23</v>
      </c>
      <c r="B24" s="2"/>
      <c r="C24" s="2" t="s">
        <v>100</v>
      </c>
      <c r="D24" s="2" t="s">
        <v>42</v>
      </c>
      <c r="E24" s="3" t="s">
        <v>18</v>
      </c>
      <c r="F24" s="2" t="n">
        <v>4</v>
      </c>
      <c r="G24" s="6" t="n">
        <v>2</v>
      </c>
      <c r="H24" s="6" t="s">
        <v>29</v>
      </c>
      <c r="I24" s="5" t="n">
        <v>0</v>
      </c>
      <c r="J24" s="5" t="n">
        <v>0</v>
      </c>
      <c r="K24" s="5" t="n">
        <f aca="false">MIN(5,MAX(G24+I24,J24))</f>
        <v>2</v>
      </c>
      <c r="L24" s="5" t="n">
        <f aca="false">F24*K24</f>
        <v>8</v>
      </c>
      <c r="M24" s="3" t="s">
        <v>101</v>
      </c>
      <c r="N24" s="3" t="s">
        <v>102</v>
      </c>
      <c r="O24" s="3" t="s">
        <v>103</v>
      </c>
      <c r="P24" s="2" t="s">
        <v>33</v>
      </c>
    </row>
    <row r="25" customFormat="false" ht="35.05" hidden="false" customHeight="false" outlineLevel="0" collapsed="false">
      <c r="A25" s="2" t="n">
        <v>24</v>
      </c>
      <c r="B25" s="2"/>
      <c r="C25" s="2" t="s">
        <v>104</v>
      </c>
      <c r="D25" s="2" t="s">
        <v>42</v>
      </c>
      <c r="E25" s="3" t="s">
        <v>18</v>
      </c>
      <c r="F25" s="2" t="n">
        <v>4</v>
      </c>
      <c r="G25" s="6" t="n">
        <v>2</v>
      </c>
      <c r="H25" s="6" t="s">
        <v>29</v>
      </c>
      <c r="I25" s="5" t="n">
        <v>0</v>
      </c>
      <c r="J25" s="5" t="n">
        <v>0</v>
      </c>
      <c r="K25" s="5" t="n">
        <f aca="false">MIN(5,MAX(G25+I25,J25))</f>
        <v>2</v>
      </c>
      <c r="L25" s="5" t="n">
        <f aca="false">F25*K25</f>
        <v>8</v>
      </c>
      <c r="M25" s="3" t="s">
        <v>105</v>
      </c>
      <c r="N25" s="3" t="s">
        <v>106</v>
      </c>
      <c r="O25" s="3" t="s">
        <v>107</v>
      </c>
      <c r="P25" s="2" t="s">
        <v>33</v>
      </c>
    </row>
    <row r="26" customFormat="false" ht="35.05" hidden="false" customHeight="false" outlineLevel="0" collapsed="false">
      <c r="A26" s="2" t="n">
        <v>25</v>
      </c>
      <c r="B26" s="2"/>
      <c r="C26" s="2" t="s">
        <v>108</v>
      </c>
      <c r="D26" s="2" t="s">
        <v>42</v>
      </c>
      <c r="E26" s="3" t="s">
        <v>18</v>
      </c>
      <c r="F26" s="2" t="n">
        <v>4</v>
      </c>
      <c r="G26" s="4" t="n">
        <v>3</v>
      </c>
      <c r="H26" s="4" t="s">
        <v>19</v>
      </c>
      <c r="I26" s="5" t="n">
        <v>0</v>
      </c>
      <c r="J26" s="5" t="n">
        <v>0</v>
      </c>
      <c r="K26" s="5" t="n">
        <f aca="false">MIN(5,MAX(G26+I26,J26))</f>
        <v>3</v>
      </c>
      <c r="L26" s="5" t="n">
        <f aca="false">F26*K26</f>
        <v>12</v>
      </c>
      <c r="M26" s="3" t="s">
        <v>109</v>
      </c>
      <c r="N26" s="3" t="s">
        <v>110</v>
      </c>
      <c r="O26" s="3" t="s">
        <v>22</v>
      </c>
      <c r="P26" s="2" t="s">
        <v>23</v>
      </c>
    </row>
    <row r="27" customFormat="false" ht="46.25" hidden="false" customHeight="false" outlineLevel="0" collapsed="false">
      <c r="A27" s="2" t="n">
        <v>26</v>
      </c>
      <c r="B27" s="2"/>
      <c r="C27" s="2" t="s">
        <v>111</v>
      </c>
      <c r="D27" s="2" t="s">
        <v>42</v>
      </c>
      <c r="E27" s="3" t="s">
        <v>18</v>
      </c>
      <c r="F27" s="2" t="n">
        <v>4</v>
      </c>
      <c r="G27" s="6" t="n">
        <v>2</v>
      </c>
      <c r="H27" s="6" t="s">
        <v>29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112</v>
      </c>
      <c r="N27" s="3" t="s">
        <v>113</v>
      </c>
      <c r="O27" s="3" t="s">
        <v>37</v>
      </c>
      <c r="P27" s="2" t="s">
        <v>23</v>
      </c>
    </row>
    <row r="29" customFormat="false" ht="15" hidden="false" customHeight="false" outlineLevel="0" collapsed="false">
      <c r="A29" s="7" t="s">
        <v>114</v>
      </c>
    </row>
  </sheetData>
  <autoFilter ref="A1:P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115</v>
      </c>
    </row>
    <row r="2" customFormat="false" ht="15" hidden="false" customHeight="false" outlineLevel="0" collapsed="false">
      <c r="A2" s="7" t="s">
        <v>116</v>
      </c>
    </row>
    <row r="4" customFormat="false" ht="15" hidden="false" customHeight="false" outlineLevel="0" collapsed="false">
      <c r="A4" s="1" t="s">
        <v>6</v>
      </c>
      <c r="B4" s="1" t="s">
        <v>117</v>
      </c>
      <c r="C4" s="1" t="s">
        <v>118</v>
      </c>
      <c r="D4" s="1" t="s">
        <v>5</v>
      </c>
      <c r="E4" s="1" t="s">
        <v>119</v>
      </c>
    </row>
    <row r="5" customFormat="false" ht="15" hidden="false" customHeight="false" outlineLevel="0" collapsed="false">
      <c r="A5" s="9" t="n">
        <v>0</v>
      </c>
      <c r="B5" s="9" t="s">
        <v>120</v>
      </c>
      <c r="C5" s="9" t="n">
        <f aca="false">COUNTIF(Evaluation!$G$2:$G$27,A5)</f>
        <v>0</v>
      </c>
      <c r="D5" s="9" t="n">
        <f aca="false">SUMIF(Evaluation!$G$2:$G$27,A5,Evaluation!$F$2:$F$27)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121</v>
      </c>
      <c r="C6" s="11" t="n">
        <f aca="false">COUNTIF(Evaluation!$G$2:$G$27,A6)</f>
        <v>0</v>
      </c>
      <c r="D6" s="11" t="n">
        <f aca="false">SUMIF(Evaluation!$G$2:$G$27,A6,Evaluation!$F$2:$F$27)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29</v>
      </c>
      <c r="C7" s="13" t="n">
        <f aca="false">COUNTIF(Evaluation!$G$2:$G$27,A7)</f>
        <v>16</v>
      </c>
      <c r="D7" s="13" t="n">
        <f aca="false">SUMIF(Evaluation!$G$2:$G$27,A7,Evaluation!$F$2:$F$27)</f>
        <v>61</v>
      </c>
      <c r="E7" s="14" t="n">
        <f aca="false">IF(SUM($D$5:$D$10)=0,0,D7/SUM($D$5:$D$10))</f>
        <v>0.616161616161616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COUNTIF(Evaluation!$G$2:$G$27,A8)</f>
        <v>10</v>
      </c>
      <c r="D8" s="15" t="n">
        <f aca="false">SUMIF(Evaluation!$G$2:$G$27,A8,Evaluation!$F$2:$F$27)</f>
        <v>38</v>
      </c>
      <c r="E8" s="16" t="n">
        <f aca="false">IF(SUM($D$5:$D$10)=0,0,D8/SUM($D$5:$D$10))</f>
        <v>0.383838383838384</v>
      </c>
    </row>
    <row r="9" customFormat="false" ht="15" hidden="false" customHeight="false" outlineLevel="0" collapsed="false">
      <c r="A9" s="17" t="n">
        <v>4</v>
      </c>
      <c r="B9" s="17" t="s">
        <v>122</v>
      </c>
      <c r="C9" s="17" t="n">
        <f aca="false">COUNTIF(Evaluation!$G$2:$G$27,A9)</f>
        <v>0</v>
      </c>
      <c r="D9" s="17" t="n">
        <f aca="false">SUMIF(Evaluation!$G$2:$G$27,A9,Evaluation!$F$2:$F$27)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123</v>
      </c>
      <c r="C10" s="19" t="n">
        <f aca="false">COUNTIF(Evaluation!$G$2:$G$27,A10)</f>
        <v>0</v>
      </c>
      <c r="D10" s="19" t="n">
        <f aca="false">SUMIF(Evaluation!$G$2:$G$27,A10,Evaluation!$F$2:$F$27)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124</v>
      </c>
      <c r="C11" s="21" t="n">
        <f aca="false">SUM(C5:C10)</f>
        <v>26</v>
      </c>
      <c r="D11" s="21" t="n">
        <f aca="false">SUM(D5:D10)</f>
        <v>99</v>
      </c>
    </row>
    <row r="13" customFormat="false" ht="46.25" hidden="false" customHeight="false" outlineLevel="0" collapsed="false">
      <c r="A13" s="1" t="s">
        <v>125</v>
      </c>
      <c r="B13" s="1" t="s">
        <v>126</v>
      </c>
      <c r="C13" s="1" t="s">
        <v>127</v>
      </c>
      <c r="D13" s="1" t="s">
        <v>5</v>
      </c>
      <c r="E13" s="1" t="s">
        <v>128</v>
      </c>
    </row>
    <row r="14" customFormat="false" ht="15" hidden="false" customHeight="false" outlineLevel="0" collapsed="false">
      <c r="A14" s="21" t="s">
        <v>129</v>
      </c>
      <c r="B14" s="22" t="n">
        <f aca="false">SUM(Evaluation!$L$2:$L$27)/SUM(Evaluation!$F$2:$F$27)</f>
        <v>2.38383838383838</v>
      </c>
      <c r="C14" s="22" t="n">
        <f aca="false">SUMPRODUCT(Evaluation!$F$2:$F$27,Evaluation!$G$2:$G$27)/SUM(Evaluation!$F$2:$F$27)</f>
        <v>2.38383838383838</v>
      </c>
      <c r="D14" s="21" t="n">
        <f aca="false">SUM(Evaluation!$F$2:$F$27)</f>
        <v>99</v>
      </c>
      <c r="E14" s="22" t="n">
        <f aca="false">AVERAGE(Evaluation!$G$2:$G$27)</f>
        <v>2.38461538461538</v>
      </c>
    </row>
    <row r="16" customFormat="false" ht="15" hidden="false" customHeight="false" outlineLevel="0" collapsed="false">
      <c r="A16" s="7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131</v>
      </c>
    </row>
    <row r="3" customFormat="false" ht="23.85" hidden="false" customHeight="false" outlineLevel="0" collapsed="false">
      <c r="A3" s="1" t="s">
        <v>132</v>
      </c>
      <c r="B3" s="1" t="s">
        <v>133</v>
      </c>
      <c r="C3" s="1" t="s">
        <v>128</v>
      </c>
      <c r="D3" s="1" t="s">
        <v>134</v>
      </c>
      <c r="E3" s="1" t="s">
        <v>135</v>
      </c>
      <c r="F3" s="1" t="s">
        <v>136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137</v>
      </c>
      <c r="B9" s="22" t="n">
        <f aca="false">Summary!B14</f>
        <v>2.38383838383838</v>
      </c>
      <c r="C9" s="22" t="n">
        <f aca="false">Summary!E14</f>
        <v>2.38461538461538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2026-10-18T23:12:32Z</dcterms:created>
  <dc:creator>openpyxl</dc:creator>
  <dc:description/>
  <dc:language>en-US</dc:language>
  <cp:lastModifiedBy/>
  <dcterms:modified xsi:type="dcterms:W3CDTF">2026-10-18T23:12:32Z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