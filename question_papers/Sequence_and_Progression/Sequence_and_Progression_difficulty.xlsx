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<sst xmlns="http://schemas.openxmlformats.org/spreadsheetml/2006/main" count="367" uniqueCount="188">
  <si>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</si>
  <si>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</si>
  <si>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</si>
  <si>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</si>
  <si>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</si>
  <si>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</si>
  <si>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</si>
  <si>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</si>
  <si>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</si>
  <si>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</si>
  <si>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</si>
  <si>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</si>
  <si>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</si>
  <si>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</si>
  <si>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</si>
  <si>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</si>
  <si>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</si>
  <si>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</si>
  <si>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Sequence and Progression</t>
  </si>
  <si>
    <t xml:space="preserve">Average Advanced</t>
  </si>
  <si>
    <t xml:space="preserve">Recognising a_2 and b_2 as the AM and GM of 1 and r^2, then minimising (1+r^2)/2 + 8/r with an unequal split.</t>
  </si>
  <si>
    <t xml:space="preserve">Two linked ideas (AP-GP shared terms giving AM and GM, then a constrained minimum needing a 1:2 split or calculus) followed by term evaluation; options allow a check. Comparable to 2026-P1-Q1 (L3), above the routine chain of 2023-P2-Q9 (L2).</t>
  </si>
  <si>
    <t xml:space="preserve">2026-P1-Q1 (L3)</t>
  </si>
  <si>
    <t xml:space="preserve">Medium</t>
  </si>
  <si>
    <t xml:space="preserve">Q02</t>
  </si>
  <si>
    <t xml:space="preserve">Easier than Advanced</t>
  </si>
  <si>
    <t xml:space="preserve">Using G^2 = AH to make the product of A and 4H constant, then AM-GM.</t>
  </si>
  <si>
    <t xml:space="preserve">Three routine steps (G^2 = AH, AM-GM with equality case, solve a quadratic and rationalise) with no real insight; options allow checking. Level 2 like 2021-P1-Q18 (L2).</t>
  </si>
  <si>
    <t xml:space="preserve">2021-P1-Q18 (L2)</t>
  </si>
  <si>
    <t xml:space="preserve">High</t>
  </si>
  <si>
    <t xml:space="preserve">Q03</t>
  </si>
  <si>
    <t xml:space="preserve">Writing u_n through the sum of the AP of differences and solving for p and q from rows 3 and 6.</t>
  </si>
  <si>
    <t xml:space="preserve">Routine chain (general term via differences, a 2x2 linear system, power sums) with no insight; option format. Level 2 like 2026-P2-Q12 (L2), which also recovers parameters from two given statistics.</t>
  </si>
  <si>
    <t xml:space="preserve">2026-P2-Q12 (L2)</t>
  </si>
  <si>
    <t xml:space="preserve">Q04</t>
  </si>
  <si>
    <t xml:space="preserve">Turning tangency of x + ry + r^2 = 0 to the circle into 12r^4 - r^2 - 1 = 0 and noticing that the sum of squares is a GP in r^2.</t>
  </si>
  <si>
    <t xml:space="preserve">Two ideas linked (GP coefficients in a tangency condition, then a new GP of squares) plus a sign issue to resolve; option format. Comparable to 2026-P1-Q2 (L2) in geometry load but with the extra GP-of-squares step and the sign decision, so Level 3 like 2023-P2-Q3 (L3).</t>
  </si>
  <si>
    <t xml:space="preserve">2023-P2-Q3 (L3)</t>
  </si>
  <si>
    <t xml:space="preserve">Q05</t>
  </si>
  <si>
    <t xml:space="preserve">Choosing u = (x, y/2, z/3) and v = (1, 2, 3) so that Cauchy-Schwarz fits the weighted objective, then using its equality case.</t>
  </si>
  <si>
    <t xml:space="preserve">A weighted Cauchy-Schwarz (less practised than the plain form) linked with a vector-angle computation; two ideas, options available. Level 3 like 2023-P1-Q5 (L3) in vector demand.</t>
  </si>
  <si>
    <t xml:space="preserve">2023-P1-Q5 (L3)</t>
  </si>
  <si>
    <t xml:space="preserve">Q06</t>
  </si>
  <si>
    <t xml:space="preserve">Numerical</t>
  </si>
  <si>
    <t xml:space="preserve">Finding the overlap window [-50, 20] from opposite ends and the residue class 2 mod 12, then taking the complement.</t>
  </si>
  <si>
    <t xml:space="preserve">Several standard results chained with a precision risk (window ends, residue class, complement) and no options to check; numerical format nudges it up. Level 3 like 2026-P1-Q11 (L3) counting with bounds.</t>
  </si>
  <si>
    <t xml:space="preserve">2026-P1-Q11 (L3)</t>
  </si>
  <si>
    <t xml:space="preserve">Q07</t>
  </si>
  <si>
    <t xml:space="preserve">Seeing that differences of neighbour products are 2d a_{n+1}, so their difference is 2d^2.</t>
  </si>
  <si>
    <t xml:space="preserve">Routine chain of three steps with one light observation; numerical but short. Level 2 like 2023-P2-Q9 (L2).</t>
  </si>
  <si>
    <t xml:space="preserve">2023-P2-Q9 (L2)</t>
  </si>
  <si>
    <t xml:space="preserve">Q08</t>
  </si>
  <si>
    <t xml:space="preserve">Using the AP variance formula (n^2-1)d^2/12 and the symmetric form a_1 a_9 = m^2 - 16d^2.</t>
  </si>
  <si>
    <t xml:space="preserve">Routine chain: variance formula, difference of squares, two term evaluations; no insight. Level 2 like 2026-P2-Q12 (L2), which recovers observations from means and variances.</t>
  </si>
  <si>
    <t xml:space="preserve">Q09</t>
  </si>
  <si>
    <t xml:space="preserve">Reducing sum (a+md)^2/m! to e((a+d)^2 + d^2) with sum m^2/m! = 2e.</t>
  </si>
  <si>
    <t xml:space="preserve">Two ideas linked (exponential series moments and AP parameters) with a sign decision; numerical format. Level 3 like 2021-P2-Q16 (L3) series manipulation.</t>
  </si>
  <si>
    <t xml:space="preserve">2021-P2-Q16 (L3)</t>
  </si>
  <si>
    <t xml:space="preserve">Q10</t>
  </si>
  <si>
    <t xml:space="preserve">Seeing A_1 H_3 = ab so that A_1 + 36H_3 has constant product, after getting ab from the GM product.</t>
  </si>
  <si>
    <t xml:space="preserve">Two ideas linked (inserted-means identities, then AM-GM with attainment check) across four concepts; numerical format. Level 3 like 2021-P1-Q15 (L3) in idea count.</t>
  </si>
  <si>
    <t xml:space="preserve">2021-P1-Q15 (L3)</t>
  </si>
  <si>
    <t xml:space="preserve">Q11</t>
  </si>
  <si>
    <t xml:space="preserve">Decoding the symmetric-term conditions into a_n = 3n + 1 and b_n = 5n, then the residue class 10 mod 15 within the overlap.</t>
  </si>
  <si>
    <t xml:space="preserve">Several stages (decode two APs, one via a difference of squares; residue class; count and mean) with numerical answer; no single hard idea. Level 3 like 2026-P1-Q11 (L3).</t>
  </si>
  <si>
    <t xml:space="preserve">Q12</t>
  </si>
  <si>
    <t xml:space="preserve">Turning 'common terms have difference 36' into lcm(p, q) = 36, then a weighted sum over exponent pairs.</t>
  </si>
  <si>
    <t xml:space="preserve">Two ideas linked (common-term AP difference = lcm, then exponent-pair counting with weights) and a precision risk in the weighted sum; numerical. Level 3 like 2026-P1-Q11 (L3).</t>
  </si>
  <si>
    <t xml:space="preserve">Q13</t>
  </si>
  <si>
    <t xml:space="preserve">Writing the numerator as (1 - a^{n+1})/(1 - a) to split into two geometric series.</t>
  </si>
  <si>
    <t xml:space="preserve">Routine conversion to two GPs and one linear equation; no insight beyond the standard split. Level 2 like 2023-P2-Q1 (L2).</t>
  </si>
  <si>
    <t xml:space="preserve">2023-P2-Q1 (L2)</t>
  </si>
  <si>
    <t xml:space="preserve">Q14</t>
  </si>
  <si>
    <t xml:space="preserve">Dividing the two AGP-type sums to get 1/(1 - r) = 2, then a second differencing for sum n^2 r^{n-1}.</t>
  </si>
  <si>
    <t xml:space="preserve">Chain of an AGP sum, solving for the GP, and a second-order AGP sum, all exact with no options; numerical format raises it from 2. Level 3 like 2021-P2-Q16 (L3).</t>
  </si>
  <si>
    <t xml:space="preserve">Q15</t>
  </si>
  <si>
    <t xml:space="preserve">Writing |1+z^k|^8 = z^{-4k}(1+z^k)^8 so that a GP over 12th roots of unity filters out all but j = 4.</t>
  </si>
  <si>
    <t xml:space="preserve">Two ideas linked (modulus to power of z, then the GP/roots-of-unity filter); direct evaluation is heavy, so the idea matters. Level 3 like 2021-P1-Q4 (L3); below 2025-P2-Q13 (L4) because the filter is a known move.</t>
  </si>
  <si>
    <t xml:space="preserve">2021-P1-Q4 (L3)</t>
  </si>
  <si>
    <t xml:space="preserve">Q16</t>
  </si>
  <si>
    <t xml:space="preserve">Treating one round as the unit (A wins 5/18, undecided 1/3) before summing the geometric series.</t>
  </si>
  <si>
    <t xml:space="preserve">Standard alternating-turn GP idea with an extra outcome per throw and asymmetric rules; two ideas linked, numerical. Level 3 like 2023-P2-Q2 (L3).</t>
  </si>
  <si>
    <t xml:space="preserve">2023-P2-Q2 (L3)</t>
  </si>
  <si>
    <t xml:space="preserve">Q17</t>
  </si>
  <si>
    <t xml:space="preserve">Converting n(2^n - 1)/6^n into two AGP terms with ratios 1/3 and 1/6.</t>
  </si>
  <si>
    <t xml:space="preserve">Two conversions (GP partial sum, then splitting into AGPs) and exact arithmetic with no options; numerical format. Level 3 like 2021-P2-Q16 (L3).</t>
  </si>
  <si>
    <t xml:space="preserve">Q18</t>
  </si>
  <si>
    <t xml:space="preserve">Writing 1 - omega in polar form to get (1 - omega)^6 = -27, then clearing 1/omega with omega^3 = 1.</t>
  </si>
  <si>
    <t xml:space="preserve">Two linked ideas (polar form with De Moivre, then omega-algebra inside a GP formula), exact complex arithmetic, numerical. Level 3 like 2026-P1-Q13 (L3) on omega powers.</t>
  </si>
  <si>
    <t xml:space="preserve">2026-P1-Q13 (L3)</t>
  </si>
  <si>
    <t xml:space="preserve">Q19</t>
  </si>
  <si>
    <t xml:space="preserve">Inner Cauchy-Schwarz minimum, then AM-GM on t^2 + 16/t^2, then the equality point.</t>
  </si>
  <si>
    <t xml:space="preserve">Two standard inequalities applied in sequence plus reading off the equality point; routine multi-step, no new idea. Level 2 like 2023-P2-Q9 (L2).</t>
  </si>
  <si>
    <t xml:space="preserve">Q20</t>
  </si>
  <si>
    <t xml:space="preserve">Reducing to 123 + 50t + 72/t with t = tan^2 alpha and applying AM-GM away from the symmetric point.</t>
  </si>
  <si>
    <t xml:space="preserve">Two linked steps (constraint and identities to a rational function, then AM-GM with unequal weights) and a symmetric-guess trap; numerical. Level 3 like 2026-P1-Q1 (L3).</t>
  </si>
  <si>
    <t xml:space="preserve">Q21</t>
  </si>
  <si>
    <t xml:space="preserve">Getting c = ab from the tangency, writing r in terms of c only, and bounding c by AM-GM.</t>
  </si>
  <si>
    <t xml:space="preserve">Two ideas linked (tangency gives c = ab; AM-GM bound plus monotonicity of r) with care over min versus sup; numerical. Level 3 like 2021-P1-Q1 (L3) coordinate-geometry demand.</t>
  </si>
  <si>
    <t xml:space="preserve">2021-P1-Q1 (L3)</t>
  </si>
  <si>
    <t xml:space="preserve">Q22</t>
  </si>
  <si>
    <t xml:space="preserve">Bounding 1/x + 1/y + 1/z by Cauchy-Schwarz with the weights 1, 2, 3 and using the equality case x = 2y = 3z.</t>
  </si>
  <si>
    <t xml:space="preserve">Weighted Cauchy-Schwarz (or a three-pair AM-GM) linked with the means, then evaluation at the exact optimum; numerical. Level 3 like 2021-P1-Q13 (L3) inequality reasoning.</t>
  </si>
  <si>
    <t xml:space="preserve">2021-P1-Q13 (L3)</t>
  </si>
  <si>
    <t xml:space="preserve">Q23</t>
  </si>
  <si>
    <t xml:space="preserve">Turning the HP into the AP of reciprocals to get h_n = 60/n.</t>
  </si>
  <si>
    <t xml:space="preserve">Routine chain (reciprocal AP, general term, divisor count); no insight. Level 2 like 2024-P2-Q8 (L2).</t>
  </si>
  <si>
    <t xml:space="preserve">2024-P2-Q8 (L2)</t>
  </si>
  <si>
    <t xml:space="preserve">Q24</t>
  </si>
  <si>
    <t xml:space="preserve">Using b = 2ac/(a + c) with a + c = 13 - b and ac = 72/b to get a cubic in b.</t>
  </si>
  <si>
    <t xml:space="preserve">Routine chain (HM relation, cubic with an obvious root, reject two roots, extend the HP); no insight. Level 2 like 2025-P1-Q1 (L2).</t>
  </si>
  <si>
    <t xml:space="preserve">2025-P1-Q1 (L2)</t>
  </si>
  <si>
    <t xml:space="preserve">Q25</t>
  </si>
  <si>
    <t xml:space="preserve">Seeing that the reciprocal sum of the pairwise products is (alpha + beta + gamma)/(alpha beta gamma).</t>
  </si>
  <si>
    <t xml:space="preserve">One observation plus Vieta; slightly more than a single formula because the reciprocal sum must be rewritten. Level 2 like 2025-P1-Q1 (L2).</t>
  </si>
  <si>
    <t xml:space="preserve">Q26</t>
  </si>
  <si>
    <t xml:space="preserve">Converting the product to the AGP sum (k - 4)/2^k by taking log_2.</t>
  </si>
  <si>
    <t xml:space="preserve">Routine conversion plus one standard AGP sum; slightly more than one move. Level 2 like 2024-P1-Q8 (L2) log manipulation.</t>
  </si>
  <si>
    <t xml:space="preserve">2024-P1-Q8 (L2)</t>
  </si>
  <si>
    <t xml:space="preserve">Q27</t>
  </si>
  <si>
    <t xml:space="preserve">Splitting (n^2 + 1)/n into n + 1/n so that the series is an AGP plus a logarithmic series.</t>
  </si>
  <si>
    <t xml:space="preserve">Two series types recognised and combined, with a uniqueness point; numerical. Level 3 like 2021-P2-Q16 (L3).</t>
  </si>
  <si>
    <t xml:space="preserve">Q28</t>
  </si>
  <si>
    <t xml:space="preserve">Shift-and-subtract to turn n(n+1)/3^{n+1} into an AGP.</t>
  </si>
  <si>
    <t xml:space="preserve">Routine two-stage differencing with standard sums; no insight. Level 2 like 2023-P2-Q1 (L2).</t>
  </si>
  <si>
    <t xml:space="preserve">Q29</t>
  </si>
  <si>
    <t xml:space="preserve">Passing to first differences v_n = 2^n + 2n - 1 and summing the AP and GP parts separately, twice.</t>
  </si>
  <si>
    <t xml:space="preserve">Several stages (differences, closed form of v_n, closed form of u_n, final sum) with exact arithmetic and no options; numerical. Level 3 like 2026-P1-Q11 (L3).</t>
  </si>
  <si>
    <t xml:space="preserve">Q30</t>
  </si>
  <si>
    <t xml:space="preserve">Writing u_n = 4 + (3^{n-1} - 1)/2 from the GP of differences.</t>
  </si>
  <si>
    <t xml:space="preserve">Routine chain (closed form from differences, inequality, compare powers of 3); no insight. Level 2 like 2023-P2-Q9 (L2).</t>
  </si>
  <si>
    <t xml:space="preserve">Q31</t>
  </si>
  <si>
    <t xml:space="preserve">Getting T_n = n(n+1)(n+2)/3 and splitting (n+3) as (n+2) + 1 into two telescoping pieces.</t>
  </si>
  <si>
    <t xml:space="preserve">Two telescoping techniques chained (product sum, then denominators with a numerator split); numerical. Level 3 like 2021-P1-Q15 (L3) telescoping.</t>
  </si>
  <si>
    <t xml:space="preserve">Q32</t>
  </si>
  <si>
    <t xml:space="preserve">Finding x_n = 2n/(2n+1) and recognising each term as tan^{-1} x_{n+1} - tan^{-1} x_n.</t>
  </si>
  <si>
    <t xml:space="preserve">Two standard telescoping steps in sequence with no hidden idea (the structure is shown in the stem); numerical. Level 2 like 2026-P1-Q4 (L2) ITF evaluation.</t>
  </si>
  <si>
    <t xml:space="preserve">2026-P1-Q4 (L2)</t>
  </si>
  <si>
    <t xml:space="preserve">Q33</t>
  </si>
  <si>
    <t xml:space="preserve">Splitting into 2/n - 4/(n+1) + 2/(n+2) and evaluating three shifted alternating harmonic series.</t>
  </si>
  <si>
    <t xml:space="preserve">Two ideas linked (partial fractions of a telescoping type, then shifted log series) with sign and shift precision; numerical. Level 3 like 2021-P2-Q16 (L3).</t>
  </si>
  <si>
    <t xml:space="preserve">Q34</t>
  </si>
  <si>
    <t xml:space="preserve">Recovering N = 5 from A_N = 5/21, then telescoping B_N and the quartic-denominator C_N.</t>
  </si>
  <si>
    <t xml:space="preserve">Three standard telescoping evaluations chained through a recovered index, with exact arithmetic and no options; numerical. Level 3 like 2021-P1-Q15 (L3).</t>
  </si>
  <si>
    <t xml:space="preserve">Q35</t>
  </si>
  <si>
    <t xml:space="preserve">Rewriting tan k theta tan (k+1)theta = 3(t_{k+1} - t_k) - 1 so that E_n telescopes.</t>
  </si>
  <si>
    <t xml:space="preserve">Two routine telescopings plus exact addition-formula arithmetic; the tan identity is standard. Level 2 like 2026-P1-Q4 (L2).</t>
  </si>
  <si>
    <t xml:space="preserve">Q36</t>
  </si>
  <si>
    <t xml:space="preserve">Factorising (k+1)sqrt k + k sqrt(k+1) = sqrt k sqrt(k+1)(sqrt k + sqrt(k+1)) and rationalising both sums.</t>
  </si>
  <si>
    <t xml:space="preserve">Two standard telescopings and a logarithm; routine multi-step. Level 2 like 2024-P1-Q8 (L2).</t>
  </si>
  <si>
    <t xml:space="preserve">Q37</t>
  </si>
  <si>
    <t xml:space="preserve">Finding g(k) = k/(k+1)! with g(k) - g(k+1) = (k^2 + k - 1)/(k+2)!.</t>
  </si>
  <si>
    <t xml:space="preserve">One telescoping identity to discover plus evaluation; direct addition is a slower but available route. Level 2 like 2024-P2-Q8 (L2).</t>
  </si>
  <si>
    <t xml:space="preserve">Q38</t>
  </si>
  <si>
    <t xml:space="preserve">Spotting the shift v_n = u_n + 3^n that makes the recurrence geometric.</t>
  </si>
  <si>
    <t xml:space="preserve">Two linked steps (the non-obvious exponential shift, then two GP sums); numerical. Level 3 like 2023-P2-Q1 (L2) plus the shift idea; borderline 2-3.</t>
  </si>
  <si>
    <t xml:space="preserve">Q39</t>
  </si>
  <si>
    <t xml:space="preserve">Writing the recursion p_{n+1} = 1/5 + (3/5)p_n and shifting by the fixed point 1/2.</t>
  </si>
  <si>
    <t xml:space="preserve">Two linked ideas (setting up the probability recursion, solving it via its fixed point) then a GP sum; numerical. Level 3 like 2023-P2-Q2 (L3).</t>
  </si>
  <si>
    <t xml:space="preserve">Q40</t>
  </si>
  <si>
    <t xml:space="preserve">Using Vieta with the AP form a - d, a, a + d: 3a = 6, then 12 + 2d^2 = 20.</t>
  </si>
  <si>
    <t xml:space="preserve">Two linked ideas (intersection abscissae as roots via Vieta, AP parametrisation with sum of squares) then coefficient comparison; numerical. Level 3 like 2026-P2-Q6 (L4) in type but without its factoring insight, so Level 3 like 2023-P1-Q11 (L3).</t>
  </si>
  <si>
    <t xml:space="preserve">2023-P1-Q11 (L3)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</si>
  <si>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</si>
  <si>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</si>
  <si>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Sequence and Progression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</si>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</sst>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35.0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6" t="n">
        <v>2</v>
      </c>
      <c r="H4" s="6" t="s">
        <v>25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31</v>
      </c>
      <c r="N4" s="3" t="s">
        <v>32</v>
      </c>
      <c r="O4" s="3" t="s">
        <v>33</v>
      </c>
      <c r="P4" s="2" t="s">
        <v>29</v>
      </c>
    </row>
    <row r="5" customFormat="false" ht="46.2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4" t="n">
        <v>3</v>
      </c>
      <c r="H5" s="4" t="s">
        <v>19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9</v>
      </c>
      <c r="M5" s="3" t="s">
        <v>35</v>
      </c>
      <c r="N5" s="3" t="s">
        <v>36</v>
      </c>
      <c r="O5" s="3" t="s">
        <v>37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3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39</v>
      </c>
      <c r="N6" s="3" t="s">
        <v>40</v>
      </c>
      <c r="O6" s="3" t="s">
        <v>41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42</v>
      </c>
      <c r="D7" s="2" t="s">
        <v>43</v>
      </c>
      <c r="E7" s="3" t="s">
        <v>18</v>
      </c>
      <c r="F7" s="2" t="n">
        <v>4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44</v>
      </c>
      <c r="N7" s="3" t="s">
        <v>45</v>
      </c>
      <c r="O7" s="3" t="s">
        <v>46</v>
      </c>
      <c r="P7" s="2" t="s">
        <v>23</v>
      </c>
    </row>
    <row r="8" customFormat="false" ht="23.85" hidden="false" customHeight="false" outlineLevel="0" collapsed="false">
      <c r="A8" s="2" t="n">
        <v>7</v>
      </c>
      <c r="B8" s="2"/>
      <c r="C8" s="2" t="s">
        <v>47</v>
      </c>
      <c r="D8" s="2" t="s">
        <v>43</v>
      </c>
      <c r="E8" s="3" t="s">
        <v>18</v>
      </c>
      <c r="F8" s="2" t="n">
        <v>4</v>
      </c>
      <c r="G8" s="6" t="n">
        <v>2</v>
      </c>
      <c r="H8" s="6" t="s">
        <v>25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48</v>
      </c>
      <c r="N8" s="3" t="s">
        <v>49</v>
      </c>
      <c r="O8" s="3" t="s">
        <v>50</v>
      </c>
      <c r="P8" s="2" t="s">
        <v>29</v>
      </c>
    </row>
    <row r="9" customFormat="false" ht="35.05" hidden="false" customHeight="false" outlineLevel="0" collapsed="false">
      <c r="A9" s="2" t="n">
        <v>8</v>
      </c>
      <c r="B9" s="2"/>
      <c r="C9" s="2" t="s">
        <v>51</v>
      </c>
      <c r="D9" s="2" t="s">
        <v>43</v>
      </c>
      <c r="E9" s="3" t="s">
        <v>18</v>
      </c>
      <c r="F9" s="2" t="n">
        <v>4</v>
      </c>
      <c r="G9" s="6" t="n">
        <v>2</v>
      </c>
      <c r="H9" s="6" t="s">
        <v>25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52</v>
      </c>
      <c r="N9" s="3" t="s">
        <v>53</v>
      </c>
      <c r="O9" s="3" t="s">
        <v>33</v>
      </c>
      <c r="P9" s="2" t="s">
        <v>29</v>
      </c>
    </row>
    <row r="10" customFormat="false" ht="35.05" hidden="false" customHeight="false" outlineLevel="0" collapsed="false">
      <c r="A10" s="2" t="n">
        <v>9</v>
      </c>
      <c r="B10" s="2"/>
      <c r="C10" s="2" t="s">
        <v>54</v>
      </c>
      <c r="D10" s="2" t="s">
        <v>43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55</v>
      </c>
      <c r="N10" s="3" t="s">
        <v>56</v>
      </c>
      <c r="O10" s="3" t="s">
        <v>57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58</v>
      </c>
      <c r="D11" s="2" t="s">
        <v>43</v>
      </c>
      <c r="E11" s="3" t="s">
        <v>18</v>
      </c>
      <c r="F11" s="2" t="n">
        <v>4</v>
      </c>
      <c r="G11" s="4" t="n">
        <v>3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59</v>
      </c>
      <c r="N11" s="3" t="s">
        <v>60</v>
      </c>
      <c r="O11" s="3" t="s">
        <v>61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62</v>
      </c>
      <c r="D12" s="2" t="s">
        <v>43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63</v>
      </c>
      <c r="N12" s="3" t="s">
        <v>64</v>
      </c>
      <c r="O12" s="3" t="s">
        <v>46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65</v>
      </c>
      <c r="D13" s="2" t="s">
        <v>43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66</v>
      </c>
      <c r="N13" s="3" t="s">
        <v>67</v>
      </c>
      <c r="O13" s="3" t="s">
        <v>46</v>
      </c>
      <c r="P13" s="2" t="s">
        <v>23</v>
      </c>
    </row>
    <row r="14" customFormat="false" ht="23.85" hidden="false" customHeight="false" outlineLevel="0" collapsed="false">
      <c r="A14" s="2" t="n">
        <v>13</v>
      </c>
      <c r="B14" s="2"/>
      <c r="C14" s="2" t="s">
        <v>68</v>
      </c>
      <c r="D14" s="2" t="s">
        <v>43</v>
      </c>
      <c r="E14" s="3" t="s">
        <v>18</v>
      </c>
      <c r="F14" s="2" t="n">
        <v>4</v>
      </c>
      <c r="G14" s="6" t="n">
        <v>2</v>
      </c>
      <c r="H14" s="6" t="s">
        <v>25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69</v>
      </c>
      <c r="N14" s="3" t="s">
        <v>70</v>
      </c>
      <c r="O14" s="3" t="s">
        <v>71</v>
      </c>
      <c r="P14" s="2" t="s">
        <v>29</v>
      </c>
    </row>
    <row r="15" customFormat="false" ht="35.05" hidden="false" customHeight="false" outlineLevel="0" collapsed="false">
      <c r="A15" s="2" t="n">
        <v>14</v>
      </c>
      <c r="B15" s="2"/>
      <c r="C15" s="2" t="s">
        <v>72</v>
      </c>
      <c r="D15" s="2" t="s">
        <v>43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73</v>
      </c>
      <c r="N15" s="3" t="s">
        <v>74</v>
      </c>
      <c r="O15" s="3" t="s">
        <v>57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75</v>
      </c>
      <c r="D16" s="2" t="s">
        <v>43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76</v>
      </c>
      <c r="N16" s="3" t="s">
        <v>77</v>
      </c>
      <c r="O16" s="3" t="s">
        <v>78</v>
      </c>
      <c r="P16" s="2" t="s">
        <v>23</v>
      </c>
    </row>
    <row r="17" customFormat="false" ht="35.05" hidden="false" customHeight="false" outlineLevel="0" collapsed="false">
      <c r="A17" s="2" t="n">
        <v>16</v>
      </c>
      <c r="B17" s="2"/>
      <c r="C17" s="2" t="s">
        <v>79</v>
      </c>
      <c r="D17" s="2" t="s">
        <v>43</v>
      </c>
      <c r="E17" s="3" t="s">
        <v>18</v>
      </c>
      <c r="F17" s="2" t="n">
        <v>4</v>
      </c>
      <c r="G17" s="4" t="n">
        <v>3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80</v>
      </c>
      <c r="N17" s="3" t="s">
        <v>81</v>
      </c>
      <c r="O17" s="3" t="s">
        <v>82</v>
      </c>
      <c r="P17" s="2" t="s">
        <v>29</v>
      </c>
    </row>
    <row r="18" customFormat="false" ht="35.05" hidden="false" customHeight="false" outlineLevel="0" collapsed="false">
      <c r="A18" s="2" t="n">
        <v>17</v>
      </c>
      <c r="B18" s="2"/>
      <c r="C18" s="2" t="s">
        <v>83</v>
      </c>
      <c r="D18" s="2" t="s">
        <v>43</v>
      </c>
      <c r="E18" s="3" t="s">
        <v>18</v>
      </c>
      <c r="F18" s="2" t="n">
        <v>4</v>
      </c>
      <c r="G18" s="4" t="n">
        <v>3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84</v>
      </c>
      <c r="N18" s="3" t="s">
        <v>85</v>
      </c>
      <c r="O18" s="3" t="s">
        <v>57</v>
      </c>
      <c r="P18" s="2" t="s">
        <v>23</v>
      </c>
    </row>
    <row r="19" customFormat="false" ht="35.05" hidden="false" customHeight="false" outlineLevel="0" collapsed="false">
      <c r="A19" s="2" t="n">
        <v>18</v>
      </c>
      <c r="B19" s="2"/>
      <c r="C19" s="2" t="s">
        <v>86</v>
      </c>
      <c r="D19" s="2" t="s">
        <v>43</v>
      </c>
      <c r="E19" s="3" t="s">
        <v>18</v>
      </c>
      <c r="F19" s="2" t="n">
        <v>4</v>
      </c>
      <c r="G19" s="4" t="n">
        <v>3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87</v>
      </c>
      <c r="N19" s="3" t="s">
        <v>88</v>
      </c>
      <c r="O19" s="3" t="s">
        <v>89</v>
      </c>
      <c r="P19" s="2" t="s">
        <v>29</v>
      </c>
    </row>
    <row r="20" customFormat="false" ht="35.05" hidden="false" customHeight="false" outlineLevel="0" collapsed="false">
      <c r="A20" s="2" t="n">
        <v>19</v>
      </c>
      <c r="B20" s="2"/>
      <c r="C20" s="2" t="s">
        <v>90</v>
      </c>
      <c r="D20" s="2" t="s">
        <v>43</v>
      </c>
      <c r="E20" s="3" t="s">
        <v>18</v>
      </c>
      <c r="F20" s="2" t="n">
        <v>4</v>
      </c>
      <c r="G20" s="6" t="n">
        <v>2</v>
      </c>
      <c r="H20" s="6" t="s">
        <v>25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91</v>
      </c>
      <c r="N20" s="3" t="s">
        <v>92</v>
      </c>
      <c r="O20" s="3" t="s">
        <v>50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93</v>
      </c>
      <c r="D21" s="2" t="s">
        <v>43</v>
      </c>
      <c r="E21" s="3" t="s">
        <v>18</v>
      </c>
      <c r="F21" s="2" t="n">
        <v>4</v>
      </c>
      <c r="G21" s="4" t="n">
        <v>3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94</v>
      </c>
      <c r="N21" s="3" t="s">
        <v>95</v>
      </c>
      <c r="O21" s="3" t="s">
        <v>22</v>
      </c>
      <c r="P21" s="2" t="s">
        <v>23</v>
      </c>
    </row>
    <row r="22" customFormat="false" ht="35.05" hidden="false" customHeight="false" outlineLevel="0" collapsed="false">
      <c r="A22" s="2" t="n">
        <v>21</v>
      </c>
      <c r="B22" s="2"/>
      <c r="C22" s="2" t="s">
        <v>96</v>
      </c>
      <c r="D22" s="2" t="s">
        <v>43</v>
      </c>
      <c r="E22" s="3" t="s">
        <v>18</v>
      </c>
      <c r="F22" s="2" t="n">
        <v>4</v>
      </c>
      <c r="G22" s="4" t="n">
        <v>3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97</v>
      </c>
      <c r="N22" s="3" t="s">
        <v>98</v>
      </c>
      <c r="O22" s="3" t="s">
        <v>99</v>
      </c>
      <c r="P22" s="2" t="s">
        <v>23</v>
      </c>
    </row>
    <row r="23" customFormat="false" ht="35.05" hidden="false" customHeight="false" outlineLevel="0" collapsed="false">
      <c r="A23" s="2" t="n">
        <v>22</v>
      </c>
      <c r="B23" s="2"/>
      <c r="C23" s="2" t="s">
        <v>100</v>
      </c>
      <c r="D23" s="2" t="s">
        <v>43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101</v>
      </c>
      <c r="N23" s="3" t="s">
        <v>102</v>
      </c>
      <c r="O23" s="3" t="s">
        <v>103</v>
      </c>
      <c r="P23" s="2" t="s">
        <v>23</v>
      </c>
    </row>
    <row r="24" customFormat="false" ht="23.85" hidden="false" customHeight="false" outlineLevel="0" collapsed="false">
      <c r="A24" s="2" t="n">
        <v>23</v>
      </c>
      <c r="B24" s="2"/>
      <c r="C24" s="2" t="s">
        <v>104</v>
      </c>
      <c r="D24" s="2" t="s">
        <v>43</v>
      </c>
      <c r="E24" s="3" t="s">
        <v>18</v>
      </c>
      <c r="F24" s="2" t="n">
        <v>4</v>
      </c>
      <c r="G24" s="6" t="n">
        <v>2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105</v>
      </c>
      <c r="N24" s="3" t="s">
        <v>106</v>
      </c>
      <c r="O24" s="3" t="s">
        <v>107</v>
      </c>
      <c r="P24" s="2" t="s">
        <v>29</v>
      </c>
    </row>
    <row r="25" customFormat="false" ht="23.85" hidden="false" customHeight="false" outlineLevel="0" collapsed="false">
      <c r="A25" s="2" t="n">
        <v>24</v>
      </c>
      <c r="B25" s="2"/>
      <c r="C25" s="2" t="s">
        <v>108</v>
      </c>
      <c r="D25" s="2" t="s">
        <v>43</v>
      </c>
      <c r="E25" s="3" t="s">
        <v>18</v>
      </c>
      <c r="F25" s="2" t="n">
        <v>4</v>
      </c>
      <c r="G25" s="6" t="n">
        <v>2</v>
      </c>
      <c r="H25" s="6" t="s">
        <v>25</v>
      </c>
      <c r="I25" s="5" t="n">
        <v>0</v>
      </c>
      <c r="J25" s="5" t="n">
        <v>0</v>
      </c>
      <c r="K25" s="5" t="n">
        <f aca="false">MIN(5,MAX(G25+I25,J25))</f>
        <v>2</v>
      </c>
      <c r="L25" s="5" t="n">
        <f aca="false">F25*K25</f>
        <v>8</v>
      </c>
      <c r="M25" s="3" t="s">
        <v>109</v>
      </c>
      <c r="N25" s="3" t="s">
        <v>110</v>
      </c>
      <c r="O25" s="3" t="s">
        <v>111</v>
      </c>
      <c r="P25" s="2" t="s">
        <v>23</v>
      </c>
    </row>
    <row r="26" customFormat="false" ht="35.05" hidden="false" customHeight="false" outlineLevel="0" collapsed="false">
      <c r="A26" s="2" t="n">
        <v>25</v>
      </c>
      <c r="B26" s="2"/>
      <c r="C26" s="2" t="s">
        <v>112</v>
      </c>
      <c r="D26" s="2" t="s">
        <v>43</v>
      </c>
      <c r="E26" s="3" t="s">
        <v>18</v>
      </c>
      <c r="F26" s="2" t="n">
        <v>4</v>
      </c>
      <c r="G26" s="6" t="n">
        <v>2</v>
      </c>
      <c r="H26" s="6" t="s">
        <v>25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113</v>
      </c>
      <c r="N26" s="3" t="s">
        <v>114</v>
      </c>
      <c r="O26" s="3" t="s">
        <v>111</v>
      </c>
      <c r="P26" s="2" t="s">
        <v>23</v>
      </c>
    </row>
    <row r="27" customFormat="false" ht="23.85" hidden="false" customHeight="false" outlineLevel="0" collapsed="false">
      <c r="A27" s="2" t="n">
        <v>26</v>
      </c>
      <c r="B27" s="2"/>
      <c r="C27" s="2" t="s">
        <v>115</v>
      </c>
      <c r="D27" s="2" t="s">
        <v>43</v>
      </c>
      <c r="E27" s="3" t="s">
        <v>18</v>
      </c>
      <c r="F27" s="2" t="n">
        <v>4</v>
      </c>
      <c r="G27" s="6" t="n">
        <v>2</v>
      </c>
      <c r="H27" s="6" t="s">
        <v>25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116</v>
      </c>
      <c r="N27" s="3" t="s">
        <v>117</v>
      </c>
      <c r="O27" s="3" t="s">
        <v>118</v>
      </c>
      <c r="P27" s="2" t="s">
        <v>29</v>
      </c>
    </row>
    <row r="28" customFormat="false" ht="23.85" hidden="false" customHeight="false" outlineLevel="0" collapsed="false">
      <c r="A28" s="2" t="n">
        <v>27</v>
      </c>
      <c r="B28" s="2"/>
      <c r="C28" s="2" t="s">
        <v>119</v>
      </c>
      <c r="D28" s="2" t="s">
        <v>43</v>
      </c>
      <c r="E28" s="3" t="s">
        <v>18</v>
      </c>
      <c r="F28" s="2" t="n">
        <v>4</v>
      </c>
      <c r="G28" s="4" t="n">
        <v>3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120</v>
      </c>
      <c r="N28" s="3" t="s">
        <v>121</v>
      </c>
      <c r="O28" s="3" t="s">
        <v>57</v>
      </c>
      <c r="P28" s="2" t="s">
        <v>23</v>
      </c>
    </row>
    <row r="29" customFormat="false" ht="23.85" hidden="false" customHeight="false" outlineLevel="0" collapsed="false">
      <c r="A29" s="2" t="n">
        <v>28</v>
      </c>
      <c r="B29" s="2"/>
      <c r="C29" s="2" t="s">
        <v>122</v>
      </c>
      <c r="D29" s="2" t="s">
        <v>43</v>
      </c>
      <c r="E29" s="3" t="s">
        <v>18</v>
      </c>
      <c r="F29" s="2" t="n">
        <v>4</v>
      </c>
      <c r="G29" s="6" t="n">
        <v>2</v>
      </c>
      <c r="H29" s="6" t="s">
        <v>25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123</v>
      </c>
      <c r="N29" s="3" t="s">
        <v>124</v>
      </c>
      <c r="O29" s="3" t="s">
        <v>71</v>
      </c>
      <c r="P29" s="2" t="s">
        <v>29</v>
      </c>
    </row>
    <row r="30" customFormat="false" ht="35.05" hidden="false" customHeight="false" outlineLevel="0" collapsed="false">
      <c r="A30" s="2" t="n">
        <v>29</v>
      </c>
      <c r="B30" s="2"/>
      <c r="C30" s="2" t="s">
        <v>125</v>
      </c>
      <c r="D30" s="2" t="s">
        <v>43</v>
      </c>
      <c r="E30" s="3" t="s">
        <v>18</v>
      </c>
      <c r="F30" s="2" t="n">
        <v>4</v>
      </c>
      <c r="G30" s="4" t="n">
        <v>3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126</v>
      </c>
      <c r="N30" s="3" t="s">
        <v>127</v>
      </c>
      <c r="O30" s="3" t="s">
        <v>46</v>
      </c>
      <c r="P30" s="2" t="s">
        <v>23</v>
      </c>
    </row>
    <row r="31" customFormat="false" ht="23.85" hidden="false" customHeight="false" outlineLevel="0" collapsed="false">
      <c r="A31" s="2" t="n">
        <v>30</v>
      </c>
      <c r="B31" s="2"/>
      <c r="C31" s="2" t="s">
        <v>128</v>
      </c>
      <c r="D31" s="2" t="s">
        <v>43</v>
      </c>
      <c r="E31" s="3" t="s">
        <v>18</v>
      </c>
      <c r="F31" s="2" t="n">
        <v>4</v>
      </c>
      <c r="G31" s="6" t="n">
        <v>2</v>
      </c>
      <c r="H31" s="6" t="s">
        <v>25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129</v>
      </c>
      <c r="N31" s="3" t="s">
        <v>130</v>
      </c>
      <c r="O31" s="3" t="s">
        <v>50</v>
      </c>
      <c r="P31" s="2" t="s">
        <v>29</v>
      </c>
    </row>
    <row r="32" customFormat="false" ht="35.05" hidden="false" customHeight="false" outlineLevel="0" collapsed="false">
      <c r="A32" s="2" t="n">
        <v>31</v>
      </c>
      <c r="B32" s="2"/>
      <c r="C32" s="2" t="s">
        <v>131</v>
      </c>
      <c r="D32" s="2" t="s">
        <v>43</v>
      </c>
      <c r="E32" s="3" t="s">
        <v>18</v>
      </c>
      <c r="F32" s="2" t="n">
        <v>4</v>
      </c>
      <c r="G32" s="4" t="n">
        <v>3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3</v>
      </c>
      <c r="L32" s="5" t="n">
        <f aca="false">F32*K32</f>
        <v>12</v>
      </c>
      <c r="M32" s="3" t="s">
        <v>132</v>
      </c>
      <c r="N32" s="3" t="s">
        <v>133</v>
      </c>
      <c r="O32" s="3" t="s">
        <v>61</v>
      </c>
      <c r="P32" s="2" t="s">
        <v>23</v>
      </c>
    </row>
    <row r="33" customFormat="false" ht="35.05" hidden="false" customHeight="false" outlineLevel="0" collapsed="false">
      <c r="A33" s="2" t="n">
        <v>32</v>
      </c>
      <c r="B33" s="2"/>
      <c r="C33" s="2" t="s">
        <v>134</v>
      </c>
      <c r="D33" s="2" t="s">
        <v>43</v>
      </c>
      <c r="E33" s="3" t="s">
        <v>18</v>
      </c>
      <c r="F33" s="2" t="n">
        <v>4</v>
      </c>
      <c r="G33" s="6" t="n">
        <v>2</v>
      </c>
      <c r="H33" s="6" t="s">
        <v>25</v>
      </c>
      <c r="I33" s="5" t="n">
        <v>0</v>
      </c>
      <c r="J33" s="5" t="n">
        <v>0</v>
      </c>
      <c r="K33" s="5" t="n">
        <f aca="false">MIN(5,MAX(G33+I33,J33))</f>
        <v>2</v>
      </c>
      <c r="L33" s="5" t="n">
        <f aca="false">F33*K33</f>
        <v>8</v>
      </c>
      <c r="M33" s="3" t="s">
        <v>135</v>
      </c>
      <c r="N33" s="3" t="s">
        <v>136</v>
      </c>
      <c r="O33" s="3" t="s">
        <v>137</v>
      </c>
      <c r="P33" s="2" t="s">
        <v>23</v>
      </c>
    </row>
    <row r="34" customFormat="false" ht="35.05" hidden="false" customHeight="false" outlineLevel="0" collapsed="false">
      <c r="A34" s="2" t="n">
        <v>33</v>
      </c>
      <c r="B34" s="2"/>
      <c r="C34" s="2" t="s">
        <v>138</v>
      </c>
      <c r="D34" s="2" t="s">
        <v>43</v>
      </c>
      <c r="E34" s="3" t="s">
        <v>18</v>
      </c>
      <c r="F34" s="2" t="n">
        <v>4</v>
      </c>
      <c r="G34" s="4" t="n">
        <v>3</v>
      </c>
      <c r="H34" s="4" t="s">
        <v>19</v>
      </c>
      <c r="I34" s="5" t="n">
        <v>0</v>
      </c>
      <c r="J34" s="5" t="n">
        <v>0</v>
      </c>
      <c r="K34" s="5" t="n">
        <f aca="false">MIN(5,MAX(G34+I34,J34))</f>
        <v>3</v>
      </c>
      <c r="L34" s="5" t="n">
        <f aca="false">F34*K34</f>
        <v>12</v>
      </c>
      <c r="M34" s="3" t="s">
        <v>139</v>
      </c>
      <c r="N34" s="3" t="s">
        <v>140</v>
      </c>
      <c r="O34" s="3" t="s">
        <v>57</v>
      </c>
      <c r="P34" s="2" t="s">
        <v>23</v>
      </c>
    </row>
    <row r="35" customFormat="false" ht="35.05" hidden="false" customHeight="false" outlineLevel="0" collapsed="false">
      <c r="A35" s="2" t="n">
        <v>34</v>
      </c>
      <c r="B35" s="2"/>
      <c r="C35" s="2" t="s">
        <v>141</v>
      </c>
      <c r="D35" s="2" t="s">
        <v>43</v>
      </c>
      <c r="E35" s="3" t="s">
        <v>18</v>
      </c>
      <c r="F35" s="2" t="n">
        <v>4</v>
      </c>
      <c r="G35" s="4" t="n">
        <v>3</v>
      </c>
      <c r="H35" s="4" t="s">
        <v>19</v>
      </c>
      <c r="I35" s="5" t="n">
        <v>0</v>
      </c>
      <c r="J35" s="5" t="n">
        <v>0</v>
      </c>
      <c r="K35" s="5" t="n">
        <f aca="false">MIN(5,MAX(G35+I35,J35))</f>
        <v>3</v>
      </c>
      <c r="L35" s="5" t="n">
        <f aca="false">F35*K35</f>
        <v>12</v>
      </c>
      <c r="M35" s="3" t="s">
        <v>142</v>
      </c>
      <c r="N35" s="3" t="s">
        <v>143</v>
      </c>
      <c r="O35" s="3" t="s">
        <v>61</v>
      </c>
      <c r="P35" s="2" t="s">
        <v>23</v>
      </c>
    </row>
    <row r="36" customFormat="false" ht="23.85" hidden="false" customHeight="false" outlineLevel="0" collapsed="false">
      <c r="A36" s="2" t="n">
        <v>35</v>
      </c>
      <c r="B36" s="2"/>
      <c r="C36" s="2" t="s">
        <v>144</v>
      </c>
      <c r="D36" s="2" t="s">
        <v>43</v>
      </c>
      <c r="E36" s="3" t="s">
        <v>18</v>
      </c>
      <c r="F36" s="2" t="n">
        <v>4</v>
      </c>
      <c r="G36" s="6" t="n">
        <v>2</v>
      </c>
      <c r="H36" s="6" t="s">
        <v>25</v>
      </c>
      <c r="I36" s="5" t="n">
        <v>0</v>
      </c>
      <c r="J36" s="5" t="n">
        <v>0</v>
      </c>
      <c r="K36" s="5" t="n">
        <f aca="false">MIN(5,MAX(G36+I36,J36))</f>
        <v>2</v>
      </c>
      <c r="L36" s="5" t="n">
        <f aca="false">F36*K36</f>
        <v>8</v>
      </c>
      <c r="M36" s="3" t="s">
        <v>145</v>
      </c>
      <c r="N36" s="3" t="s">
        <v>146</v>
      </c>
      <c r="O36" s="3" t="s">
        <v>137</v>
      </c>
      <c r="P36" s="2" t="s">
        <v>23</v>
      </c>
    </row>
    <row r="37" customFormat="false" ht="35.05" hidden="false" customHeight="false" outlineLevel="0" collapsed="false">
      <c r="A37" s="2" t="n">
        <v>36</v>
      </c>
      <c r="B37" s="2"/>
      <c r="C37" s="2" t="s">
        <v>147</v>
      </c>
      <c r="D37" s="2" t="s">
        <v>43</v>
      </c>
      <c r="E37" s="3" t="s">
        <v>18</v>
      </c>
      <c r="F37" s="2" t="n">
        <v>4</v>
      </c>
      <c r="G37" s="6" t="n">
        <v>2</v>
      </c>
      <c r="H37" s="6" t="s">
        <v>25</v>
      </c>
      <c r="I37" s="5" t="n">
        <v>0</v>
      </c>
      <c r="J37" s="5" t="n">
        <v>0</v>
      </c>
      <c r="K37" s="5" t="n">
        <f aca="false">MIN(5,MAX(G37+I37,J37))</f>
        <v>2</v>
      </c>
      <c r="L37" s="5" t="n">
        <f aca="false">F37*K37</f>
        <v>8</v>
      </c>
      <c r="M37" s="3" t="s">
        <v>148</v>
      </c>
      <c r="N37" s="3" t="s">
        <v>149</v>
      </c>
      <c r="O37" s="3" t="s">
        <v>118</v>
      </c>
      <c r="P37" s="2" t="s">
        <v>29</v>
      </c>
    </row>
    <row r="38" customFormat="false" ht="23.85" hidden="false" customHeight="false" outlineLevel="0" collapsed="false">
      <c r="A38" s="2" t="n">
        <v>37</v>
      </c>
      <c r="B38" s="2"/>
      <c r="C38" s="2" t="s">
        <v>150</v>
      </c>
      <c r="D38" s="2" t="s">
        <v>43</v>
      </c>
      <c r="E38" s="3" t="s">
        <v>18</v>
      </c>
      <c r="F38" s="2" t="n">
        <v>4</v>
      </c>
      <c r="G38" s="6" t="n">
        <v>2</v>
      </c>
      <c r="H38" s="6" t="s">
        <v>25</v>
      </c>
      <c r="I38" s="5" t="n">
        <v>0</v>
      </c>
      <c r="J38" s="5" t="n">
        <v>0</v>
      </c>
      <c r="K38" s="5" t="n">
        <f aca="false">MIN(5,MAX(G38+I38,J38))</f>
        <v>2</v>
      </c>
      <c r="L38" s="5" t="n">
        <f aca="false">F38*K38</f>
        <v>8</v>
      </c>
      <c r="M38" s="3" t="s">
        <v>151</v>
      </c>
      <c r="N38" s="3" t="s">
        <v>152</v>
      </c>
      <c r="O38" s="3" t="s">
        <v>107</v>
      </c>
      <c r="P38" s="2" t="s">
        <v>23</v>
      </c>
    </row>
    <row r="39" customFormat="false" ht="23.85" hidden="false" customHeight="false" outlineLevel="0" collapsed="false">
      <c r="A39" s="2" t="n">
        <v>38</v>
      </c>
      <c r="B39" s="2"/>
      <c r="C39" s="2" t="s">
        <v>153</v>
      </c>
      <c r="D39" s="2" t="s">
        <v>43</v>
      </c>
      <c r="E39" s="3" t="s">
        <v>18</v>
      </c>
      <c r="F39" s="2" t="n">
        <v>4</v>
      </c>
      <c r="G39" s="4" t="n">
        <v>3</v>
      </c>
      <c r="H39" s="4" t="s">
        <v>19</v>
      </c>
      <c r="I39" s="5" t="n">
        <v>0</v>
      </c>
      <c r="J39" s="5" t="n">
        <v>0</v>
      </c>
      <c r="K39" s="5" t="n">
        <f aca="false">MIN(5,MAX(G39+I39,J39))</f>
        <v>3</v>
      </c>
      <c r="L39" s="5" t="n">
        <f aca="false">F39*K39</f>
        <v>12</v>
      </c>
      <c r="M39" s="3" t="s">
        <v>154</v>
      </c>
      <c r="N39" s="3" t="s">
        <v>155</v>
      </c>
      <c r="O39" s="3" t="s">
        <v>71</v>
      </c>
      <c r="P39" s="2" t="s">
        <v>23</v>
      </c>
    </row>
    <row r="40" customFormat="false" ht="23.85" hidden="false" customHeight="false" outlineLevel="0" collapsed="false">
      <c r="A40" s="2" t="n">
        <v>39</v>
      </c>
      <c r="B40" s="2"/>
      <c r="C40" s="2" t="s">
        <v>156</v>
      </c>
      <c r="D40" s="2" t="s">
        <v>43</v>
      </c>
      <c r="E40" s="3" t="s">
        <v>18</v>
      </c>
      <c r="F40" s="2" t="n">
        <v>4</v>
      </c>
      <c r="G40" s="4" t="n">
        <v>3</v>
      </c>
      <c r="H40" s="4" t="s">
        <v>19</v>
      </c>
      <c r="I40" s="5" t="n">
        <v>0</v>
      </c>
      <c r="J40" s="5" t="n">
        <v>0</v>
      </c>
      <c r="K40" s="5" t="n">
        <f aca="false">MIN(5,MAX(G40+I40,J40))</f>
        <v>3</v>
      </c>
      <c r="L40" s="5" t="n">
        <f aca="false">F40*K40</f>
        <v>12</v>
      </c>
      <c r="M40" s="3" t="s">
        <v>157</v>
      </c>
      <c r="N40" s="3" t="s">
        <v>158</v>
      </c>
      <c r="O40" s="3" t="s">
        <v>82</v>
      </c>
      <c r="P40" s="2" t="s">
        <v>29</v>
      </c>
    </row>
    <row r="41" customFormat="false" ht="46.25" hidden="false" customHeight="false" outlineLevel="0" collapsed="false">
      <c r="A41" s="2" t="n">
        <v>40</v>
      </c>
      <c r="B41" s="2"/>
      <c r="C41" s="2" t="s">
        <v>159</v>
      </c>
      <c r="D41" s="2" t="s">
        <v>43</v>
      </c>
      <c r="E41" s="3" t="s">
        <v>18</v>
      </c>
      <c r="F41" s="2" t="n">
        <v>4</v>
      </c>
      <c r="G41" s="4" t="n">
        <v>3</v>
      </c>
      <c r="H41" s="4" t="s">
        <v>19</v>
      </c>
      <c r="I41" s="5" t="n">
        <v>0</v>
      </c>
      <c r="J41" s="5" t="n">
        <v>0</v>
      </c>
      <c r="K41" s="5" t="n">
        <f aca="false">MIN(5,MAX(G41+I41,J41))</f>
        <v>3</v>
      </c>
      <c r="L41" s="5" t="n">
        <f aca="false">F41*K41</f>
        <v>12</v>
      </c>
      <c r="M41" s="3" t="s">
        <v>160</v>
      </c>
      <c r="N41" s="3" t="s">
        <v>161</v>
      </c>
      <c r="O41" s="3" t="s">
        <v>162</v>
      </c>
      <c r="P41" s="2" t="s">
        <v>23</v>
      </c>
    </row>
    <row r="43" customFormat="false" ht="15" hidden="false" customHeight="false" outlineLevel="0" collapsed="false">
      <c r="A43" s="7" t="s">
        <v>163</v>
      </c>
    </row>
  </sheetData>
  <autoFilter ref="A1:P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164</v>
      </c>
    </row>
    <row r="2" customFormat="false" ht="15" hidden="false" customHeight="false" outlineLevel="0" collapsed="false">
      <c r="A2" s="7" t="s">
        <v>165</v>
      </c>
    </row>
    <row r="4" customFormat="false" ht="15" hidden="false" customHeight="false" outlineLevel="0" collapsed="false">
      <c r="A4" s="1" t="s">
        <v>6</v>
      </c>
      <c r="B4" s="1" t="s">
        <v>166</v>
      </c>
      <c r="C4" s="1" t="s">
        <v>167</v>
      </c>
      <c r="D4" s="1" t="s">
        <v>5</v>
      </c>
      <c r="E4" s="1" t="s">
        <v>168</v>
      </c>
    </row>
    <row r="5" customFormat="false" ht="15" hidden="false" customHeight="false" outlineLevel="0" collapsed="false">
      <c r="A5" s="9" t="n">
        <v>0</v>
      </c>
      <c r="B5" s="9" t="s">
        <v>169</v>
      </c>
      <c r="C5" s="9" t="n">
        <f aca="false">COUNTIF(Evaluation!$G$2:$G$41,A5)</f>
        <v>0</v>
      </c>
      <c r="D5" s="9" t="n">
        <f aca="false">SUMIF(Evaluation!$G$2:$G$41,A5,Evaluation!$F$2:$F$41)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170</v>
      </c>
      <c r="C6" s="11" t="n">
        <f aca="false">COUNTIF(Evaluation!$G$2:$G$41,A6)</f>
        <v>0</v>
      </c>
      <c r="D6" s="11" t="n">
        <f aca="false">SUMIF(Evaluation!$G$2:$G$41,A6,Evaluation!$F$2:$F$41)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COUNTIF(Evaluation!$G$2:$G$41,A7)</f>
        <v>16</v>
      </c>
      <c r="D7" s="13" t="n">
        <f aca="false">SUMIF(Evaluation!$G$2:$G$41,A7,Evaluation!$F$2:$F$41)</f>
        <v>62</v>
      </c>
      <c r="E7" s="14" t="n">
        <f aca="false">IF(SUM($D$5:$D$10)=0,0,D7/SUM($D$5:$D$10))</f>
        <v>0.4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COUNTIF(Evaluation!$G$2:$G$41,A8)</f>
        <v>24</v>
      </c>
      <c r="D8" s="15" t="n">
        <f aca="false">SUMIF(Evaluation!$G$2:$G$41,A8,Evaluation!$F$2:$F$41)</f>
        <v>93</v>
      </c>
      <c r="E8" s="16" t="n">
        <f aca="false">IF(SUM($D$5:$D$10)=0,0,D8/SUM($D$5:$D$10))</f>
        <v>0.6</v>
      </c>
    </row>
    <row r="9" customFormat="false" ht="15" hidden="false" customHeight="false" outlineLevel="0" collapsed="false">
      <c r="A9" s="17" t="n">
        <v>4</v>
      </c>
      <c r="B9" s="17" t="s">
        <v>171</v>
      </c>
      <c r="C9" s="17" t="n">
        <f aca="false">COUNTIF(Evaluation!$G$2:$G$41,A9)</f>
        <v>0</v>
      </c>
      <c r="D9" s="17" t="n">
        <f aca="false">SUMIF(Evaluation!$G$2:$G$41,A9,Evaluation!$F$2:$F$41)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172</v>
      </c>
      <c r="C10" s="19" t="n">
        <f aca="false">COUNTIF(Evaluation!$G$2:$G$41,A10)</f>
        <v>0</v>
      </c>
      <c r="D10" s="19" t="n">
        <f aca="false">SUMIF(Evaluation!$G$2:$G$41,A10,Evaluation!$F$2:$F$41)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173</v>
      </c>
      <c r="C11" s="21" t="n">
        <f aca="false">SUM(C5:C10)</f>
        <v>40</v>
      </c>
      <c r="D11" s="21" t="n">
        <f aca="false">SUM(D5:D10)</f>
        <v>155</v>
      </c>
    </row>
    <row r="13" customFormat="false" ht="46.25" hidden="false" customHeight="false" outlineLevel="0" collapsed="false">
      <c r="A13" s="1" t="s">
        <v>174</v>
      </c>
      <c r="B13" s="1" t="s">
        <v>175</v>
      </c>
      <c r="C13" s="1" t="s">
        <v>176</v>
      </c>
      <c r="D13" s="1" t="s">
        <v>5</v>
      </c>
      <c r="E13" s="1" t="s">
        <v>177</v>
      </c>
    </row>
    <row r="14" customFormat="false" ht="15" hidden="false" customHeight="false" outlineLevel="0" collapsed="false">
      <c r="A14" s="21" t="s">
        <v>178</v>
      </c>
      <c r="B14" s="22" t="n">
        <f aca="false">SUM(Evaluation!$L$2:$L$41)/SUM(Evaluation!$F$2:$F$41)</f>
        <v>2.6</v>
      </c>
      <c r="C14" s="22" t="n">
        <f aca="false">SUMPRODUCT(Evaluation!$F$2:$F$41,Evaluation!$G$2:$G$41)/SUM(Evaluation!$F$2:$F$41)</f>
        <v>2.6</v>
      </c>
      <c r="D14" s="21" t="n">
        <f aca="false">SUM(Evaluation!$F$2:$F$41)</f>
        <v>155</v>
      </c>
      <c r="E14" s="22" t="n">
        <f aca="false">AVERAGE(Evaluation!$G$2:$G$41)</f>
        <v>2.6</v>
      </c>
    </row>
    <row r="16" customFormat="false" ht="15" hidden="false" customHeight="false" outlineLevel="0" collapsed="false">
      <c r="A16" s="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180</v>
      </c>
    </row>
    <row r="3" customFormat="false" ht="23.85" hidden="false" customHeight="false" outlineLevel="0" collapsed="false">
      <c r="A3" s="1" t="s">
        <v>181</v>
      </c>
      <c r="B3" s="1" t="s">
        <v>182</v>
      </c>
      <c r="C3" s="1" t="s">
        <v>177</v>
      </c>
      <c r="D3" s="1" t="s">
        <v>183</v>
      </c>
      <c r="E3" s="1" t="s">
        <v>184</v>
      </c>
      <c r="F3" s="1" t="s">
        <v>185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186</v>
      </c>
      <c r="B9" s="22" t="n">
        <f aca="false">Summary!B14</f>
        <v>2.6</v>
      </c>
      <c r="C9" s="22" t="n">
        <f aca="false">Summary!E14</f>
        <v>2.6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2026-10-19T12:22:10Z</dcterms:created>
  <dc:creator>openpyxl</dc:creator>
  <dc:description/>
  <dc:language>en-US</dc:language>
  <cp:lastModifiedBy/>
  <dcterms:modified xsi:type="dcterms:W3CDTF">2026-10-19T12:22:10Z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