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<sst xmlns="http://schemas.openxmlformats.org/spreadsheetml/2006/main" count="295" uniqueCount="156">
  <si>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</si>
  <si>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</si>
  <si>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</si>
  <si>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</si>
  <si>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</si>
  <si>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</si>
  <si>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</si>
  <si>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</si>
  <si>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</si>
  <si>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</si>
  <si>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</si>
  <si>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</si>
  <si>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</si>
  <si>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</si>
  <si>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</si>
  <si>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</si>
  <si>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</si>
  <si>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</si>
  <si>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Straight Line</t>
  </si>
  <si>
    <t xml:space="preserve">Easier than Advanced</t>
  </si>
  <si>
    <t xml:space="preserve">Halving the tangency condition shows OP equals the distance of P from x+y=8, a parabola with focus O.</t>
  </si>
  <si>
    <t xml:space="preserve">A short chain of standard facts (tangency, focus-directrix definition, latus rectum = 2 x focus-directrix distance) with one recognition step. Comparable to the routine conic chains of 2026-P2-Q2 (L2).</t>
  </si>
  <si>
    <t xml:space="preserve">2026-P2-Q2 (L2)</t>
  </si>
  <si>
    <t xml:space="preserve">High</t>
  </si>
  <si>
    <t xml:space="preserve">Q02</t>
  </si>
  <si>
    <t xml:space="preserve">Average Advanced</t>
  </si>
  <si>
    <t xml:space="preserve">Radius from the distance between parallel lines, centre on the mid-parallel, then rejecting the candidate circle that misses the y-axis.</t>
  </si>
  <si>
    <t xml:space="preserve">Several standard results chained with a normalisation trap and a case rejection; each step is routine but two conditions must be combined and one case discarded. Similar in demand to 2021-P1-Q1 (L3), a circle located from line conditions.</t>
  </si>
  <si>
    <t xml:space="preserve">2021-P1-Q1 (L3)</t>
  </si>
  <si>
    <t xml:space="preserve">Medium</t>
  </si>
  <si>
    <t xml:space="preserve">Q03</t>
  </si>
  <si>
    <t xml:space="preserve">Sign chart of the product of two quadratics in t built from the side test.</t>
  </si>
  <si>
    <t xml:space="preserve">One standard test (sign of the line expression) followed by a routine sign chart with four roots; no insight, but more than one move. Placed like the routine chains rated 2, above the single-move case split of 2021-P1-Q17 (L1).</t>
  </si>
  <si>
    <t xml:space="preserve">2021-P1-Q17 (L1)</t>
  </si>
  <si>
    <t xml:space="preserve">Q04</t>
  </si>
  <si>
    <t xml:space="preserve">Reflected ray through the image of A gives Q; the reflection property gives the contact point P, so 2a = AP + PQ.</t>
  </si>
  <si>
    <t xml:space="preserve">A routine chain (image of a point, intersection, focal-sum definition) with one recognition that the contact point is P. Comparable to 2024-P1-Q4 (L2), an ellipse fixed from tangent data.</t>
  </si>
  <si>
    <t xml:space="preserve">2024-P1-Q4 (L2)</t>
  </si>
  <si>
    <t xml:space="preserve">Q05</t>
  </si>
  <si>
    <t xml:space="preserve">Solving the two rotation equations for cos theta and sin theta, then substituting the inverse formulas.</t>
  </si>
  <si>
    <t xml:space="preserve">Routine use of the rotation formulas in two stages with no insight; options allow a slope check. Same demand as the routine multi-step items rated 2 such as 2025-P2-Q4 (L2).</t>
  </si>
  <si>
    <t xml:space="preserve">2025-P2-Q4 (L2)</t>
  </si>
  <si>
    <t xml:space="preserve">Q06</t>
  </si>
  <si>
    <t xml:space="preserve">Recognising that the origin lies in the acute angle (sign test) and then choosing between the two acute-bisector centres by the side of L2.</t>
  </si>
  <si>
    <t xml:space="preserve">Two identification steps (acute bisector, side of a line) and a distance computation, with every distractor a genuine candidate. Comparable to 2021-P1-Q1 (L3) in the coordinate-geometry chain it needs.</t>
  </si>
  <si>
    <t xml:space="preserve">Q07</t>
  </si>
  <si>
    <t xml:space="preserve">Factorising through the homogeneous part (slopes -2 and -1/2) and choosing the alpha whose lines meet on the y-axis.</t>
  </si>
  <si>
    <t xml:space="preserve">Routine pair-of-lines technique with a selection and a simple area; several standard steps, no insight. Comparable to the routine chains rated 2 (2025-P2-Q4, L2).</t>
  </si>
  <si>
    <t xml:space="preserve">Q08</t>
  </si>
  <si>
    <t xml:space="preserve">Numerical</t>
  </si>
  <si>
    <t xml:space="preserve">OP . OQ = 0 reduces to lambda^2 |B|^2 = |A|^2, i.e. the Apollonius property of a harmonic pair.</t>
  </si>
  <si>
    <t xml:space="preserve">Two ideas linked (harmonic division and the diametric circle) with a numerical answer; the key reduction is clean but not a one-step formula. Above the plain Apollonius circle of 2025-P1-Q7 (L1) because the ratio must be found first.</t>
  </si>
  <si>
    <t xml:space="preserve">2025-P1-Q7 (L1)</t>
  </si>
  <si>
    <t xml:space="preserve">Q09</t>
  </si>
  <si>
    <t xml:space="preserve">Seeing that D and E are fixed (harmonic division in the ratio 2:1) and that the centroid traces a circle of radius 2.</t>
  </si>
  <si>
    <t xml:space="preserve">Two linked ideas (bisector theorem giving fixed harmonic points, locus scaled to the centroid) with an area maximum; numerical but short once seen. Comparable to the locus-and-area demand of 2026-P1-Q2 (L2) plus a non-obvious invariant, so L3.</t>
  </si>
  <si>
    <t xml:space="preserve">2026-P1-Q2 (L2)</t>
  </si>
  <si>
    <t xml:space="preserve">Q10</t>
  </si>
  <si>
    <t xml:space="preserve">Fixing h from tan(pi/4) = 2 sqrt(h^2 - ab)/|a+b| with h&gt;0, then intersecting two altitudes.</t>
  </si>
  <si>
    <t xml:space="preserve">Two standard stages (angle of a pair with a sign choice, orthocentre by altitudes) with a numerical answer and no options to check. Rated like the coordinate-geometry chains at L3 (2021-P1-Q1).</t>
  </si>
  <si>
    <t xml:space="preserve">Q11</t>
  </si>
  <si>
    <t xml:space="preserve">Recognising R(HBC) = R and R(SBC) = R/(2 cos A), so only cos A is needed.</t>
  </si>
  <si>
    <t xml:space="preserve">Two triangle-centre facts linked through the sine rule; the brute-force route is long, the idea route is short. Comparable to 2023-P2-Q15 (L4) in topic but much lighter; placed at L3 with 2021-P1-Q1 (L3).</t>
  </si>
  <si>
    <t xml:space="preserve">Q12</t>
  </si>
  <si>
    <t xml:space="preserve">Recognising both loci as circles on OP and PQ as diameters, then the common chord by subtraction.</t>
  </si>
  <si>
    <t xml:space="preserve">Two standard locus results and a routine common-chord computation; numerical but every step is practised. Comparable to the routine circle chains rated 2 (2026-P1-Q2, L2).</t>
  </si>
  <si>
    <t xml:space="preserve">Q13</t>
  </si>
  <si>
    <t xml:space="preserve">Forming the second-degree locus and identifying it (h^2 - ab &gt; 0, Delta != 0, a + b = 0) before computing the focal distance.</t>
  </si>
  <si>
    <t xml:space="preserve">Locus formation plus conic identification and axis rotation: two linked stages with a numerical answer. Comparable to 2026-P2-Q13 (L3) for hyperbola parameters after identification.</t>
  </si>
  <si>
    <t xml:space="preserve">2026-P2-Q13 (L3)</t>
  </si>
  <si>
    <t xml:space="preserve">Q14</t>
  </si>
  <si>
    <t xml:space="preserve">tan theta = 1/7 from the pair, then solving |(m-3)/(1+3m)| = 1/7 and rejecting m = 2.</t>
  </si>
  <si>
    <t xml:space="preserve">Two standard formulas in sequence with a root rejection; routine. Comparable to the routine chains rated 2 (2026-P2-Q17, angle between tangents, L2).</t>
  </si>
  <si>
    <t xml:space="preserve">2026-P2-Q17 (L2)</t>
  </si>
  <si>
    <t xml:space="preserve">Q15</t>
  </si>
  <si>
    <t xml:space="preserve">Translating the cutting angle pi/3 into d = r cos(pi/3) and using it to choose between the slopes -2 and 1/2.</t>
  </si>
  <si>
    <t xml:space="preserve">Two ideas linked (angle between lines, angle between a line and a circle as a distance condition) with a rejection; the second idea is less practised. Comparable to the L3 coordinate chains (2021-P1-Q1).</t>
  </si>
  <si>
    <t xml:space="preserve">Q16</t>
  </si>
  <si>
    <t xml:space="preserve">Writing P = (2 + 4r/5, 3 + 3r/5) and equating its distance from M to r.</t>
  </si>
  <si>
    <t xml:space="preserve">Routine use of the parametric form and the distance formula with a sign check; two standard steps. Comparable to routine L2 items such as 2026-P2-Q1.</t>
  </si>
  <si>
    <t xml:space="preserve">2026-P2-Q1 (L2)</t>
  </si>
  <si>
    <t xml:space="preserve">Q17</t>
  </si>
  <si>
    <t xml:space="preserve">Translating 'side not containing the origin' and 'distance &lt; 10' into 12 &lt; 3x + 4y &lt; 62, then counting row by row.</t>
  </si>
  <si>
    <t xml:space="preserve">Two standard translations followed by a careful but routine count with no options; some precision risk. Placed at L2 with 2021-P2-Q17 (L1) as the nearest counting anchor plus the extra translation and length of the count.</t>
  </si>
  <si>
    <t xml:space="preserve">2021-P2-Q17 (L1)</t>
  </si>
  <si>
    <t xml:space="preserve">Q18</t>
  </si>
  <si>
    <t xml:space="preserve">Image of the centre in y = mx, then |y'| = r splits into two quadratics whose root sums are added.</t>
  </si>
  <si>
    <t xml:space="preserve">Image formula, tangency condition and a two-case Vieta sum with surds; precision matters and there are no options. Comparable to the L3 coordinate chains such as 2021-P1-Q1.</t>
  </si>
  <si>
    <t xml:space="preserve">Q19</t>
  </si>
  <si>
    <t xml:space="preserve">Reflecting A in the x-axis and B in x + y = 8 and checking that the segment A1B2 meets the mirrors in the right order.</t>
  </si>
  <si>
    <t xml:space="preserve">The single-reflection minimum is standard; doing it with two mirrors, checking the order and reading the last leg as an image line is a two-idea chain with a numerical answer. Comparable to L3 chains (2021-P1-Q1).</t>
  </si>
  <si>
    <t xml:space="preserve">Q20</t>
  </si>
  <si>
    <t xml:space="preserve">Writing C_lambda = Gamma + t L_lambda through O and regrouping by lambda to find the two base circles of the family.</t>
  </si>
  <si>
    <t xml:space="preserve">Two family ideas combined and a fixed point found by eliminating the parameter; numerical answer. Comparable to 2023-P2-Q13 (L4) in idea type but lighter, so L3.</t>
  </si>
  <si>
    <t xml:space="preserve">2023-P2-Q13 (L4)</t>
  </si>
  <si>
    <t xml:space="preserve">Q21</t>
  </si>
  <si>
    <t xml:space="preserve">Choosing h, k from the vanishing X term and constant (two roots, sign of the Y coefficient), then the foci of the shifted ellipse in the new system.</t>
  </si>
  <si>
    <t xml:space="preserve">Shifting-origin algebra with a root selection, then ellipse parameters; several linked stages with a numerical answer. Borderline 2/3; comparable to 2024-P1-Q4 (L2) plus the selection and coordinate change.</t>
  </si>
  <si>
    <t xml:space="preserve">Low</t>
  </si>
  <si>
    <t xml:space="preserve">Q22</t>
  </si>
  <si>
    <t xml:space="preserve">Identifying the hyperbola and rotating through tan 2theta = 24/7 to get 50X^2 - 25Y^2 = 1250.</t>
  </si>
  <si>
    <t xml:space="preserve">Standard identification and rotation with clean numbers; a routine multi-step computation. Comparable to 2025-P2-Q4 (L2) on hyperbola parameters.</t>
  </si>
  <si>
    <t xml:space="preserve">Q23</t>
  </si>
  <si>
    <t xml:space="preserve">Realising the circles are the incircle and three excircles (bisector intersections) and comparing r with the exradii.</t>
  </si>
  <si>
    <t xml:space="preserve">Bisector identification plus inradius/exradius formulas; the idea that four circles qualify is the main trap. Comparable to 2023-P2-Q15 (L4, inradius) but lighter; L3.</t>
  </si>
  <si>
    <t xml:space="preserve">2023-P2-Q15 (L4)</t>
  </si>
  <si>
    <t xml:space="preserve">Q24</t>
  </si>
  <si>
    <t xml:space="preserve">Shifting to the intersection point, applying the pair-bisector formula and identifying the acute bisector.</t>
  </si>
  <si>
    <t xml:space="preserve">Three standard tools chained (intersection of a pair, bisector pair, acute identification) where the identification is a common trap; numerical. L3 like 2021-P1-Q1.</t>
  </si>
  <si>
    <t xml:space="preserve">Q25</t>
  </si>
  <si>
    <t xml:space="preserve">Recognising that the ellipse through the minimiser touches the line (reflection property), so 2a is the minimum value or b^2 = d_A d_B.</t>
  </si>
  <si>
    <t xml:space="preserve">A standard reflection step linked to an ellipse property; numerical. Comparable to 2024-P1-Q4 (L2) plus the linking idea, so L3.</t>
  </si>
  <si>
    <t xml:space="preserve">Q26</t>
  </si>
  <si>
    <t xml:space="preserve">Splitting the graph of |x-2| into two rays and comparing the two reflection minima.</t>
  </si>
  <si>
    <t xml:space="preserve">A standard reflection minimisation applied twice with a comparison; routine multi-step. L2 like 2021-P1-Q2-type routine chains.</t>
  </si>
  <si>
    <t xml:space="preserve">2021-P1-Q2 (L2)</t>
  </si>
  <si>
    <t xml:space="preserve">Q27</t>
  </si>
  <si>
    <t xml:space="preserve">Combining the homogenised right-angle condition lambda + 2mu = -2 with the factorisation (Delta = 0) and selecting the root by the quadrant.</t>
  </si>
  <si>
    <t xml:space="preserve">Three standard pair-of-lines tools in one system with a selection; numerical. Comparable to L3 chains such as 2021-P1-Q1.</t>
  </si>
  <si>
    <t xml:space="preserve">Q28</t>
  </si>
  <si>
    <t xml:space="preserve">Perpendicularity a + b = 0 and the bisector pair h(x^2 - y^2) = (a - b)xy evaluated at (1,2).</t>
  </si>
  <si>
    <t xml:space="preserve">Two standard pair-of-lines formulas used directly; routine. L2 as for routine multi-step anchors (2025-P2-Q4).</t>
  </si>
  <si>
    <t xml:space="preserve">Q29</t>
  </si>
  <si>
    <t xml:space="preserve">Counting |k| &gt;= 3 from h^2 &gt; ab and removing the two degenerate values k = 3, -7 found from Delta = 0.</t>
  </si>
  <si>
    <t xml:space="preserve">Classification plus the degenerate-case trap with a count and no options; two linked checks. Comparable to 2026-P2-Q13 (L3) on conic identification, with the numerical count.</t>
  </si>
  <si>
    <t xml:space="preserve">Q30</t>
  </si>
  <si>
    <t xml:space="preserve">Homogenising the circle with y - mx = 2 and setting the xy coefficient (sum of slopes) to zero.</t>
  </si>
  <si>
    <t xml:space="preserve">Homogenisation with a parameter plus reading the slope sum from the homogeneous pair; two linked ideas, numerical. Borderline 2/3; comparable to 2025-P2-Q4 (L2) with the extra homogenisation step, so L3.</t>
  </si>
  <si>
    <t xml:space="preserve">Q31</t>
  </si>
  <si>
    <t xml:space="preserve">Parametrising A and B on the component lines and solving the centroid equations.</t>
  </si>
  <si>
    <t xml:space="preserve">Factorisation, a 2x2 linear system and the area formula; routine chain. L2 like 2026-P2-Q1 (vector area, 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</si>
  <si>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</si>
  <si>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</si>
  <si>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Straight Line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</si>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</sst>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31</v>
      </c>
      <c r="N4" s="3" t="s">
        <v>32</v>
      </c>
      <c r="O4" s="3" t="s">
        <v>33</v>
      </c>
      <c r="P4" s="2" t="s">
        <v>29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35</v>
      </c>
      <c r="N5" s="3" t="s">
        <v>36</v>
      </c>
      <c r="O5" s="3" t="s">
        <v>37</v>
      </c>
      <c r="P5" s="2" t="s">
        <v>29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39</v>
      </c>
      <c r="N6" s="3" t="s">
        <v>40</v>
      </c>
      <c r="O6" s="3" t="s">
        <v>41</v>
      </c>
      <c r="P6" s="2" t="s">
        <v>29</v>
      </c>
    </row>
    <row r="7" customFormat="false" ht="46.25" hidden="false" customHeight="false" outlineLevel="0" collapsed="false">
      <c r="A7" s="2" t="n">
        <v>6</v>
      </c>
      <c r="B7" s="2"/>
      <c r="C7" s="2" t="s">
        <v>42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25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43</v>
      </c>
      <c r="N7" s="3" t="s">
        <v>44</v>
      </c>
      <c r="O7" s="3" t="s">
        <v>28</v>
      </c>
      <c r="P7" s="2" t="s">
        <v>29</v>
      </c>
    </row>
    <row r="8" customFormat="false" ht="35.05" hidden="false" customHeight="false" outlineLevel="0" collapsed="false">
      <c r="A8" s="2" t="n">
        <v>7</v>
      </c>
      <c r="B8" s="2"/>
      <c r="C8" s="2" t="s">
        <v>45</v>
      </c>
      <c r="D8" s="2" t="s">
        <v>17</v>
      </c>
      <c r="E8" s="3" t="s">
        <v>18</v>
      </c>
      <c r="F8" s="2" t="n">
        <v>3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46</v>
      </c>
      <c r="N8" s="3" t="s">
        <v>47</v>
      </c>
      <c r="O8" s="3" t="s">
        <v>41</v>
      </c>
      <c r="P8" s="2" t="s">
        <v>23</v>
      </c>
    </row>
    <row r="9" customFormat="false" ht="46.25" hidden="false" customHeight="false" outlineLevel="0" collapsed="false">
      <c r="A9" s="2" t="n">
        <v>8</v>
      </c>
      <c r="B9" s="2"/>
      <c r="C9" s="2" t="s">
        <v>48</v>
      </c>
      <c r="D9" s="2" t="s">
        <v>49</v>
      </c>
      <c r="E9" s="3" t="s">
        <v>18</v>
      </c>
      <c r="F9" s="2" t="n">
        <v>4</v>
      </c>
      <c r="G9" s="6" t="n">
        <v>3</v>
      </c>
      <c r="H9" s="6" t="s">
        <v>25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50</v>
      </c>
      <c r="N9" s="3" t="s">
        <v>51</v>
      </c>
      <c r="O9" s="3" t="s">
        <v>52</v>
      </c>
      <c r="P9" s="2" t="s">
        <v>29</v>
      </c>
    </row>
    <row r="10" customFormat="false" ht="46.25" hidden="false" customHeight="false" outlineLevel="0" collapsed="false">
      <c r="A10" s="2" t="n">
        <v>9</v>
      </c>
      <c r="B10" s="2"/>
      <c r="C10" s="2" t="s">
        <v>53</v>
      </c>
      <c r="D10" s="2" t="s">
        <v>49</v>
      </c>
      <c r="E10" s="3" t="s">
        <v>18</v>
      </c>
      <c r="F10" s="2" t="n">
        <v>4</v>
      </c>
      <c r="G10" s="6" t="n">
        <v>3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54</v>
      </c>
      <c r="N10" s="3" t="s">
        <v>55</v>
      </c>
      <c r="O10" s="3" t="s">
        <v>56</v>
      </c>
      <c r="P10" s="2" t="s">
        <v>29</v>
      </c>
    </row>
    <row r="11" customFormat="false" ht="35.05" hidden="false" customHeight="false" outlineLevel="0" collapsed="false">
      <c r="A11" s="2" t="n">
        <v>10</v>
      </c>
      <c r="B11" s="2"/>
      <c r="C11" s="2" t="s">
        <v>57</v>
      </c>
      <c r="D11" s="2" t="s">
        <v>49</v>
      </c>
      <c r="E11" s="3" t="s">
        <v>18</v>
      </c>
      <c r="F11" s="2" t="n">
        <v>4</v>
      </c>
      <c r="G11" s="6" t="n">
        <v>3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58</v>
      </c>
      <c r="N11" s="3" t="s">
        <v>59</v>
      </c>
      <c r="O11" s="3" t="s">
        <v>28</v>
      </c>
      <c r="P11" s="2" t="s">
        <v>29</v>
      </c>
    </row>
    <row r="12" customFormat="false" ht="35.05" hidden="false" customHeight="false" outlineLevel="0" collapsed="false">
      <c r="A12" s="2" t="n">
        <v>11</v>
      </c>
      <c r="B12" s="2"/>
      <c r="C12" s="2" t="s">
        <v>60</v>
      </c>
      <c r="D12" s="2" t="s">
        <v>49</v>
      </c>
      <c r="E12" s="3" t="s">
        <v>18</v>
      </c>
      <c r="F12" s="2" t="n">
        <v>4</v>
      </c>
      <c r="G12" s="6" t="n">
        <v>3</v>
      </c>
      <c r="H12" s="6" t="s">
        <v>25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61</v>
      </c>
      <c r="N12" s="3" t="s">
        <v>62</v>
      </c>
      <c r="O12" s="3" t="s">
        <v>28</v>
      </c>
      <c r="P12" s="2" t="s">
        <v>29</v>
      </c>
    </row>
    <row r="13" customFormat="false" ht="35.05" hidden="false" customHeight="false" outlineLevel="0" collapsed="false">
      <c r="A13" s="2" t="n">
        <v>12</v>
      </c>
      <c r="B13" s="2"/>
      <c r="C13" s="2" t="s">
        <v>63</v>
      </c>
      <c r="D13" s="2" t="s">
        <v>49</v>
      </c>
      <c r="E13" s="3" t="s">
        <v>18</v>
      </c>
      <c r="F13" s="2" t="n">
        <v>4</v>
      </c>
      <c r="G13" s="4" t="n">
        <v>2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64</v>
      </c>
      <c r="N13" s="3" t="s">
        <v>65</v>
      </c>
      <c r="O13" s="3" t="s">
        <v>56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66</v>
      </c>
      <c r="D14" s="2" t="s">
        <v>49</v>
      </c>
      <c r="E14" s="3" t="s">
        <v>18</v>
      </c>
      <c r="F14" s="2" t="n">
        <v>4</v>
      </c>
      <c r="G14" s="6" t="n">
        <v>3</v>
      </c>
      <c r="H14" s="6" t="s">
        <v>25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67</v>
      </c>
      <c r="N14" s="3" t="s">
        <v>68</v>
      </c>
      <c r="O14" s="3" t="s">
        <v>69</v>
      </c>
      <c r="P14" s="2" t="s">
        <v>29</v>
      </c>
    </row>
    <row r="15" customFormat="false" ht="35.05" hidden="false" customHeight="false" outlineLevel="0" collapsed="false">
      <c r="A15" s="2" t="n">
        <v>14</v>
      </c>
      <c r="B15" s="2"/>
      <c r="C15" s="2" t="s">
        <v>70</v>
      </c>
      <c r="D15" s="2" t="s">
        <v>49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71</v>
      </c>
      <c r="N15" s="3" t="s">
        <v>72</v>
      </c>
      <c r="O15" s="3" t="s">
        <v>73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49</v>
      </c>
      <c r="E16" s="3" t="s">
        <v>18</v>
      </c>
      <c r="F16" s="2" t="n">
        <v>4</v>
      </c>
      <c r="G16" s="6" t="n">
        <v>3</v>
      </c>
      <c r="H16" s="6" t="s">
        <v>25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75</v>
      </c>
      <c r="N16" s="3" t="s">
        <v>76</v>
      </c>
      <c r="O16" s="3" t="s">
        <v>28</v>
      </c>
      <c r="P16" s="2" t="s">
        <v>29</v>
      </c>
    </row>
    <row r="17" customFormat="false" ht="35.05" hidden="false" customHeight="false" outlineLevel="0" collapsed="false">
      <c r="A17" s="2" t="n">
        <v>16</v>
      </c>
      <c r="B17" s="2"/>
      <c r="C17" s="2" t="s">
        <v>77</v>
      </c>
      <c r="D17" s="2" t="s">
        <v>49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78</v>
      </c>
      <c r="N17" s="3" t="s">
        <v>79</v>
      </c>
      <c r="O17" s="3" t="s">
        <v>80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81</v>
      </c>
      <c r="D18" s="2" t="s">
        <v>49</v>
      </c>
      <c r="E18" s="3" t="s">
        <v>18</v>
      </c>
      <c r="F18" s="2" t="n">
        <v>4</v>
      </c>
      <c r="G18" s="4" t="n">
        <v>2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82</v>
      </c>
      <c r="N18" s="3" t="s">
        <v>83</v>
      </c>
      <c r="O18" s="3" t="s">
        <v>84</v>
      </c>
      <c r="P18" s="2" t="s">
        <v>29</v>
      </c>
    </row>
    <row r="19" customFormat="false" ht="35.05" hidden="false" customHeight="false" outlineLevel="0" collapsed="false">
      <c r="A19" s="2" t="n">
        <v>18</v>
      </c>
      <c r="B19" s="2"/>
      <c r="C19" s="2" t="s">
        <v>85</v>
      </c>
      <c r="D19" s="2" t="s">
        <v>49</v>
      </c>
      <c r="E19" s="3" t="s">
        <v>18</v>
      </c>
      <c r="F19" s="2" t="n">
        <v>4</v>
      </c>
      <c r="G19" s="6" t="n">
        <v>3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86</v>
      </c>
      <c r="N19" s="3" t="s">
        <v>87</v>
      </c>
      <c r="O19" s="3" t="s">
        <v>28</v>
      </c>
      <c r="P19" s="2" t="s">
        <v>29</v>
      </c>
    </row>
    <row r="20" customFormat="false" ht="35.05" hidden="false" customHeight="false" outlineLevel="0" collapsed="false">
      <c r="A20" s="2" t="n">
        <v>19</v>
      </c>
      <c r="B20" s="2"/>
      <c r="C20" s="2" t="s">
        <v>88</v>
      </c>
      <c r="D20" s="2" t="s">
        <v>49</v>
      </c>
      <c r="E20" s="3" t="s">
        <v>18</v>
      </c>
      <c r="F20" s="2" t="n">
        <v>4</v>
      </c>
      <c r="G20" s="6" t="n">
        <v>3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89</v>
      </c>
      <c r="N20" s="3" t="s">
        <v>90</v>
      </c>
      <c r="O20" s="3" t="s">
        <v>28</v>
      </c>
      <c r="P20" s="2" t="s">
        <v>29</v>
      </c>
    </row>
    <row r="21" customFormat="false" ht="35.05" hidden="false" customHeight="false" outlineLevel="0" collapsed="false">
      <c r="A21" s="2" t="n">
        <v>20</v>
      </c>
      <c r="B21" s="2"/>
      <c r="C21" s="2" t="s">
        <v>91</v>
      </c>
      <c r="D21" s="2" t="s">
        <v>49</v>
      </c>
      <c r="E21" s="3" t="s">
        <v>18</v>
      </c>
      <c r="F21" s="2" t="n">
        <v>4</v>
      </c>
      <c r="G21" s="6" t="n">
        <v>3</v>
      </c>
      <c r="H21" s="6" t="s">
        <v>25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92</v>
      </c>
      <c r="N21" s="3" t="s">
        <v>93</v>
      </c>
      <c r="O21" s="3" t="s">
        <v>94</v>
      </c>
      <c r="P21" s="2" t="s">
        <v>29</v>
      </c>
    </row>
    <row r="22" customFormat="false" ht="46.25" hidden="false" customHeight="false" outlineLevel="0" collapsed="false">
      <c r="A22" s="2" t="n">
        <v>21</v>
      </c>
      <c r="B22" s="2"/>
      <c r="C22" s="2" t="s">
        <v>95</v>
      </c>
      <c r="D22" s="2" t="s">
        <v>49</v>
      </c>
      <c r="E22" s="3" t="s">
        <v>18</v>
      </c>
      <c r="F22" s="2" t="n">
        <v>4</v>
      </c>
      <c r="G22" s="6" t="n">
        <v>3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96</v>
      </c>
      <c r="N22" s="3" t="s">
        <v>97</v>
      </c>
      <c r="O22" s="3" t="s">
        <v>37</v>
      </c>
      <c r="P22" s="2" t="s">
        <v>98</v>
      </c>
    </row>
    <row r="23" customFormat="false" ht="35.05" hidden="false" customHeight="false" outlineLevel="0" collapsed="false">
      <c r="A23" s="2" t="n">
        <v>22</v>
      </c>
      <c r="B23" s="2"/>
      <c r="C23" s="2" t="s">
        <v>99</v>
      </c>
      <c r="D23" s="2" t="s">
        <v>49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100</v>
      </c>
      <c r="N23" s="3" t="s">
        <v>101</v>
      </c>
      <c r="O23" s="3" t="s">
        <v>41</v>
      </c>
      <c r="P23" s="2" t="s">
        <v>23</v>
      </c>
    </row>
    <row r="24" customFormat="false" ht="35.05" hidden="false" customHeight="false" outlineLevel="0" collapsed="false">
      <c r="A24" s="2" t="n">
        <v>23</v>
      </c>
      <c r="B24" s="2"/>
      <c r="C24" s="2" t="s">
        <v>102</v>
      </c>
      <c r="D24" s="2" t="s">
        <v>49</v>
      </c>
      <c r="E24" s="3" t="s">
        <v>18</v>
      </c>
      <c r="F24" s="2" t="n">
        <v>4</v>
      </c>
      <c r="G24" s="6" t="n">
        <v>3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103</v>
      </c>
      <c r="N24" s="3" t="s">
        <v>104</v>
      </c>
      <c r="O24" s="3" t="s">
        <v>105</v>
      </c>
      <c r="P24" s="2" t="s">
        <v>29</v>
      </c>
    </row>
    <row r="25" customFormat="false" ht="35.05" hidden="false" customHeight="false" outlineLevel="0" collapsed="false">
      <c r="A25" s="2" t="n">
        <v>24</v>
      </c>
      <c r="B25" s="2"/>
      <c r="C25" s="2" t="s">
        <v>106</v>
      </c>
      <c r="D25" s="2" t="s">
        <v>49</v>
      </c>
      <c r="E25" s="3" t="s">
        <v>18</v>
      </c>
      <c r="F25" s="2" t="n">
        <v>4</v>
      </c>
      <c r="G25" s="6" t="n">
        <v>3</v>
      </c>
      <c r="H25" s="6" t="s">
        <v>25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107</v>
      </c>
      <c r="N25" s="3" t="s">
        <v>108</v>
      </c>
      <c r="O25" s="3" t="s">
        <v>28</v>
      </c>
      <c r="P25" s="2" t="s">
        <v>29</v>
      </c>
    </row>
    <row r="26" customFormat="false" ht="46.25" hidden="false" customHeight="false" outlineLevel="0" collapsed="false">
      <c r="A26" s="2" t="n">
        <v>25</v>
      </c>
      <c r="B26" s="2"/>
      <c r="C26" s="2" t="s">
        <v>109</v>
      </c>
      <c r="D26" s="2" t="s">
        <v>49</v>
      </c>
      <c r="E26" s="3" t="s">
        <v>18</v>
      </c>
      <c r="F26" s="2" t="n">
        <v>4</v>
      </c>
      <c r="G26" s="6" t="n">
        <v>3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3</v>
      </c>
      <c r="L26" s="5" t="n">
        <f aca="false">F26*K26</f>
        <v>12</v>
      </c>
      <c r="M26" s="3" t="s">
        <v>110</v>
      </c>
      <c r="N26" s="3" t="s">
        <v>111</v>
      </c>
      <c r="O26" s="3" t="s">
        <v>37</v>
      </c>
      <c r="P26" s="2" t="s">
        <v>29</v>
      </c>
    </row>
    <row r="27" customFormat="false" ht="23.85" hidden="false" customHeight="false" outlineLevel="0" collapsed="false">
      <c r="A27" s="2" t="n">
        <v>26</v>
      </c>
      <c r="B27" s="2"/>
      <c r="C27" s="2" t="s">
        <v>112</v>
      </c>
      <c r="D27" s="2" t="s">
        <v>49</v>
      </c>
      <c r="E27" s="3" t="s">
        <v>18</v>
      </c>
      <c r="F27" s="2" t="n">
        <v>4</v>
      </c>
      <c r="G27" s="4" t="n">
        <v>2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113</v>
      </c>
      <c r="N27" s="3" t="s">
        <v>114</v>
      </c>
      <c r="O27" s="3" t="s">
        <v>115</v>
      </c>
      <c r="P27" s="2" t="s">
        <v>29</v>
      </c>
    </row>
    <row r="28" customFormat="false" ht="46.25" hidden="false" customHeight="false" outlineLevel="0" collapsed="false">
      <c r="A28" s="2" t="n">
        <v>27</v>
      </c>
      <c r="B28" s="2"/>
      <c r="C28" s="2" t="s">
        <v>116</v>
      </c>
      <c r="D28" s="2" t="s">
        <v>49</v>
      </c>
      <c r="E28" s="3" t="s">
        <v>18</v>
      </c>
      <c r="F28" s="2" t="n">
        <v>4</v>
      </c>
      <c r="G28" s="6" t="n">
        <v>3</v>
      </c>
      <c r="H28" s="6" t="s">
        <v>25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117</v>
      </c>
      <c r="N28" s="3" t="s">
        <v>118</v>
      </c>
      <c r="O28" s="3" t="s">
        <v>28</v>
      </c>
      <c r="P28" s="2" t="s">
        <v>29</v>
      </c>
    </row>
    <row r="29" customFormat="false" ht="23.85" hidden="false" customHeight="false" outlineLevel="0" collapsed="false">
      <c r="A29" s="2" t="n">
        <v>28</v>
      </c>
      <c r="B29" s="2"/>
      <c r="C29" s="2" t="s">
        <v>119</v>
      </c>
      <c r="D29" s="2" t="s">
        <v>49</v>
      </c>
      <c r="E29" s="3" t="s">
        <v>18</v>
      </c>
      <c r="F29" s="2" t="n">
        <v>4</v>
      </c>
      <c r="G29" s="4" t="n">
        <v>2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120</v>
      </c>
      <c r="N29" s="3" t="s">
        <v>121</v>
      </c>
      <c r="O29" s="3" t="s">
        <v>41</v>
      </c>
      <c r="P29" s="2" t="s">
        <v>23</v>
      </c>
    </row>
    <row r="30" customFormat="false" ht="35.05" hidden="false" customHeight="false" outlineLevel="0" collapsed="false">
      <c r="A30" s="2" t="n">
        <v>29</v>
      </c>
      <c r="B30" s="2"/>
      <c r="C30" s="2" t="s">
        <v>122</v>
      </c>
      <c r="D30" s="2" t="s">
        <v>49</v>
      </c>
      <c r="E30" s="3" t="s">
        <v>18</v>
      </c>
      <c r="F30" s="2" t="n">
        <v>4</v>
      </c>
      <c r="G30" s="6" t="n">
        <v>3</v>
      </c>
      <c r="H30" s="6" t="s">
        <v>25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123</v>
      </c>
      <c r="N30" s="3" t="s">
        <v>124</v>
      </c>
      <c r="O30" s="3" t="s">
        <v>69</v>
      </c>
      <c r="P30" s="2" t="s">
        <v>29</v>
      </c>
    </row>
    <row r="31" customFormat="false" ht="46.25" hidden="false" customHeight="false" outlineLevel="0" collapsed="false">
      <c r="A31" s="2" t="n">
        <v>30</v>
      </c>
      <c r="B31" s="2"/>
      <c r="C31" s="2" t="s">
        <v>125</v>
      </c>
      <c r="D31" s="2" t="s">
        <v>49</v>
      </c>
      <c r="E31" s="3" t="s">
        <v>18</v>
      </c>
      <c r="F31" s="2" t="n">
        <v>4</v>
      </c>
      <c r="G31" s="6" t="n">
        <v>3</v>
      </c>
      <c r="H31" s="6" t="s">
        <v>25</v>
      </c>
      <c r="I31" s="5" t="n">
        <v>0</v>
      </c>
      <c r="J31" s="5" t="n">
        <v>0</v>
      </c>
      <c r="K31" s="5" t="n">
        <f aca="false">MIN(5,MAX(G31+I31,J31))</f>
        <v>3</v>
      </c>
      <c r="L31" s="5" t="n">
        <f aca="false">F31*K31</f>
        <v>12</v>
      </c>
      <c r="M31" s="3" t="s">
        <v>126</v>
      </c>
      <c r="N31" s="3" t="s">
        <v>127</v>
      </c>
      <c r="O31" s="3" t="s">
        <v>41</v>
      </c>
      <c r="P31" s="2" t="s">
        <v>98</v>
      </c>
    </row>
    <row r="32" customFormat="false" ht="23.85" hidden="false" customHeight="false" outlineLevel="0" collapsed="false">
      <c r="A32" s="2" t="n">
        <v>31</v>
      </c>
      <c r="B32" s="2"/>
      <c r="C32" s="2" t="s">
        <v>128</v>
      </c>
      <c r="D32" s="2" t="s">
        <v>49</v>
      </c>
      <c r="E32" s="3" t="s">
        <v>18</v>
      </c>
      <c r="F32" s="2" t="n">
        <v>4</v>
      </c>
      <c r="G32" s="4" t="n">
        <v>2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2</v>
      </c>
      <c r="L32" s="5" t="n">
        <f aca="false">F32*K32</f>
        <v>8</v>
      </c>
      <c r="M32" s="3" t="s">
        <v>129</v>
      </c>
      <c r="N32" s="3" t="s">
        <v>130</v>
      </c>
      <c r="O32" s="3" t="s">
        <v>80</v>
      </c>
      <c r="P32" s="2" t="s">
        <v>23</v>
      </c>
    </row>
    <row r="34" customFormat="false" ht="15" hidden="false" customHeight="false" outlineLevel="0" collapsed="false">
      <c r="A34" s="7" t="s">
        <v>131</v>
      </c>
    </row>
  </sheetData>
  <autoFilter ref="A1:P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132</v>
      </c>
    </row>
    <row r="2" customFormat="false" ht="15" hidden="false" customHeight="false" outlineLevel="0" collapsed="false">
      <c r="A2" s="7" t="s">
        <v>133</v>
      </c>
    </row>
    <row r="4" customFormat="false" ht="15" hidden="false" customHeight="false" outlineLevel="0" collapsed="false">
      <c r="A4" s="1" t="s">
        <v>6</v>
      </c>
      <c r="B4" s="1" t="s">
        <v>134</v>
      </c>
      <c r="C4" s="1" t="s">
        <v>135</v>
      </c>
      <c r="D4" s="1" t="s">
        <v>5</v>
      </c>
      <c r="E4" s="1" t="s">
        <v>136</v>
      </c>
    </row>
    <row r="5" customFormat="false" ht="15" hidden="false" customHeight="false" outlineLevel="0" collapsed="false">
      <c r="A5" s="9" t="n">
        <v>0</v>
      </c>
      <c r="B5" s="9" t="s">
        <v>137</v>
      </c>
      <c r="C5" s="9" t="n">
        <f aca="false">COUNTIF(Evaluation!$G$2:$G$32,A5)</f>
        <v>0</v>
      </c>
      <c r="D5" s="9" t="n">
        <f aca="false">SUMIF(Evaluation!$G$2:$G$32,A5,Evaluation!$F$2:$F$32)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138</v>
      </c>
      <c r="C6" s="11" t="n">
        <f aca="false">COUNTIF(Evaluation!$G$2:$G$32,A6)</f>
        <v>0</v>
      </c>
      <c r="D6" s="11" t="n">
        <f aca="false">SUMIF(Evaluation!$G$2:$G$32,A6,Evaluation!$F$2:$F$32)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COUNTIF(Evaluation!$G$2:$G$32,A7)</f>
        <v>13</v>
      </c>
      <c r="D7" s="13" t="n">
        <f aca="false">SUMIF(Evaluation!$G$2:$G$32,A7,Evaluation!$F$2:$F$32)</f>
        <v>47</v>
      </c>
      <c r="E7" s="14" t="n">
        <f aca="false">IF(SUM($D$5:$D$10)=0,0,D7/SUM($D$5:$D$10))</f>
        <v>0.401709401709402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COUNTIF(Evaluation!$G$2:$G$32,A8)</f>
        <v>18</v>
      </c>
      <c r="D8" s="15" t="n">
        <f aca="false">SUMIF(Evaluation!$G$2:$G$32,A8,Evaluation!$F$2:$F$32)</f>
        <v>70</v>
      </c>
      <c r="E8" s="16" t="n">
        <f aca="false">IF(SUM($D$5:$D$10)=0,0,D8/SUM($D$5:$D$10))</f>
        <v>0.598290598290598</v>
      </c>
    </row>
    <row r="9" customFormat="false" ht="15" hidden="false" customHeight="false" outlineLevel="0" collapsed="false">
      <c r="A9" s="17" t="n">
        <v>4</v>
      </c>
      <c r="B9" s="17" t="s">
        <v>139</v>
      </c>
      <c r="C9" s="17" t="n">
        <f aca="false">COUNTIF(Evaluation!$G$2:$G$32,A9)</f>
        <v>0</v>
      </c>
      <c r="D9" s="17" t="n">
        <f aca="false">SUMIF(Evaluation!$G$2:$G$32,A9,Evaluation!$F$2:$F$32)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140</v>
      </c>
      <c r="C10" s="19" t="n">
        <f aca="false">COUNTIF(Evaluation!$G$2:$G$32,A10)</f>
        <v>0</v>
      </c>
      <c r="D10" s="19" t="n">
        <f aca="false">SUMIF(Evaluation!$G$2:$G$32,A10,Evaluation!$F$2:$F$32)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141</v>
      </c>
      <c r="C11" s="21" t="n">
        <f aca="false">SUM(C5:C10)</f>
        <v>31</v>
      </c>
      <c r="D11" s="21" t="n">
        <f aca="false">SUM(D5:D10)</f>
        <v>117</v>
      </c>
    </row>
    <row r="13" customFormat="false" ht="46.25" hidden="false" customHeight="false" outlineLevel="0" collapsed="false">
      <c r="A13" s="1" t="s">
        <v>142</v>
      </c>
      <c r="B13" s="1" t="s">
        <v>143</v>
      </c>
      <c r="C13" s="1" t="s">
        <v>144</v>
      </c>
      <c r="D13" s="1" t="s">
        <v>5</v>
      </c>
      <c r="E13" s="1" t="s">
        <v>145</v>
      </c>
    </row>
    <row r="14" customFormat="false" ht="15" hidden="false" customHeight="false" outlineLevel="0" collapsed="false">
      <c r="A14" s="21" t="s">
        <v>146</v>
      </c>
      <c r="B14" s="22" t="n">
        <f aca="false">SUM(Evaluation!$L$2:$L$32)/SUM(Evaluation!$F$2:$F$32)</f>
        <v>2.5982905982906</v>
      </c>
      <c r="C14" s="22" t="n">
        <f aca="false">SUMPRODUCT(Evaluation!$F$2:$F$32,Evaluation!$G$2:$G$32)/SUM(Evaluation!$F$2:$F$32)</f>
        <v>2.5982905982906</v>
      </c>
      <c r="D14" s="21" t="n">
        <f aca="false">SUM(Evaluation!$F$2:$F$32)</f>
        <v>117</v>
      </c>
      <c r="E14" s="22" t="n">
        <f aca="false">AVERAGE(Evaluation!$G$2:$G$32)</f>
        <v>2.58064516129032</v>
      </c>
    </row>
    <row r="16" customFormat="false" ht="15" hidden="false" customHeight="false" outlineLevel="0" collapsed="false">
      <c r="A16" s="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148</v>
      </c>
    </row>
    <row r="3" customFormat="false" ht="23.85" hidden="false" customHeight="false" outlineLevel="0" collapsed="false">
      <c r="A3" s="1" t="s">
        <v>149</v>
      </c>
      <c r="B3" s="1" t="s">
        <v>150</v>
      </c>
      <c r="C3" s="1" t="s">
        <v>145</v>
      </c>
      <c r="D3" s="1" t="s">
        <v>151</v>
      </c>
      <c r="E3" s="1" t="s">
        <v>152</v>
      </c>
      <c r="F3" s="1" t="s">
        <v>153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154</v>
      </c>
      <c r="B9" s="22" t="n">
        <f aca="false">Summary!B14</f>
        <v>2.5982905982906</v>
      </c>
      <c r="C9" s="22" t="n">
        <f aca="false">Summary!E14</f>
        <v>2.58064516129032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2026-10-19T16:22:46Z</dcterms:created>
  <dc:creator>openpyxl</dc:creator>
  <dc:description/>
  <dc:language>en-US</dc:language>
  <cp:lastModifiedBy/>
  <dcterms:modified xsi:type="dcterms:W3CDTF">2026-10-19T16:22:46Z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