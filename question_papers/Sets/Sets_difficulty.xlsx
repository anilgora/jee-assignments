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<sst xmlns="http://schemas.openxmlformats.org/spreadsheetml/2006/main" count="103" uniqueCount="75">
  <si>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</si>
  <si>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</si>
  <si>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</si>
  <si>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</si>
  <si>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</si>
  <si>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</si>
  <si>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</si>
  <si>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</si>
  <si>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</si>
  <si>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</si>
  <si>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</si>
  <si>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</si>
  <si>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</si>
  <si>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</si>
  <si>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</si>
  <si>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</si>
  <si>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</si>
  <si>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</si>
  <si>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Sets</t>
  </si>
  <si>
    <t xml:space="preserve">Easier than Advanced</t>
  </si>
  <si>
    <t xml:space="preserve">Recognising |x-1|+|x+1| &gt;= 2 with equality exactly on [-1,1], so T is an interval, R = {-1,0,1} and W is empty.</t>
  </si>
  <si>
    <t xml:space="preserve">Four short routine solutions (cubic, |x| = x^2, distance-sum equation and inequality) chained, then an equivalence check; no real insight, options allow checking. Routine chain like 2026-P1-Q4 (L2), more steps than the single case split of 2021-P1-Q17 (L1).</t>
  </si>
  <si>
    <t xml:space="preserve">2026-P1-Q4 (L2)</t>
  </si>
  <si>
    <t xml:space="preserve">Medium</t>
  </si>
  <si>
    <t xml:space="preserve">Q02</t>
  </si>
  <si>
    <t xml:space="preserve">Numerical</t>
  </si>
  <si>
    <t xml:space="preserve">Average Advanced</t>
  </si>
  <si>
    <t xml:space="preserve">Decoding A Delta X subset of B as 'X agrees with A outside B', so X = {0,1,5,6} together with a 3-element subset of B, minus X = A.</t>
  </si>
  <si>
    <t xml:space="preserve">Two linked ideas: translate the symmetric-difference condition into a structural description of X, then combine it with equivalence (equal size) and inequality to count; numerical answer with an easy off-by-one trap (X = A). Comparable to the bounded-count reasoning of 2026-P1-Q11 (L3), above the direct set-counting statements of 2021-P2-Q1 (L2).</t>
  </si>
  <si>
    <t xml:space="preserve">2026-P1-Q11 (L3)</t>
  </si>
  <si>
    <t xml:space="preserve">Q03</t>
  </si>
  <si>
    <t xml:space="preserve">Counting n(S) = C(7,2) and n(T) = C(4,2) by the beggar's method (positive solutions by shifting), then m/n = 2^(6-15).</t>
  </si>
  <si>
    <t xml:space="preserve">Routine multi-step chain: two standard solution counts, a complement, the 2^n subset count and a logarithm; nothing non-standard. Easier than the bounded count of 2026-P1-Q11 (L3), comparable to the routine chain of 2024-P1-Q8 (L2).</t>
  </si>
  <si>
    <t xml:space="preserve">2024-P1-Q8 (L2)</t>
  </si>
  <si>
    <t xml:space="preserve">Q04</t>
  </si>
  <si>
    <t xml:space="preserve">Using De Morgan to get A Delta X = C minus B and then cancelling A (A Delta A = empty set) to get X = A Delta (C minus B).</t>
  </si>
  <si>
    <t xml:space="preserve">Two linked ideas that students practise less than Venn counting: remove the complement by De Morgan, then solve the set equation using associativity and A Delta A = empty set; a signed sum with no options punishes one misplaced element. Comparable to two-idea questions such as 2021-P1-Q13 (L3); above routine L2 chains.</t>
  </si>
  <si>
    <t xml:space="preserve">2021-P1-Q13 (L3)</t>
  </si>
  <si>
    <t xml:space="preserve">Q05</t>
  </si>
  <si>
    <t xml:space="preserve">Using none = all three in n(H union E union T) = 355 - 95 + k to get k = 20, then exactly two = 95 - 3k.</t>
  </si>
  <si>
    <t xml:space="preserve">Routine chain: three-set formula with an unknown triple count, a complement condition, the exactly-two formula and a percentage. No insight beyond standard Venn work; more steps than the single inclusion-exclusion of 2021-P2-Q17 (L1), similar to recovering data from aggregates in 2026-P2-Q12 (L2).</t>
  </si>
  <si>
    <t xml:space="preserve">2026-P2-Q12 (L2)</t>
  </si>
  <si>
    <t xml:space="preserve">High</t>
  </si>
  <si>
    <t xml:space="preserve">Q06</t>
  </si>
  <si>
    <t xml:space="preserve">Turning 'at least one = 0.85' into (1-b)(1-c) = 0.3 and 'exactly one = 0.4' into b + c - 2bc = 0.5, then bc = 0.2.</t>
  </si>
  <si>
    <t xml:space="preserve">Two linked ideas: complement for 'at least one' and the exactly-one decomposition, giving a symmetric system; then exactly two by the partition. Numerical answer without options. Comparable to 2021-P1-Q13 (L3) and 2024-P2-Q9 (L3) probability manipulations.</t>
  </si>
  <si>
    <t xml:space="preserve">2024-P2-Q9 (L3)</t>
  </si>
  <si>
    <t xml:space="preserve">Q07</t>
  </si>
  <si>
    <t xml:space="preserve">Expressing 'product divisible by 12' as X meets {3,6,9} and (X meets {4,8} or contains two of {2,6,10}), then counting by complements with the overlap through 6.</t>
  </si>
  <si>
    <t xml:space="preserve">Two linked ideas (prime-power translation into intersection conditions, then complement counting of 2^n type) with a slip-prone overlap (6 belongs to both conditions; 4 and 8 carry extra factors of 2); numerical answer with no check. Comparable to the bounded count of 2026-P1-Q11 (L3), a little below the inclusion-exclusion over functions in 2026-P2-Q10 (L4).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</si>
  <si>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</si>
  <si>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</si>
  <si>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Sets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</si>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</sst>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57.45" hidden="false" customHeight="false" outlineLevel="0" collapsed="false">
      <c r="A3" s="2" t="n">
        <v>2</v>
      </c>
      <c r="B3" s="2"/>
      <c r="C3" s="2" t="s">
        <v>24</v>
      </c>
      <c r="D3" s="2" t="s">
        <v>25</v>
      </c>
      <c r="E3" s="3" t="s">
        <v>18</v>
      </c>
      <c r="F3" s="2" t="n">
        <v>4</v>
      </c>
      <c r="G3" s="6" t="n">
        <v>3</v>
      </c>
      <c r="H3" s="6" t="s">
        <v>26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12</v>
      </c>
      <c r="M3" s="3" t="s">
        <v>27</v>
      </c>
      <c r="N3" s="3" t="s">
        <v>28</v>
      </c>
      <c r="O3" s="3" t="s">
        <v>29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25</v>
      </c>
      <c r="E4" s="3" t="s">
        <v>18</v>
      </c>
      <c r="F4" s="2" t="n">
        <v>4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8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57.45" hidden="false" customHeight="false" outlineLevel="0" collapsed="false">
      <c r="A5" s="2" t="n">
        <v>4</v>
      </c>
      <c r="B5" s="2"/>
      <c r="C5" s="2" t="s">
        <v>34</v>
      </c>
      <c r="D5" s="2" t="s">
        <v>25</v>
      </c>
      <c r="E5" s="3" t="s">
        <v>18</v>
      </c>
      <c r="F5" s="2" t="n">
        <v>4</v>
      </c>
      <c r="G5" s="6" t="n">
        <v>3</v>
      </c>
      <c r="H5" s="6" t="s">
        <v>26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35</v>
      </c>
      <c r="N5" s="3" t="s">
        <v>36</v>
      </c>
      <c r="O5" s="3" t="s">
        <v>37</v>
      </c>
      <c r="P5" s="2" t="s">
        <v>23</v>
      </c>
    </row>
    <row r="6" customFormat="false" ht="57.45" hidden="false" customHeight="false" outlineLevel="0" collapsed="false">
      <c r="A6" s="2" t="n">
        <v>5</v>
      </c>
      <c r="B6" s="2"/>
      <c r="C6" s="2" t="s">
        <v>38</v>
      </c>
      <c r="D6" s="2" t="s">
        <v>25</v>
      </c>
      <c r="E6" s="3" t="s">
        <v>18</v>
      </c>
      <c r="F6" s="2" t="n">
        <v>4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39</v>
      </c>
      <c r="N6" s="3" t="s">
        <v>40</v>
      </c>
      <c r="O6" s="3" t="s">
        <v>41</v>
      </c>
      <c r="P6" s="2" t="s">
        <v>42</v>
      </c>
    </row>
    <row r="7" customFormat="false" ht="46.25" hidden="false" customHeight="false" outlineLevel="0" collapsed="false">
      <c r="A7" s="2" t="n">
        <v>6</v>
      </c>
      <c r="B7" s="2"/>
      <c r="C7" s="2" t="s">
        <v>43</v>
      </c>
      <c r="D7" s="2" t="s">
        <v>25</v>
      </c>
      <c r="E7" s="3" t="s">
        <v>18</v>
      </c>
      <c r="F7" s="2" t="n">
        <v>4</v>
      </c>
      <c r="G7" s="6" t="n">
        <v>3</v>
      </c>
      <c r="H7" s="6" t="s">
        <v>26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68.65" hidden="false" customHeight="false" outlineLevel="0" collapsed="false">
      <c r="A8" s="2" t="n">
        <v>7</v>
      </c>
      <c r="B8" s="2"/>
      <c r="C8" s="2" t="s">
        <v>47</v>
      </c>
      <c r="D8" s="2" t="s">
        <v>25</v>
      </c>
      <c r="E8" s="3" t="s">
        <v>18</v>
      </c>
      <c r="F8" s="2" t="n">
        <v>4</v>
      </c>
      <c r="G8" s="6" t="n">
        <v>3</v>
      </c>
      <c r="H8" s="6" t="s">
        <v>26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48</v>
      </c>
      <c r="N8" s="3" t="s">
        <v>49</v>
      </c>
      <c r="O8" s="3" t="s">
        <v>29</v>
      </c>
      <c r="P8" s="2" t="s">
        <v>23</v>
      </c>
    </row>
    <row r="10" customFormat="false" ht="15" hidden="false" customHeight="false" outlineLevel="0" collapsed="false">
      <c r="A10" s="7" t="s">
        <v>50</v>
      </c>
    </row>
  </sheetData>
  <autoFilter ref="A1:P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51</v>
      </c>
    </row>
    <row r="2" customFormat="false" ht="15" hidden="false" customHeight="false" outlineLevel="0" collapsed="false">
      <c r="A2" s="7" t="s">
        <v>52</v>
      </c>
    </row>
    <row r="4" customFormat="false" ht="15" hidden="false" customHeight="false" outlineLevel="0" collapsed="false">
      <c r="A4" s="1" t="s">
        <v>6</v>
      </c>
      <c r="B4" s="1" t="s">
        <v>53</v>
      </c>
      <c r="C4" s="1" t="s">
        <v>54</v>
      </c>
      <c r="D4" s="1" t="s">
        <v>5</v>
      </c>
      <c r="E4" s="1" t="s">
        <v>55</v>
      </c>
    </row>
    <row r="5" customFormat="false" ht="15" hidden="false" customHeight="false" outlineLevel="0" collapsed="false">
      <c r="A5" s="9" t="n">
        <v>0</v>
      </c>
      <c r="B5" s="9" t="s">
        <v>56</v>
      </c>
      <c r="C5" s="9" t="n">
        <f aca="false">COUNTIF(Evaluation!$G$2:$G$8,A5)</f>
        <v>0</v>
      </c>
      <c r="D5" s="9" t="n">
        <f aca="false">SUMIF(Evaluation!$G$2:$G$8,A5,Evaluation!$F$2:$F$8)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57</v>
      </c>
      <c r="C6" s="11" t="n">
        <f aca="false">COUNTIF(Evaluation!$G$2:$G$8,A6)</f>
        <v>0</v>
      </c>
      <c r="D6" s="11" t="n">
        <f aca="false">SUMIF(Evaluation!$G$2:$G$8,A6,Evaluation!$F$2:$F$8)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COUNTIF(Evaluation!$G$2:$G$8,A7)</f>
        <v>3</v>
      </c>
      <c r="D7" s="13" t="n">
        <f aca="false">SUMIF(Evaluation!$G$2:$G$8,A7,Evaluation!$F$2:$F$8)</f>
        <v>11</v>
      </c>
      <c r="E7" s="14" t="n">
        <f aca="false">IF(SUM($D$5:$D$10)=0,0,D7/SUM($D$5:$D$10))</f>
        <v>0.407407407407407</v>
      </c>
    </row>
    <row r="8" customFormat="false" ht="15" hidden="false" customHeight="false" outlineLevel="0" collapsed="false">
      <c r="A8" s="15" t="n">
        <v>3</v>
      </c>
      <c r="B8" s="15" t="s">
        <v>26</v>
      </c>
      <c r="C8" s="15" t="n">
        <f aca="false">COUNTIF(Evaluation!$G$2:$G$8,A8)</f>
        <v>4</v>
      </c>
      <c r="D8" s="15" t="n">
        <f aca="false">SUMIF(Evaluation!$G$2:$G$8,A8,Evaluation!$F$2:$F$8)</f>
        <v>16</v>
      </c>
      <c r="E8" s="16" t="n">
        <f aca="false">IF(SUM($D$5:$D$10)=0,0,D8/SUM($D$5:$D$10))</f>
        <v>0.592592592592593</v>
      </c>
    </row>
    <row r="9" customFormat="false" ht="15" hidden="false" customHeight="false" outlineLevel="0" collapsed="false">
      <c r="A9" s="17" t="n">
        <v>4</v>
      </c>
      <c r="B9" s="17" t="s">
        <v>58</v>
      </c>
      <c r="C9" s="17" t="n">
        <f aca="false">COUNTIF(Evaluation!$G$2:$G$8,A9)</f>
        <v>0</v>
      </c>
      <c r="D9" s="17" t="n">
        <f aca="false">SUMIF(Evaluation!$G$2:$G$8,A9,Evaluation!$F$2:$F$8)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59</v>
      </c>
      <c r="C10" s="19" t="n">
        <f aca="false">COUNTIF(Evaluation!$G$2:$G$8,A10)</f>
        <v>0</v>
      </c>
      <c r="D10" s="19" t="n">
        <f aca="false">SUMIF(Evaluation!$G$2:$G$8,A10,Evaluation!$F$2:$F$8)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60</v>
      </c>
      <c r="C11" s="21" t="n">
        <f aca="false">SUM(C5:C10)</f>
        <v>7</v>
      </c>
      <c r="D11" s="21" t="n">
        <f aca="false">SUM(D5:D10)</f>
        <v>27</v>
      </c>
    </row>
    <row r="13" customFormat="false" ht="46.25" hidden="false" customHeight="false" outlineLevel="0" collapsed="false">
      <c r="A13" s="1" t="s">
        <v>61</v>
      </c>
      <c r="B13" s="1" t="s">
        <v>62</v>
      </c>
      <c r="C13" s="1" t="s">
        <v>63</v>
      </c>
      <c r="D13" s="1" t="s">
        <v>5</v>
      </c>
      <c r="E13" s="1" t="s">
        <v>64</v>
      </c>
    </row>
    <row r="14" customFormat="false" ht="15" hidden="false" customHeight="false" outlineLevel="0" collapsed="false">
      <c r="A14" s="21" t="s">
        <v>65</v>
      </c>
      <c r="B14" s="22" t="n">
        <f aca="false">SUM(Evaluation!$L$2:$L$8)/SUM(Evaluation!$F$2:$F$8)</f>
        <v>2.59259259259259</v>
      </c>
      <c r="C14" s="22" t="n">
        <f aca="false">SUMPRODUCT(Evaluation!$F$2:$F$8,Evaluation!$G$2:$G$8)/SUM(Evaluation!$F$2:$F$8)</f>
        <v>2.59259259259259</v>
      </c>
      <c r="D14" s="21" t="n">
        <f aca="false">SUM(Evaluation!$F$2:$F$8)</f>
        <v>27</v>
      </c>
      <c r="E14" s="22" t="n">
        <f aca="false">AVERAGE(Evaluation!$G$2:$G$8)</f>
        <v>2.57142857142857</v>
      </c>
    </row>
    <row r="16" customFormat="false" ht="15" hidden="false" customHeight="false" outlineLevel="0" collapsed="false">
      <c r="A16" s="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67</v>
      </c>
    </row>
    <row r="3" customFormat="false" ht="23.85" hidden="false" customHeight="false" outlineLevel="0" collapsed="false">
      <c r="A3" s="1" t="s">
        <v>68</v>
      </c>
      <c r="B3" s="1" t="s">
        <v>69</v>
      </c>
      <c r="C3" s="1" t="s">
        <v>64</v>
      </c>
      <c r="D3" s="1" t="s">
        <v>70</v>
      </c>
      <c r="E3" s="1" t="s">
        <v>71</v>
      </c>
      <c r="F3" s="1" t="s">
        <v>72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73</v>
      </c>
      <c r="B9" s="22" t="n">
        <f aca="false">Summary!B14</f>
        <v>2.59259259259259</v>
      </c>
      <c r="C9" s="22" t="n">
        <f aca="false">Summary!E14</f>
        <v>2.57142857142857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2026-10-19T12:59:33Z</dcterms:created>
  <dc:creator>openpyxl</dc:creator>
  <dc:description/>
  <dc:language>en-US</dc:language>
  <cp:lastModifiedBy/>
  <dcterms:modified xsi:type="dcterms:W3CDTF">2026-10-19T12:59:33Z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