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<sst xmlns="http://schemas.openxmlformats.org/spreadsheetml/2006/main" count="231" uniqueCount="123">
  <si>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</si>
  <si>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</si>
  <si>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</si>
  <si>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</si>
  <si>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</si>
  <si>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</si>
  <si>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</si>
  <si>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</si>
  <si>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</si>
  <si>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</si>
  <si>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</si>
  <si>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</si>
  <si>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</si>
  <si>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</si>
  <si>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</si>
  <si>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</si>
  <si>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</si>
  <si>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</si>
  <si>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Limit</t>
  </si>
  <si>
    <t xml:space="preserve">Easier than Advanced</t>
  </si>
  <si>
    <t xml:space="preserve">Expressing A and B in theta from the figure and comparing their theta^3 terms.</t>
  </si>
  <si>
    <t xml:space="preserve">Setting up two trigonometric expressions from a circle figure, then two standard cubic expansions; routine multi-step with no real insight. Sits with 2025-P2-Q1 (L2) and above the one-move 1^infinity anchor 2024-P2-Q3 (L1).</t>
  </si>
  <si>
    <t xml:space="preserve">2025-P2-Q1 (L2)</t>
  </si>
  <si>
    <t xml:space="preserve">High</t>
  </si>
  <si>
    <t xml:space="preserve">Q02</t>
  </si>
  <si>
    <t xml:space="preserve">Writing 2cos2x - 1 as cos3x/cos x so that tan3x cancels to sin3x/cos x.</t>
  </si>
  <si>
    <t xml:space="preserve">One identity link between the 2A and 3A formulas followed by direct evaluation; a 0 times infinity form makes it a little more than one move. Comparable to 2025-P2-Q1 (L2); above 2024-P2-Q3 (L1).</t>
  </si>
  <si>
    <t xml:space="preserve">Q03</t>
  </si>
  <si>
    <t xml:space="preserve">Average Advanced</t>
  </si>
  <si>
    <t xml:space="preserve">Seeing that N(t) ~ -t^3/3, so N(N(x)) ~ -(1/3)(-x^3/3)^3 = x^9/81.</t>
  </si>
  <si>
    <t xml:space="preserve">Two linked ideas: the cubic-order behaviour of t - tan t and the substitution of a small quantity into it, with an x^9 order that rules out L'Hopital. Harder than 2025-P2-Q1 (L2), lighter than the series limit 2025-P1-Q11 (L4).</t>
  </si>
  <si>
    <t xml:space="preserve">2025-P1-Q11 (L4)</t>
  </si>
  <si>
    <t xml:space="preserve">Medium</t>
  </si>
  <si>
    <t xml:space="preserve">Q04</t>
  </si>
  <si>
    <t xml:space="preserve">Simplifying the binomial ratio to (2n+1)/(2n+2) and applying the 1^infinity rule.</t>
  </si>
  <si>
    <t xml:space="preserve">A binomial-coefficient simplification followed by the standard 1^infinity formula: two routine steps chained, so one above the single-move anchor 2024-P2-Q3 (L1, 1^infinity).</t>
  </si>
  <si>
    <t xml:space="preserve">2024-P2-Q3 (L1)</t>
  </si>
  <si>
    <t xml:space="preserve">Q05</t>
  </si>
  <si>
    <t xml:space="preserve">Rewriting n(S_n - 1) as -sum k/(n^2+k) and squeezing that sum.</t>
  </si>
  <si>
    <t xml:space="preserve">Two ideas linked: a subtraction that exposes the second-order term, then a sandwich with rational bounds. A strong student may stop at S_n -&gt; 1. Same family as the sandwich anchor 2023-P1-Q4 (L4) but with an easier squeeze, so L3.</t>
  </si>
  <si>
    <t xml:space="preserve">2023-P1-Q4 (L4)</t>
  </si>
  <si>
    <t xml:space="preserve">Q06</t>
  </si>
  <si>
    <t xml:space="preserve">Seeing that [cos x] is identically 0 near 0, so the first term uses f(0), while sin x is never 0, so the second uses the limit of f.</t>
  </si>
  <si>
    <t xml:space="preserve">A conceptual trap on composite limits with two routine evaluations; no heavy computation. Similar demand to 2025-P2-Q1 (L2); above the one-move L1 anchors because two different composite behaviours must be handled.</t>
  </si>
  <si>
    <t xml:space="preserve">Q07</t>
  </si>
  <si>
    <t xml:space="preserve">Numerical</t>
  </si>
  <si>
    <t xml:space="preserve">Splitting the numerator and rationalising each radical, including the cube roots via a^3 - b^3.</t>
  </si>
  <si>
    <t xml:space="preserve">Three routine rationalisations combined, no insight; numerical format. Comparable to 2025-P2-Q1 (L2).</t>
  </si>
  <si>
    <t xml:space="preserve">Q08</t>
  </si>
  <si>
    <t xml:space="preserve">Splitting Q - H through the arithmetic mean and rationalising Q - A.</t>
  </si>
  <si>
    <t xml:space="preserve">Routine rationalisation plus dominant-term limits, with one organising step (splitting through A). Multi-step but no insight; L2 alongside 2025-P2-Q1 (L2).</t>
  </si>
  <si>
    <t xml:space="preserve">Q09</t>
  </si>
  <si>
    <t xml:space="preserve">Expanding the base to first order as 1 - 3x/2 and applying the 1^infinity rule.</t>
  </si>
  <si>
    <t xml:space="preserve">Standard 1^infinity rule with two routine second-order expansions; numerical format. One above the L1 anchor 2024-P2-Q3 (1^infinity) because the base needs expansions of two different functions.</t>
  </si>
  <si>
    <t xml:space="preserve">Q10</t>
  </si>
  <si>
    <t xml:space="preserve">Squeezing e^{k^3/n^4} between 1 + t and 1 + t + t^2 to get n(a_n - 1) -&gt; 1/4.</t>
  </si>
  <si>
    <t xml:space="preserve">Three standard pieces linked: exponential bounds, sum of cubes, and the 1^infinity rule, with the error term to control; no options. Two ideas linked, so L3; lighter than the sandwich anchor 2023-P1-Q4 (L4).</t>
  </si>
  <si>
    <t xml:space="preserve">Q11</t>
  </si>
  <si>
    <t xml:space="preserve">Showing the floor is n + 19 (the root is just below n + 20) and rationalising.</t>
  </si>
  <si>
    <t xml:space="preserve">One GIF observation plus a standard rationalisation, numerical format; the 'tends to 1, not 0' trap adds a step. L2, comparable to 2025-P2-Q1 (L2).</t>
  </si>
  <si>
    <t xml:space="preserve">Q12</t>
  </si>
  <si>
    <t xml:space="preserve">Locating the jump points of [x] and [2x] inside the interval and setting each jump to zero.</t>
  </si>
  <si>
    <t xml:space="preserve">Two linked ideas: locating jump points of two GIF terms (one a double jump) and solving the continuity conditions, then a one-sided limit at another point. Similar to the GIF continuity anchor 2023-P2-Q6 (L3).</t>
  </si>
  <si>
    <t xml:space="preserve">2023-P2-Q6 (L3)</t>
  </si>
  <si>
    <t xml:space="preserve">Q13</t>
  </si>
  <si>
    <t xml:space="preserve">Finding where f regains its local maximum value 11/4 (double-root factorisation) and reading the corner slopes.</t>
  </si>
  <si>
    <t xml:space="preserve">Two linked ideas: the shape of the running maximum and the one-sided derivatives at the regain point, with a factorisation step. Comparable to the max/min differentiability anchor 2024-P1-Q17 (L3).</t>
  </si>
  <si>
    <t xml:space="preserve">2024-P1-Q17 (L3)</t>
  </si>
  <si>
    <t xml:space="preserve">Q14</t>
  </si>
  <si>
    <t xml:space="preserve">Writing f piecewise from the n-limit and noticing that f(1+h)f(1-h) uses one branch of each kind on both sides.</t>
  </si>
  <si>
    <t xml:space="preserve">Two linked ideas: evaluating a limit-defined function piecewise and a two-sided analysis where branches swap; numerical answer. L3, harder than the routine L2 piecewise checks and lighter than 2026-P2-Q14 (L4).</t>
  </si>
  <si>
    <t xml:space="preserve">Q15</t>
  </si>
  <si>
    <t xml:space="preserve">Equating q'(c) and q'(-c) to find c = 2 (double tangent), then a and b.</t>
  </si>
  <si>
    <t xml:space="preserve">Two linked ideas: four junction conditions with an unknown junction, then evaluation on the correct pieces; no options. Comparable to the piecewise continuity/differentiability anchor 2024-P1-Q17 (L3).</t>
  </si>
  <si>
    <t xml:space="preserve">Q16</t>
  </si>
  <si>
    <t xml:space="preserve">Expanding f near 1 as 20 + 190(y - 1) and substituting y = f(x) -&gt; 1.</t>
  </si>
  <si>
    <t xml:space="preserve">A composite limit where the inner function approaches the excluded point, plus a routine expansion of a geometric sum; multi-step, no insight. L2 with 2025-P2-Q1 (L2).</t>
  </si>
  <si>
    <t xml:space="preserve">Q17</t>
  </si>
  <si>
    <t xml:space="preserve">Seeing that f(x) + 1 = (x - 1)^2 &gt; 0, so only the right-hand limit of g at -1 matters.</t>
  </si>
  <si>
    <t xml:space="preserve">A composite-limit trap with factoring and a one-sided limit; routine steps chained. L2 with 2025-P2-Q1 (L2).</t>
  </si>
  <si>
    <t xml:space="preserve">Q18</t>
  </si>
  <si>
    <t xml:space="preserve">Noticing that the x^4 terms cancel and expanding all four series to order 5.</t>
  </si>
  <si>
    <t xml:space="preserve">Heavy but standard series work across four functions with a structural cancellation to see; no options. L3, below the series-with-unknowns anchor 2025-P1-Q11 (L4).</t>
  </si>
  <si>
    <t xml:space="preserve">Q19</t>
  </si>
  <si>
    <t xml:space="preserve">Telescoping the functional equation with continuity at 0 to get f = x^2 - 1, then g = max{1, |f|}.</t>
  </si>
  <si>
    <t xml:space="preserve">Two linked ideas (functional equation with continuity, and the max produced by an n-th root limit) plus a trap at x = 0; numerical answer. L3, comparable to 2024-P1-Q17 (L3) for the differentiability check.</t>
  </si>
  <si>
    <t xml:space="preserve">Q20</t>
  </si>
  <si>
    <t xml:space="preserve">Expanding (1 + ax)e^x to third order and setting the x and x^2 coefficients to zero.</t>
  </si>
  <si>
    <t xml:space="preserve">Standard expansion with two coefficient conditions; routine multi-step, numerical format. L2, near 2025-P2-Q1 (L2).</t>
  </si>
  <si>
    <t xml:space="preserve">Q21</t>
  </si>
  <si>
    <t xml:space="preserve">Matching first-order terms (a = 3b/2), then using the x^2 coefficient -b^2/8 = -18.</t>
  </si>
  <si>
    <t xml:space="preserve">Two routine expansions and two coefficient conditions; multi-step but standard. L2, near 2025-P2-Q1 (L2).</t>
  </si>
  <si>
    <t xml:space="preserve">Q22</t>
  </si>
  <si>
    <t xml:space="preserve">Writing the GP sum in closed form and bounding x_n by x_2 &lt; 1 so that x_n^{n+1} -&gt; 0.</t>
  </si>
  <si>
    <t xml:space="preserve">Closed form of a GP, a monotonicity bound and a limit: routine steps chained with one small justification. L2, near 2025-P2-Q1 (L2).</t>
  </si>
  <si>
    <t xml:space="preserve">Q23</t>
  </si>
  <si>
    <t xml:space="preserve">Bounding the sum by its largest term (9/4)^n and n times it.</t>
  </si>
  <si>
    <t xml:space="preserve">A standard max-term sandwich with n^{1/n} -&gt; 1; two routine steps with one possible trap. L2, near 2025-P2-Q1 (L2).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</si>
  <si>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</si>
  <si>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</si>
  <si>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Limit   |   Evaluated on: 2026-10-19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</si>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</sst>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6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35.0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4" t="n">
        <v>2</v>
      </c>
      <c r="H3" s="4" t="s">
        <v>19</v>
      </c>
      <c r="I3" s="5" t="n">
        <v>0</v>
      </c>
      <c r="J3" s="5" t="n">
        <v>0</v>
      </c>
      <c r="K3" s="5" t="n">
        <f aca="false">MIN(5,MAX(G3+I3,J3))</f>
        <v>2</v>
      </c>
      <c r="L3" s="5" t="n">
        <f aca="false">F3*K3</f>
        <v>6</v>
      </c>
      <c r="M3" s="3" t="s">
        <v>25</v>
      </c>
      <c r="N3" s="3" t="s">
        <v>26</v>
      </c>
      <c r="O3" s="3" t="s">
        <v>22</v>
      </c>
      <c r="P3" s="2" t="s">
        <v>23</v>
      </c>
    </row>
    <row r="4" customFormat="false" ht="35.05" hidden="false" customHeight="false" outlineLevel="0" collapsed="false">
      <c r="A4" s="2" t="n">
        <v>3</v>
      </c>
      <c r="B4" s="2"/>
      <c r="C4" s="2" t="s">
        <v>27</v>
      </c>
      <c r="D4" s="2" t="s">
        <v>17</v>
      </c>
      <c r="E4" s="3" t="s">
        <v>18</v>
      </c>
      <c r="F4" s="2" t="n">
        <v>3</v>
      </c>
      <c r="G4" s="6" t="n">
        <v>3</v>
      </c>
      <c r="H4" s="6" t="s">
        <v>28</v>
      </c>
      <c r="I4" s="5" t="n">
        <v>0</v>
      </c>
      <c r="J4" s="5" t="n">
        <v>0</v>
      </c>
      <c r="K4" s="5" t="n">
        <f aca="false">MIN(5,MAX(G4+I4,J4))</f>
        <v>3</v>
      </c>
      <c r="L4" s="5" t="n">
        <f aca="false">F4*K4</f>
        <v>9</v>
      </c>
      <c r="M4" s="3" t="s">
        <v>29</v>
      </c>
      <c r="N4" s="3" t="s">
        <v>30</v>
      </c>
      <c r="O4" s="3" t="s">
        <v>31</v>
      </c>
      <c r="P4" s="2" t="s">
        <v>32</v>
      </c>
    </row>
    <row r="5" customFormat="false" ht="35.05" hidden="false" customHeight="false" outlineLevel="0" collapsed="false">
      <c r="A5" s="2" t="n">
        <v>4</v>
      </c>
      <c r="B5" s="2"/>
      <c r="C5" s="2" t="s">
        <v>33</v>
      </c>
      <c r="D5" s="2" t="s">
        <v>17</v>
      </c>
      <c r="E5" s="3" t="s">
        <v>18</v>
      </c>
      <c r="F5" s="2" t="n">
        <v>3</v>
      </c>
      <c r="G5" s="4" t="n">
        <v>2</v>
      </c>
      <c r="H5" s="4" t="s">
        <v>19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6</v>
      </c>
      <c r="M5" s="3" t="s">
        <v>34</v>
      </c>
      <c r="N5" s="3" t="s">
        <v>35</v>
      </c>
      <c r="O5" s="3" t="s">
        <v>36</v>
      </c>
      <c r="P5" s="2" t="s">
        <v>23</v>
      </c>
    </row>
    <row r="6" customFormat="false" ht="46.25" hidden="false" customHeight="false" outlineLevel="0" collapsed="false">
      <c r="A6" s="2" t="n">
        <v>5</v>
      </c>
      <c r="B6" s="2"/>
      <c r="C6" s="2" t="s">
        <v>37</v>
      </c>
      <c r="D6" s="2" t="s">
        <v>17</v>
      </c>
      <c r="E6" s="3" t="s">
        <v>18</v>
      </c>
      <c r="F6" s="2" t="n">
        <v>3</v>
      </c>
      <c r="G6" s="6" t="n">
        <v>3</v>
      </c>
      <c r="H6" s="6" t="s">
        <v>28</v>
      </c>
      <c r="I6" s="5" t="n">
        <v>0</v>
      </c>
      <c r="J6" s="5" t="n">
        <v>0</v>
      </c>
      <c r="K6" s="5" t="n">
        <f aca="false">MIN(5,MAX(G6+I6,J6))</f>
        <v>3</v>
      </c>
      <c r="L6" s="5" t="n">
        <f aca="false">F6*K6</f>
        <v>9</v>
      </c>
      <c r="M6" s="3" t="s">
        <v>38</v>
      </c>
      <c r="N6" s="3" t="s">
        <v>39</v>
      </c>
      <c r="O6" s="3" t="s">
        <v>40</v>
      </c>
      <c r="P6" s="2" t="s">
        <v>32</v>
      </c>
    </row>
    <row r="7" customFormat="false" ht="46.25" hidden="false" customHeight="false" outlineLevel="0" collapsed="false">
      <c r="A7" s="2" t="n">
        <v>6</v>
      </c>
      <c r="B7" s="2"/>
      <c r="C7" s="2" t="s">
        <v>41</v>
      </c>
      <c r="D7" s="2" t="s">
        <v>17</v>
      </c>
      <c r="E7" s="3" t="s">
        <v>18</v>
      </c>
      <c r="F7" s="2" t="n">
        <v>3</v>
      </c>
      <c r="G7" s="4" t="n">
        <v>2</v>
      </c>
      <c r="H7" s="4" t="s">
        <v>19</v>
      </c>
      <c r="I7" s="5" t="n">
        <v>0</v>
      </c>
      <c r="J7" s="5" t="n">
        <v>0</v>
      </c>
      <c r="K7" s="5" t="n">
        <f aca="false">MIN(5,MAX(G7+I7,J7))</f>
        <v>2</v>
      </c>
      <c r="L7" s="5" t="n">
        <f aca="false">F7*K7</f>
        <v>6</v>
      </c>
      <c r="M7" s="3" t="s">
        <v>42</v>
      </c>
      <c r="N7" s="3" t="s">
        <v>43</v>
      </c>
      <c r="O7" s="3" t="s">
        <v>22</v>
      </c>
      <c r="P7" s="2" t="s">
        <v>23</v>
      </c>
    </row>
    <row r="8" customFormat="false" ht="23.85" hidden="false" customHeight="false" outlineLevel="0" collapsed="false">
      <c r="A8" s="2" t="n">
        <v>7</v>
      </c>
      <c r="B8" s="2"/>
      <c r="C8" s="2" t="s">
        <v>44</v>
      </c>
      <c r="D8" s="2" t="s">
        <v>45</v>
      </c>
      <c r="E8" s="3" t="s">
        <v>18</v>
      </c>
      <c r="F8" s="2" t="n">
        <v>4</v>
      </c>
      <c r="G8" s="4" t="n">
        <v>2</v>
      </c>
      <c r="H8" s="4" t="s">
        <v>19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8</v>
      </c>
      <c r="M8" s="3" t="s">
        <v>46</v>
      </c>
      <c r="N8" s="3" t="s">
        <v>47</v>
      </c>
      <c r="O8" s="3" t="s">
        <v>22</v>
      </c>
      <c r="P8" s="2" t="s">
        <v>23</v>
      </c>
    </row>
    <row r="9" customFormat="false" ht="35.05" hidden="false" customHeight="false" outlineLevel="0" collapsed="false">
      <c r="A9" s="2" t="n">
        <v>8</v>
      </c>
      <c r="B9" s="2"/>
      <c r="C9" s="2" t="s">
        <v>48</v>
      </c>
      <c r="D9" s="2" t="s">
        <v>45</v>
      </c>
      <c r="E9" s="3" t="s">
        <v>18</v>
      </c>
      <c r="F9" s="2" t="n">
        <v>4</v>
      </c>
      <c r="G9" s="4" t="n">
        <v>2</v>
      </c>
      <c r="H9" s="4" t="s">
        <v>19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8</v>
      </c>
      <c r="M9" s="3" t="s">
        <v>49</v>
      </c>
      <c r="N9" s="3" t="s">
        <v>50</v>
      </c>
      <c r="O9" s="3" t="s">
        <v>22</v>
      </c>
      <c r="P9" s="2" t="s">
        <v>23</v>
      </c>
    </row>
    <row r="10" customFormat="false" ht="35.05" hidden="false" customHeight="false" outlineLevel="0" collapsed="false">
      <c r="A10" s="2" t="n">
        <v>9</v>
      </c>
      <c r="B10" s="2"/>
      <c r="C10" s="2" t="s">
        <v>51</v>
      </c>
      <c r="D10" s="2" t="s">
        <v>45</v>
      </c>
      <c r="E10" s="3" t="s">
        <v>18</v>
      </c>
      <c r="F10" s="2" t="n">
        <v>4</v>
      </c>
      <c r="G10" s="4" t="n">
        <v>2</v>
      </c>
      <c r="H10" s="4" t="s">
        <v>19</v>
      </c>
      <c r="I10" s="5" t="n">
        <v>0</v>
      </c>
      <c r="J10" s="5" t="n">
        <v>0</v>
      </c>
      <c r="K10" s="5" t="n">
        <f aca="false">MIN(5,MAX(G10+I10,J10))</f>
        <v>2</v>
      </c>
      <c r="L10" s="5" t="n">
        <f aca="false">F10*K10</f>
        <v>8</v>
      </c>
      <c r="M10" s="3" t="s">
        <v>52</v>
      </c>
      <c r="N10" s="3" t="s">
        <v>53</v>
      </c>
      <c r="O10" s="3" t="s">
        <v>36</v>
      </c>
      <c r="P10" s="2" t="s">
        <v>23</v>
      </c>
    </row>
    <row r="11" customFormat="false" ht="35.05" hidden="false" customHeight="false" outlineLevel="0" collapsed="false">
      <c r="A11" s="2" t="n">
        <v>10</v>
      </c>
      <c r="B11" s="2"/>
      <c r="C11" s="2" t="s">
        <v>54</v>
      </c>
      <c r="D11" s="2" t="s">
        <v>45</v>
      </c>
      <c r="E11" s="3" t="s">
        <v>18</v>
      </c>
      <c r="F11" s="2" t="n">
        <v>4</v>
      </c>
      <c r="G11" s="6" t="n">
        <v>3</v>
      </c>
      <c r="H11" s="6" t="s">
        <v>28</v>
      </c>
      <c r="I11" s="5" t="n">
        <v>0</v>
      </c>
      <c r="J11" s="5" t="n">
        <v>0</v>
      </c>
      <c r="K11" s="5" t="n">
        <f aca="false">MIN(5,MAX(G11+I11,J11))</f>
        <v>3</v>
      </c>
      <c r="L11" s="5" t="n">
        <f aca="false">F11*K11</f>
        <v>12</v>
      </c>
      <c r="M11" s="3" t="s">
        <v>55</v>
      </c>
      <c r="N11" s="3" t="s">
        <v>56</v>
      </c>
      <c r="O11" s="3" t="s">
        <v>40</v>
      </c>
      <c r="P11" s="2" t="s">
        <v>32</v>
      </c>
    </row>
    <row r="12" customFormat="false" ht="23.85" hidden="false" customHeight="false" outlineLevel="0" collapsed="false">
      <c r="A12" s="2" t="n">
        <v>11</v>
      </c>
      <c r="B12" s="2"/>
      <c r="C12" s="2" t="s">
        <v>57</v>
      </c>
      <c r="D12" s="2" t="s">
        <v>45</v>
      </c>
      <c r="E12" s="3" t="s">
        <v>18</v>
      </c>
      <c r="F12" s="2" t="n">
        <v>4</v>
      </c>
      <c r="G12" s="4" t="n">
        <v>2</v>
      </c>
      <c r="H12" s="4" t="s">
        <v>19</v>
      </c>
      <c r="I12" s="5" t="n">
        <v>0</v>
      </c>
      <c r="J12" s="5" t="n">
        <v>0</v>
      </c>
      <c r="K12" s="5" t="n">
        <f aca="false">MIN(5,MAX(G12+I12,J12))</f>
        <v>2</v>
      </c>
      <c r="L12" s="5" t="n">
        <f aca="false">F12*K12</f>
        <v>8</v>
      </c>
      <c r="M12" s="3" t="s">
        <v>58</v>
      </c>
      <c r="N12" s="3" t="s">
        <v>59</v>
      </c>
      <c r="O12" s="3" t="s">
        <v>22</v>
      </c>
      <c r="P12" s="2" t="s">
        <v>32</v>
      </c>
    </row>
    <row r="13" customFormat="false" ht="35.05" hidden="false" customHeight="false" outlineLevel="0" collapsed="false">
      <c r="A13" s="2" t="n">
        <v>12</v>
      </c>
      <c r="B13" s="2"/>
      <c r="C13" s="2" t="s">
        <v>60</v>
      </c>
      <c r="D13" s="2" t="s">
        <v>45</v>
      </c>
      <c r="E13" s="3" t="s">
        <v>18</v>
      </c>
      <c r="F13" s="2" t="n">
        <v>4</v>
      </c>
      <c r="G13" s="6" t="n">
        <v>3</v>
      </c>
      <c r="H13" s="6" t="s">
        <v>28</v>
      </c>
      <c r="I13" s="5" t="n">
        <v>0</v>
      </c>
      <c r="J13" s="5" t="n">
        <v>0</v>
      </c>
      <c r="K13" s="5" t="n">
        <f aca="false">MIN(5,MAX(G13+I13,J13))</f>
        <v>3</v>
      </c>
      <c r="L13" s="5" t="n">
        <f aca="false">F13*K13</f>
        <v>12</v>
      </c>
      <c r="M13" s="3" t="s">
        <v>61</v>
      </c>
      <c r="N13" s="3" t="s">
        <v>62</v>
      </c>
      <c r="O13" s="3" t="s">
        <v>63</v>
      </c>
      <c r="P13" s="2" t="s">
        <v>32</v>
      </c>
    </row>
    <row r="14" customFormat="false" ht="35.05" hidden="false" customHeight="false" outlineLevel="0" collapsed="false">
      <c r="A14" s="2" t="n">
        <v>13</v>
      </c>
      <c r="B14" s="2"/>
      <c r="C14" s="2" t="s">
        <v>64</v>
      </c>
      <c r="D14" s="2" t="s">
        <v>45</v>
      </c>
      <c r="E14" s="3" t="s">
        <v>18</v>
      </c>
      <c r="F14" s="2" t="n">
        <v>4</v>
      </c>
      <c r="G14" s="6" t="n">
        <v>3</v>
      </c>
      <c r="H14" s="6" t="s">
        <v>28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65</v>
      </c>
      <c r="N14" s="3" t="s">
        <v>66</v>
      </c>
      <c r="O14" s="3" t="s">
        <v>67</v>
      </c>
      <c r="P14" s="2" t="s">
        <v>32</v>
      </c>
    </row>
    <row r="15" customFormat="false" ht="35.05" hidden="false" customHeight="false" outlineLevel="0" collapsed="false">
      <c r="A15" s="2" t="n">
        <v>14</v>
      </c>
      <c r="B15" s="2"/>
      <c r="C15" s="2" t="s">
        <v>68</v>
      </c>
      <c r="D15" s="2" t="s">
        <v>45</v>
      </c>
      <c r="E15" s="3" t="s">
        <v>18</v>
      </c>
      <c r="F15" s="2" t="n">
        <v>4</v>
      </c>
      <c r="G15" s="6" t="n">
        <v>3</v>
      </c>
      <c r="H15" s="6" t="s">
        <v>28</v>
      </c>
      <c r="I15" s="5" t="n">
        <v>0</v>
      </c>
      <c r="J15" s="5" t="n">
        <v>0</v>
      </c>
      <c r="K15" s="5" t="n">
        <f aca="false">MIN(5,MAX(G15+I15,J15))</f>
        <v>3</v>
      </c>
      <c r="L15" s="5" t="n">
        <f aca="false">F15*K15</f>
        <v>12</v>
      </c>
      <c r="M15" s="3" t="s">
        <v>69</v>
      </c>
      <c r="N15" s="3" t="s">
        <v>70</v>
      </c>
      <c r="O15" s="3" t="s">
        <v>67</v>
      </c>
      <c r="P15" s="2" t="s">
        <v>32</v>
      </c>
    </row>
    <row r="16" customFormat="false" ht="35.05" hidden="false" customHeight="false" outlineLevel="0" collapsed="false">
      <c r="A16" s="2" t="n">
        <v>15</v>
      </c>
      <c r="B16" s="2"/>
      <c r="C16" s="2" t="s">
        <v>71</v>
      </c>
      <c r="D16" s="2" t="s">
        <v>45</v>
      </c>
      <c r="E16" s="3" t="s">
        <v>18</v>
      </c>
      <c r="F16" s="2" t="n">
        <v>4</v>
      </c>
      <c r="G16" s="6" t="n">
        <v>3</v>
      </c>
      <c r="H16" s="6" t="s">
        <v>28</v>
      </c>
      <c r="I16" s="5" t="n">
        <v>0</v>
      </c>
      <c r="J16" s="5" t="n">
        <v>0</v>
      </c>
      <c r="K16" s="5" t="n">
        <f aca="false">MIN(5,MAX(G16+I16,J16))</f>
        <v>3</v>
      </c>
      <c r="L16" s="5" t="n">
        <f aca="false">F16*K16</f>
        <v>12</v>
      </c>
      <c r="M16" s="3" t="s">
        <v>72</v>
      </c>
      <c r="N16" s="3" t="s">
        <v>73</v>
      </c>
      <c r="O16" s="3" t="s">
        <v>67</v>
      </c>
      <c r="P16" s="2" t="s">
        <v>32</v>
      </c>
    </row>
    <row r="17" customFormat="false" ht="35.05" hidden="false" customHeight="false" outlineLevel="0" collapsed="false">
      <c r="A17" s="2" t="n">
        <v>16</v>
      </c>
      <c r="B17" s="2"/>
      <c r="C17" s="2" t="s">
        <v>74</v>
      </c>
      <c r="D17" s="2" t="s">
        <v>45</v>
      </c>
      <c r="E17" s="3" t="s">
        <v>18</v>
      </c>
      <c r="F17" s="2" t="n">
        <v>4</v>
      </c>
      <c r="G17" s="4" t="n">
        <v>2</v>
      </c>
      <c r="H17" s="4" t="s">
        <v>19</v>
      </c>
      <c r="I17" s="5" t="n">
        <v>0</v>
      </c>
      <c r="J17" s="5" t="n">
        <v>0</v>
      </c>
      <c r="K17" s="5" t="n">
        <f aca="false">MIN(5,MAX(G17+I17,J17))</f>
        <v>2</v>
      </c>
      <c r="L17" s="5" t="n">
        <f aca="false">F17*K17</f>
        <v>8</v>
      </c>
      <c r="M17" s="3" t="s">
        <v>75</v>
      </c>
      <c r="N17" s="3" t="s">
        <v>76</v>
      </c>
      <c r="O17" s="3" t="s">
        <v>22</v>
      </c>
      <c r="P17" s="2" t="s">
        <v>23</v>
      </c>
    </row>
    <row r="18" customFormat="false" ht="23.85" hidden="false" customHeight="false" outlineLevel="0" collapsed="false">
      <c r="A18" s="2" t="n">
        <v>17</v>
      </c>
      <c r="B18" s="2"/>
      <c r="C18" s="2" t="s">
        <v>77</v>
      </c>
      <c r="D18" s="2" t="s">
        <v>45</v>
      </c>
      <c r="E18" s="3" t="s">
        <v>18</v>
      </c>
      <c r="F18" s="2" t="n">
        <v>4</v>
      </c>
      <c r="G18" s="4" t="n">
        <v>2</v>
      </c>
      <c r="H18" s="4" t="s">
        <v>19</v>
      </c>
      <c r="I18" s="5" t="n">
        <v>0</v>
      </c>
      <c r="J18" s="5" t="n">
        <v>0</v>
      </c>
      <c r="K18" s="5" t="n">
        <f aca="false">MIN(5,MAX(G18+I18,J18))</f>
        <v>2</v>
      </c>
      <c r="L18" s="5" t="n">
        <f aca="false">F18*K18</f>
        <v>8</v>
      </c>
      <c r="M18" s="3" t="s">
        <v>78</v>
      </c>
      <c r="N18" s="3" t="s">
        <v>79</v>
      </c>
      <c r="O18" s="3" t="s">
        <v>22</v>
      </c>
      <c r="P18" s="2" t="s">
        <v>23</v>
      </c>
    </row>
    <row r="19" customFormat="false" ht="35.05" hidden="false" customHeight="false" outlineLevel="0" collapsed="false">
      <c r="A19" s="2" t="n">
        <v>18</v>
      </c>
      <c r="B19" s="2"/>
      <c r="C19" s="2" t="s">
        <v>80</v>
      </c>
      <c r="D19" s="2" t="s">
        <v>45</v>
      </c>
      <c r="E19" s="3" t="s">
        <v>18</v>
      </c>
      <c r="F19" s="2" t="n">
        <v>4</v>
      </c>
      <c r="G19" s="6" t="n">
        <v>3</v>
      </c>
      <c r="H19" s="6" t="s">
        <v>28</v>
      </c>
      <c r="I19" s="5" t="n">
        <v>0</v>
      </c>
      <c r="J19" s="5" t="n">
        <v>0</v>
      </c>
      <c r="K19" s="5" t="n">
        <f aca="false">MIN(5,MAX(G19+I19,J19))</f>
        <v>3</v>
      </c>
      <c r="L19" s="5" t="n">
        <f aca="false">F19*K19</f>
        <v>12</v>
      </c>
      <c r="M19" s="3" t="s">
        <v>81</v>
      </c>
      <c r="N19" s="3" t="s">
        <v>82</v>
      </c>
      <c r="O19" s="3" t="s">
        <v>31</v>
      </c>
      <c r="P19" s="2" t="s">
        <v>32</v>
      </c>
    </row>
    <row r="20" customFormat="false" ht="35.05" hidden="false" customHeight="false" outlineLevel="0" collapsed="false">
      <c r="A20" s="2" t="n">
        <v>19</v>
      </c>
      <c r="B20" s="2"/>
      <c r="C20" s="2" t="s">
        <v>83</v>
      </c>
      <c r="D20" s="2" t="s">
        <v>45</v>
      </c>
      <c r="E20" s="3" t="s">
        <v>18</v>
      </c>
      <c r="F20" s="2" t="n">
        <v>4</v>
      </c>
      <c r="G20" s="6" t="n">
        <v>3</v>
      </c>
      <c r="H20" s="6" t="s">
        <v>28</v>
      </c>
      <c r="I20" s="5" t="n">
        <v>0</v>
      </c>
      <c r="J20" s="5" t="n">
        <v>0</v>
      </c>
      <c r="K20" s="5" t="n">
        <f aca="false">MIN(5,MAX(G20+I20,J20))</f>
        <v>3</v>
      </c>
      <c r="L20" s="5" t="n">
        <f aca="false">F20*K20</f>
        <v>12</v>
      </c>
      <c r="M20" s="3" t="s">
        <v>84</v>
      </c>
      <c r="N20" s="3" t="s">
        <v>85</v>
      </c>
      <c r="O20" s="3" t="s">
        <v>67</v>
      </c>
      <c r="P20" s="2" t="s">
        <v>32</v>
      </c>
    </row>
    <row r="21" customFormat="false" ht="23.85" hidden="false" customHeight="false" outlineLevel="0" collapsed="false">
      <c r="A21" s="2" t="n">
        <v>20</v>
      </c>
      <c r="B21" s="2"/>
      <c r="C21" s="2" t="s">
        <v>86</v>
      </c>
      <c r="D21" s="2" t="s">
        <v>45</v>
      </c>
      <c r="E21" s="3" t="s">
        <v>18</v>
      </c>
      <c r="F21" s="2" t="n">
        <v>4</v>
      </c>
      <c r="G21" s="4" t="n">
        <v>2</v>
      </c>
      <c r="H21" s="4" t="s">
        <v>19</v>
      </c>
      <c r="I21" s="5" t="n">
        <v>0</v>
      </c>
      <c r="J21" s="5" t="n">
        <v>0</v>
      </c>
      <c r="K21" s="5" t="n">
        <f aca="false">MIN(5,MAX(G21+I21,J21))</f>
        <v>2</v>
      </c>
      <c r="L21" s="5" t="n">
        <f aca="false">F21*K21</f>
        <v>8</v>
      </c>
      <c r="M21" s="3" t="s">
        <v>87</v>
      </c>
      <c r="N21" s="3" t="s">
        <v>88</v>
      </c>
      <c r="O21" s="3" t="s">
        <v>22</v>
      </c>
      <c r="P21" s="2" t="s">
        <v>23</v>
      </c>
    </row>
    <row r="22" customFormat="false" ht="23.85" hidden="false" customHeight="false" outlineLevel="0" collapsed="false">
      <c r="A22" s="2" t="n">
        <v>21</v>
      </c>
      <c r="B22" s="2"/>
      <c r="C22" s="2" t="s">
        <v>89</v>
      </c>
      <c r="D22" s="2" t="s">
        <v>45</v>
      </c>
      <c r="E22" s="3" t="s">
        <v>18</v>
      </c>
      <c r="F22" s="2" t="n">
        <v>4</v>
      </c>
      <c r="G22" s="4" t="n">
        <v>2</v>
      </c>
      <c r="H22" s="4" t="s">
        <v>19</v>
      </c>
      <c r="I22" s="5" t="n">
        <v>0</v>
      </c>
      <c r="J22" s="5" t="n">
        <v>0</v>
      </c>
      <c r="K22" s="5" t="n">
        <f aca="false">MIN(5,MAX(G22+I22,J22))</f>
        <v>2</v>
      </c>
      <c r="L22" s="5" t="n">
        <f aca="false">F22*K22</f>
        <v>8</v>
      </c>
      <c r="M22" s="3" t="s">
        <v>90</v>
      </c>
      <c r="N22" s="3" t="s">
        <v>91</v>
      </c>
      <c r="O22" s="3" t="s">
        <v>22</v>
      </c>
      <c r="P22" s="2" t="s">
        <v>23</v>
      </c>
    </row>
    <row r="23" customFormat="false" ht="35.05" hidden="false" customHeight="false" outlineLevel="0" collapsed="false">
      <c r="A23" s="2" t="n">
        <v>22</v>
      </c>
      <c r="B23" s="2"/>
      <c r="C23" s="2" t="s">
        <v>92</v>
      </c>
      <c r="D23" s="2" t="s">
        <v>45</v>
      </c>
      <c r="E23" s="3" t="s">
        <v>18</v>
      </c>
      <c r="F23" s="2" t="n">
        <v>4</v>
      </c>
      <c r="G23" s="4" t="n">
        <v>2</v>
      </c>
      <c r="H23" s="4" t="s">
        <v>19</v>
      </c>
      <c r="I23" s="5" t="n">
        <v>0</v>
      </c>
      <c r="J23" s="5" t="n">
        <v>0</v>
      </c>
      <c r="K23" s="5" t="n">
        <f aca="false">MIN(5,MAX(G23+I23,J23))</f>
        <v>2</v>
      </c>
      <c r="L23" s="5" t="n">
        <f aca="false">F23*K23</f>
        <v>8</v>
      </c>
      <c r="M23" s="3" t="s">
        <v>93</v>
      </c>
      <c r="N23" s="3" t="s">
        <v>94</v>
      </c>
      <c r="O23" s="3" t="s">
        <v>22</v>
      </c>
      <c r="P23" s="2" t="s">
        <v>32</v>
      </c>
    </row>
    <row r="24" customFormat="false" ht="23.85" hidden="false" customHeight="false" outlineLevel="0" collapsed="false">
      <c r="A24" s="2" t="n">
        <v>23</v>
      </c>
      <c r="B24" s="2"/>
      <c r="C24" s="2" t="s">
        <v>95</v>
      </c>
      <c r="D24" s="2" t="s">
        <v>45</v>
      </c>
      <c r="E24" s="3" t="s">
        <v>18</v>
      </c>
      <c r="F24" s="2" t="n">
        <v>4</v>
      </c>
      <c r="G24" s="4" t="n">
        <v>2</v>
      </c>
      <c r="H24" s="4" t="s">
        <v>19</v>
      </c>
      <c r="I24" s="5" t="n">
        <v>0</v>
      </c>
      <c r="J24" s="5" t="n">
        <v>0</v>
      </c>
      <c r="K24" s="5" t="n">
        <f aca="false">MIN(5,MAX(G24+I24,J24))</f>
        <v>2</v>
      </c>
      <c r="L24" s="5" t="n">
        <f aca="false">F24*K24</f>
        <v>8</v>
      </c>
      <c r="M24" s="3" t="s">
        <v>96</v>
      </c>
      <c r="N24" s="3" t="s">
        <v>97</v>
      </c>
      <c r="O24" s="3" t="s">
        <v>22</v>
      </c>
      <c r="P24" s="2" t="s">
        <v>23</v>
      </c>
    </row>
    <row r="26" customFormat="false" ht="15" hidden="false" customHeight="false" outlineLevel="0" collapsed="false">
      <c r="A26" s="7" t="s">
        <v>98</v>
      </c>
    </row>
  </sheetData>
  <autoFilter ref="A1:P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99</v>
      </c>
    </row>
    <row r="2" customFormat="false" ht="15" hidden="false" customHeight="false" outlineLevel="0" collapsed="false">
      <c r="A2" s="7" t="s">
        <v>100</v>
      </c>
    </row>
    <row r="4" customFormat="false" ht="15" hidden="false" customHeight="false" outlineLevel="0" collapsed="false">
      <c r="A4" s="1" t="s">
        <v>6</v>
      </c>
      <c r="B4" s="1" t="s">
        <v>101</v>
      </c>
      <c r="C4" s="1" t="s">
        <v>102</v>
      </c>
      <c r="D4" s="1" t="s">
        <v>5</v>
      </c>
      <c r="E4" s="1" t="s">
        <v>103</v>
      </c>
    </row>
    <row r="5" customFormat="false" ht="15" hidden="false" customHeight="false" outlineLevel="0" collapsed="false">
      <c r="A5" s="9" t="n">
        <v>0</v>
      </c>
      <c r="B5" s="9" t="s">
        <v>104</v>
      </c>
      <c r="C5" s="9" t="n">
        <f aca="false">COUNTIF(Evaluation!$G$2:$G$24,A5)</f>
        <v>0</v>
      </c>
      <c r="D5" s="9" t="n">
        <f aca="false">SUMIF(Evaluation!$G$2:$G$24,A5,Evaluation!$F$2:$F$24)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105</v>
      </c>
      <c r="C6" s="11" t="n">
        <f aca="false">COUNTIF(Evaluation!$G$2:$G$24,A6)</f>
        <v>0</v>
      </c>
      <c r="D6" s="11" t="n">
        <f aca="false">SUMIF(Evaluation!$G$2:$G$24,A6,Evaluation!$F$2:$F$24)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COUNTIF(Evaluation!$G$2:$G$24,A7)</f>
        <v>14</v>
      </c>
      <c r="D7" s="13" t="n">
        <f aca="false">SUMIF(Evaluation!$G$2:$G$24,A7,Evaluation!$F$2:$F$24)</f>
        <v>52</v>
      </c>
      <c r="E7" s="14" t="n">
        <f aca="false">IF(SUM($D$5:$D$10)=0,0,D7/SUM($D$5:$D$10))</f>
        <v>0.604651162790698</v>
      </c>
    </row>
    <row r="8" customFormat="false" ht="15" hidden="false" customHeight="false" outlineLevel="0" collapsed="false">
      <c r="A8" s="15" t="n">
        <v>3</v>
      </c>
      <c r="B8" s="15" t="s">
        <v>28</v>
      </c>
      <c r="C8" s="15" t="n">
        <f aca="false">COUNTIF(Evaluation!$G$2:$G$24,A8)</f>
        <v>9</v>
      </c>
      <c r="D8" s="15" t="n">
        <f aca="false">SUMIF(Evaluation!$G$2:$G$24,A8,Evaluation!$F$2:$F$24)</f>
        <v>34</v>
      </c>
      <c r="E8" s="16" t="n">
        <f aca="false">IF(SUM($D$5:$D$10)=0,0,D8/SUM($D$5:$D$10))</f>
        <v>0.395348837209302</v>
      </c>
    </row>
    <row r="9" customFormat="false" ht="15" hidden="false" customHeight="false" outlineLevel="0" collapsed="false">
      <c r="A9" s="17" t="n">
        <v>4</v>
      </c>
      <c r="B9" s="17" t="s">
        <v>106</v>
      </c>
      <c r="C9" s="17" t="n">
        <f aca="false">COUNTIF(Evaluation!$G$2:$G$24,A9)</f>
        <v>0</v>
      </c>
      <c r="D9" s="17" t="n">
        <f aca="false">SUMIF(Evaluation!$G$2:$G$24,A9,Evaluation!$F$2:$F$24)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107</v>
      </c>
      <c r="C10" s="19" t="n">
        <f aca="false">COUNTIF(Evaluation!$G$2:$G$24,A10)</f>
        <v>0</v>
      </c>
      <c r="D10" s="19" t="n">
        <f aca="false">SUMIF(Evaluation!$G$2:$G$24,A10,Evaluation!$F$2:$F$24)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108</v>
      </c>
      <c r="C11" s="21" t="n">
        <f aca="false">SUM(C5:C10)</f>
        <v>23</v>
      </c>
      <c r="D11" s="21" t="n">
        <f aca="false">SUM(D5:D10)</f>
        <v>86</v>
      </c>
    </row>
    <row r="13" customFormat="false" ht="46.25" hidden="false" customHeight="false" outlineLevel="0" collapsed="false">
      <c r="A13" s="1" t="s">
        <v>109</v>
      </c>
      <c r="B13" s="1" t="s">
        <v>110</v>
      </c>
      <c r="C13" s="1" t="s">
        <v>111</v>
      </c>
      <c r="D13" s="1" t="s">
        <v>5</v>
      </c>
      <c r="E13" s="1" t="s">
        <v>112</v>
      </c>
    </row>
    <row r="14" customFormat="false" ht="15" hidden="false" customHeight="false" outlineLevel="0" collapsed="false">
      <c r="A14" s="21" t="s">
        <v>113</v>
      </c>
      <c r="B14" s="22" t="n">
        <f aca="false">SUM(Evaluation!$L$2:$L$24)/SUM(Evaluation!$F$2:$F$24)</f>
        <v>2.3953488372093</v>
      </c>
      <c r="C14" s="22" t="n">
        <f aca="false">SUMPRODUCT(Evaluation!$F$2:$F$24,Evaluation!$G$2:$G$24)/SUM(Evaluation!$F$2:$F$24)</f>
        <v>2.3953488372093</v>
      </c>
      <c r="D14" s="21" t="n">
        <f aca="false">SUM(Evaluation!$F$2:$F$24)</f>
        <v>86</v>
      </c>
      <c r="E14" s="22" t="n">
        <f aca="false">AVERAGE(Evaluation!$G$2:$G$24)</f>
        <v>2.39130434782609</v>
      </c>
    </row>
    <row r="16" customFormat="false" ht="15" hidden="false" customHeight="false" outlineLevel="0" collapsed="false">
      <c r="A16" s="7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115</v>
      </c>
    </row>
    <row r="3" customFormat="false" ht="23.85" hidden="false" customHeight="false" outlineLevel="0" collapsed="false">
      <c r="A3" s="1" t="s">
        <v>116</v>
      </c>
      <c r="B3" s="1" t="s">
        <v>117</v>
      </c>
      <c r="C3" s="1" t="s">
        <v>112</v>
      </c>
      <c r="D3" s="1" t="s">
        <v>118</v>
      </c>
      <c r="E3" s="1" t="s">
        <v>119</v>
      </c>
      <c r="F3" s="1" t="s">
        <v>120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121</v>
      </c>
      <c r="B9" s="22" t="n">
        <f aca="false">Summary!B14</f>
        <v>2.3953488372093</v>
      </c>
      <c r="C9" s="22" t="n">
        <f aca="false">Summary!E14</f>
        <v>2.39130434782609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2026-10-19T04:12:55Z</dcterms:created>
  <dc:creator>openpyxl</dc:creator>
  <dc:description/>
  <dc:language>en-US</dc:language>
  <cp:lastModifiedBy/>
  <dcterms:modified xsi:type="dcterms:W3CDTF">2026-10-19T04:12:55Z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