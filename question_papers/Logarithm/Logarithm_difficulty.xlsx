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<sst xmlns="http://schemas.openxmlformats.org/spreadsheetml/2006/main" count="95" uniqueCount="70">
  <si>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</si>
  <si>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</si>
  <si>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</si>
  <si>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</si>
  <si>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</si>
  <si>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</si>
  <si>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</si>
  <si>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</si>
  <si>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</si>
  <si>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</si>
  <si>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</si>
  <si>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</si>
  <si>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</si>
  <si>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</si>
  <si>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</si>
  <si>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</si>
  <si>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</si>
  <si>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</si>
  <si>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Logarithm</t>
  </si>
  <si>
    <t xml:space="preserve">Average Advanced</t>
  </si>
  <si>
    <t xml:space="preserve">Reducing log_A B = log_B A to B = A or AB = 1, factoring the cubic and filtering five candidates by the domain.</t>
  </si>
  <si>
    <t xml:space="preserve">Two ideas linked: the reciprocal change-of-base step and a domain check that rejects three of five candidates, two of them irrational roots of a cubic that only fail through signs. Comparable to 2023-P2-Q3 (L3), a sum of solutions decided by range care; harder than 2024-P1-Q8 (L2).</t>
  </si>
  <si>
    <t xml:space="preserve">2023-P2-Q3 (L3)</t>
  </si>
  <si>
    <t xml:space="preserve">Medium</t>
  </si>
  <si>
    <t xml:space="preserve">Q02</t>
  </si>
  <si>
    <t xml:space="preserve">Numerical</t>
  </si>
  <si>
    <t xml:space="preserve">Telescoping the product by change of base, then expanding the log ratio to second order.</t>
  </si>
  <si>
    <t xml:space="preserve">Two linked ideas: the telescoping change-of-base product and a second-order expansion (the first-order ratio only gives 10). Above the single-step 1^infinity limit 2024-P2-Q3 (L1) and the routine 2025-P2-Q1 (L2); numerical format.</t>
  </si>
  <si>
    <t xml:space="preserve">2025-P2-Q1 (L2)</t>
  </si>
  <si>
    <t xml:space="preserve">Q03</t>
  </si>
  <si>
    <t xml:space="preserve">Reducing f to 2(t+2)/((t-3)(t+1)) and applying the discriminant method with the excluded points checked.</t>
  </si>
  <si>
    <t xml:space="preserve">Log identities and the discriminant method linked, plus the check that excluded t-values remove nothing; routine pieces but two ideas and a numerical answer. Comparable to 2021-P1-Q12 (L2, range of a quadratic ratio) made harder by the log reduction; near 2024-P1-Q3 (L3).</t>
  </si>
  <si>
    <t xml:space="preserve">2021-P1-Q12 (L2)</t>
  </si>
  <si>
    <t xml:space="preserve">Q04</t>
  </si>
  <si>
    <t xml:space="preserve">Recognising the series as a GP in log_x 4 and rejecting the root that violates |r| &lt; 1.</t>
  </si>
  <si>
    <t xml:space="preserve">Change of base and the infinite-GP sum lead to a quadratic; the convergence condition removes a root that satisfies the closed-form equation, a trap students fall into. Two ideas linked, numerical answer; above 2024-P1-Q8 (L2).</t>
  </si>
  <si>
    <t xml:space="preserve">2024-P1-Q8 (L2)</t>
  </si>
  <si>
    <t xml:space="preserve">Q05</t>
  </si>
  <si>
    <t xml:space="preserve">Easier than Advanced</t>
  </si>
  <si>
    <t xml:space="preserve">Converting both variable-base logs to t = log_2 x and solving the resulting quadratic.</t>
  </si>
  <si>
    <t xml:space="preserve">Routine chain: change of base, a quadratic in t and a base check; no real insight. Same kind as 2024-P1-Q8 (L2), the official logarithm equation question.</t>
  </si>
  <si>
    <t xml:space="preserve">High</t>
  </si>
  <si>
    <t xml:space="preserve">Q06</t>
  </si>
  <si>
    <t xml:space="preserve">Using the GP product formula and splitting a negative logarithm into characteristic and non-negative mantissa.</t>
  </si>
  <si>
    <t xml:space="preserve">Several routine steps chained (GP product, prime factorisation, log values, mantissa of a negative log) with no insight. Comparable to 2024-P1-Q8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</si>
  <si>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</si>
  <si>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</si>
  <si>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Logarithm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</si>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</sst>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25</v>
      </c>
      <c r="E3" s="3" t="s">
        <v>18</v>
      </c>
      <c r="F3" s="2" t="n">
        <v>4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12</v>
      </c>
      <c r="M3" s="3" t="s">
        <v>26</v>
      </c>
      <c r="N3" s="3" t="s">
        <v>27</v>
      </c>
      <c r="O3" s="3" t="s">
        <v>28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29</v>
      </c>
      <c r="D4" s="2" t="s">
        <v>25</v>
      </c>
      <c r="E4" s="3" t="s">
        <v>18</v>
      </c>
      <c r="F4" s="2" t="n">
        <v>4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12</v>
      </c>
      <c r="M4" s="3" t="s">
        <v>30</v>
      </c>
      <c r="N4" s="3" t="s">
        <v>31</v>
      </c>
      <c r="O4" s="3" t="s">
        <v>32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33</v>
      </c>
      <c r="D5" s="2" t="s">
        <v>25</v>
      </c>
      <c r="E5" s="3" t="s">
        <v>18</v>
      </c>
      <c r="F5" s="2" t="n">
        <v>4</v>
      </c>
      <c r="G5" s="4" t="n">
        <v>3</v>
      </c>
      <c r="H5" s="4" t="s">
        <v>19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25</v>
      </c>
      <c r="E6" s="3" t="s">
        <v>18</v>
      </c>
      <c r="F6" s="2" t="n">
        <v>4</v>
      </c>
      <c r="G6" s="6" t="n">
        <v>2</v>
      </c>
      <c r="H6" s="6" t="s">
        <v>38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39</v>
      </c>
      <c r="N6" s="3" t="s">
        <v>40</v>
      </c>
      <c r="O6" s="3" t="s">
        <v>36</v>
      </c>
      <c r="P6" s="2" t="s">
        <v>41</v>
      </c>
    </row>
    <row r="7" customFormat="false" ht="35.05" hidden="false" customHeight="false" outlineLevel="0" collapsed="false">
      <c r="A7" s="2" t="n">
        <v>6</v>
      </c>
      <c r="B7" s="2"/>
      <c r="C7" s="2" t="s">
        <v>42</v>
      </c>
      <c r="D7" s="2" t="s">
        <v>25</v>
      </c>
      <c r="E7" s="3" t="s">
        <v>18</v>
      </c>
      <c r="F7" s="2" t="n">
        <v>4</v>
      </c>
      <c r="G7" s="6" t="n">
        <v>2</v>
      </c>
      <c r="H7" s="6" t="s">
        <v>38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8</v>
      </c>
      <c r="M7" s="3" t="s">
        <v>43</v>
      </c>
      <c r="N7" s="3" t="s">
        <v>44</v>
      </c>
      <c r="O7" s="3" t="s">
        <v>36</v>
      </c>
      <c r="P7" s="2" t="s">
        <v>41</v>
      </c>
    </row>
    <row r="9" customFormat="false" ht="15" hidden="false" customHeight="false" outlineLevel="0" collapsed="false">
      <c r="A9" s="7" t="s">
        <v>45</v>
      </c>
    </row>
  </sheetData>
  <autoFilter ref="A1:P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46</v>
      </c>
    </row>
    <row r="2" customFormat="false" ht="15" hidden="false" customHeight="false" outlineLevel="0" collapsed="false">
      <c r="A2" s="7" t="s">
        <v>47</v>
      </c>
    </row>
    <row r="4" customFormat="false" ht="15" hidden="false" customHeight="false" outlineLevel="0" collapsed="false">
      <c r="A4" s="1" t="s">
        <v>6</v>
      </c>
      <c r="B4" s="1" t="s">
        <v>48</v>
      </c>
      <c r="C4" s="1" t="s">
        <v>49</v>
      </c>
      <c r="D4" s="1" t="s">
        <v>5</v>
      </c>
      <c r="E4" s="1" t="s">
        <v>50</v>
      </c>
    </row>
    <row r="5" customFormat="false" ht="15" hidden="false" customHeight="false" outlineLevel="0" collapsed="false">
      <c r="A5" s="9" t="n">
        <v>0</v>
      </c>
      <c r="B5" s="9" t="s">
        <v>51</v>
      </c>
      <c r="C5" s="9" t="n">
        <f aca="false">COUNTIF(Evaluation!$G$2:$G$7,A5)</f>
        <v>0</v>
      </c>
      <c r="D5" s="9" t="n">
        <f aca="false">SUMIF(Evaluation!$G$2:$G$7,A5,Evaluation!$F$2:$F$7)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52</v>
      </c>
      <c r="C6" s="11" t="n">
        <f aca="false">COUNTIF(Evaluation!$G$2:$G$7,A6)</f>
        <v>0</v>
      </c>
      <c r="D6" s="11" t="n">
        <f aca="false">SUMIF(Evaluation!$G$2:$G$7,A6,Evaluation!$F$2:$F$7)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38</v>
      </c>
      <c r="C7" s="13" t="n">
        <f aca="false">COUNTIF(Evaluation!$G$2:$G$7,A7)</f>
        <v>2</v>
      </c>
      <c r="D7" s="13" t="n">
        <f aca="false">SUMIF(Evaluation!$G$2:$G$7,A7,Evaluation!$F$2:$F$7)</f>
        <v>8</v>
      </c>
      <c r="E7" s="14" t="n">
        <f aca="false">IF(SUM($D$5:$D$10)=0,0,D7/SUM($D$5:$D$10))</f>
        <v>0.347826086956522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COUNTIF(Evaluation!$G$2:$G$7,A8)</f>
        <v>4</v>
      </c>
      <c r="D8" s="15" t="n">
        <f aca="false">SUMIF(Evaluation!$G$2:$G$7,A8,Evaluation!$F$2:$F$7)</f>
        <v>15</v>
      </c>
      <c r="E8" s="16" t="n">
        <f aca="false">IF(SUM($D$5:$D$10)=0,0,D8/SUM($D$5:$D$10))</f>
        <v>0.652173913043478</v>
      </c>
    </row>
    <row r="9" customFormat="false" ht="15" hidden="false" customHeight="false" outlineLevel="0" collapsed="false">
      <c r="A9" s="17" t="n">
        <v>4</v>
      </c>
      <c r="B9" s="17" t="s">
        <v>53</v>
      </c>
      <c r="C9" s="17" t="n">
        <f aca="false">COUNTIF(Evaluation!$G$2:$G$7,A9)</f>
        <v>0</v>
      </c>
      <c r="D9" s="17" t="n">
        <f aca="false">SUMIF(Evaluation!$G$2:$G$7,A9,Evaluation!$F$2:$F$7)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54</v>
      </c>
      <c r="C10" s="19" t="n">
        <f aca="false">COUNTIF(Evaluation!$G$2:$G$7,A10)</f>
        <v>0</v>
      </c>
      <c r="D10" s="19" t="n">
        <f aca="false">SUMIF(Evaluation!$G$2:$G$7,A10,Evaluation!$F$2:$F$7)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55</v>
      </c>
      <c r="C11" s="21" t="n">
        <f aca="false">SUM(C5:C10)</f>
        <v>6</v>
      </c>
      <c r="D11" s="21" t="n">
        <f aca="false">SUM(D5:D10)</f>
        <v>23</v>
      </c>
    </row>
    <row r="13" customFormat="false" ht="46.25" hidden="false" customHeight="false" outlineLevel="0" collapsed="false">
      <c r="A13" s="1" t="s">
        <v>56</v>
      </c>
      <c r="B13" s="1" t="s">
        <v>57</v>
      </c>
      <c r="C13" s="1" t="s">
        <v>58</v>
      </c>
      <c r="D13" s="1" t="s">
        <v>5</v>
      </c>
      <c r="E13" s="1" t="s">
        <v>59</v>
      </c>
    </row>
    <row r="14" customFormat="false" ht="15" hidden="false" customHeight="false" outlineLevel="0" collapsed="false">
      <c r="A14" s="21" t="s">
        <v>60</v>
      </c>
      <c r="B14" s="22" t="n">
        <f aca="false">SUM(Evaluation!$L$2:$L$7)/SUM(Evaluation!$F$2:$F$7)</f>
        <v>2.65217391304348</v>
      </c>
      <c r="C14" s="22" t="n">
        <f aca="false">SUMPRODUCT(Evaluation!$F$2:$F$7,Evaluation!$G$2:$G$7)/SUM(Evaluation!$F$2:$F$7)</f>
        <v>2.65217391304348</v>
      </c>
      <c r="D14" s="21" t="n">
        <f aca="false">SUM(Evaluation!$F$2:$F$7)</f>
        <v>23</v>
      </c>
      <c r="E14" s="22" t="n">
        <f aca="false">AVERAGE(Evaluation!$G$2:$G$7)</f>
        <v>2.66666666666667</v>
      </c>
    </row>
    <row r="16" customFormat="false" ht="15" hidden="false" customHeight="false" outlineLevel="0" collapsed="false">
      <c r="A16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62</v>
      </c>
    </row>
    <row r="3" customFormat="false" ht="23.85" hidden="false" customHeight="false" outlineLevel="0" collapsed="false">
      <c r="A3" s="1" t="s">
        <v>63</v>
      </c>
      <c r="B3" s="1" t="s">
        <v>64</v>
      </c>
      <c r="C3" s="1" t="s">
        <v>59</v>
      </c>
      <c r="D3" s="1" t="s">
        <v>65</v>
      </c>
      <c r="E3" s="1" t="s">
        <v>66</v>
      </c>
      <c r="F3" s="1" t="s">
        <v>67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68</v>
      </c>
      <c r="B9" s="22" t="n">
        <f aca="false">Summary!B14</f>
        <v>2.65217391304348</v>
      </c>
      <c r="C9" s="22" t="n">
        <f aca="false">Summary!E14</f>
        <v>2.66666666666667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2026-10-19T05:02:02Z</dcterms:created>
  <dc:creator>openpyxl</dc:creator>
  <dc:description/>
  <dc:language>en-US</dc:language>
  <cp:lastModifiedBy/>
  <dcterms:modified xsi:type="dcterms:W3CDTF">2026-10-19T05:02:02Z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