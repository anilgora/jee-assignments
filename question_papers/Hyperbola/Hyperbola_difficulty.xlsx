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<sst xmlns="http://schemas.openxmlformats.org/spreadsheetml/2006/main" count="191" uniqueCount="111">
  <si>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</si>
  <si>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</si>
  <si>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</si>
  <si>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</si>
  <si>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</si>
  <si>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</si>
  <si>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</si>
  <si>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</si>
  <si>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</si>
  <si>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</si>
  <si>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</si>
  <si>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</si>
  <si>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</si>
  <si>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</si>
  <si>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</si>
  <si>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</si>
  <si>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</si>
  <si>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</si>
  <si>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Hyperbola</t>
  </si>
  <si>
    <t xml:space="preserve">Average Advanced</t>
  </si>
  <si>
    <t xml:space="preserve">Intercepts of tangent and normal in theta give cos^4(theta) = sin^2(theta), i.e. cos^2(theta) = sin(theta), and beta^2 = 9 sin(theta).</t>
  </si>
  <si>
    <t xml:space="preserve">Two linked ideas: parametric tangent and normal intercepts, then a trigonometric equation that must be read as cos^2 = sin to finish quickly. More than a routine chain but options help; comparable to 2026-P2-Q13 (L3) on hyperbola elements and above 2025-P2-Q4 (L2).</t>
  </si>
  <si>
    <t xml:space="preserve">2026-P2-Q13 (L3)</t>
  </si>
  <si>
    <t xml:space="preserve">Medium</t>
  </si>
  <si>
    <t xml:space="preserve">Q02</t>
  </si>
  <si>
    <t xml:space="preserve">Easier than Advanced</t>
  </si>
  <si>
    <t xml:space="preserve">Equating the chord of contact 3x - 2y = 12 with T = S1 for the unknown mid-point.</t>
  </si>
  <si>
    <t xml:space="preserve">Routine chain of standard results (chord of contact, mid-point chord, coefficient comparison) with no insight. Comparable to 2024-P1-Q4 (L2) on tangents from an external point and 2025-P2-Q4 (L2) on a hyperbola.</t>
  </si>
  <si>
    <t xml:space="preserve">2024-P1-Q4 (L2)</t>
  </si>
  <si>
    <t xml:space="preserve">High</t>
  </si>
  <si>
    <t xml:space="preserve">Q03</t>
  </si>
  <si>
    <t xml:space="preserve">p1 p2 = 7 with p2/p1 in (1, 7], so 63/p2 + p2 is decreasing on the allowed range and the minimum is at the vertex.</t>
  </si>
  <si>
    <t xml:space="preserve">Two ideas linked: the focal-perpendicular product property and a constrained extremum where the obvious AM-GM value is a trap. Comparable to 2026-P2-Q13 (L3) on hyperbola properties; the trap and range check keep it at 3 rather than 2.</t>
  </si>
  <si>
    <t xml:space="preserve">Q04</t>
  </si>
  <si>
    <t xml:space="preserve">Numerical</t>
  </si>
  <si>
    <t xml:space="preserve">Recognising from the focus that the transverse axis is vertical, then c = 5 fixes K = 144.</t>
  </si>
  <si>
    <t xml:space="preserve">Routine multi-step chain: complete squares, decide orientation, use c^2 = a^2 + b^2, latus rectum. No insight needed; numerical format. Comparable to 2025-P2-Q4 (L2) on a hyperbola and 2026-P2-Q17 (L2).</t>
  </si>
  <si>
    <t xml:space="preserve">2025-P2-Q4 (L2)</t>
  </si>
  <si>
    <t xml:space="preserve">Q05</t>
  </si>
  <si>
    <t xml:space="preserve">Common latera recta give c common and b^2/a = B^2/A, which reduces to 1/e1 - e1 = e2 - 1/e2.</t>
  </si>
  <si>
    <t xml:space="preserve">Two ideas linked (ellipse and hyperbola elements) with a hidden invariant: the data contain no size, so the student must see that c cancels. Close to 2026-P2-Q13 (L3), which uses reciprocal eccentricities with common foci.</t>
  </si>
  <si>
    <t xml:space="preserve">Q06</t>
  </si>
  <si>
    <t xml:space="preserve">Diametric circle (x - 6)^2 + y^2 = 81 with y^2 = 3x^2 - 27 gives x = 6 or -3.</t>
  </si>
  <si>
    <t xml:space="preserve">Routine chain: standard form, focus and latus rectum, diametric circle, one quadratic. No insight required. Comparable to 2026-P1-Q2 (L2) and 2025-P2-Q4 (L2).</t>
  </si>
  <si>
    <t xml:space="preserve">2026-P1-Q2 (L2)</t>
  </si>
  <si>
    <t xml:space="preserve">Q07</t>
  </si>
  <si>
    <t xml:space="preserve">Reading e from the given point, then using p = ae - a/e to recover a before computing 2a/e.</t>
  </si>
  <si>
    <t xml:space="preserve">Two linked ideas: the focus-directrix definition with an oblique directrix to get e, and the axis relations of the basic elements to get a and the directrix spacing. Comparable to the focus-directrix hyperbola item of 2026-P1-Q16 (L3), with a numerical answer and no options.</t>
  </si>
  <si>
    <t xml:space="preserve">2026-P1-Q16 (L3)</t>
  </si>
  <si>
    <t xml:space="preserve">Q08</t>
  </si>
  <si>
    <t xml:space="preserve">Equating the two focal chord lengths and using the same-branch condition to resolve the modulus.</t>
  </si>
  <si>
    <t xml:space="preserve">Two chord-length results linked through a common line, with a case split that a careless solver gets wrong. Comparable to 2026-P2-Q13 (L3), a numerical confocal ellipse-hyperbola question.</t>
  </si>
  <si>
    <t xml:space="preserve">Q09</t>
  </si>
  <si>
    <t xml:space="preserve">Column-wise count with the minimum of the two bounds, noticing where the ellipse takes over from the hyperbola.</t>
  </si>
  <si>
    <t xml:space="preserve">Same kind of lattice counting inside two conics as 2023-P1-Q6 (L3), here with no options and a switch of the binding curve, so one slip gives a wrong count.</t>
  </si>
  <si>
    <t xml:space="preserve">2023-P1-Q6 (L3)</t>
  </si>
  <si>
    <t xml:space="preserve">Q10</t>
  </si>
  <si>
    <t xml:space="preserve">Maximum of a downward quadratic on [0,2] by locating its vertex, with the position test S1 &gt; 0.</t>
  </si>
  <si>
    <t xml:space="preserve">A routine chain: position condition, quadratic in the parameter of the segment, vertex case analysis, a quadratic inequality. Standard steps with a restricted-interval trap, comparable to 2025-P2-Q4 (L2) in demand.</t>
  </si>
  <si>
    <t xml:space="preserve">Q11</t>
  </si>
  <si>
    <t xml:space="preserve">Equating km = 3 for the normal and seeing that it forces cos(theta) &lt; 0, i.e. the left branch.</t>
  </si>
  <si>
    <t xml:space="preserve">Two ideas linked: the parametric normal of a hyperbola and the tangency condition of a parabola, with a sign argument on the branch. Comparable to 2023-P1-Q2 (L3) on common tangents of a conic and a parabola, in numerical form.</t>
  </si>
  <si>
    <t xml:space="preserve">2023-P1-Q2 (L3)</t>
  </si>
  <si>
    <t xml:space="preserve">Q12</t>
  </si>
  <si>
    <t xml:space="preserve">Writing the normal of H in line coordinates and imposing the ellipse tangency condition, then rejecting the root with y1^2 &lt; 0.</t>
  </si>
  <si>
    <t xml:space="preserve">Two ideas linked (normal of a hyperbola, tangency condition of an ellipse) with a root to reject, in numerical form. Comparable to 2023-P1-Q2 (L3); harder than the routine tangent chain of 2026-P2-Q17 (L2).</t>
  </si>
  <si>
    <t xml:space="preserve">Q13</t>
  </si>
  <si>
    <t xml:space="preserve">Locate P on the director circle x^2+y^2=13 and the line 2x=3y, then solve the tangent-slope quadratic.</t>
  </si>
  <si>
    <t xml:space="preserve">Routine chain of three standard steps (director circle, intersection with a line, tangency condition c^2=a^2m^2-b^2) with no insight needed. Comparable to 2026-P2-Q2 (L2) on perpendicular tangents.</t>
  </si>
  <si>
    <t xml:space="preserve">2026-P2-Q2 (L2)</t>
  </si>
  <si>
    <t xml:space="preserve">Q14</t>
  </si>
  <si>
    <t xml:space="preserve">Recognise both conditions as director circles and intersect the two non-concentric circles.</t>
  </si>
  <si>
    <t xml:space="preserve">Two ideas linked: director circles of an ellipse and of a shifted hyperbola, then their intersection and an area; numerical format with no options. Comparable to 2026-P2-Q13 (L3), an ellipse-hyperbola numerical combining standard elements.</t>
  </si>
  <si>
    <t xml:space="preserve">Q15</t>
  </si>
  <si>
    <t xml:space="preserve">Write SS1 = T^2 for both conics from (0, lambda) and compare the joint equations.</t>
  </si>
  <si>
    <t xml:space="preserve">Two pair-of-tangents equations with a parameter must be expanded correctly and compared; the link (same pair of lines) is the idea, executed without options. Comparable to 2023-P1-Q2 (L3) on common tangents of an ellipse and a parabola.</t>
  </si>
  <si>
    <t xml:space="preserve">Q16</t>
  </si>
  <si>
    <t xml:space="preserve">Match the polar forms of E and H with x/lambda + y/lambda = 1 to get both poles, then use the distance.</t>
  </si>
  <si>
    <t xml:space="preserve">Routine chain of standard steps (two pole computations and a distance) with no insight. Comparable to 2024-P1-Q4 (L2), a routine ellipse tangent/chord computation.</t>
  </si>
  <si>
    <t xml:space="preserve">Q17</t>
  </si>
  <si>
    <t xml:space="preserve">Use the reflection property to put P on line S'R, then solve with H and write the tangent.</t>
  </si>
  <si>
    <t xml:space="preserve">Routine chain: reflection property, line-curve intersection with one root rejected, tangent at a point. Comparable to 2025-P2-Q4 (L2), a routine hyperbola tangent question.</t>
  </si>
  <si>
    <t xml:space="preserve">Q18</t>
  </si>
  <si>
    <t xml:space="preserve">Feet of perpendiculars from the shared focus lie on both auxiliary circles, giving N(4,+-3).</t>
  </si>
  <si>
    <t xml:space="preserve">With the auxiliary-circle property the work is a short routine chain; by the slope method it is a routine but longer elimination. Either way no new idea beyond standard results. Comparable to 2021-P2-Q18 (L2), an ellipse integer question on standard properties.</t>
  </si>
  <si>
    <t xml:space="preserve">2021-P2-Q18 (L2)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</si>
  <si>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</si>
  <si>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</si>
  <si>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Hyperbola   |   Evaluated on: 2026-10-19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</si>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</sst>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6.2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3</v>
      </c>
      <c r="H2" s="4" t="s">
        <v>19</v>
      </c>
      <c r="I2" s="5" t="n">
        <v>0</v>
      </c>
      <c r="J2" s="5" t="n">
        <v>0</v>
      </c>
      <c r="K2" s="5" t="n">
        <f aca="false">MIN(5,MAX(G2+I2,J2))</f>
        <v>3</v>
      </c>
      <c r="L2" s="5" t="n">
        <f aca="false">F2*K2</f>
        <v>9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35.0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6" t="n">
        <v>2</v>
      </c>
      <c r="H3" s="6" t="s">
        <v>25</v>
      </c>
      <c r="I3" s="5" t="n">
        <v>0</v>
      </c>
      <c r="J3" s="5" t="n">
        <v>0</v>
      </c>
      <c r="K3" s="5" t="n">
        <f aca="false">MIN(5,MAX(G3+I3,J3))</f>
        <v>2</v>
      </c>
      <c r="L3" s="5" t="n">
        <f aca="false">F3*K3</f>
        <v>6</v>
      </c>
      <c r="M3" s="3" t="s">
        <v>26</v>
      </c>
      <c r="N3" s="3" t="s">
        <v>27</v>
      </c>
      <c r="O3" s="3" t="s">
        <v>28</v>
      </c>
      <c r="P3" s="2" t="s">
        <v>29</v>
      </c>
    </row>
    <row r="4" customFormat="false" ht="46.25" hidden="false" customHeight="false" outlineLevel="0" collapsed="false">
      <c r="A4" s="2" t="n">
        <v>3</v>
      </c>
      <c r="B4" s="2"/>
      <c r="C4" s="2" t="s">
        <v>30</v>
      </c>
      <c r="D4" s="2" t="s">
        <v>17</v>
      </c>
      <c r="E4" s="3" t="s">
        <v>18</v>
      </c>
      <c r="F4" s="2" t="n">
        <v>3</v>
      </c>
      <c r="G4" s="4" t="n">
        <v>3</v>
      </c>
      <c r="H4" s="4" t="s">
        <v>19</v>
      </c>
      <c r="I4" s="5" t="n">
        <v>0</v>
      </c>
      <c r="J4" s="5" t="n">
        <v>0</v>
      </c>
      <c r="K4" s="5" t="n">
        <f aca="false">MIN(5,MAX(G4+I4,J4))</f>
        <v>3</v>
      </c>
      <c r="L4" s="5" t="n">
        <f aca="false">F4*K4</f>
        <v>9</v>
      </c>
      <c r="M4" s="3" t="s">
        <v>31</v>
      </c>
      <c r="N4" s="3" t="s">
        <v>32</v>
      </c>
      <c r="O4" s="3" t="s">
        <v>22</v>
      </c>
      <c r="P4" s="2" t="s">
        <v>23</v>
      </c>
    </row>
    <row r="5" customFormat="false" ht="35.05" hidden="false" customHeight="false" outlineLevel="0" collapsed="false">
      <c r="A5" s="2" t="n">
        <v>4</v>
      </c>
      <c r="B5" s="2"/>
      <c r="C5" s="2" t="s">
        <v>33</v>
      </c>
      <c r="D5" s="2" t="s">
        <v>34</v>
      </c>
      <c r="E5" s="3" t="s">
        <v>18</v>
      </c>
      <c r="F5" s="2" t="n">
        <v>4</v>
      </c>
      <c r="G5" s="6" t="n">
        <v>2</v>
      </c>
      <c r="H5" s="6" t="s">
        <v>25</v>
      </c>
      <c r="I5" s="5" t="n">
        <v>0</v>
      </c>
      <c r="J5" s="5" t="n">
        <v>0</v>
      </c>
      <c r="K5" s="5" t="n">
        <f aca="false">MIN(5,MAX(G5+I5,J5))</f>
        <v>2</v>
      </c>
      <c r="L5" s="5" t="n">
        <f aca="false">F5*K5</f>
        <v>8</v>
      </c>
      <c r="M5" s="3" t="s">
        <v>35</v>
      </c>
      <c r="N5" s="3" t="s">
        <v>36</v>
      </c>
      <c r="O5" s="3" t="s">
        <v>37</v>
      </c>
      <c r="P5" s="2" t="s">
        <v>29</v>
      </c>
    </row>
    <row r="6" customFormat="false" ht="35.05" hidden="false" customHeight="false" outlineLevel="0" collapsed="false">
      <c r="A6" s="2" t="n">
        <v>5</v>
      </c>
      <c r="B6" s="2"/>
      <c r="C6" s="2" t="s">
        <v>38</v>
      </c>
      <c r="D6" s="2" t="s">
        <v>34</v>
      </c>
      <c r="E6" s="3" t="s">
        <v>18</v>
      </c>
      <c r="F6" s="2" t="n">
        <v>4</v>
      </c>
      <c r="G6" s="4" t="n">
        <v>3</v>
      </c>
      <c r="H6" s="4" t="s">
        <v>19</v>
      </c>
      <c r="I6" s="5" t="n">
        <v>0</v>
      </c>
      <c r="J6" s="5" t="n">
        <v>0</v>
      </c>
      <c r="K6" s="5" t="n">
        <f aca="false">MIN(5,MAX(G6+I6,J6))</f>
        <v>3</v>
      </c>
      <c r="L6" s="5" t="n">
        <f aca="false">F6*K6</f>
        <v>12</v>
      </c>
      <c r="M6" s="3" t="s">
        <v>39</v>
      </c>
      <c r="N6" s="3" t="s">
        <v>40</v>
      </c>
      <c r="O6" s="3" t="s">
        <v>22</v>
      </c>
      <c r="P6" s="2" t="s">
        <v>23</v>
      </c>
    </row>
    <row r="7" customFormat="false" ht="35.05" hidden="false" customHeight="false" outlineLevel="0" collapsed="false">
      <c r="A7" s="2" t="n">
        <v>6</v>
      </c>
      <c r="B7" s="2"/>
      <c r="C7" s="2" t="s">
        <v>41</v>
      </c>
      <c r="D7" s="2" t="s">
        <v>34</v>
      </c>
      <c r="E7" s="3" t="s">
        <v>18</v>
      </c>
      <c r="F7" s="2" t="n">
        <v>4</v>
      </c>
      <c r="G7" s="6" t="n">
        <v>2</v>
      </c>
      <c r="H7" s="6" t="s">
        <v>25</v>
      </c>
      <c r="I7" s="5" t="n">
        <v>0</v>
      </c>
      <c r="J7" s="5" t="n">
        <v>0</v>
      </c>
      <c r="K7" s="5" t="n">
        <f aca="false">MIN(5,MAX(G7+I7,J7))</f>
        <v>2</v>
      </c>
      <c r="L7" s="5" t="n">
        <f aca="false">F7*K7</f>
        <v>8</v>
      </c>
      <c r="M7" s="3" t="s">
        <v>42</v>
      </c>
      <c r="N7" s="3" t="s">
        <v>43</v>
      </c>
      <c r="O7" s="3" t="s">
        <v>44</v>
      </c>
      <c r="P7" s="2" t="s">
        <v>29</v>
      </c>
    </row>
    <row r="8" customFormat="false" ht="46.25" hidden="false" customHeight="false" outlineLevel="0" collapsed="false">
      <c r="A8" s="2" t="n">
        <v>7</v>
      </c>
      <c r="B8" s="2"/>
      <c r="C8" s="2" t="s">
        <v>45</v>
      </c>
      <c r="D8" s="2" t="s">
        <v>34</v>
      </c>
      <c r="E8" s="3" t="s">
        <v>18</v>
      </c>
      <c r="F8" s="2" t="n">
        <v>4</v>
      </c>
      <c r="G8" s="4" t="n">
        <v>3</v>
      </c>
      <c r="H8" s="4" t="s">
        <v>19</v>
      </c>
      <c r="I8" s="5" t="n">
        <v>0</v>
      </c>
      <c r="J8" s="5" t="n">
        <v>0</v>
      </c>
      <c r="K8" s="5" t="n">
        <f aca="false">MIN(5,MAX(G8+I8,J8))</f>
        <v>3</v>
      </c>
      <c r="L8" s="5" t="n">
        <f aca="false">F8*K8</f>
        <v>12</v>
      </c>
      <c r="M8" s="3" t="s">
        <v>46</v>
      </c>
      <c r="N8" s="3" t="s">
        <v>47</v>
      </c>
      <c r="O8" s="3" t="s">
        <v>48</v>
      </c>
      <c r="P8" s="2" t="s">
        <v>23</v>
      </c>
    </row>
    <row r="9" customFormat="false" ht="35.05" hidden="false" customHeight="false" outlineLevel="0" collapsed="false">
      <c r="A9" s="2" t="n">
        <v>8</v>
      </c>
      <c r="B9" s="2"/>
      <c r="C9" s="2" t="s">
        <v>49</v>
      </c>
      <c r="D9" s="2" t="s">
        <v>34</v>
      </c>
      <c r="E9" s="3" t="s">
        <v>18</v>
      </c>
      <c r="F9" s="2" t="n">
        <v>4</v>
      </c>
      <c r="G9" s="4" t="n">
        <v>3</v>
      </c>
      <c r="H9" s="4" t="s">
        <v>19</v>
      </c>
      <c r="I9" s="5" t="n">
        <v>0</v>
      </c>
      <c r="J9" s="5" t="n">
        <v>0</v>
      </c>
      <c r="K9" s="5" t="n">
        <f aca="false">MIN(5,MAX(G9+I9,J9))</f>
        <v>3</v>
      </c>
      <c r="L9" s="5" t="n">
        <f aca="false">F9*K9</f>
        <v>12</v>
      </c>
      <c r="M9" s="3" t="s">
        <v>50</v>
      </c>
      <c r="N9" s="3" t="s">
        <v>51</v>
      </c>
      <c r="O9" s="3" t="s">
        <v>22</v>
      </c>
      <c r="P9" s="2" t="s">
        <v>23</v>
      </c>
    </row>
    <row r="10" customFormat="false" ht="35.05" hidden="false" customHeight="false" outlineLevel="0" collapsed="false">
      <c r="A10" s="2" t="n">
        <v>9</v>
      </c>
      <c r="B10" s="2"/>
      <c r="C10" s="2" t="s">
        <v>52</v>
      </c>
      <c r="D10" s="2" t="s">
        <v>34</v>
      </c>
      <c r="E10" s="3" t="s">
        <v>18</v>
      </c>
      <c r="F10" s="2" t="n">
        <v>4</v>
      </c>
      <c r="G10" s="4" t="n">
        <v>3</v>
      </c>
      <c r="H10" s="4" t="s">
        <v>19</v>
      </c>
      <c r="I10" s="5" t="n">
        <v>0</v>
      </c>
      <c r="J10" s="5" t="n">
        <v>0</v>
      </c>
      <c r="K10" s="5" t="n">
        <f aca="false">MIN(5,MAX(G10+I10,J10))</f>
        <v>3</v>
      </c>
      <c r="L10" s="5" t="n">
        <f aca="false">F10*K10</f>
        <v>12</v>
      </c>
      <c r="M10" s="3" t="s">
        <v>53</v>
      </c>
      <c r="N10" s="3" t="s">
        <v>54</v>
      </c>
      <c r="O10" s="3" t="s">
        <v>55</v>
      </c>
      <c r="P10" s="2" t="s">
        <v>29</v>
      </c>
    </row>
    <row r="11" customFormat="false" ht="35.05" hidden="false" customHeight="false" outlineLevel="0" collapsed="false">
      <c r="A11" s="2" t="n">
        <v>10</v>
      </c>
      <c r="B11" s="2"/>
      <c r="C11" s="2" t="s">
        <v>56</v>
      </c>
      <c r="D11" s="2" t="s">
        <v>34</v>
      </c>
      <c r="E11" s="3" t="s">
        <v>18</v>
      </c>
      <c r="F11" s="2" t="n">
        <v>4</v>
      </c>
      <c r="G11" s="6" t="n">
        <v>2</v>
      </c>
      <c r="H11" s="6" t="s">
        <v>25</v>
      </c>
      <c r="I11" s="5" t="n">
        <v>0</v>
      </c>
      <c r="J11" s="5" t="n">
        <v>0</v>
      </c>
      <c r="K11" s="5" t="n">
        <f aca="false">MIN(5,MAX(G11+I11,J11))</f>
        <v>2</v>
      </c>
      <c r="L11" s="5" t="n">
        <f aca="false">F11*K11</f>
        <v>8</v>
      </c>
      <c r="M11" s="3" t="s">
        <v>57</v>
      </c>
      <c r="N11" s="3" t="s">
        <v>58</v>
      </c>
      <c r="O11" s="3" t="s">
        <v>37</v>
      </c>
      <c r="P11" s="2" t="s">
        <v>23</v>
      </c>
    </row>
    <row r="12" customFormat="false" ht="46.25" hidden="false" customHeight="false" outlineLevel="0" collapsed="false">
      <c r="A12" s="2" t="n">
        <v>11</v>
      </c>
      <c r="B12" s="2"/>
      <c r="C12" s="2" t="s">
        <v>59</v>
      </c>
      <c r="D12" s="2" t="s">
        <v>34</v>
      </c>
      <c r="E12" s="3" t="s">
        <v>18</v>
      </c>
      <c r="F12" s="2" t="n">
        <v>4</v>
      </c>
      <c r="G12" s="4" t="n">
        <v>3</v>
      </c>
      <c r="H12" s="4" t="s">
        <v>19</v>
      </c>
      <c r="I12" s="5" t="n">
        <v>0</v>
      </c>
      <c r="J12" s="5" t="n">
        <v>0</v>
      </c>
      <c r="K12" s="5" t="n">
        <f aca="false">MIN(5,MAX(G12+I12,J12))</f>
        <v>3</v>
      </c>
      <c r="L12" s="5" t="n">
        <f aca="false">F12*K12</f>
        <v>12</v>
      </c>
      <c r="M12" s="3" t="s">
        <v>60</v>
      </c>
      <c r="N12" s="3" t="s">
        <v>61</v>
      </c>
      <c r="O12" s="3" t="s">
        <v>62</v>
      </c>
      <c r="P12" s="2" t="s">
        <v>23</v>
      </c>
    </row>
    <row r="13" customFormat="false" ht="35.05" hidden="false" customHeight="false" outlineLevel="0" collapsed="false">
      <c r="A13" s="2" t="n">
        <v>12</v>
      </c>
      <c r="B13" s="2"/>
      <c r="C13" s="2" t="s">
        <v>63</v>
      </c>
      <c r="D13" s="2" t="s">
        <v>34</v>
      </c>
      <c r="E13" s="3" t="s">
        <v>18</v>
      </c>
      <c r="F13" s="2" t="n">
        <v>4</v>
      </c>
      <c r="G13" s="4" t="n">
        <v>3</v>
      </c>
      <c r="H13" s="4" t="s">
        <v>19</v>
      </c>
      <c r="I13" s="5" t="n">
        <v>0</v>
      </c>
      <c r="J13" s="5" t="n">
        <v>0</v>
      </c>
      <c r="K13" s="5" t="n">
        <f aca="false">MIN(5,MAX(G13+I13,J13))</f>
        <v>3</v>
      </c>
      <c r="L13" s="5" t="n">
        <f aca="false">F13*K13</f>
        <v>12</v>
      </c>
      <c r="M13" s="3" t="s">
        <v>64</v>
      </c>
      <c r="N13" s="3" t="s">
        <v>65</v>
      </c>
      <c r="O13" s="3" t="s">
        <v>62</v>
      </c>
      <c r="P13" s="2" t="s">
        <v>23</v>
      </c>
    </row>
    <row r="14" customFormat="false" ht="35.05" hidden="false" customHeight="false" outlineLevel="0" collapsed="false">
      <c r="A14" s="2" t="n">
        <v>13</v>
      </c>
      <c r="B14" s="2"/>
      <c r="C14" s="2" t="s">
        <v>66</v>
      </c>
      <c r="D14" s="2" t="s">
        <v>34</v>
      </c>
      <c r="E14" s="3" t="s">
        <v>18</v>
      </c>
      <c r="F14" s="2" t="n">
        <v>4</v>
      </c>
      <c r="G14" s="6" t="n">
        <v>2</v>
      </c>
      <c r="H14" s="6" t="s">
        <v>25</v>
      </c>
      <c r="I14" s="5" t="n">
        <v>0</v>
      </c>
      <c r="J14" s="5" t="n">
        <v>0</v>
      </c>
      <c r="K14" s="5" t="n">
        <f aca="false">MIN(5,MAX(G14+I14,J14))</f>
        <v>2</v>
      </c>
      <c r="L14" s="5" t="n">
        <f aca="false">F14*K14</f>
        <v>8</v>
      </c>
      <c r="M14" s="3" t="s">
        <v>67</v>
      </c>
      <c r="N14" s="3" t="s">
        <v>68</v>
      </c>
      <c r="O14" s="3" t="s">
        <v>69</v>
      </c>
      <c r="P14" s="2" t="s">
        <v>29</v>
      </c>
    </row>
    <row r="15" customFormat="false" ht="46.25" hidden="false" customHeight="false" outlineLevel="0" collapsed="false">
      <c r="A15" s="2" t="n">
        <v>14</v>
      </c>
      <c r="B15" s="2"/>
      <c r="C15" s="2" t="s">
        <v>70</v>
      </c>
      <c r="D15" s="2" t="s">
        <v>34</v>
      </c>
      <c r="E15" s="3" t="s">
        <v>18</v>
      </c>
      <c r="F15" s="2" t="n">
        <v>4</v>
      </c>
      <c r="G15" s="4" t="n">
        <v>3</v>
      </c>
      <c r="H15" s="4" t="s">
        <v>19</v>
      </c>
      <c r="I15" s="5" t="n">
        <v>0</v>
      </c>
      <c r="J15" s="5" t="n">
        <v>0</v>
      </c>
      <c r="K15" s="5" t="n">
        <f aca="false">MIN(5,MAX(G15+I15,J15))</f>
        <v>3</v>
      </c>
      <c r="L15" s="5" t="n">
        <f aca="false">F15*K15</f>
        <v>12</v>
      </c>
      <c r="M15" s="3" t="s">
        <v>71</v>
      </c>
      <c r="N15" s="3" t="s">
        <v>72</v>
      </c>
      <c r="O15" s="3" t="s">
        <v>22</v>
      </c>
      <c r="P15" s="2" t="s">
        <v>23</v>
      </c>
    </row>
    <row r="16" customFormat="false" ht="46.25" hidden="false" customHeight="false" outlineLevel="0" collapsed="false">
      <c r="A16" s="2" t="n">
        <v>15</v>
      </c>
      <c r="B16" s="2"/>
      <c r="C16" s="2" t="s">
        <v>73</v>
      </c>
      <c r="D16" s="2" t="s">
        <v>34</v>
      </c>
      <c r="E16" s="3" t="s">
        <v>18</v>
      </c>
      <c r="F16" s="2" t="n">
        <v>4</v>
      </c>
      <c r="G16" s="4" t="n">
        <v>3</v>
      </c>
      <c r="H16" s="4" t="s">
        <v>19</v>
      </c>
      <c r="I16" s="5" t="n">
        <v>0</v>
      </c>
      <c r="J16" s="5" t="n">
        <v>0</v>
      </c>
      <c r="K16" s="5" t="n">
        <f aca="false">MIN(5,MAX(G16+I16,J16))</f>
        <v>3</v>
      </c>
      <c r="L16" s="5" t="n">
        <f aca="false">F16*K16</f>
        <v>12</v>
      </c>
      <c r="M16" s="3" t="s">
        <v>74</v>
      </c>
      <c r="N16" s="3" t="s">
        <v>75</v>
      </c>
      <c r="O16" s="3" t="s">
        <v>62</v>
      </c>
      <c r="P16" s="2" t="s">
        <v>23</v>
      </c>
    </row>
    <row r="17" customFormat="false" ht="35.05" hidden="false" customHeight="false" outlineLevel="0" collapsed="false">
      <c r="A17" s="2" t="n">
        <v>16</v>
      </c>
      <c r="B17" s="2"/>
      <c r="C17" s="2" t="s">
        <v>76</v>
      </c>
      <c r="D17" s="2" t="s">
        <v>34</v>
      </c>
      <c r="E17" s="3" t="s">
        <v>18</v>
      </c>
      <c r="F17" s="2" t="n">
        <v>4</v>
      </c>
      <c r="G17" s="6" t="n">
        <v>2</v>
      </c>
      <c r="H17" s="6" t="s">
        <v>25</v>
      </c>
      <c r="I17" s="5" t="n">
        <v>0</v>
      </c>
      <c r="J17" s="5" t="n">
        <v>0</v>
      </c>
      <c r="K17" s="5" t="n">
        <f aca="false">MIN(5,MAX(G17+I17,J17))</f>
        <v>2</v>
      </c>
      <c r="L17" s="5" t="n">
        <f aca="false">F17*K17</f>
        <v>8</v>
      </c>
      <c r="M17" s="3" t="s">
        <v>77</v>
      </c>
      <c r="N17" s="3" t="s">
        <v>78</v>
      </c>
      <c r="O17" s="3" t="s">
        <v>28</v>
      </c>
      <c r="P17" s="2" t="s">
        <v>29</v>
      </c>
    </row>
    <row r="18" customFormat="false" ht="35.05" hidden="false" customHeight="false" outlineLevel="0" collapsed="false">
      <c r="A18" s="2" t="n">
        <v>17</v>
      </c>
      <c r="B18" s="2"/>
      <c r="C18" s="2" t="s">
        <v>79</v>
      </c>
      <c r="D18" s="2" t="s">
        <v>34</v>
      </c>
      <c r="E18" s="3" t="s">
        <v>18</v>
      </c>
      <c r="F18" s="2" t="n">
        <v>4</v>
      </c>
      <c r="G18" s="6" t="n">
        <v>2</v>
      </c>
      <c r="H18" s="6" t="s">
        <v>25</v>
      </c>
      <c r="I18" s="5" t="n">
        <v>0</v>
      </c>
      <c r="J18" s="5" t="n">
        <v>0</v>
      </c>
      <c r="K18" s="5" t="n">
        <f aca="false">MIN(5,MAX(G18+I18,J18))</f>
        <v>2</v>
      </c>
      <c r="L18" s="5" t="n">
        <f aca="false">F18*K18</f>
        <v>8</v>
      </c>
      <c r="M18" s="3" t="s">
        <v>80</v>
      </c>
      <c r="N18" s="3" t="s">
        <v>81</v>
      </c>
      <c r="O18" s="3" t="s">
        <v>37</v>
      </c>
      <c r="P18" s="2" t="s">
        <v>23</v>
      </c>
    </row>
    <row r="19" customFormat="false" ht="46.25" hidden="false" customHeight="false" outlineLevel="0" collapsed="false">
      <c r="A19" s="2" t="n">
        <v>18</v>
      </c>
      <c r="B19" s="2"/>
      <c r="C19" s="2" t="s">
        <v>82</v>
      </c>
      <c r="D19" s="2" t="s">
        <v>34</v>
      </c>
      <c r="E19" s="3" t="s">
        <v>18</v>
      </c>
      <c r="F19" s="2" t="n">
        <v>4</v>
      </c>
      <c r="G19" s="6" t="n">
        <v>2</v>
      </c>
      <c r="H19" s="6" t="s">
        <v>25</v>
      </c>
      <c r="I19" s="5" t="n">
        <v>0</v>
      </c>
      <c r="J19" s="5" t="n">
        <v>0</v>
      </c>
      <c r="K19" s="5" t="n">
        <f aca="false">MIN(5,MAX(G19+I19,J19))</f>
        <v>2</v>
      </c>
      <c r="L19" s="5" t="n">
        <f aca="false">F19*K19</f>
        <v>8</v>
      </c>
      <c r="M19" s="3" t="s">
        <v>83</v>
      </c>
      <c r="N19" s="3" t="s">
        <v>84</v>
      </c>
      <c r="O19" s="3" t="s">
        <v>85</v>
      </c>
      <c r="P19" s="2" t="s">
        <v>23</v>
      </c>
    </row>
    <row r="21" customFormat="false" ht="15" hidden="false" customHeight="false" outlineLevel="0" collapsed="false">
      <c r="A21" s="7" t="s">
        <v>86</v>
      </c>
    </row>
  </sheetData>
  <autoFilter ref="A1:P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87</v>
      </c>
    </row>
    <row r="2" customFormat="false" ht="15" hidden="false" customHeight="false" outlineLevel="0" collapsed="false">
      <c r="A2" s="7" t="s">
        <v>88</v>
      </c>
    </row>
    <row r="4" customFormat="false" ht="15" hidden="false" customHeight="false" outlineLevel="0" collapsed="false">
      <c r="A4" s="1" t="s">
        <v>6</v>
      </c>
      <c r="B4" s="1" t="s">
        <v>89</v>
      </c>
      <c r="C4" s="1" t="s">
        <v>90</v>
      </c>
      <c r="D4" s="1" t="s">
        <v>5</v>
      </c>
      <c r="E4" s="1" t="s">
        <v>91</v>
      </c>
    </row>
    <row r="5" customFormat="false" ht="15" hidden="false" customHeight="false" outlineLevel="0" collapsed="false">
      <c r="A5" s="9" t="n">
        <v>0</v>
      </c>
      <c r="B5" s="9" t="s">
        <v>92</v>
      </c>
      <c r="C5" s="9" t="n">
        <f aca="false">COUNTIF(Evaluation!$G$2:$G$19,A5)</f>
        <v>0</v>
      </c>
      <c r="D5" s="9" t="n">
        <f aca="false">SUMIF(Evaluation!$G$2:$G$19,A5,Evaluation!$F$2:$F$19)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93</v>
      </c>
      <c r="C6" s="11" t="n">
        <f aca="false">COUNTIF(Evaluation!$G$2:$G$19,A6)</f>
        <v>0</v>
      </c>
      <c r="D6" s="11" t="n">
        <f aca="false">SUMIF(Evaluation!$G$2:$G$19,A6,Evaluation!$F$2:$F$19)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25</v>
      </c>
      <c r="C7" s="13" t="n">
        <f aca="false">COUNTIF(Evaluation!$G$2:$G$19,A7)</f>
        <v>8</v>
      </c>
      <c r="D7" s="13" t="n">
        <f aca="false">SUMIF(Evaluation!$G$2:$G$19,A7,Evaluation!$F$2:$F$19)</f>
        <v>31</v>
      </c>
      <c r="E7" s="14" t="n">
        <f aca="false">IF(SUM($D$5:$D$10)=0,0,D7/SUM($D$5:$D$10))</f>
        <v>0.449275362318841</v>
      </c>
    </row>
    <row r="8" customFormat="false" ht="15" hidden="false" customHeight="false" outlineLevel="0" collapsed="false">
      <c r="A8" s="15" t="n">
        <v>3</v>
      </c>
      <c r="B8" s="15" t="s">
        <v>19</v>
      </c>
      <c r="C8" s="15" t="n">
        <f aca="false">COUNTIF(Evaluation!$G$2:$G$19,A8)</f>
        <v>10</v>
      </c>
      <c r="D8" s="15" t="n">
        <f aca="false">SUMIF(Evaluation!$G$2:$G$19,A8,Evaluation!$F$2:$F$19)</f>
        <v>38</v>
      </c>
      <c r="E8" s="16" t="n">
        <f aca="false">IF(SUM($D$5:$D$10)=0,0,D8/SUM($D$5:$D$10))</f>
        <v>0.550724637681159</v>
      </c>
    </row>
    <row r="9" customFormat="false" ht="15" hidden="false" customHeight="false" outlineLevel="0" collapsed="false">
      <c r="A9" s="17" t="n">
        <v>4</v>
      </c>
      <c r="B9" s="17" t="s">
        <v>94</v>
      </c>
      <c r="C9" s="17" t="n">
        <f aca="false">COUNTIF(Evaluation!$G$2:$G$19,A9)</f>
        <v>0</v>
      </c>
      <c r="D9" s="17" t="n">
        <f aca="false">SUMIF(Evaluation!$G$2:$G$19,A9,Evaluation!$F$2:$F$19)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95</v>
      </c>
      <c r="C10" s="19" t="n">
        <f aca="false">COUNTIF(Evaluation!$G$2:$G$19,A10)</f>
        <v>0</v>
      </c>
      <c r="D10" s="19" t="n">
        <f aca="false">SUMIF(Evaluation!$G$2:$G$19,A10,Evaluation!$F$2:$F$19)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96</v>
      </c>
      <c r="C11" s="21" t="n">
        <f aca="false">SUM(C5:C10)</f>
        <v>18</v>
      </c>
      <c r="D11" s="21" t="n">
        <f aca="false">SUM(D5:D10)</f>
        <v>69</v>
      </c>
    </row>
    <row r="13" customFormat="false" ht="46.25" hidden="false" customHeight="false" outlineLevel="0" collapsed="false">
      <c r="A13" s="1" t="s">
        <v>97</v>
      </c>
      <c r="B13" s="1" t="s">
        <v>98</v>
      </c>
      <c r="C13" s="1" t="s">
        <v>99</v>
      </c>
      <c r="D13" s="1" t="s">
        <v>5</v>
      </c>
      <c r="E13" s="1" t="s">
        <v>100</v>
      </c>
    </row>
    <row r="14" customFormat="false" ht="15" hidden="false" customHeight="false" outlineLevel="0" collapsed="false">
      <c r="A14" s="21" t="s">
        <v>101</v>
      </c>
      <c r="B14" s="22" t="n">
        <f aca="false">SUM(Evaluation!$L$2:$L$19)/SUM(Evaluation!$F$2:$F$19)</f>
        <v>2.55072463768116</v>
      </c>
      <c r="C14" s="22" t="n">
        <f aca="false">SUMPRODUCT(Evaluation!$F$2:$F$19,Evaluation!$G$2:$G$19)/SUM(Evaluation!$F$2:$F$19)</f>
        <v>2.55072463768116</v>
      </c>
      <c r="D14" s="21" t="n">
        <f aca="false">SUM(Evaluation!$F$2:$F$19)</f>
        <v>69</v>
      </c>
      <c r="E14" s="22" t="n">
        <f aca="false">AVERAGE(Evaluation!$G$2:$G$19)</f>
        <v>2.55555555555556</v>
      </c>
    </row>
    <row r="16" customFormat="false" ht="15" hidden="false" customHeight="false" outlineLevel="0" collapsed="false">
      <c r="A16" s="7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103</v>
      </c>
    </row>
    <row r="3" customFormat="false" ht="23.85" hidden="false" customHeight="false" outlineLevel="0" collapsed="false">
      <c r="A3" s="1" t="s">
        <v>104</v>
      </c>
      <c r="B3" s="1" t="s">
        <v>105</v>
      </c>
      <c r="C3" s="1" t="s">
        <v>100</v>
      </c>
      <c r="D3" s="1" t="s">
        <v>106</v>
      </c>
      <c r="E3" s="1" t="s">
        <v>107</v>
      </c>
      <c r="F3" s="1" t="s">
        <v>108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109</v>
      </c>
      <c r="B9" s="22" t="n">
        <f aca="false">Summary!B14</f>
        <v>2.55072463768116</v>
      </c>
      <c r="C9" s="22" t="n">
        <f aca="false">Summary!E14</f>
        <v>2.55555555555556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2026-10-19T01:12:55Z</dcterms:created>
  <dc:creator>openpyxl</dc:creator>
  <dc:description/>
  <dc:language>en-US</dc:language>
  <cp:lastModifiedBy/>
  <dcterms:modified xsi:type="dcterms:W3CDTF">2026-10-19T01:12:55Z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