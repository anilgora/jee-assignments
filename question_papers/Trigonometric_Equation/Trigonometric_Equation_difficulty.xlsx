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<sst xmlns="http://schemas.openxmlformats.org/spreadsheetml/2006/main" count="191" uniqueCount="113">
  <si>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</si>
  <si>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</si>
  <si>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</si>
  <si>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</si>
  <si>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</si>
  <si>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</si>
  <si>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</si>
  <si>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</si>
  <si>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</si>
  <si>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</si>
  <si>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</si>
  <si>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</si>
  <si>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</si>
  <si>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</si>
  <si>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</si>
  <si>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</si>
  <si>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</si>
  <si>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</si>
  <si>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Trigonometric Equation</t>
  </si>
  <si>
    <t xml:space="preserve">Easier than Advanced</t>
  </si>
  <si>
    <t xml:space="preserve">Rewriting tan x + cot x as 2/sin 2x and seeing that the four principal roots of sin 2x = -k sum to 10 pi whatever k is.</t>
  </si>
  <si>
    <t xml:space="preserve">Routine chain: an identity, the general solution of sin 2x = c, and selection of principal solutions; the only decision is the sign of 2/lambda. Comparable to the routine inverse-trig range work of 2026-P1-Q4 (L2).</t>
  </si>
  <si>
    <t xml:space="preserve">2026-P1-Q4 (L2)</t>
  </si>
  <si>
    <t xml:space="preserve">Medium</t>
  </si>
  <si>
    <t xml:space="preserve">Q02</t>
  </si>
  <si>
    <t xml:space="preserve">Choosing u = tan x - cot x so that tan^2 + cot^2 = u^2 + 2, then counting the roots of each branch.</t>
  </si>
  <si>
    <t xml:space="preserve">One substitution followed by two routine branches and a sign-of-roots count; several standard steps but no real insight. Same kind of demand as the solution counting of 2023-P1-Q8 (L2).</t>
  </si>
  <si>
    <t xml:space="preserve">2023-P1-Q8 (L2)</t>
  </si>
  <si>
    <t xml:space="preserve">Q03</t>
  </si>
  <si>
    <t xml:space="preserve">Writing tan x - 2 sin x as a quotient of three factors and running the sign chart without multiplying by cos x.</t>
  </si>
  <si>
    <t xml:space="preserve">A standard wavy-curve sign analysis on one period with a trap (multiplying by cos x); routine but multi-step. Similar in demand to the case-split counting of 2021-P1-Q17 (L1) with more stages, so 2.</t>
  </si>
  <si>
    <t xml:space="preserve">2021-P1-Q17 (L1)</t>
  </si>
  <si>
    <t xml:space="preserve">Q04</t>
  </si>
  <si>
    <t xml:space="preserve">Average Advanced</t>
  </si>
  <si>
    <t xml:space="preserve">Intersecting the sin-interval with tan x &gt; cot x while keeping track of the sign of tan x in the second quadrant.</t>
  </si>
  <si>
    <t xml:space="preserve">Two inequalities each needing a genuine sign check, linked by an intersection with a reversal trap in the second quadrant; options hold the tempting pi/4. Comparable to the solution-counting items of 2026-P1-Q14 (L3).</t>
  </si>
  <si>
    <t xml:space="preserve">2026-P1-Q14 (L3)</t>
  </si>
  <si>
    <t xml:space="preserve">Q05</t>
  </si>
  <si>
    <t xml:space="preserve">Numerical</t>
  </si>
  <si>
    <t xml:space="preserve">Keeping the n = -1 member of the general solution of tan theta = 1 inside [-pi, pi] and counting over 4.5 periods.</t>
  </si>
  <si>
    <t xml:space="preserve">Two linked ideas (general vs principal value inside a composite argument, then an exact count over a partial period) in numerical format with no options. Close to the trig-equation counting of 2026-P1-Q14 (L3).</t>
  </si>
  <si>
    <t xml:space="preserve">Q06</t>
  </si>
  <si>
    <t xml:space="preserve">Spotting the factorisation 2(2 sin x - cos x)(sin x + 2 cos x - 2) of the expanded equation.</t>
  </si>
  <si>
    <t xml:space="preserve">Two ideas linked: a non-obvious factorisation, then an a sin + b cos = c equation, plus exact evaluation of sin of the sum; numerical with no options. Comparable to 2025-P2-Q3 (L3) in the amount of trig manipulation.</t>
  </si>
  <si>
    <t xml:space="preserve">2025-P2-Q3 (L3)</t>
  </si>
  <si>
    <t xml:space="preserve">Q07</t>
  </si>
  <si>
    <t xml:space="preserve">Applying sum-to-product to both pairs to extract the factor cos 2x.</t>
  </si>
  <si>
    <t xml:space="preserve">Routine chain: two sum-to-product formulas, one standard a sin + b cos = c reduction and an interval check; no insight beyond the grouping. Same demand as 2023-P1-Q8 (L2).</t>
  </si>
  <si>
    <t xml:space="preserve">Q08</t>
  </si>
  <si>
    <t xml:space="preserve">Using t = tan(x/2) to reach the cubic t^3 - 7t + 6 = 0 and factorising it.</t>
  </si>
  <si>
    <t xml:space="preserve">Routine half-angle substitution, a cubic with an obvious root and back-substitution; several standard steps and no insight. Comparable to the routine log-equation chain of 2024-P1-Q8 (L2).</t>
  </si>
  <si>
    <t xml:space="preserve">2024-P1-Q8 (L2)</t>
  </si>
  <si>
    <t xml:space="preserve">High</t>
  </si>
  <si>
    <t xml:space="preserve">Q09</t>
  </si>
  <si>
    <t xml:space="preserve">Converting the log equation to 6 cos x - 1 = sqrt(cos x), squaring, and rejecting cos x = 1/9.</t>
  </si>
  <si>
    <t xml:space="preserve">A routine chain made harder by three domain conditions and an extraneous root in numerical format; borderline 2/3. Placed with the range-care item 2023-P2-Q3 (L3) because the rejection decides the answer.</t>
  </si>
  <si>
    <t xml:space="preserve">2023-P2-Q3 (L3)</t>
  </si>
  <si>
    <t xml:space="preserve">Low</t>
  </si>
  <si>
    <t xml:space="preserve">Q10</t>
  </si>
  <si>
    <t xml:space="preserve">Seeing that sin 3x = 1 must be rejected because of sec 3x and that half of sin 3x = -1/2 is extraneous, then counting n.</t>
  </si>
  <si>
    <t xml:space="preserve">Two rejection ideas (domain of sec and extraneous root of squaring) linked with an exact count in a multiple angle; numerical. Comparable to the counting with range care in 2023-P1-Q8 (L2) plus one more genuine decision, so 3.</t>
  </si>
  <si>
    <t xml:space="preserve">Q11</t>
  </si>
  <si>
    <t xml:space="preserve">Applying the domain filter tan x &lt;= 0, |x| &lt; 2pi to each root of sin x (2 cos x + 1) = 0, keeping the tan x = 0 roots.</t>
  </si>
  <si>
    <t xml:space="preserve">Two ideas linked (domain of a radical-plus-log function and filtering roots of a trig equation) with several traps (+-2pi, tan x = 0, quadrant signs). Comparable to 2023-P2-Q3 (L3).</t>
  </si>
  <si>
    <t xml:space="preserve">Q12</t>
  </si>
  <si>
    <t xml:space="preserve">One crossing per unit interval, plus noticing that x = 6 is a root in addition to the crossing in (5, 6).</t>
  </si>
  <si>
    <t xml:space="preserve">Standard graphical counting with one subtle endpoint; routine but multi-step. Comparable to the intersection counting of 2026-P2-Q15 (L2).</t>
  </si>
  <si>
    <t xml:space="preserve">2026-P2-Q15 (L2)</t>
  </si>
  <si>
    <t xml:space="preserve">Q13</t>
  </si>
  <si>
    <t xml:space="preserve">Identifying the branches of max{sin t, cos t} and keeping only the roots of sin = -1/2 and cos = -1/2 that lie on the active branch, then reflecting by |x|.</t>
  </si>
  <si>
    <t xml:space="preserve">Two linked graph ideas (max of two graphs and f(|x|)) with a branch trap and an asymmetric interval, numerical. Comparable to the solution counting in 2026-P1-Q14 (L3).</t>
  </si>
  <si>
    <t xml:space="preserve">Q14</t>
  </si>
  <si>
    <t xml:space="preserve">Bounding the left side below by 4 with AM-GM and the right side above by 4.</t>
  </si>
  <si>
    <t xml:space="preserve">Two standard bounds and an equality check; a familiar boundedness pattern applied in two short stages. One step above the single-bound item 2024-P2-Q10 (L1).</t>
  </si>
  <si>
    <t xml:space="preserve">2024-P2-Q10 (L1)</t>
  </si>
  <si>
    <t xml:space="preserve">Q15</t>
  </si>
  <si>
    <t xml:space="preserve">Seeing that sin(3x/2) = (-1)^n on the family x = pi/3 + 2n pi, so only even n survive.</t>
  </si>
  <si>
    <t xml:space="preserve">Two ideas linked (range of a sin + b cos and simultaneous maxima) with a parity trap and an exact count; numerical. Comparable to 2026-P1-Q14 (L3).</t>
  </si>
  <si>
    <t xml:space="preserve">Q16</t>
  </si>
  <si>
    <t xml:space="preserve">Reducing the two quotients with triple-angle formulas to 4 cos 2x.</t>
  </si>
  <si>
    <t xml:space="preserve">Two standard identities and a half-angle relation; a short routine chain. Comparable to 2026-P1-Q4 (L2) in demand.</t>
  </si>
  <si>
    <t xml:space="preserve">Q17</t>
  </si>
  <si>
    <t xml:space="preserve">Collapsing sec x + tan x to (1+t)/(1-t) and then counting how many x in (-2pi, 2pi) each value of t gives.</t>
  </si>
  <si>
    <t xml:space="preserve">Two linked ideas (half-angle simplification of sec + tan and careful counting of solutions in an open interval of two periods) with an exact final sum; numerical. Comparable to 2023-P2-Q3 (L3).</t>
  </si>
  <si>
    <t xml:space="preserve">Q18</t>
  </si>
  <si>
    <t xml:space="preserve">Substituting y = x - pi/2 to get 3 sin x + 4 cos x = 5 and recognising its maximum.</t>
  </si>
  <si>
    <t xml:space="preserve">A short routine chain (substitution, a sin + b cos at its maximum, double angle). Comparable to 2021-P1-Q18 (L2).</t>
  </si>
  <si>
    <t xml:space="preserve">2021-P1-Q18 (L2)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</si>
  <si>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</si>
  <si>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</si>
  <si>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Trigonometric Equation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</si>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</sst>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35.0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29</v>
      </c>
      <c r="N4" s="3" t="s">
        <v>30</v>
      </c>
      <c r="O4" s="3" t="s">
        <v>31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32</v>
      </c>
      <c r="D5" s="2" t="s">
        <v>17</v>
      </c>
      <c r="E5" s="3" t="s">
        <v>18</v>
      </c>
      <c r="F5" s="2" t="n">
        <v>3</v>
      </c>
      <c r="G5" s="6" t="n">
        <v>3</v>
      </c>
      <c r="H5" s="6" t="s">
        <v>33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9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38</v>
      </c>
      <c r="E6" s="3" t="s">
        <v>18</v>
      </c>
      <c r="F6" s="2" t="n">
        <v>4</v>
      </c>
      <c r="G6" s="6" t="n">
        <v>3</v>
      </c>
      <c r="H6" s="6" t="s">
        <v>33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39</v>
      </c>
      <c r="N6" s="3" t="s">
        <v>40</v>
      </c>
      <c r="O6" s="3" t="s">
        <v>36</v>
      </c>
      <c r="P6" s="2" t="s">
        <v>23</v>
      </c>
    </row>
    <row r="7" customFormat="false" ht="46.25" hidden="false" customHeight="false" outlineLevel="0" collapsed="false">
      <c r="A7" s="2" t="n">
        <v>6</v>
      </c>
      <c r="B7" s="2"/>
      <c r="C7" s="2" t="s">
        <v>41</v>
      </c>
      <c r="D7" s="2" t="s">
        <v>38</v>
      </c>
      <c r="E7" s="3" t="s">
        <v>18</v>
      </c>
      <c r="F7" s="2" t="n">
        <v>4</v>
      </c>
      <c r="G7" s="6" t="n">
        <v>3</v>
      </c>
      <c r="H7" s="6" t="s">
        <v>33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42</v>
      </c>
      <c r="N7" s="3" t="s">
        <v>43</v>
      </c>
      <c r="O7" s="3" t="s">
        <v>44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45</v>
      </c>
      <c r="D8" s="2" t="s">
        <v>38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46</v>
      </c>
      <c r="N8" s="3" t="s">
        <v>47</v>
      </c>
      <c r="O8" s="3" t="s">
        <v>27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48</v>
      </c>
      <c r="D9" s="2" t="s">
        <v>38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49</v>
      </c>
      <c r="N9" s="3" t="s">
        <v>50</v>
      </c>
      <c r="O9" s="3" t="s">
        <v>51</v>
      </c>
      <c r="P9" s="2" t="s">
        <v>52</v>
      </c>
    </row>
    <row r="10" customFormat="false" ht="35.05" hidden="false" customHeight="false" outlineLevel="0" collapsed="false">
      <c r="A10" s="2" t="n">
        <v>9</v>
      </c>
      <c r="B10" s="2"/>
      <c r="C10" s="2" t="s">
        <v>53</v>
      </c>
      <c r="D10" s="2" t="s">
        <v>38</v>
      </c>
      <c r="E10" s="3" t="s">
        <v>18</v>
      </c>
      <c r="F10" s="2" t="n">
        <v>4</v>
      </c>
      <c r="G10" s="6" t="n">
        <v>3</v>
      </c>
      <c r="H10" s="6" t="s">
        <v>33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54</v>
      </c>
      <c r="N10" s="3" t="s">
        <v>55</v>
      </c>
      <c r="O10" s="3" t="s">
        <v>56</v>
      </c>
      <c r="P10" s="2" t="s">
        <v>57</v>
      </c>
    </row>
    <row r="11" customFormat="false" ht="46.25" hidden="false" customHeight="false" outlineLevel="0" collapsed="false">
      <c r="A11" s="2" t="n">
        <v>10</v>
      </c>
      <c r="B11" s="2"/>
      <c r="C11" s="2" t="s">
        <v>58</v>
      </c>
      <c r="D11" s="2" t="s">
        <v>38</v>
      </c>
      <c r="E11" s="3" t="s">
        <v>18</v>
      </c>
      <c r="F11" s="2" t="n">
        <v>4</v>
      </c>
      <c r="G11" s="6" t="n">
        <v>3</v>
      </c>
      <c r="H11" s="6" t="s">
        <v>33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59</v>
      </c>
      <c r="N11" s="3" t="s">
        <v>60</v>
      </c>
      <c r="O11" s="3" t="s">
        <v>27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61</v>
      </c>
      <c r="D12" s="2" t="s">
        <v>38</v>
      </c>
      <c r="E12" s="3" t="s">
        <v>18</v>
      </c>
      <c r="F12" s="2" t="n">
        <v>4</v>
      </c>
      <c r="G12" s="6" t="n">
        <v>3</v>
      </c>
      <c r="H12" s="6" t="s">
        <v>33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62</v>
      </c>
      <c r="N12" s="3" t="s">
        <v>63</v>
      </c>
      <c r="O12" s="3" t="s">
        <v>56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64</v>
      </c>
      <c r="D13" s="2" t="s">
        <v>38</v>
      </c>
      <c r="E13" s="3" t="s">
        <v>18</v>
      </c>
      <c r="F13" s="2" t="n">
        <v>4</v>
      </c>
      <c r="G13" s="4" t="n">
        <v>2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65</v>
      </c>
      <c r="N13" s="3" t="s">
        <v>66</v>
      </c>
      <c r="O13" s="3" t="s">
        <v>67</v>
      </c>
      <c r="P13" s="2" t="s">
        <v>23</v>
      </c>
    </row>
    <row r="14" customFormat="false" ht="46.25" hidden="false" customHeight="false" outlineLevel="0" collapsed="false">
      <c r="A14" s="2" t="n">
        <v>13</v>
      </c>
      <c r="B14" s="2"/>
      <c r="C14" s="2" t="s">
        <v>68</v>
      </c>
      <c r="D14" s="2" t="s">
        <v>38</v>
      </c>
      <c r="E14" s="3" t="s">
        <v>18</v>
      </c>
      <c r="F14" s="2" t="n">
        <v>4</v>
      </c>
      <c r="G14" s="6" t="n">
        <v>3</v>
      </c>
      <c r="H14" s="6" t="s">
        <v>33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69</v>
      </c>
      <c r="N14" s="3" t="s">
        <v>70</v>
      </c>
      <c r="O14" s="3" t="s">
        <v>36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71</v>
      </c>
      <c r="D15" s="2" t="s">
        <v>38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72</v>
      </c>
      <c r="N15" s="3" t="s">
        <v>73</v>
      </c>
      <c r="O15" s="3" t="s">
        <v>74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75</v>
      </c>
      <c r="D16" s="2" t="s">
        <v>38</v>
      </c>
      <c r="E16" s="3" t="s">
        <v>18</v>
      </c>
      <c r="F16" s="2" t="n">
        <v>4</v>
      </c>
      <c r="G16" s="6" t="n">
        <v>3</v>
      </c>
      <c r="H16" s="6" t="s">
        <v>33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76</v>
      </c>
      <c r="N16" s="3" t="s">
        <v>77</v>
      </c>
      <c r="O16" s="3" t="s">
        <v>36</v>
      </c>
      <c r="P16" s="2" t="s">
        <v>23</v>
      </c>
    </row>
    <row r="17" customFormat="false" ht="23.85" hidden="false" customHeight="false" outlineLevel="0" collapsed="false">
      <c r="A17" s="2" t="n">
        <v>16</v>
      </c>
      <c r="B17" s="2"/>
      <c r="C17" s="2" t="s">
        <v>78</v>
      </c>
      <c r="D17" s="2" t="s">
        <v>38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79</v>
      </c>
      <c r="N17" s="3" t="s">
        <v>80</v>
      </c>
      <c r="O17" s="3" t="s">
        <v>22</v>
      </c>
      <c r="P17" s="2" t="s">
        <v>23</v>
      </c>
    </row>
    <row r="18" customFormat="false" ht="35.05" hidden="false" customHeight="false" outlineLevel="0" collapsed="false">
      <c r="A18" s="2" t="n">
        <v>17</v>
      </c>
      <c r="B18" s="2"/>
      <c r="C18" s="2" t="s">
        <v>81</v>
      </c>
      <c r="D18" s="2" t="s">
        <v>38</v>
      </c>
      <c r="E18" s="3" t="s">
        <v>18</v>
      </c>
      <c r="F18" s="2" t="n">
        <v>4</v>
      </c>
      <c r="G18" s="6" t="n">
        <v>3</v>
      </c>
      <c r="H18" s="6" t="s">
        <v>33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82</v>
      </c>
      <c r="N18" s="3" t="s">
        <v>83</v>
      </c>
      <c r="O18" s="3" t="s">
        <v>56</v>
      </c>
      <c r="P18" s="2" t="s">
        <v>23</v>
      </c>
    </row>
    <row r="19" customFormat="false" ht="23.85" hidden="false" customHeight="false" outlineLevel="0" collapsed="false">
      <c r="A19" s="2" t="n">
        <v>18</v>
      </c>
      <c r="B19" s="2"/>
      <c r="C19" s="2" t="s">
        <v>84</v>
      </c>
      <c r="D19" s="2" t="s">
        <v>38</v>
      </c>
      <c r="E19" s="3" t="s">
        <v>18</v>
      </c>
      <c r="F19" s="2" t="n">
        <v>4</v>
      </c>
      <c r="G19" s="4" t="n">
        <v>2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85</v>
      </c>
      <c r="N19" s="3" t="s">
        <v>86</v>
      </c>
      <c r="O19" s="3" t="s">
        <v>87</v>
      </c>
      <c r="P19" s="2" t="s">
        <v>52</v>
      </c>
    </row>
    <row r="21" customFormat="false" ht="15" hidden="false" customHeight="false" outlineLevel="0" collapsed="false">
      <c r="A21" s="7" t="s">
        <v>88</v>
      </c>
    </row>
  </sheetData>
  <autoFilter ref="A1:P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89</v>
      </c>
    </row>
    <row r="2" customFormat="false" ht="15" hidden="false" customHeight="false" outlineLevel="0" collapsed="false">
      <c r="A2" s="7" t="s">
        <v>90</v>
      </c>
    </row>
    <row r="4" customFormat="false" ht="15" hidden="false" customHeight="false" outlineLevel="0" collapsed="false">
      <c r="A4" s="1" t="s">
        <v>6</v>
      </c>
      <c r="B4" s="1" t="s">
        <v>91</v>
      </c>
      <c r="C4" s="1" t="s">
        <v>92</v>
      </c>
      <c r="D4" s="1" t="s">
        <v>5</v>
      </c>
      <c r="E4" s="1" t="s">
        <v>93</v>
      </c>
    </row>
    <row r="5" customFormat="false" ht="15" hidden="false" customHeight="false" outlineLevel="0" collapsed="false">
      <c r="A5" s="9" t="n">
        <v>0</v>
      </c>
      <c r="B5" s="9" t="s">
        <v>94</v>
      </c>
      <c r="C5" s="9" t="n">
        <f aca="false">COUNTIF(Evaluation!$G$2:$G$19,A5)</f>
        <v>0</v>
      </c>
      <c r="D5" s="9" t="n">
        <f aca="false">SUMIF(Evaluation!$G$2:$G$19,A5,Evaluation!$F$2:$F$19)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95</v>
      </c>
      <c r="C6" s="11" t="n">
        <f aca="false">COUNTIF(Evaluation!$G$2:$G$19,A6)</f>
        <v>0</v>
      </c>
      <c r="D6" s="11" t="n">
        <f aca="false">SUMIF(Evaluation!$G$2:$G$19,A6,Evaluation!$F$2:$F$19)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COUNTIF(Evaluation!$G$2:$G$19,A7)</f>
        <v>9</v>
      </c>
      <c r="D7" s="13" t="n">
        <f aca="false">SUMIF(Evaluation!$G$2:$G$19,A7,Evaluation!$F$2:$F$19)</f>
        <v>33</v>
      </c>
      <c r="E7" s="14" t="n">
        <f aca="false">IF(SUM($D$5:$D$10)=0,0,D7/SUM($D$5:$D$10))</f>
        <v>0.485294117647059</v>
      </c>
    </row>
    <row r="8" customFormat="false" ht="15" hidden="false" customHeight="false" outlineLevel="0" collapsed="false">
      <c r="A8" s="15" t="n">
        <v>3</v>
      </c>
      <c r="B8" s="15" t="s">
        <v>33</v>
      </c>
      <c r="C8" s="15" t="n">
        <f aca="false">COUNTIF(Evaluation!$G$2:$G$19,A8)</f>
        <v>9</v>
      </c>
      <c r="D8" s="15" t="n">
        <f aca="false">SUMIF(Evaluation!$G$2:$G$19,A8,Evaluation!$F$2:$F$19)</f>
        <v>35</v>
      </c>
      <c r="E8" s="16" t="n">
        <f aca="false">IF(SUM($D$5:$D$10)=0,0,D8/SUM($D$5:$D$10))</f>
        <v>0.514705882352941</v>
      </c>
    </row>
    <row r="9" customFormat="false" ht="15" hidden="false" customHeight="false" outlineLevel="0" collapsed="false">
      <c r="A9" s="17" t="n">
        <v>4</v>
      </c>
      <c r="B9" s="17" t="s">
        <v>96</v>
      </c>
      <c r="C9" s="17" t="n">
        <f aca="false">COUNTIF(Evaluation!$G$2:$G$19,A9)</f>
        <v>0</v>
      </c>
      <c r="D9" s="17" t="n">
        <f aca="false">SUMIF(Evaluation!$G$2:$G$19,A9,Evaluation!$F$2:$F$19)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97</v>
      </c>
      <c r="C10" s="19" t="n">
        <f aca="false">COUNTIF(Evaluation!$G$2:$G$19,A10)</f>
        <v>0</v>
      </c>
      <c r="D10" s="19" t="n">
        <f aca="false">SUMIF(Evaluation!$G$2:$G$19,A10,Evaluation!$F$2:$F$19)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98</v>
      </c>
      <c r="C11" s="21" t="n">
        <f aca="false">SUM(C5:C10)</f>
        <v>18</v>
      </c>
      <c r="D11" s="21" t="n">
        <f aca="false">SUM(D5:D10)</f>
        <v>68</v>
      </c>
    </row>
    <row r="13" customFormat="false" ht="46.25" hidden="false" customHeight="false" outlineLevel="0" collapsed="false">
      <c r="A13" s="1" t="s">
        <v>99</v>
      </c>
      <c r="B13" s="1" t="s">
        <v>100</v>
      </c>
      <c r="C13" s="1" t="s">
        <v>101</v>
      </c>
      <c r="D13" s="1" t="s">
        <v>5</v>
      </c>
      <c r="E13" s="1" t="s">
        <v>102</v>
      </c>
    </row>
    <row r="14" customFormat="false" ht="15" hidden="false" customHeight="false" outlineLevel="0" collapsed="false">
      <c r="A14" s="21" t="s">
        <v>103</v>
      </c>
      <c r="B14" s="22" t="n">
        <f aca="false">SUM(Evaluation!$L$2:$L$19)/SUM(Evaluation!$F$2:$F$19)</f>
        <v>2.51470588235294</v>
      </c>
      <c r="C14" s="22" t="n">
        <f aca="false">SUMPRODUCT(Evaluation!$F$2:$F$19,Evaluation!$G$2:$G$19)/SUM(Evaluation!$F$2:$F$19)</f>
        <v>2.51470588235294</v>
      </c>
      <c r="D14" s="21" t="n">
        <f aca="false">SUM(Evaluation!$F$2:$F$19)</f>
        <v>68</v>
      </c>
      <c r="E14" s="22" t="n">
        <f aca="false">AVERAGE(Evaluation!$G$2:$G$19)</f>
        <v>2.5</v>
      </c>
    </row>
    <row r="16" customFormat="false" ht="15" hidden="false" customHeight="false" outlineLevel="0" collapsed="false">
      <c r="A16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105</v>
      </c>
    </row>
    <row r="3" customFormat="false" ht="23.85" hidden="false" customHeight="false" outlineLevel="0" collapsed="false">
      <c r="A3" s="1" t="s">
        <v>106</v>
      </c>
      <c r="B3" s="1" t="s">
        <v>107</v>
      </c>
      <c r="C3" s="1" t="s">
        <v>102</v>
      </c>
      <c r="D3" s="1" t="s">
        <v>108</v>
      </c>
      <c r="E3" s="1" t="s">
        <v>109</v>
      </c>
      <c r="F3" s="1" t="s">
        <v>110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111</v>
      </c>
      <c r="B9" s="22" t="n">
        <f aca="false">Summary!B14</f>
        <v>2.51470588235294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2026-10-19T16:49:27Z</dcterms:created>
  <dc:creator>openpyxl</dc:creator>
  <dc:description/>
  <dc:language>en-US</dc:language>
  <cp:lastModifiedBy/>
  <dcterms:modified xsi:type="dcterms:W3CDTF">2026-10-19T16:49:27Z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