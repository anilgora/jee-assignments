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<sst xmlns="http://schemas.openxmlformats.org/spreadsheetml/2006/main" count="159" uniqueCount="97">
  <si>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</si>
  <si>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</si>
  <si>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</si>
  <si>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</si>
  <si>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</si>
  <si>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</si>
  <si>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</si>
  <si>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</si>
  <si>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</si>
  <si>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</si>
  <si>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</si>
  <si>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</si>
  <si>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</si>
  <si>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</si>
  <si>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</si>
  <si>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</si>
  <si>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</si>
  <si>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</si>
  <si>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Inverse trigonometric functions</t>
  </si>
  <si>
    <t xml:space="preserve">Easier than Advanced</t>
  </si>
  <si>
    <t xml:space="preserve">Recognising alpha = -cos36 = -sin54 and 2alpha^2-1 = cos72, then using principal ranges.</t>
  </si>
  <si>
    <t xml:space="preserve">Two non-standard-angle recognitions chained with a principal-value check; routine multi-step with no real insight once the values are known. Same demand as 2026-P1-Q4 (L2), cot^-1(cot(-11)) with range shift plus evaluation.</t>
  </si>
  <si>
    <t xml:space="preserve">2026-P1-Q4 (L2)</t>
  </si>
  <si>
    <t xml:space="preserve">High</t>
  </si>
  <si>
    <t xml:space="preserve">Q02</t>
  </si>
  <si>
    <t xml:space="preserve">Recognising 4k/(k^4-k^2+4) as (T_k - T_(k-1))/(1 + T_k T_(k-1)) with triangular numbers, then adding tan^-1 3 + tan^-1 6 with the pi correction.</t>
  </si>
  <si>
    <t xml:space="preserve">A standard telescoping pattern (spotting the generating sequence) followed by one addition with a branch correction; options allow checking. Lighter than the statement-checking 2021-P1-Q15 (L3) telescoping cot^-1 question, comparable to 2026-P1-Q4 (L2).</t>
  </si>
  <si>
    <t xml:space="preserve">2021-P1-Q15 (L3)</t>
  </si>
  <si>
    <t xml:space="preserve">Medium</t>
  </si>
  <si>
    <t xml:space="preserve">Q03</t>
  </si>
  <si>
    <t xml:space="preserve">Numerical</t>
  </si>
  <si>
    <t xml:space="preserve">Average Advanced</t>
  </si>
  <si>
    <t xml:space="preserve">Using domain and range of cos^-1(x/20) to restrict to the non-negative humps of sin^-1(sin x) in [-20,20] and counting two crossings per full hump plus one in the partial hump.</t>
  </si>
  <si>
    <t xml:space="preserve">Graph-based counting with domain and range restrictions and an edge-interval check, numerical answer with no options. Two ideas linked; comparable to 2025-P2-Q3 (L3) count of solutions of an ITF equation and above 2023-P1-Q8 (L2).</t>
  </si>
  <si>
    <t xml:space="preserve">2025-P2-Q3 (L3)</t>
  </si>
  <si>
    <t xml:space="preserve">Q04</t>
  </si>
  <si>
    <t xml:space="preserve">Splitting by n = [x], noting {x} sweeps [0,1) so cos^-1{x} sweeps (0,pi/2], and taking the union of five shifted intervals with correct open/closed ends.</t>
  </si>
  <si>
    <t xml:space="preserve">Domain from the greatest integer function, range from the fractional part, then a union with endpoint care; numerical answer. Two ideas linked with a precision point at the ends; above 2026-P1-Q4 (L2), at the level of 2023-P2-Q3 (L3) range-care ITF question.</t>
  </si>
  <si>
    <t xml:space="preserve">2023-P2-Q3 (L3)</t>
  </si>
  <si>
    <t xml:space="preserve">Q05</t>
  </si>
  <si>
    <t xml:space="preserve">Finding the domain [-2,2] by the double-root factorisation and simplifying with x = 2 sin t to the piecewise form of sin^-1(sin 3t) - 3t.</t>
  </si>
  <si>
    <t xml:space="preserve">Three linked steps (domain by factorisation, substitution to a triple angle, branch analysis) with a numerical answer; each step is standard but the scaled argument hides the substitution. Comparable to 2023-P2-Q3 (L3) range-care ITF evaluation; below the L4 king-type 2025-P2-Q16.</t>
  </si>
  <si>
    <t xml:space="preserve">Q06</t>
  </si>
  <si>
    <t xml:space="preserve">Writing the term as tan^-1(3k-1) - tan^-1(3k-4) via the range (0,pi) of cot^-1, including the negative first argument.</t>
  </si>
  <si>
    <t xml:space="preserve">Telescoping with a non-obvious generating sequence plus a branch subtlety at k = 1, numerical answer. Same family as 2021-P1-Q15 (L3) telescoping cot^-1 sum; the range trap keeps it at 3.</t>
  </si>
  <si>
    <t xml:space="preserve">Q07</t>
  </si>
  <si>
    <t xml:space="preserve">Writing cos^-1(cos x) and tan^-1(tan x) piecewise on [0,2pi] and solving a linear inequality on each piece.</t>
  </si>
  <si>
    <t xml:space="preserve">Routine graph reading of two standard composites and four linear inequalities; several standard steps, no insight. Same demand as 2023-P1-Q8 (L2), counting solutions with tan^-1(tan x) piecewise.</t>
  </si>
  <si>
    <t xml:space="preserve">2023-P1-Q8 (L2)</t>
  </si>
  <si>
    <t xml:space="preserve">Q08</t>
  </si>
  <si>
    <t xml:space="preserve">Converting cos^-1(sin theta) to pi/2 - sin^-1(sin theta) and reducing seven angles into [-90,90] degrees.</t>
  </si>
  <si>
    <t xml:space="preserve">Several routine principal-value reductions chained with the complementary-angle property; precision risk is small. Comparable to 2026-P1-Q4 (L2) principal-value evaluation with range shifts.</t>
  </si>
  <si>
    <t xml:space="preserve">Q09</t>
  </si>
  <si>
    <t xml:space="preserve">Reducing the equality to n mod pi lying in (0, pi/2) and checking twenty integers.</t>
  </si>
  <si>
    <t xml:space="preserve">One property-based reduction then a routine but careful check of twenty values; no insight beyond the principal ranges. Comparable to 2023-P1-Q8 (L2), piecewise tan^-1(tan x) counting.</t>
  </si>
  <si>
    <t xml:space="preserve">Q10</t>
  </si>
  <si>
    <t xml:space="preserve">Substituting x = cos theta to get cos^-1 cos(theta -/+ pi/3) and adding the two angles piecewise.</t>
  </si>
  <si>
    <t xml:space="preserve">A standard substitution plus principal-value care on two terms, then routine summation; no hidden insight. Comparable to 2026-P1-Q4 (L2) and lighter than 2023-P2-Q3 (L3).</t>
  </si>
  <si>
    <t xml:space="preserve">Q11</t>
  </si>
  <si>
    <t xml:space="preserve">Using x = cos phi to identify the branch u = pi - 2phi containing the implicitly defined x0, then dv/du = (1/2)/(-2).</t>
  </si>
  <si>
    <t xml:space="preserve">Substitution, a branch-dependent equation to locate the point, and a derivative of one function with respect to another, with a numerical answer and a sign trap. Comparable to 2025-P2-Q14 (L3) derivative of a composite with an inverse.</t>
  </si>
  <si>
    <t xml:space="preserve">2025-P2-Q14 (L3)</t>
  </si>
  <si>
    <t xml:space="preserve">Q12</t>
  </si>
  <si>
    <t xml:space="preserve">Recognising the recurrence as sin(theta_n + phi) with sin phi = 3/5 and following the principal-range fold to a 2-cycle.</t>
  </si>
  <si>
    <t xml:space="preserve">The compound-angle reading of the recurrence is the key idea, then a branch analysis of an iteration; numerical answer. Two ideas linked; comparable to 2021-P1-Q15 (L3) ITF statements with telescoping and to 2025-P2-Q3 (L3).</t>
  </si>
  <si>
    <t xml:space="preserve">Q13</t>
  </si>
  <si>
    <t xml:space="preserve">Applying the addition formula for m, n &gt;= 3 to reduce the inequality to (m-2)(n-2) &lt;= 5, and counting the trivial rows separately.</t>
  </si>
  <si>
    <t xml:space="preserve">One standard conversion and a careful but routine count; the trivial rows are the main trap. Harder than the L1 inclusion-exclusion 2021-P2-Q17, lighter than the L3 bounded count 2026-P1-Q11.</t>
  </si>
  <si>
    <t xml:space="preserve">2026-P1-Q11 (L3)</t>
  </si>
  <si>
    <t xml:space="preserve">Q14</t>
  </si>
  <si>
    <t xml:space="preserve">Writing sin 2alpha = cos 2beta as alpha +/- beta = pi/4 - k pi and keeping the -3pi/4 member, giving x = 1/2 and x = -3.</t>
  </si>
  <si>
    <t xml:space="preserve">Links an ITF equation with the general solution of a trigonometric equation and needs branch care to keep the second root; numerical. Same kind as 2025-P2-Q3 (L3) and 2023-P2-Q3 (L3) ITF equations with range care.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</si>
  <si>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</si>
  <si>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</si>
  <si>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Inverse Trigonometric Functions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</si>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</sst>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2</v>
      </c>
      <c r="H3" s="4" t="s">
        <v>19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25</v>
      </c>
      <c r="N3" s="3" t="s">
        <v>26</v>
      </c>
      <c r="O3" s="3" t="s">
        <v>27</v>
      </c>
      <c r="P3" s="2" t="s">
        <v>28</v>
      </c>
    </row>
    <row r="4" customFormat="false" ht="46.25" hidden="false" customHeight="false" outlineLevel="0" collapsed="false">
      <c r="A4" s="2" t="n">
        <v>3</v>
      </c>
      <c r="B4" s="2"/>
      <c r="C4" s="2" t="s">
        <v>29</v>
      </c>
      <c r="D4" s="2" t="s">
        <v>30</v>
      </c>
      <c r="E4" s="3" t="s">
        <v>18</v>
      </c>
      <c r="F4" s="2" t="n">
        <v>4</v>
      </c>
      <c r="G4" s="6" t="n">
        <v>3</v>
      </c>
      <c r="H4" s="6" t="s">
        <v>31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12</v>
      </c>
      <c r="M4" s="3" t="s">
        <v>32</v>
      </c>
      <c r="N4" s="3" t="s">
        <v>33</v>
      </c>
      <c r="O4" s="3" t="s">
        <v>34</v>
      </c>
      <c r="P4" s="2" t="s">
        <v>28</v>
      </c>
    </row>
    <row r="5" customFormat="false" ht="46.25" hidden="false" customHeight="false" outlineLevel="0" collapsed="false">
      <c r="A5" s="2" t="n">
        <v>4</v>
      </c>
      <c r="B5" s="2"/>
      <c r="C5" s="2" t="s">
        <v>35</v>
      </c>
      <c r="D5" s="2" t="s">
        <v>30</v>
      </c>
      <c r="E5" s="3" t="s">
        <v>18</v>
      </c>
      <c r="F5" s="2" t="n">
        <v>4</v>
      </c>
      <c r="G5" s="6" t="n">
        <v>3</v>
      </c>
      <c r="H5" s="6" t="s">
        <v>31</v>
      </c>
      <c r="I5" s="5" t="n">
        <v>0</v>
      </c>
      <c r="J5" s="5" t="n">
        <v>0</v>
      </c>
      <c r="K5" s="5" t="n">
        <f aca="false">MIN(5,MAX(G5+I5,J5))</f>
        <v>3</v>
      </c>
      <c r="L5" s="5" t="n">
        <f aca="false">F5*K5</f>
        <v>12</v>
      </c>
      <c r="M5" s="3" t="s">
        <v>36</v>
      </c>
      <c r="N5" s="3" t="s">
        <v>37</v>
      </c>
      <c r="O5" s="3" t="s">
        <v>38</v>
      </c>
      <c r="P5" s="2" t="s">
        <v>28</v>
      </c>
    </row>
    <row r="6" customFormat="false" ht="46.25" hidden="false" customHeight="false" outlineLevel="0" collapsed="false">
      <c r="A6" s="2" t="n">
        <v>5</v>
      </c>
      <c r="B6" s="2"/>
      <c r="C6" s="2" t="s">
        <v>39</v>
      </c>
      <c r="D6" s="2" t="s">
        <v>30</v>
      </c>
      <c r="E6" s="3" t="s">
        <v>18</v>
      </c>
      <c r="F6" s="2" t="n">
        <v>4</v>
      </c>
      <c r="G6" s="6" t="n">
        <v>3</v>
      </c>
      <c r="H6" s="6" t="s">
        <v>31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12</v>
      </c>
      <c r="M6" s="3" t="s">
        <v>40</v>
      </c>
      <c r="N6" s="3" t="s">
        <v>41</v>
      </c>
      <c r="O6" s="3" t="s">
        <v>38</v>
      </c>
      <c r="P6" s="2" t="s">
        <v>28</v>
      </c>
    </row>
    <row r="7" customFormat="false" ht="35.05" hidden="false" customHeight="false" outlineLevel="0" collapsed="false">
      <c r="A7" s="2" t="n">
        <v>6</v>
      </c>
      <c r="B7" s="2"/>
      <c r="C7" s="2" t="s">
        <v>42</v>
      </c>
      <c r="D7" s="2" t="s">
        <v>30</v>
      </c>
      <c r="E7" s="3" t="s">
        <v>18</v>
      </c>
      <c r="F7" s="2" t="n">
        <v>4</v>
      </c>
      <c r="G7" s="6" t="n">
        <v>3</v>
      </c>
      <c r="H7" s="6" t="s">
        <v>31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43</v>
      </c>
      <c r="N7" s="3" t="s">
        <v>44</v>
      </c>
      <c r="O7" s="3" t="s">
        <v>27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45</v>
      </c>
      <c r="D8" s="2" t="s">
        <v>30</v>
      </c>
      <c r="E8" s="3" t="s">
        <v>18</v>
      </c>
      <c r="F8" s="2" t="n">
        <v>4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46</v>
      </c>
      <c r="N8" s="3" t="s">
        <v>47</v>
      </c>
      <c r="O8" s="3" t="s">
        <v>48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49</v>
      </c>
      <c r="D9" s="2" t="s">
        <v>30</v>
      </c>
      <c r="E9" s="3" t="s">
        <v>18</v>
      </c>
      <c r="F9" s="2" t="n">
        <v>4</v>
      </c>
      <c r="G9" s="4" t="n">
        <v>2</v>
      </c>
      <c r="H9" s="4" t="s">
        <v>19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50</v>
      </c>
      <c r="N9" s="3" t="s">
        <v>51</v>
      </c>
      <c r="O9" s="3" t="s">
        <v>22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52</v>
      </c>
      <c r="D10" s="2" t="s">
        <v>30</v>
      </c>
      <c r="E10" s="3" t="s">
        <v>18</v>
      </c>
      <c r="F10" s="2" t="n">
        <v>4</v>
      </c>
      <c r="G10" s="4" t="n">
        <v>2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53</v>
      </c>
      <c r="N10" s="3" t="s">
        <v>54</v>
      </c>
      <c r="O10" s="3" t="s">
        <v>48</v>
      </c>
      <c r="P10" s="2" t="s">
        <v>28</v>
      </c>
    </row>
    <row r="11" customFormat="false" ht="35.05" hidden="false" customHeight="false" outlineLevel="0" collapsed="false">
      <c r="A11" s="2" t="n">
        <v>10</v>
      </c>
      <c r="B11" s="2"/>
      <c r="C11" s="2" t="s">
        <v>55</v>
      </c>
      <c r="D11" s="2" t="s">
        <v>30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56</v>
      </c>
      <c r="N11" s="3" t="s">
        <v>57</v>
      </c>
      <c r="O11" s="3" t="s">
        <v>22</v>
      </c>
      <c r="P11" s="2" t="s">
        <v>28</v>
      </c>
    </row>
    <row r="12" customFormat="false" ht="46.25" hidden="false" customHeight="false" outlineLevel="0" collapsed="false">
      <c r="A12" s="2" t="n">
        <v>11</v>
      </c>
      <c r="B12" s="2"/>
      <c r="C12" s="2" t="s">
        <v>58</v>
      </c>
      <c r="D12" s="2" t="s">
        <v>30</v>
      </c>
      <c r="E12" s="3" t="s">
        <v>18</v>
      </c>
      <c r="F12" s="2" t="n">
        <v>4</v>
      </c>
      <c r="G12" s="6" t="n">
        <v>3</v>
      </c>
      <c r="H12" s="6" t="s">
        <v>31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59</v>
      </c>
      <c r="N12" s="3" t="s">
        <v>60</v>
      </c>
      <c r="O12" s="3" t="s">
        <v>61</v>
      </c>
      <c r="P12" s="2" t="s">
        <v>28</v>
      </c>
    </row>
    <row r="13" customFormat="false" ht="46.25" hidden="false" customHeight="false" outlineLevel="0" collapsed="false">
      <c r="A13" s="2" t="n">
        <v>12</v>
      </c>
      <c r="B13" s="2"/>
      <c r="C13" s="2" t="s">
        <v>62</v>
      </c>
      <c r="D13" s="2" t="s">
        <v>30</v>
      </c>
      <c r="E13" s="3" t="s">
        <v>18</v>
      </c>
      <c r="F13" s="2" t="n">
        <v>4</v>
      </c>
      <c r="G13" s="6" t="n">
        <v>3</v>
      </c>
      <c r="H13" s="6" t="s">
        <v>31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63</v>
      </c>
      <c r="N13" s="3" t="s">
        <v>64</v>
      </c>
      <c r="O13" s="3" t="s">
        <v>34</v>
      </c>
      <c r="P13" s="2" t="s">
        <v>28</v>
      </c>
    </row>
    <row r="14" customFormat="false" ht="35.05" hidden="false" customHeight="false" outlineLevel="0" collapsed="false">
      <c r="A14" s="2" t="n">
        <v>13</v>
      </c>
      <c r="B14" s="2"/>
      <c r="C14" s="2" t="s">
        <v>65</v>
      </c>
      <c r="D14" s="2" t="s">
        <v>30</v>
      </c>
      <c r="E14" s="3" t="s">
        <v>18</v>
      </c>
      <c r="F14" s="2" t="n">
        <v>4</v>
      </c>
      <c r="G14" s="4" t="n">
        <v>2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66</v>
      </c>
      <c r="N14" s="3" t="s">
        <v>67</v>
      </c>
      <c r="O14" s="3" t="s">
        <v>68</v>
      </c>
      <c r="P14" s="2" t="s">
        <v>28</v>
      </c>
    </row>
    <row r="15" customFormat="false" ht="35.05" hidden="false" customHeight="false" outlineLevel="0" collapsed="false">
      <c r="A15" s="2" t="n">
        <v>14</v>
      </c>
      <c r="B15" s="2"/>
      <c r="C15" s="2" t="s">
        <v>69</v>
      </c>
      <c r="D15" s="2" t="s">
        <v>30</v>
      </c>
      <c r="E15" s="3" t="s">
        <v>18</v>
      </c>
      <c r="F15" s="2" t="n">
        <v>4</v>
      </c>
      <c r="G15" s="6" t="n">
        <v>3</v>
      </c>
      <c r="H15" s="6" t="s">
        <v>31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70</v>
      </c>
      <c r="N15" s="3" t="s">
        <v>71</v>
      </c>
      <c r="O15" s="3" t="s">
        <v>34</v>
      </c>
      <c r="P15" s="2" t="s">
        <v>23</v>
      </c>
    </row>
    <row r="17" customFormat="false" ht="15" hidden="false" customHeight="false" outlineLevel="0" collapsed="false">
      <c r="A17" s="7" t="s">
        <v>72</v>
      </c>
    </row>
  </sheetData>
  <autoFilter ref="A1:P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73</v>
      </c>
    </row>
    <row r="2" customFormat="false" ht="15" hidden="false" customHeight="false" outlineLevel="0" collapsed="false">
      <c r="A2" s="7" t="s">
        <v>74</v>
      </c>
    </row>
    <row r="4" customFormat="false" ht="15" hidden="false" customHeight="false" outlineLevel="0" collapsed="false">
      <c r="A4" s="1" t="s">
        <v>6</v>
      </c>
      <c r="B4" s="1" t="s">
        <v>75</v>
      </c>
      <c r="C4" s="1" t="s">
        <v>76</v>
      </c>
      <c r="D4" s="1" t="s">
        <v>5</v>
      </c>
      <c r="E4" s="1" t="s">
        <v>77</v>
      </c>
    </row>
    <row r="5" customFormat="false" ht="15" hidden="false" customHeight="false" outlineLevel="0" collapsed="false">
      <c r="A5" s="9" t="n">
        <v>0</v>
      </c>
      <c r="B5" s="9" t="s">
        <v>78</v>
      </c>
      <c r="C5" s="9" t="n">
        <f aca="false">COUNTIF(Evaluation!$G$2:$G$15,A5)</f>
        <v>0</v>
      </c>
      <c r="D5" s="9" t="n">
        <f aca="false">SUMIF(Evaluation!$G$2:$G$15,A5,Evaluation!$F$2:$F$15)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79</v>
      </c>
      <c r="C6" s="11" t="n">
        <f aca="false">COUNTIF(Evaluation!$G$2:$G$15,A6)</f>
        <v>0</v>
      </c>
      <c r="D6" s="11" t="n">
        <f aca="false">SUMIF(Evaluation!$G$2:$G$15,A6,Evaluation!$F$2:$F$15)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COUNTIF(Evaluation!$G$2:$G$15,A7)</f>
        <v>7</v>
      </c>
      <c r="D7" s="13" t="n">
        <f aca="false">SUMIF(Evaluation!$G$2:$G$15,A7,Evaluation!$F$2:$F$15)</f>
        <v>26</v>
      </c>
      <c r="E7" s="14" t="n">
        <f aca="false">IF(SUM($D$5:$D$10)=0,0,D7/SUM($D$5:$D$10))</f>
        <v>0.481481481481481</v>
      </c>
    </row>
    <row r="8" customFormat="false" ht="15" hidden="false" customHeight="false" outlineLevel="0" collapsed="false">
      <c r="A8" s="15" t="n">
        <v>3</v>
      </c>
      <c r="B8" s="15" t="s">
        <v>31</v>
      </c>
      <c r="C8" s="15" t="n">
        <f aca="false">COUNTIF(Evaluation!$G$2:$G$15,A8)</f>
        <v>7</v>
      </c>
      <c r="D8" s="15" t="n">
        <f aca="false">SUMIF(Evaluation!$G$2:$G$15,A8,Evaluation!$F$2:$F$15)</f>
        <v>28</v>
      </c>
      <c r="E8" s="16" t="n">
        <f aca="false">IF(SUM($D$5:$D$10)=0,0,D8/SUM($D$5:$D$10))</f>
        <v>0.518518518518519</v>
      </c>
    </row>
    <row r="9" customFormat="false" ht="15" hidden="false" customHeight="false" outlineLevel="0" collapsed="false">
      <c r="A9" s="17" t="n">
        <v>4</v>
      </c>
      <c r="B9" s="17" t="s">
        <v>80</v>
      </c>
      <c r="C9" s="17" t="n">
        <f aca="false">COUNTIF(Evaluation!$G$2:$G$15,A9)</f>
        <v>0</v>
      </c>
      <c r="D9" s="17" t="n">
        <f aca="false">SUMIF(Evaluation!$G$2:$G$15,A9,Evaluation!$F$2:$F$15)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81</v>
      </c>
      <c r="C10" s="19" t="n">
        <f aca="false">COUNTIF(Evaluation!$G$2:$G$15,A10)</f>
        <v>0</v>
      </c>
      <c r="D10" s="19" t="n">
        <f aca="false">SUMIF(Evaluation!$G$2:$G$15,A10,Evaluation!$F$2:$F$15)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82</v>
      </c>
      <c r="C11" s="21" t="n">
        <f aca="false">SUM(C5:C10)</f>
        <v>14</v>
      </c>
      <c r="D11" s="21" t="n">
        <f aca="false">SUM(D5:D10)</f>
        <v>54</v>
      </c>
    </row>
    <row r="13" customFormat="false" ht="46.25" hidden="false" customHeight="false" outlineLevel="0" collapsed="false">
      <c r="A13" s="1" t="s">
        <v>83</v>
      </c>
      <c r="B13" s="1" t="s">
        <v>84</v>
      </c>
      <c r="C13" s="1" t="s">
        <v>85</v>
      </c>
      <c r="D13" s="1" t="s">
        <v>5</v>
      </c>
      <c r="E13" s="1" t="s">
        <v>86</v>
      </c>
    </row>
    <row r="14" customFormat="false" ht="15" hidden="false" customHeight="false" outlineLevel="0" collapsed="false">
      <c r="A14" s="21" t="s">
        <v>87</v>
      </c>
      <c r="B14" s="22" t="n">
        <f aca="false">SUM(Evaluation!$L$2:$L$15)/SUM(Evaluation!$F$2:$F$15)</f>
        <v>2.51851851851852</v>
      </c>
      <c r="C14" s="22" t="n">
        <f aca="false">SUMPRODUCT(Evaluation!$F$2:$F$15,Evaluation!$G$2:$G$15)/SUM(Evaluation!$F$2:$F$15)</f>
        <v>2.51851851851852</v>
      </c>
      <c r="D14" s="21" t="n">
        <f aca="false">SUM(Evaluation!$F$2:$F$15)</f>
        <v>54</v>
      </c>
      <c r="E14" s="22" t="n">
        <f aca="false">AVERAGE(Evaluation!$G$2:$G$15)</f>
        <v>2.5</v>
      </c>
    </row>
    <row r="16" customFormat="false" ht="15" hidden="false" customHeight="false" outlineLevel="0" collapsed="false">
      <c r="A16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89</v>
      </c>
    </row>
    <row r="3" customFormat="false" ht="23.85" hidden="false" customHeight="false" outlineLevel="0" collapsed="false">
      <c r="A3" s="1" t="s">
        <v>90</v>
      </c>
      <c r="B3" s="1" t="s">
        <v>91</v>
      </c>
      <c r="C3" s="1" t="s">
        <v>86</v>
      </c>
      <c r="D3" s="1" t="s">
        <v>92</v>
      </c>
      <c r="E3" s="1" t="s">
        <v>93</v>
      </c>
      <c r="F3" s="1" t="s">
        <v>94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95</v>
      </c>
      <c r="B9" s="22" t="n">
        <f aca="false">Summary!B14</f>
        <v>2.51851851851852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2026-10-19T03:11:29Z</dcterms:created>
  <dc:creator>openpyxl</dc:creator>
  <dc:description/>
  <dc:language>en-US</dc:language>
  <cp:lastModifiedBy/>
  <dcterms:modified xsi:type="dcterms:W3CDTF">2026-10-19T03:11:29Z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