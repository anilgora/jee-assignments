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<sst xmlns="http://schemas.openxmlformats.org/spreadsheetml/2006/main" count="119" uniqueCount="83">
  <si>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</si>
  <si>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</si>
  <si>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</si>
  <si>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</si>
  <si>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</si>
  <si>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</si>
  <si>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</si>
  <si>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</si>
  <si>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</si>
  <si>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</si>
  <si>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</si>
  <si>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</si>
  <si>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</si>
  <si>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</si>
  <si>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</si>
  <si>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</si>
  <si>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</si>
  <si>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</si>
  <si>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Relations</t>
  </si>
  <si>
    <t xml:space="preserve">Easier than Advanced</t>
  </si>
  <si>
    <t xml:space="preserve">Seeing (AxB)n(BxA) = (AnB)x(AnB), so the union has 70 - k^2 elements.</t>
  </si>
  <si>
    <t xml:space="preserve">Three routine steps (product identity, solve k^2 = 16, inclusion-exclusion for A u B) with no real insight; option format allows checking. Level 2 like 2021-P1-Q18.</t>
  </si>
  <si>
    <t xml:space="preserve">2021-P1-Q18 (L2)</t>
  </si>
  <si>
    <t xml:space="preserve">High</t>
  </si>
  <si>
    <t xml:space="preserve">Q02</t>
  </si>
  <si>
    <t xml:space="preserve">Numerical</t>
  </si>
  <si>
    <t xml:space="preserve">Average Advanced</t>
  </si>
  <si>
    <t xml:space="preserve">Noticing that X x Y fixes X and Y only when both are non-empty, so the empty product must be counted once.</t>
  </si>
  <si>
    <t xml:space="preserve">Two ideas linked (injectivity of the product map except at the empty set, then complementary counting) with a numerical answer and a trap that changes the answer (counting 64 or 15+49). Comparable to 2026-P1-Q11 (L3) bounded counting.</t>
  </si>
  <si>
    <t xml:space="preserve">2026-P1-Q11 (L3)</t>
  </si>
  <si>
    <t xml:space="preserve">Medium</t>
  </si>
  <si>
    <t xml:space="preserve">Q03</t>
  </si>
  <si>
    <t xml:space="preserve">Recognising that at x = 3/4 the equation becomes 0 = 0, so that vertical line lies in R.</t>
  </si>
  <si>
    <t xml:space="preserve">Two ideas linked: domain from the roots of the coefficient, and a non-obvious failure of the vertical-line test; a numerical answer with a case to reject. Comparable to 2026-P1-Q7 (L3) implications needing a counter-case.</t>
  </si>
  <si>
    <t xml:space="preserve">2026-P1-Q7 (L3)</t>
  </si>
  <si>
    <t xml:space="preserve">Q04</t>
  </si>
  <si>
    <t xml:space="preserve">Seeing that a symmetric transitive relation is an equivalence relation on the set of elements it uses.</t>
  </si>
  <si>
    <t xml:space="preserve">Two linked ideas (support decomposition, then partition counts per support) and a numerical answer where one wrong partition count is fatal; easier than 2025-P1-Q8 (L4) because the sets are small. Level 3 before the equivalence-relation adjustment.</t>
  </si>
  <si>
    <t xml:space="preserve">2025-P1-Q8 (L4)</t>
  </si>
  <si>
    <t xml:space="preserve">Q05</t>
  </si>
  <si>
    <t xml:space="preserve">Writing m(R) as closure size minus n(R) and classifying the closure by the unordered pairs only.</t>
  </si>
  <si>
    <t xml:space="preserve">Two ideas linked (equivalence closure by classes, and counting/averaging over 64 relations) with a numerical answer; each step is standard but the combination is unfamiliar. Comparable to 2026-P2-Q11 (L3) mean over a family.</t>
  </si>
  <si>
    <t xml:space="preserve">2026-P2-Q11 (L3)</t>
  </si>
  <si>
    <t xml:space="preserve">Q06</t>
  </si>
  <si>
    <t xml:space="preserve">Counting two-class partitions as non-empty subsets of the other five elements and removing singleton classes.</t>
  </si>
  <si>
    <t xml:space="preserve">Two linked counts with a restriction where a missed case (forgetting C = {1,...,5}) changes the answer; numerical format. Lighter than 2026-P1-Q9 (L5) since no sum-of-squares condition. Level 3 before the equivalence adjustment.</t>
  </si>
  <si>
    <t xml:space="preserve">Q07</t>
  </si>
  <si>
    <t xml:space="preserve">Decoding the composite as 'same largest odd divisor' and listing the chains m, 2m, 4m, ... in A.</t>
  </si>
  <si>
    <t xml:space="preserve">Routine chain: decode composition, recognise an equivalence relation, list classes and add squares; no real insight but several steps and a careful count. Comparable to 2026-P2-Q12 (L2).</t>
  </si>
  <si>
    <t xml:space="preserve">2026-P2-Q12 (L2)</t>
  </si>
  <si>
    <t xml:space="preserve">Q08</t>
  </si>
  <si>
    <t xml:space="preserve">Rewriting as (x-y)^2 &lt;= k and treating the empty relation as transitive.</t>
  </si>
  <si>
    <t xml:space="preserve">Several routine checks (complete the square, classify k &lt; 0, k = 0, k &gt;= 1) with one trap (vacuous transitivity); no deep idea. Comparable to 2024-P2-Q8 (L2) chained routine work.</t>
  </si>
  <si>
    <t xml:space="preserve">2024-P2-Q8 (L2)</t>
  </si>
  <si>
    <t xml:space="preserve">Q09</t>
  </si>
  <si>
    <t xml:space="preserve">Translating the two set identities into 'reflexive' plus 'exactly one of (a,b), (b,a)' for each pair.</t>
  </si>
  <si>
    <t xml:space="preserve">A routine decoding of two conditions followed by a product count; no insight beyond the definitions. Comparable to 2024-P1-Q14 (L2) counting under structural conditions.</t>
  </si>
  <si>
    <t xml:space="preserve">2024-P1-Q14 (L2)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</si>
  <si>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</si>
  <si>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</si>
  <si>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Relations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</si>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</sst>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25</v>
      </c>
      <c r="E3" s="3" t="s">
        <v>18</v>
      </c>
      <c r="F3" s="2" t="n">
        <v>4</v>
      </c>
      <c r="G3" s="6" t="n">
        <v>3</v>
      </c>
      <c r="H3" s="6" t="s">
        <v>26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12</v>
      </c>
      <c r="M3" s="3" t="s">
        <v>27</v>
      </c>
      <c r="N3" s="3" t="s">
        <v>28</v>
      </c>
      <c r="O3" s="3" t="s">
        <v>29</v>
      </c>
      <c r="P3" s="2" t="s">
        <v>30</v>
      </c>
    </row>
    <row r="4" customFormat="false" ht="46.25" hidden="false" customHeight="false" outlineLevel="0" collapsed="false">
      <c r="A4" s="2" t="n">
        <v>3</v>
      </c>
      <c r="B4" s="2"/>
      <c r="C4" s="2" t="s">
        <v>31</v>
      </c>
      <c r="D4" s="2" t="s">
        <v>25</v>
      </c>
      <c r="E4" s="3" t="s">
        <v>18</v>
      </c>
      <c r="F4" s="2" t="n">
        <v>4</v>
      </c>
      <c r="G4" s="6" t="n">
        <v>3</v>
      </c>
      <c r="H4" s="6" t="s">
        <v>26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12</v>
      </c>
      <c r="M4" s="3" t="s">
        <v>32</v>
      </c>
      <c r="N4" s="3" t="s">
        <v>33</v>
      </c>
      <c r="O4" s="3" t="s">
        <v>34</v>
      </c>
      <c r="P4" s="2" t="s">
        <v>30</v>
      </c>
    </row>
    <row r="5" customFormat="false" ht="46.25" hidden="false" customHeight="false" outlineLevel="0" collapsed="false">
      <c r="A5" s="2" t="n">
        <v>4</v>
      </c>
      <c r="B5" s="2"/>
      <c r="C5" s="2" t="s">
        <v>35</v>
      </c>
      <c r="D5" s="2" t="s">
        <v>25</v>
      </c>
      <c r="E5" s="3" t="s">
        <v>18</v>
      </c>
      <c r="F5" s="2" t="n">
        <v>4</v>
      </c>
      <c r="G5" s="6" t="n">
        <v>3</v>
      </c>
      <c r="H5" s="6" t="s">
        <v>26</v>
      </c>
      <c r="I5" s="5" t="n">
        <v>0.5</v>
      </c>
      <c r="J5" s="5" t="n">
        <v>0</v>
      </c>
      <c r="K5" s="5" t="n">
        <f aca="false">MIN(5,MAX(G5+I5,J5))</f>
        <v>3.5</v>
      </c>
      <c r="L5" s="5" t="n">
        <f aca="false">F5*K5</f>
        <v>14</v>
      </c>
      <c r="M5" s="3" t="s">
        <v>36</v>
      </c>
      <c r="N5" s="3" t="s">
        <v>37</v>
      </c>
      <c r="O5" s="3" t="s">
        <v>38</v>
      </c>
      <c r="P5" s="2" t="s">
        <v>30</v>
      </c>
    </row>
    <row r="6" customFormat="false" ht="46.25" hidden="false" customHeight="false" outlineLevel="0" collapsed="false">
      <c r="A6" s="2" t="n">
        <v>5</v>
      </c>
      <c r="B6" s="2"/>
      <c r="C6" s="2" t="s">
        <v>39</v>
      </c>
      <c r="D6" s="2" t="s">
        <v>25</v>
      </c>
      <c r="E6" s="3" t="s">
        <v>18</v>
      </c>
      <c r="F6" s="2" t="n">
        <v>4</v>
      </c>
      <c r="G6" s="6" t="n">
        <v>3</v>
      </c>
      <c r="H6" s="6" t="s">
        <v>26</v>
      </c>
      <c r="I6" s="5" t="n">
        <v>0.5</v>
      </c>
      <c r="J6" s="5" t="n">
        <v>0</v>
      </c>
      <c r="K6" s="5" t="n">
        <f aca="false">MIN(5,MAX(G6+I6,J6))</f>
        <v>3.5</v>
      </c>
      <c r="L6" s="5" t="n">
        <f aca="false">F6*K6</f>
        <v>14</v>
      </c>
      <c r="M6" s="3" t="s">
        <v>40</v>
      </c>
      <c r="N6" s="3" t="s">
        <v>41</v>
      </c>
      <c r="O6" s="3" t="s">
        <v>42</v>
      </c>
      <c r="P6" s="2" t="s">
        <v>30</v>
      </c>
    </row>
    <row r="7" customFormat="false" ht="46.25" hidden="false" customHeight="false" outlineLevel="0" collapsed="false">
      <c r="A7" s="2" t="n">
        <v>6</v>
      </c>
      <c r="B7" s="2"/>
      <c r="C7" s="2" t="s">
        <v>43</v>
      </c>
      <c r="D7" s="2" t="s">
        <v>25</v>
      </c>
      <c r="E7" s="3" t="s">
        <v>18</v>
      </c>
      <c r="F7" s="2" t="n">
        <v>4</v>
      </c>
      <c r="G7" s="6" t="n">
        <v>3</v>
      </c>
      <c r="H7" s="6" t="s">
        <v>26</v>
      </c>
      <c r="I7" s="5" t="n">
        <v>0.5</v>
      </c>
      <c r="J7" s="5" t="n">
        <v>0</v>
      </c>
      <c r="K7" s="5" t="n">
        <f aca="false">MIN(5,MAX(G7+I7,J7))</f>
        <v>3.5</v>
      </c>
      <c r="L7" s="5" t="n">
        <f aca="false">F7*K7</f>
        <v>14</v>
      </c>
      <c r="M7" s="3" t="s">
        <v>44</v>
      </c>
      <c r="N7" s="3" t="s">
        <v>45</v>
      </c>
      <c r="O7" s="3" t="s">
        <v>29</v>
      </c>
      <c r="P7" s="2" t="s">
        <v>30</v>
      </c>
    </row>
    <row r="8" customFormat="false" ht="35.05" hidden="false" customHeight="false" outlineLevel="0" collapsed="false">
      <c r="A8" s="2" t="n">
        <v>7</v>
      </c>
      <c r="B8" s="2"/>
      <c r="C8" s="2" t="s">
        <v>46</v>
      </c>
      <c r="D8" s="2" t="s">
        <v>25</v>
      </c>
      <c r="E8" s="3" t="s">
        <v>18</v>
      </c>
      <c r="F8" s="2" t="n">
        <v>4</v>
      </c>
      <c r="G8" s="4" t="n">
        <v>2</v>
      </c>
      <c r="H8" s="4" t="s">
        <v>19</v>
      </c>
      <c r="I8" s="5" t="n">
        <v>0.5</v>
      </c>
      <c r="J8" s="5" t="n">
        <v>0</v>
      </c>
      <c r="K8" s="5" t="n">
        <f aca="false">MIN(5,MAX(G8+I8,J8))</f>
        <v>2.5</v>
      </c>
      <c r="L8" s="5" t="n">
        <f aca="false">F8*K8</f>
        <v>10</v>
      </c>
      <c r="M8" s="3" t="s">
        <v>47</v>
      </c>
      <c r="N8" s="3" t="s">
        <v>48</v>
      </c>
      <c r="O8" s="3" t="s">
        <v>49</v>
      </c>
      <c r="P8" s="2" t="s">
        <v>30</v>
      </c>
    </row>
    <row r="9" customFormat="false" ht="35.05" hidden="false" customHeight="false" outlineLevel="0" collapsed="false">
      <c r="A9" s="2" t="n">
        <v>8</v>
      </c>
      <c r="B9" s="2"/>
      <c r="C9" s="2" t="s">
        <v>50</v>
      </c>
      <c r="D9" s="2" t="s">
        <v>25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51</v>
      </c>
      <c r="N9" s="3" t="s">
        <v>52</v>
      </c>
      <c r="O9" s="3" t="s">
        <v>53</v>
      </c>
      <c r="P9" s="2" t="s">
        <v>30</v>
      </c>
    </row>
    <row r="10" customFormat="false" ht="35.05" hidden="false" customHeight="false" outlineLevel="0" collapsed="false">
      <c r="A10" s="2" t="n">
        <v>9</v>
      </c>
      <c r="B10" s="2"/>
      <c r="C10" s="2" t="s">
        <v>54</v>
      </c>
      <c r="D10" s="2" t="s">
        <v>25</v>
      </c>
      <c r="E10" s="3" t="s">
        <v>18</v>
      </c>
      <c r="F10" s="2" t="n">
        <v>4</v>
      </c>
      <c r="G10" s="4" t="n">
        <v>2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55</v>
      </c>
      <c r="N10" s="3" t="s">
        <v>56</v>
      </c>
      <c r="O10" s="3" t="s">
        <v>57</v>
      </c>
      <c r="P10" s="2" t="s">
        <v>30</v>
      </c>
    </row>
    <row r="12" customFormat="false" ht="15" hidden="false" customHeight="false" outlineLevel="0" collapsed="false">
      <c r="A12" s="7" t="s">
        <v>58</v>
      </c>
    </row>
  </sheetData>
  <autoFilter ref="A1:P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59</v>
      </c>
    </row>
    <row r="2" customFormat="false" ht="15" hidden="false" customHeight="false" outlineLevel="0" collapsed="false">
      <c r="A2" s="7" t="s">
        <v>60</v>
      </c>
    </row>
    <row r="4" customFormat="false" ht="15" hidden="false" customHeight="false" outlineLevel="0" collapsed="false">
      <c r="A4" s="1" t="s">
        <v>6</v>
      </c>
      <c r="B4" s="1" t="s">
        <v>61</v>
      </c>
      <c r="C4" s="1" t="s">
        <v>62</v>
      </c>
      <c r="D4" s="1" t="s">
        <v>5</v>
      </c>
      <c r="E4" s="1" t="s">
        <v>63</v>
      </c>
    </row>
    <row r="5" customFormat="false" ht="15" hidden="false" customHeight="false" outlineLevel="0" collapsed="false">
      <c r="A5" s="9" t="n">
        <v>0</v>
      </c>
      <c r="B5" s="9" t="s">
        <v>64</v>
      </c>
      <c r="C5" s="9" t="n">
        <f aca="false">COUNTIF(Evaluation!$G$2:$G$10,A5)</f>
        <v>0</v>
      </c>
      <c r="D5" s="9" t="n">
        <f aca="false">SUMIF(Evaluation!$G$2:$G$10,A5,Evaluation!$F$2:$F$10)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65</v>
      </c>
      <c r="C6" s="11" t="n">
        <f aca="false">COUNTIF(Evaluation!$G$2:$G$10,A6)</f>
        <v>0</v>
      </c>
      <c r="D6" s="11" t="n">
        <f aca="false">SUMIF(Evaluation!$G$2:$G$10,A6,Evaluation!$F$2:$F$10)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COUNTIF(Evaluation!$G$2:$G$10,A7)</f>
        <v>4</v>
      </c>
      <c r="D7" s="13" t="n">
        <f aca="false">SUMIF(Evaluation!$G$2:$G$10,A7,Evaluation!$F$2:$F$10)</f>
        <v>15</v>
      </c>
      <c r="E7" s="14" t="n">
        <f aca="false">IF(SUM($D$5:$D$10)=0,0,D7/SUM($D$5:$D$10))</f>
        <v>0.428571428571429</v>
      </c>
    </row>
    <row r="8" customFormat="false" ht="15" hidden="false" customHeight="false" outlineLevel="0" collapsed="false">
      <c r="A8" s="15" t="n">
        <v>3</v>
      </c>
      <c r="B8" s="15" t="s">
        <v>26</v>
      </c>
      <c r="C8" s="15" t="n">
        <f aca="false">COUNTIF(Evaluation!$G$2:$G$10,A8)</f>
        <v>5</v>
      </c>
      <c r="D8" s="15" t="n">
        <f aca="false">SUMIF(Evaluation!$G$2:$G$10,A8,Evaluation!$F$2:$F$10)</f>
        <v>20</v>
      </c>
      <c r="E8" s="16" t="n">
        <f aca="false">IF(SUM($D$5:$D$10)=0,0,D8/SUM($D$5:$D$10))</f>
        <v>0.571428571428571</v>
      </c>
    </row>
    <row r="9" customFormat="false" ht="15" hidden="false" customHeight="false" outlineLevel="0" collapsed="false">
      <c r="A9" s="17" t="n">
        <v>4</v>
      </c>
      <c r="B9" s="17" t="s">
        <v>66</v>
      </c>
      <c r="C9" s="17" t="n">
        <f aca="false">COUNTIF(Evaluation!$G$2:$G$10,A9)</f>
        <v>0</v>
      </c>
      <c r="D9" s="17" t="n">
        <f aca="false">SUMIF(Evaluation!$G$2:$G$10,A9,Evaluation!$F$2:$F$10)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67</v>
      </c>
      <c r="C10" s="19" t="n">
        <f aca="false">COUNTIF(Evaluation!$G$2:$G$10,A10)</f>
        <v>0</v>
      </c>
      <c r="D10" s="19" t="n">
        <f aca="false">SUMIF(Evaluation!$G$2:$G$10,A10,Evaluation!$F$2:$F$10)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68</v>
      </c>
      <c r="C11" s="21" t="n">
        <f aca="false">SUM(C5:C10)</f>
        <v>9</v>
      </c>
      <c r="D11" s="21" t="n">
        <f aca="false">SUM(D5:D10)</f>
        <v>35</v>
      </c>
    </row>
    <row r="13" customFormat="false" ht="46.25" hidden="false" customHeight="false" outlineLevel="0" collapsed="false">
      <c r="A13" s="1" t="s">
        <v>69</v>
      </c>
      <c r="B13" s="1" t="s">
        <v>70</v>
      </c>
      <c r="C13" s="1" t="s">
        <v>71</v>
      </c>
      <c r="D13" s="1" t="s">
        <v>5</v>
      </c>
      <c r="E13" s="1" t="s">
        <v>72</v>
      </c>
    </row>
    <row r="14" customFormat="false" ht="15" hidden="false" customHeight="false" outlineLevel="0" collapsed="false">
      <c r="A14" s="21" t="s">
        <v>73</v>
      </c>
      <c r="B14" s="22" t="n">
        <f aca="false">SUM(Evaluation!$L$2:$L$10)/SUM(Evaluation!$F$2:$F$10)</f>
        <v>2.8</v>
      </c>
      <c r="C14" s="22" t="n">
        <f aca="false">SUMPRODUCT(Evaluation!$F$2:$F$10,Evaluation!$G$2:$G$10)/SUM(Evaluation!$F$2:$F$10)</f>
        <v>2.57142857142857</v>
      </c>
      <c r="D14" s="21" t="n">
        <f aca="false">SUM(Evaluation!$F$2:$F$10)</f>
        <v>35</v>
      </c>
      <c r="E14" s="22" t="n">
        <f aca="false">AVERAGE(Evaluation!$G$2:$G$10)</f>
        <v>2.55555555555556</v>
      </c>
    </row>
    <row r="16" customFormat="false" ht="15" hidden="false" customHeight="false" outlineLevel="0" collapsed="false">
      <c r="A16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75</v>
      </c>
    </row>
    <row r="3" customFormat="false" ht="23.85" hidden="false" customHeight="false" outlineLevel="0" collapsed="false">
      <c r="A3" s="1" t="s">
        <v>76</v>
      </c>
      <c r="B3" s="1" t="s">
        <v>77</v>
      </c>
      <c r="C3" s="1" t="s">
        <v>72</v>
      </c>
      <c r="D3" s="1" t="s">
        <v>78</v>
      </c>
      <c r="E3" s="1" t="s">
        <v>79</v>
      </c>
      <c r="F3" s="1" t="s">
        <v>80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81</v>
      </c>
      <c r="B9" s="22" t="n">
        <f aca="false">Summary!B14</f>
        <v>2.8</v>
      </c>
      <c r="C9" s="22" t="n">
        <f aca="false">Summary!E14</f>
        <v>2.55555555555556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2026-10-19T11:02:16Z</dcterms:created>
  <dc:creator>openpyxl</dc:creator>
  <dc:description/>
  <dc:language>en-US</dc:language>
  <cp:lastModifiedBy/>
  <dcterms:modified xsi:type="dcterms:W3CDTF">2026-10-19T11:02:16Z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