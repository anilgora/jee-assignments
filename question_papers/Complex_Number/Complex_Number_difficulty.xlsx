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<sst xmlns="http://schemas.openxmlformats.org/spreadsheetml/2006/main" count="255" uniqueCount="142">
  <si>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</si>
  <si>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</si>
  <si>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</si>
  <si>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</si>
  <si>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</si>
  <si>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</si>
  <si>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</si>
  <si>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</si>
  <si>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</si>
  <si>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</si>
  <si>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</si>
  <si>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</si>
  <si>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</si>
  <si>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</si>
  <si>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</si>
  <si>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</si>
  <si>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</si>
  <si>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</si>
  <si>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Complex Number</t>
  </si>
  <si>
    <t xml:space="preserve">Average Advanced</t>
  </si>
  <si>
    <t xml:space="preserve">Factor e^{i(alpha+beta)/2} out of the sum of counter-rotating vectors; get alpha+beta = pi/4 by tan(A+B), so the major axis is at pi/8.</t>
  </si>
  <si>
    <t xml:space="preserve">The decomposition of u e^{i t} + v e^{-i t} into a rotated ellipse is not a routine coaching pattern; brute force gives a linear image of a circle whose axes are hard to find. Two ideas linked (polar factorisation and compound angle) puts it at average Advanced, like 2021-P1-Q4 (L3).</t>
  </si>
  <si>
    <t xml:space="preserve">2021-P1-Q4 (L3)</t>
  </si>
  <si>
    <t xml:space="preserve">Medium</t>
  </si>
  <si>
    <t xml:space="preserve">Q02</t>
  </si>
  <si>
    <t xml:space="preserve">Identify the correct arc with excluded end points, then see that the triangle-inequality minimum falls at the excluded end point 1.</t>
  </si>
  <si>
    <t xml:space="preserve">Three standard ideas (arc locus, side of the arc, distance extremum) plus an end-point decision that changes the option; the options punish a missed exclusion. Comparable to 2021-P1-Q16 (L3) for the argument arc.</t>
  </si>
  <si>
    <t xml:space="preserve">2021-P1-Q16 (L3)</t>
  </si>
  <si>
    <t xml:space="preserve">High</t>
  </si>
  <si>
    <t xml:space="preserve">Q03</t>
  </si>
  <si>
    <t xml:space="preserve">Notice omega^{k^2} is 1 for 3|k and omega otherwise, so S = A + omega(512 - A) with A from the cube-root filter.</t>
  </si>
  <si>
    <t xml:space="preserve">The hidden reduction of k^2 mod 3 is the idea a prepared student must spot; after it the multisection is standard. Two linked ideas with options to check, like 2026-P1-Q13 (L3, omega with high powers).</t>
  </si>
  <si>
    <t xml:space="preserve">2026-P1-Q13 (L3)</t>
  </si>
  <si>
    <t xml:space="preserve">Q04</t>
  </si>
  <si>
    <t xml:space="preserve">Normalise the scaled complex forms, get the two strip widths and the angle, then area = d1 d2 / sin phi.</t>
  </si>
  <si>
    <t xml:space="preserve">Routine pieces but with two traps (scaled coefficients, factor 2 in the distance) and the less common area formula d1 d2/sin phi; borderline 2-3, rated 3 because the options are built on exactly those slips. Near 2023-P1-Q16 (L3) for distance between lines.</t>
  </si>
  <si>
    <t xml:space="preserve">2023-P1-Q16 (L3)</t>
  </si>
  <si>
    <t xml:space="preserve">Q05</t>
  </si>
  <si>
    <t xml:space="preserve">Numerical</t>
  </si>
  <si>
    <t xml:space="preserve">Easier than Advanced</t>
  </si>
  <si>
    <t xml:space="preserve">Rewrite 9/zbar as 9z/|z|^2 so that z is a positive multiple of 6+8i, then solve r + 9/r = 10.</t>
  </si>
  <si>
    <t xml:space="preserve">Routine chain of three standard steps with one small observation; no options, but no casework. Like 2023-P1-Q17 (L3) in topic but lighter, so level 2.</t>
  </si>
  <si>
    <t xml:space="preserve">2023-P1-Q17 (L3)</t>
  </si>
  <si>
    <t xml:space="preserve">Q06</t>
  </si>
  <si>
    <t xml:space="preserve">Reduce to cos 2theta - sin 2theta, find the argument range [0, 2phi] of the circle from the tangent symmetry, and evaluate at the end point.</t>
  </si>
  <si>
    <t xml:space="preserve">Two linked ideas (exponential form of zbar/z, argument range of a circle) with double-angle work and a monotonicity check, no options. Average Advanced numerical, like 2023-P1-Q11 (L3).</t>
  </si>
  <si>
    <t xml:space="preserve">2023-P1-Q11 (L3)</t>
  </si>
  <si>
    <t xml:space="preserve">Q07</t>
  </si>
  <si>
    <t xml:space="preserve">Rotate the circle of B through pi/2 to get the locus of D, intersect with Re z = -2, then c = (1+i) b.</t>
  </si>
  <si>
    <t xml:space="preserve">Rotation of a locus followed by an intersection and back-substitution in two cases; no options. Average Advanced numerical, close to 2026-P2-Q7 (L3) in the 'construct a point by rotation, then compute' demand.</t>
  </si>
  <si>
    <t xml:space="preserve">2026-P2-Q7 (L3)</t>
  </si>
  <si>
    <t xml:space="preserve">Q08</t>
  </si>
  <si>
    <t xml:space="preserve">See the sum as the GP (z^5 - zbar^5)/(z - zbar) and evaluate with De Moivre in polar form.</t>
  </si>
  <si>
    <t xml:space="preserve">Three linked standard steps (polar form, GP of conjugate powers, De Moivre) with a non-obvious first move, numerical answer. Borderline 2-3; comparable to 2025-P2-Q13 (L4) in topic but much lighter, so 3 with Medium confidence.</t>
  </si>
  <si>
    <t xml:space="preserve">2025-P2-Q13 (L4)</t>
  </si>
  <si>
    <t xml:space="preserve">Q09</t>
  </si>
  <si>
    <t xml:space="preserve">Use h = z1+z2+z3 for a triangle inscribed in |z| = 1, then conjugate with zbar = 1/z to get sigma2 = (z1z2z3) conj(h).</t>
  </si>
  <si>
    <t xml:space="preserve">Two known results applied in sequence (orthocentre as the sum of vertices, zbar = 1/z); a routine chain with no casework. Level 2, near 2026-P2-Q1 (L2) in demand.</t>
  </si>
  <si>
    <t xml:space="preserve">2026-P2-Q1 (L2)</t>
  </si>
  <si>
    <t xml:space="preserve">Q10</t>
  </si>
  <si>
    <t xml:space="preserve">Convert the ratio condition to the circle centre -1, radius 3, then max/min distance = 17 +- 3.</t>
  </si>
  <si>
    <t xml:space="preserve">Two standard steps chained (Apollonius circle, distance extremum); routine, no insight. Above 2025-P1-Q7 (L1) because of the extra extremum step, so level 2.</t>
  </si>
  <si>
    <t xml:space="preserve">2025-P1-Q7 (L1)</t>
  </si>
  <si>
    <t xml:space="preserve">Q11</t>
  </si>
  <si>
    <t xml:space="preserve">Recognise 7 - 24i = -(3+4i)^2, factor, and use that |z - 3 - 4i| = 2 on S.</t>
  </si>
  <si>
    <t xml:space="preserve">The hidden factorisation is the idea a student must find; without it the problem is a heavy two-variable optimisation. After it, a standard distance extremum. Average Advanced, like 2023-P1-Q11 (L3).</t>
  </si>
  <si>
    <t xml:space="preserve">Q12</t>
  </si>
  <si>
    <t xml:space="preserve">Turn the double inequality on the argument into the region between the semicircle and the pi/4 arc, then count lattice points with the boundaries.</t>
  </si>
  <si>
    <t xml:space="preserve">Two arc loci and their inside/outside rule plus a count where one boundary slip changes the answer; average Advanced numerical. Near 2023-P1-Q6 (L3, lattice points in regions) and 2021-P1-Q16 (L3, argument arcs).</t>
  </si>
  <si>
    <t xml:space="preserve">Q13</t>
  </si>
  <si>
    <t xml:space="preserve">Write the construction as a clockwise rotation-scaling, get the recurrence and its invariant p_{n+1} + c p_n, then the limit.</t>
  </si>
  <si>
    <t xml:space="preserve">Rotation set-up plus the invariant of a two-term recurrence with complex weights; the second idea is uncommon in complex numbers but known from real averaging sequences. Placed at 3 (could be read as 4); near 2025-P1-Q9 (L4) for the vector-ratio reasoning but shorter.</t>
  </si>
  <si>
    <t xml:space="preserve">2025-P1-Q9 (L4)</t>
  </si>
  <si>
    <t xml:space="preserve">Q14</t>
  </si>
  <si>
    <t xml:space="preserve">Write t = tan theta, use De Moivre so arg = 3theta in (-3pi/2, 3pi/2), keep the two admissible branches and reject t = -2+sqrt3.</t>
  </si>
  <si>
    <t xml:space="preserve">Two linked ideas (De Moivre with principal-argument branches, multiple-angle identity) with an extraneous root that a careless solver keeps; average Advanced, like 2025-P2-Q3 (L3, branch care with inverse trig).</t>
  </si>
  <si>
    <t xml:space="preserve">2025-P2-Q3 (L3)</t>
  </si>
  <si>
    <t xml:space="preserve">Q15</t>
  </si>
  <si>
    <t xml:space="preserve">Sum the GP in u = 1 + i sqrt3, simplify u/(u-1) = 1 - i/sqrt3, and read S_n by n mod 6.</t>
  </si>
  <si>
    <t xml:space="preserve">De Moivre GP summation plus a compound-angle reduction and a periodic case split; numerical with no options. Average Advanced, near 2025-P2-Q13 (L4) but with a more standard route, so 3.</t>
  </si>
  <si>
    <t xml:space="preserve">Q16</t>
  </si>
  <si>
    <t xml:space="preserve">Factor the circulant determinant with omega and pair the conjugate factors into |a+b omega+c omega^2|^2.</t>
  </si>
  <si>
    <t xml:space="preserve">One known factorisation plus the conjugate-pair observation; a short routine chain. Level 2, near 2026-P1-Q13 (L3) in topic but lighter.</t>
  </si>
  <si>
    <t xml:space="preserve">Q17</t>
  </si>
  <si>
    <t xml:space="preserve">See cos^2(k pi/3) as 1 or 1/4 and extract the multiples of 3 by the cube-root filter.</t>
  </si>
  <si>
    <t xml:space="preserve">One standard filter plus a weighting observation; routine chain, numerical. Level 2, like 2023-P1-Q13 (L1) raised by the extra multisection step.</t>
  </si>
  <si>
    <t xml:space="preserve">2023-P1-Q13 (L1)</t>
  </si>
  <si>
    <t xml:space="preserve">Q18</t>
  </si>
  <si>
    <t xml:space="preserve">Use the distance |c abar + cbar a + b|/(2|a|) = r to get b0 = -2, then the foot c - r a/|a|.</t>
  </si>
  <si>
    <t xml:space="preserve">Three routine steps (convert, tangency, foot of perpendicular) with a sign decision; no real insight. Level 2, like 2024-P1-Q15 (L1) plus one more step.</t>
  </si>
  <si>
    <t xml:space="preserve">2024-P1-Q15 (L1)</t>
  </si>
  <si>
    <t xml:space="preserve">Q19</t>
  </si>
  <si>
    <t xml:space="preserve">Substitute the ray z = r e^{i pi/12} into the Apollonius circle and use the product of roots r1 r2 = 18.</t>
  </si>
  <si>
    <t xml:space="preserve">Routine chain (Apollonius circle, parametrise the ray, Vieta) with a check that both points are on the ray; no insight. Level 2, above 2025-P1-Q7 (L1).</t>
  </si>
  <si>
    <t xml:space="preserve">Q20</t>
  </si>
  <si>
    <t xml:space="preserve">Read the diametric circle (centre 4+6i, radius 5) and invert the Apollonius formulas: k = R/|beta - c| = 5, alpha = c + k^2(beta - c).</t>
  </si>
  <si>
    <t xml:space="preserve">Two ideas linked in the reverse direction (diametric form, Apollonius centre-radius relations / inverse points) with a numerical answer; average Advanced, near 2021-P1-Q16 (L3, recover parameters from a given circle).</t>
  </si>
  <si>
    <t xml:space="preserve">Q21</t>
  </si>
  <si>
    <t xml:space="preserve">Image of O in the bisector of O and 2+i is 2+i; the image ray passes through the point where R meets L.</t>
  </si>
  <si>
    <t xml:space="preserve">Routine chain of three steps (bisector equation, image of a point, line through two points) with one convenient observation. Level 2, like 2026-P2-Q1 (L2) in length.</t>
  </si>
  <si>
    <t xml:space="preserve">Q22</t>
  </si>
  <si>
    <t xml:space="preserve">Convert |z + zbar - 34| to 2|x - 17| so the condition is PS = (3/5) PM; then b/a = sqrt(1 - e^2).</t>
  </si>
  <si>
    <t xml:space="preserve">A short routine chain with one trap (the factor 2 in z + zbar); level 2, comparable to 2026-P2-Q17 (L2).</t>
  </si>
  <si>
    <t xml:space="preserve">2026-P2-Q17 (L2)</t>
  </si>
  <si>
    <t xml:space="preserve">Q23</t>
  </si>
  <si>
    <t xml:space="preserve">Get a, c, b^2 from the focal-sum locus, then place the latus rectum through 3+4i along i(3+4i)/5 with half-length b^2/a.</t>
  </si>
  <si>
    <t xml:space="preserve">Standard ellipse elements applied to an oblique ellipse given in complex form; the rotation step and exact coordinates with no options make it an average Advanced numerical. Near 2026-P2-Q13 (L3, conic elements from given data).</t>
  </si>
  <si>
    <t xml:space="preserve">2026-P2-Q13 (L3)</t>
  </si>
  <si>
    <t xml:space="preserve">Q24</t>
  </si>
  <si>
    <t xml:space="preserve">Conjugate the second equation so both are linear in z and wbar, then eliminate.</t>
  </si>
  <si>
    <t xml:space="preserve">A routine chain (conjugate, eliminate, divide, multiply) with one idea; level 2, lighter than 2023-P1-Q17 (L3).</t>
  </si>
  <si>
    <t xml:space="preserve">Q25</t>
  </si>
  <si>
    <t xml:space="preserve">Take moduli (|z| = 0 or 3), use zbar = 9/z to get z^6 = 729, then sum 18 - 6 Re z and add z = 0.</t>
  </si>
  <si>
    <t xml:space="preserve">A routine chain of standard steps with one trap (z = 0); level 2, like 2023-P1-Q17 (L3) in topic but simpler.</t>
  </si>
  <si>
    <t xml:space="preserve">Q26</t>
  </si>
  <si>
    <t xml:space="preserve">Read K = -3-4i, r = 2 from the complex circle, distance d = 4/sqrt5 from the line, then cos PKQ = 2d^2/r^2 - 1.</t>
  </si>
  <si>
    <t xml:space="preserve">Three routine steps in sequence with no insight; level 2, near 2024-P1-Q15 (L1) plus the double-angle step.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</si>
  <si>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</si>
  <si>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</si>
  <si>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Complex Number   |   Evaluated on: 2026-10-18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</si>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</sst>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4" t="n">
        <v>3</v>
      </c>
      <c r="H3" s="4" t="s">
        <v>19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9</v>
      </c>
      <c r="M3" s="3" t="s">
        <v>25</v>
      </c>
      <c r="N3" s="3" t="s">
        <v>26</v>
      </c>
      <c r="O3" s="3" t="s">
        <v>27</v>
      </c>
      <c r="P3" s="2" t="s">
        <v>28</v>
      </c>
    </row>
    <row r="4" customFormat="false" ht="35.05" hidden="false" customHeight="false" outlineLevel="0" collapsed="false">
      <c r="A4" s="2" t="n">
        <v>3</v>
      </c>
      <c r="B4" s="2"/>
      <c r="C4" s="2" t="s">
        <v>29</v>
      </c>
      <c r="D4" s="2" t="s">
        <v>17</v>
      </c>
      <c r="E4" s="3" t="s">
        <v>18</v>
      </c>
      <c r="F4" s="2" t="n">
        <v>3</v>
      </c>
      <c r="G4" s="4" t="n">
        <v>3</v>
      </c>
      <c r="H4" s="4" t="s">
        <v>19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9</v>
      </c>
      <c r="M4" s="3" t="s">
        <v>30</v>
      </c>
      <c r="N4" s="3" t="s">
        <v>31</v>
      </c>
      <c r="O4" s="3" t="s">
        <v>32</v>
      </c>
      <c r="P4" s="2" t="s">
        <v>28</v>
      </c>
    </row>
    <row r="5" customFormat="false" ht="46.25" hidden="false" customHeight="false" outlineLevel="0" collapsed="false">
      <c r="A5" s="2" t="n">
        <v>4</v>
      </c>
      <c r="B5" s="2"/>
      <c r="C5" s="2" t="s">
        <v>33</v>
      </c>
      <c r="D5" s="2" t="s">
        <v>17</v>
      </c>
      <c r="E5" s="3" t="s">
        <v>18</v>
      </c>
      <c r="F5" s="2" t="n">
        <v>3</v>
      </c>
      <c r="G5" s="4" t="n">
        <v>3</v>
      </c>
      <c r="H5" s="4" t="s">
        <v>19</v>
      </c>
      <c r="I5" s="5" t="n">
        <v>0</v>
      </c>
      <c r="J5" s="5" t="n">
        <v>0</v>
      </c>
      <c r="K5" s="5" t="n">
        <f aca="false">MIN(5,MAX(G5+I5,J5))</f>
        <v>3</v>
      </c>
      <c r="L5" s="5" t="n">
        <f aca="false">F5*K5</f>
        <v>9</v>
      </c>
      <c r="M5" s="3" t="s">
        <v>34</v>
      </c>
      <c r="N5" s="3" t="s">
        <v>35</v>
      </c>
      <c r="O5" s="3" t="s">
        <v>36</v>
      </c>
      <c r="P5" s="2" t="s">
        <v>23</v>
      </c>
    </row>
    <row r="6" customFormat="false" ht="35.05" hidden="false" customHeight="false" outlineLevel="0" collapsed="false">
      <c r="A6" s="2" t="n">
        <v>5</v>
      </c>
      <c r="B6" s="2"/>
      <c r="C6" s="2" t="s">
        <v>37</v>
      </c>
      <c r="D6" s="2" t="s">
        <v>38</v>
      </c>
      <c r="E6" s="3" t="s">
        <v>18</v>
      </c>
      <c r="F6" s="2" t="n">
        <v>4</v>
      </c>
      <c r="G6" s="6" t="n">
        <v>2</v>
      </c>
      <c r="H6" s="6" t="s">
        <v>39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8</v>
      </c>
      <c r="M6" s="3" t="s">
        <v>40</v>
      </c>
      <c r="N6" s="3" t="s">
        <v>41</v>
      </c>
      <c r="O6" s="3" t="s">
        <v>42</v>
      </c>
      <c r="P6" s="2" t="s">
        <v>28</v>
      </c>
    </row>
    <row r="7" customFormat="false" ht="46.25" hidden="false" customHeight="false" outlineLevel="0" collapsed="false">
      <c r="A7" s="2" t="n">
        <v>6</v>
      </c>
      <c r="B7" s="2"/>
      <c r="C7" s="2" t="s">
        <v>43</v>
      </c>
      <c r="D7" s="2" t="s">
        <v>38</v>
      </c>
      <c r="E7" s="3" t="s">
        <v>18</v>
      </c>
      <c r="F7" s="2" t="n">
        <v>4</v>
      </c>
      <c r="G7" s="4" t="n">
        <v>3</v>
      </c>
      <c r="H7" s="4" t="s">
        <v>19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12</v>
      </c>
      <c r="M7" s="3" t="s">
        <v>44</v>
      </c>
      <c r="N7" s="3" t="s">
        <v>45</v>
      </c>
      <c r="O7" s="3" t="s">
        <v>46</v>
      </c>
      <c r="P7" s="2" t="s">
        <v>23</v>
      </c>
    </row>
    <row r="8" customFormat="false" ht="35.05" hidden="false" customHeight="false" outlineLevel="0" collapsed="false">
      <c r="A8" s="2" t="n">
        <v>7</v>
      </c>
      <c r="B8" s="2"/>
      <c r="C8" s="2" t="s">
        <v>47</v>
      </c>
      <c r="D8" s="2" t="s">
        <v>38</v>
      </c>
      <c r="E8" s="3" t="s">
        <v>18</v>
      </c>
      <c r="F8" s="2" t="n">
        <v>4</v>
      </c>
      <c r="G8" s="4" t="n">
        <v>3</v>
      </c>
      <c r="H8" s="4" t="s">
        <v>19</v>
      </c>
      <c r="I8" s="5" t="n">
        <v>0</v>
      </c>
      <c r="J8" s="5" t="n">
        <v>0</v>
      </c>
      <c r="K8" s="5" t="n">
        <f aca="false">MIN(5,MAX(G8+I8,J8))</f>
        <v>3</v>
      </c>
      <c r="L8" s="5" t="n">
        <f aca="false">F8*K8</f>
        <v>12</v>
      </c>
      <c r="M8" s="3" t="s">
        <v>48</v>
      </c>
      <c r="N8" s="3" t="s">
        <v>49</v>
      </c>
      <c r="O8" s="3" t="s">
        <v>50</v>
      </c>
      <c r="P8" s="2" t="s">
        <v>23</v>
      </c>
    </row>
    <row r="9" customFormat="false" ht="46.25" hidden="false" customHeight="false" outlineLevel="0" collapsed="false">
      <c r="A9" s="2" t="n">
        <v>8</v>
      </c>
      <c r="B9" s="2"/>
      <c r="C9" s="2" t="s">
        <v>51</v>
      </c>
      <c r="D9" s="2" t="s">
        <v>38</v>
      </c>
      <c r="E9" s="3" t="s">
        <v>18</v>
      </c>
      <c r="F9" s="2" t="n">
        <v>4</v>
      </c>
      <c r="G9" s="4" t="n">
        <v>3</v>
      </c>
      <c r="H9" s="4" t="s">
        <v>19</v>
      </c>
      <c r="I9" s="5" t="n">
        <v>0</v>
      </c>
      <c r="J9" s="5" t="n">
        <v>0</v>
      </c>
      <c r="K9" s="5" t="n">
        <f aca="false">MIN(5,MAX(G9+I9,J9))</f>
        <v>3</v>
      </c>
      <c r="L9" s="5" t="n">
        <f aca="false">F9*K9</f>
        <v>12</v>
      </c>
      <c r="M9" s="3" t="s">
        <v>52</v>
      </c>
      <c r="N9" s="3" t="s">
        <v>53</v>
      </c>
      <c r="O9" s="3" t="s">
        <v>54</v>
      </c>
      <c r="P9" s="2" t="s">
        <v>23</v>
      </c>
    </row>
    <row r="10" customFormat="false" ht="35.05" hidden="false" customHeight="false" outlineLevel="0" collapsed="false">
      <c r="A10" s="2" t="n">
        <v>9</v>
      </c>
      <c r="B10" s="2"/>
      <c r="C10" s="2" t="s">
        <v>55</v>
      </c>
      <c r="D10" s="2" t="s">
        <v>38</v>
      </c>
      <c r="E10" s="3" t="s">
        <v>18</v>
      </c>
      <c r="F10" s="2" t="n">
        <v>4</v>
      </c>
      <c r="G10" s="6" t="n">
        <v>2</v>
      </c>
      <c r="H10" s="6" t="s">
        <v>39</v>
      </c>
      <c r="I10" s="5" t="n">
        <v>0</v>
      </c>
      <c r="J10" s="5" t="n">
        <v>0</v>
      </c>
      <c r="K10" s="5" t="n">
        <f aca="false">MIN(5,MAX(G10+I10,J10))</f>
        <v>2</v>
      </c>
      <c r="L10" s="5" t="n">
        <f aca="false">F10*K10</f>
        <v>8</v>
      </c>
      <c r="M10" s="3" t="s">
        <v>56</v>
      </c>
      <c r="N10" s="3" t="s">
        <v>57</v>
      </c>
      <c r="O10" s="3" t="s">
        <v>58</v>
      </c>
      <c r="P10" s="2" t="s">
        <v>23</v>
      </c>
    </row>
    <row r="11" customFormat="false" ht="35.05" hidden="false" customHeight="false" outlineLevel="0" collapsed="false">
      <c r="A11" s="2" t="n">
        <v>10</v>
      </c>
      <c r="B11" s="2"/>
      <c r="C11" s="2" t="s">
        <v>59</v>
      </c>
      <c r="D11" s="2" t="s">
        <v>38</v>
      </c>
      <c r="E11" s="3" t="s">
        <v>18</v>
      </c>
      <c r="F11" s="2" t="n">
        <v>4</v>
      </c>
      <c r="G11" s="6" t="n">
        <v>2</v>
      </c>
      <c r="H11" s="6" t="s">
        <v>39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60</v>
      </c>
      <c r="N11" s="3" t="s">
        <v>61</v>
      </c>
      <c r="O11" s="3" t="s">
        <v>62</v>
      </c>
      <c r="P11" s="2" t="s">
        <v>28</v>
      </c>
    </row>
    <row r="12" customFormat="false" ht="35.05" hidden="false" customHeight="false" outlineLevel="0" collapsed="false">
      <c r="A12" s="2" t="n">
        <v>11</v>
      </c>
      <c r="B12" s="2"/>
      <c r="C12" s="2" t="s">
        <v>63</v>
      </c>
      <c r="D12" s="2" t="s">
        <v>38</v>
      </c>
      <c r="E12" s="3" t="s">
        <v>18</v>
      </c>
      <c r="F12" s="2" t="n">
        <v>4</v>
      </c>
      <c r="G12" s="4" t="n">
        <v>3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64</v>
      </c>
      <c r="N12" s="3" t="s">
        <v>65</v>
      </c>
      <c r="O12" s="3" t="s">
        <v>46</v>
      </c>
      <c r="P12" s="2" t="s">
        <v>23</v>
      </c>
    </row>
    <row r="13" customFormat="false" ht="46.25" hidden="false" customHeight="false" outlineLevel="0" collapsed="false">
      <c r="A13" s="2" t="n">
        <v>12</v>
      </c>
      <c r="B13" s="2"/>
      <c r="C13" s="2" t="s">
        <v>66</v>
      </c>
      <c r="D13" s="2" t="s">
        <v>38</v>
      </c>
      <c r="E13" s="3" t="s">
        <v>18</v>
      </c>
      <c r="F13" s="2" t="n">
        <v>4</v>
      </c>
      <c r="G13" s="4" t="n">
        <v>3</v>
      </c>
      <c r="H13" s="4" t="s">
        <v>19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67</v>
      </c>
      <c r="N13" s="3" t="s">
        <v>68</v>
      </c>
      <c r="O13" s="3" t="s">
        <v>27</v>
      </c>
      <c r="P13" s="2" t="s">
        <v>23</v>
      </c>
    </row>
    <row r="14" customFormat="false" ht="46.25" hidden="false" customHeight="false" outlineLevel="0" collapsed="false">
      <c r="A14" s="2" t="n">
        <v>13</v>
      </c>
      <c r="B14" s="2"/>
      <c r="C14" s="2" t="s">
        <v>69</v>
      </c>
      <c r="D14" s="2" t="s">
        <v>38</v>
      </c>
      <c r="E14" s="3" t="s">
        <v>18</v>
      </c>
      <c r="F14" s="2" t="n">
        <v>4</v>
      </c>
      <c r="G14" s="4" t="n">
        <v>3</v>
      </c>
      <c r="H14" s="4" t="s">
        <v>19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70</v>
      </c>
      <c r="N14" s="3" t="s">
        <v>71</v>
      </c>
      <c r="O14" s="3" t="s">
        <v>72</v>
      </c>
      <c r="P14" s="2" t="s">
        <v>23</v>
      </c>
    </row>
    <row r="15" customFormat="false" ht="35.05" hidden="false" customHeight="false" outlineLevel="0" collapsed="false">
      <c r="A15" s="2" t="n">
        <v>14</v>
      </c>
      <c r="B15" s="2"/>
      <c r="C15" s="2" t="s">
        <v>73</v>
      </c>
      <c r="D15" s="2" t="s">
        <v>38</v>
      </c>
      <c r="E15" s="3" t="s">
        <v>18</v>
      </c>
      <c r="F15" s="2" t="n">
        <v>4</v>
      </c>
      <c r="G15" s="4" t="n">
        <v>3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3</v>
      </c>
      <c r="L15" s="5" t="n">
        <f aca="false">F15*K15</f>
        <v>12</v>
      </c>
      <c r="M15" s="3" t="s">
        <v>74</v>
      </c>
      <c r="N15" s="3" t="s">
        <v>75</v>
      </c>
      <c r="O15" s="3" t="s">
        <v>76</v>
      </c>
      <c r="P15" s="2" t="s">
        <v>23</v>
      </c>
    </row>
    <row r="16" customFormat="false" ht="35.05" hidden="false" customHeight="false" outlineLevel="0" collapsed="false">
      <c r="A16" s="2" t="n">
        <v>15</v>
      </c>
      <c r="B16" s="2"/>
      <c r="C16" s="2" t="s">
        <v>77</v>
      </c>
      <c r="D16" s="2" t="s">
        <v>38</v>
      </c>
      <c r="E16" s="3" t="s">
        <v>18</v>
      </c>
      <c r="F16" s="2" t="n">
        <v>4</v>
      </c>
      <c r="G16" s="4" t="n">
        <v>3</v>
      </c>
      <c r="H16" s="4" t="s">
        <v>19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78</v>
      </c>
      <c r="N16" s="3" t="s">
        <v>79</v>
      </c>
      <c r="O16" s="3" t="s">
        <v>54</v>
      </c>
      <c r="P16" s="2" t="s">
        <v>23</v>
      </c>
    </row>
    <row r="17" customFormat="false" ht="35.05" hidden="false" customHeight="false" outlineLevel="0" collapsed="false">
      <c r="A17" s="2" t="n">
        <v>16</v>
      </c>
      <c r="B17" s="2"/>
      <c r="C17" s="2" t="s">
        <v>80</v>
      </c>
      <c r="D17" s="2" t="s">
        <v>38</v>
      </c>
      <c r="E17" s="3" t="s">
        <v>18</v>
      </c>
      <c r="F17" s="2" t="n">
        <v>4</v>
      </c>
      <c r="G17" s="6" t="n">
        <v>2</v>
      </c>
      <c r="H17" s="6" t="s">
        <v>39</v>
      </c>
      <c r="I17" s="5" t="n">
        <v>0</v>
      </c>
      <c r="J17" s="5" t="n">
        <v>0</v>
      </c>
      <c r="K17" s="5" t="n">
        <f aca="false">MIN(5,MAX(G17+I17,J17))</f>
        <v>2</v>
      </c>
      <c r="L17" s="5" t="n">
        <f aca="false">F17*K17</f>
        <v>8</v>
      </c>
      <c r="M17" s="3" t="s">
        <v>81</v>
      </c>
      <c r="N17" s="3" t="s">
        <v>82</v>
      </c>
      <c r="O17" s="3" t="s">
        <v>32</v>
      </c>
      <c r="P17" s="2" t="s">
        <v>28</v>
      </c>
    </row>
    <row r="18" customFormat="false" ht="23.85" hidden="false" customHeight="false" outlineLevel="0" collapsed="false">
      <c r="A18" s="2" t="n">
        <v>17</v>
      </c>
      <c r="B18" s="2"/>
      <c r="C18" s="2" t="s">
        <v>83</v>
      </c>
      <c r="D18" s="2" t="s">
        <v>38</v>
      </c>
      <c r="E18" s="3" t="s">
        <v>18</v>
      </c>
      <c r="F18" s="2" t="n">
        <v>4</v>
      </c>
      <c r="G18" s="6" t="n">
        <v>2</v>
      </c>
      <c r="H18" s="6" t="s">
        <v>39</v>
      </c>
      <c r="I18" s="5" t="n">
        <v>0</v>
      </c>
      <c r="J18" s="5" t="n">
        <v>0</v>
      </c>
      <c r="K18" s="5" t="n">
        <f aca="false">MIN(5,MAX(G18+I18,J18))</f>
        <v>2</v>
      </c>
      <c r="L18" s="5" t="n">
        <f aca="false">F18*K18</f>
        <v>8</v>
      </c>
      <c r="M18" s="3" t="s">
        <v>84</v>
      </c>
      <c r="N18" s="3" t="s">
        <v>85</v>
      </c>
      <c r="O18" s="3" t="s">
        <v>86</v>
      </c>
      <c r="P18" s="2" t="s">
        <v>28</v>
      </c>
    </row>
    <row r="19" customFormat="false" ht="35.05" hidden="false" customHeight="false" outlineLevel="0" collapsed="false">
      <c r="A19" s="2" t="n">
        <v>18</v>
      </c>
      <c r="B19" s="2"/>
      <c r="C19" s="2" t="s">
        <v>87</v>
      </c>
      <c r="D19" s="2" t="s">
        <v>38</v>
      </c>
      <c r="E19" s="3" t="s">
        <v>18</v>
      </c>
      <c r="F19" s="2" t="n">
        <v>4</v>
      </c>
      <c r="G19" s="6" t="n">
        <v>2</v>
      </c>
      <c r="H19" s="6" t="s">
        <v>39</v>
      </c>
      <c r="I19" s="5" t="n">
        <v>0</v>
      </c>
      <c r="J19" s="5" t="n">
        <v>0</v>
      </c>
      <c r="K19" s="5" t="n">
        <f aca="false">MIN(5,MAX(G19+I19,J19))</f>
        <v>2</v>
      </c>
      <c r="L19" s="5" t="n">
        <f aca="false">F19*K19</f>
        <v>8</v>
      </c>
      <c r="M19" s="3" t="s">
        <v>88</v>
      </c>
      <c r="N19" s="3" t="s">
        <v>89</v>
      </c>
      <c r="O19" s="3" t="s">
        <v>90</v>
      </c>
      <c r="P19" s="2" t="s">
        <v>28</v>
      </c>
    </row>
    <row r="20" customFormat="false" ht="35.05" hidden="false" customHeight="false" outlineLevel="0" collapsed="false">
      <c r="A20" s="2" t="n">
        <v>19</v>
      </c>
      <c r="B20" s="2"/>
      <c r="C20" s="2" t="s">
        <v>91</v>
      </c>
      <c r="D20" s="2" t="s">
        <v>38</v>
      </c>
      <c r="E20" s="3" t="s">
        <v>18</v>
      </c>
      <c r="F20" s="2" t="n">
        <v>4</v>
      </c>
      <c r="G20" s="6" t="n">
        <v>2</v>
      </c>
      <c r="H20" s="6" t="s">
        <v>39</v>
      </c>
      <c r="I20" s="5" t="n">
        <v>0</v>
      </c>
      <c r="J20" s="5" t="n">
        <v>0</v>
      </c>
      <c r="K20" s="5" t="n">
        <f aca="false">MIN(5,MAX(G20+I20,J20))</f>
        <v>2</v>
      </c>
      <c r="L20" s="5" t="n">
        <f aca="false">F20*K20</f>
        <v>8</v>
      </c>
      <c r="M20" s="3" t="s">
        <v>92</v>
      </c>
      <c r="N20" s="3" t="s">
        <v>93</v>
      </c>
      <c r="O20" s="3" t="s">
        <v>62</v>
      </c>
      <c r="P20" s="2" t="s">
        <v>28</v>
      </c>
    </row>
    <row r="21" customFormat="false" ht="46.25" hidden="false" customHeight="false" outlineLevel="0" collapsed="false">
      <c r="A21" s="2" t="n">
        <v>20</v>
      </c>
      <c r="B21" s="2"/>
      <c r="C21" s="2" t="s">
        <v>94</v>
      </c>
      <c r="D21" s="2" t="s">
        <v>38</v>
      </c>
      <c r="E21" s="3" t="s">
        <v>18</v>
      </c>
      <c r="F21" s="2" t="n">
        <v>4</v>
      </c>
      <c r="G21" s="4" t="n">
        <v>3</v>
      </c>
      <c r="H21" s="4" t="s">
        <v>19</v>
      </c>
      <c r="I21" s="5" t="n">
        <v>0</v>
      </c>
      <c r="J21" s="5" t="n">
        <v>0</v>
      </c>
      <c r="K21" s="5" t="n">
        <f aca="false">MIN(5,MAX(G21+I21,J21))</f>
        <v>3</v>
      </c>
      <c r="L21" s="5" t="n">
        <f aca="false">F21*K21</f>
        <v>12</v>
      </c>
      <c r="M21" s="3" t="s">
        <v>95</v>
      </c>
      <c r="N21" s="3" t="s">
        <v>96</v>
      </c>
      <c r="O21" s="3" t="s">
        <v>27</v>
      </c>
      <c r="P21" s="2" t="s">
        <v>23</v>
      </c>
    </row>
    <row r="22" customFormat="false" ht="35.05" hidden="false" customHeight="false" outlineLevel="0" collapsed="false">
      <c r="A22" s="2" t="n">
        <v>21</v>
      </c>
      <c r="B22" s="2"/>
      <c r="C22" s="2" t="s">
        <v>97</v>
      </c>
      <c r="D22" s="2" t="s">
        <v>38</v>
      </c>
      <c r="E22" s="3" t="s">
        <v>18</v>
      </c>
      <c r="F22" s="2" t="n">
        <v>4</v>
      </c>
      <c r="G22" s="6" t="n">
        <v>2</v>
      </c>
      <c r="H22" s="6" t="s">
        <v>39</v>
      </c>
      <c r="I22" s="5" t="n">
        <v>0</v>
      </c>
      <c r="J22" s="5" t="n">
        <v>0</v>
      </c>
      <c r="K22" s="5" t="n">
        <f aca="false">MIN(5,MAX(G22+I22,J22))</f>
        <v>2</v>
      </c>
      <c r="L22" s="5" t="n">
        <f aca="false">F22*K22</f>
        <v>8</v>
      </c>
      <c r="M22" s="3" t="s">
        <v>98</v>
      </c>
      <c r="N22" s="3" t="s">
        <v>99</v>
      </c>
      <c r="O22" s="3" t="s">
        <v>58</v>
      </c>
      <c r="P22" s="2" t="s">
        <v>28</v>
      </c>
    </row>
    <row r="23" customFormat="false" ht="35.05" hidden="false" customHeight="false" outlineLevel="0" collapsed="false">
      <c r="A23" s="2" t="n">
        <v>22</v>
      </c>
      <c r="B23" s="2"/>
      <c r="C23" s="2" t="s">
        <v>100</v>
      </c>
      <c r="D23" s="2" t="s">
        <v>38</v>
      </c>
      <c r="E23" s="3" t="s">
        <v>18</v>
      </c>
      <c r="F23" s="2" t="n">
        <v>4</v>
      </c>
      <c r="G23" s="6" t="n">
        <v>2</v>
      </c>
      <c r="H23" s="6" t="s">
        <v>39</v>
      </c>
      <c r="I23" s="5" t="n">
        <v>0</v>
      </c>
      <c r="J23" s="5" t="n">
        <v>0</v>
      </c>
      <c r="K23" s="5" t="n">
        <f aca="false">MIN(5,MAX(G23+I23,J23))</f>
        <v>2</v>
      </c>
      <c r="L23" s="5" t="n">
        <f aca="false">F23*K23</f>
        <v>8</v>
      </c>
      <c r="M23" s="3" t="s">
        <v>101</v>
      </c>
      <c r="N23" s="3" t="s">
        <v>102</v>
      </c>
      <c r="O23" s="3" t="s">
        <v>103</v>
      </c>
      <c r="P23" s="2" t="s">
        <v>28</v>
      </c>
    </row>
    <row r="24" customFormat="false" ht="46.25" hidden="false" customHeight="false" outlineLevel="0" collapsed="false">
      <c r="A24" s="2" t="n">
        <v>23</v>
      </c>
      <c r="B24" s="2"/>
      <c r="C24" s="2" t="s">
        <v>104</v>
      </c>
      <c r="D24" s="2" t="s">
        <v>38</v>
      </c>
      <c r="E24" s="3" t="s">
        <v>18</v>
      </c>
      <c r="F24" s="2" t="n">
        <v>4</v>
      </c>
      <c r="G24" s="4" t="n">
        <v>3</v>
      </c>
      <c r="H24" s="4" t="s">
        <v>19</v>
      </c>
      <c r="I24" s="5" t="n">
        <v>0</v>
      </c>
      <c r="J24" s="5" t="n">
        <v>0</v>
      </c>
      <c r="K24" s="5" t="n">
        <f aca="false">MIN(5,MAX(G24+I24,J24))</f>
        <v>3</v>
      </c>
      <c r="L24" s="5" t="n">
        <f aca="false">F24*K24</f>
        <v>12</v>
      </c>
      <c r="M24" s="3" t="s">
        <v>105</v>
      </c>
      <c r="N24" s="3" t="s">
        <v>106</v>
      </c>
      <c r="O24" s="3" t="s">
        <v>107</v>
      </c>
      <c r="P24" s="2" t="s">
        <v>23</v>
      </c>
    </row>
    <row r="25" customFormat="false" ht="23.85" hidden="false" customHeight="false" outlineLevel="0" collapsed="false">
      <c r="A25" s="2" t="n">
        <v>24</v>
      </c>
      <c r="B25" s="2"/>
      <c r="C25" s="2" t="s">
        <v>108</v>
      </c>
      <c r="D25" s="2" t="s">
        <v>38</v>
      </c>
      <c r="E25" s="3" t="s">
        <v>18</v>
      </c>
      <c r="F25" s="2" t="n">
        <v>4</v>
      </c>
      <c r="G25" s="6" t="n">
        <v>2</v>
      </c>
      <c r="H25" s="6" t="s">
        <v>39</v>
      </c>
      <c r="I25" s="5" t="n">
        <v>0</v>
      </c>
      <c r="J25" s="5" t="n">
        <v>0</v>
      </c>
      <c r="K25" s="5" t="n">
        <f aca="false">MIN(5,MAX(G25+I25,J25))</f>
        <v>2</v>
      </c>
      <c r="L25" s="5" t="n">
        <f aca="false">F25*K25</f>
        <v>8</v>
      </c>
      <c r="M25" s="3" t="s">
        <v>109</v>
      </c>
      <c r="N25" s="3" t="s">
        <v>110</v>
      </c>
      <c r="O25" s="3" t="s">
        <v>42</v>
      </c>
      <c r="P25" s="2" t="s">
        <v>28</v>
      </c>
    </row>
    <row r="26" customFormat="false" ht="35.05" hidden="false" customHeight="false" outlineLevel="0" collapsed="false">
      <c r="A26" s="2" t="n">
        <v>25</v>
      </c>
      <c r="B26" s="2"/>
      <c r="C26" s="2" t="s">
        <v>111</v>
      </c>
      <c r="D26" s="2" t="s">
        <v>38</v>
      </c>
      <c r="E26" s="3" t="s">
        <v>18</v>
      </c>
      <c r="F26" s="2" t="n">
        <v>4</v>
      </c>
      <c r="G26" s="6" t="n">
        <v>2</v>
      </c>
      <c r="H26" s="6" t="s">
        <v>39</v>
      </c>
      <c r="I26" s="5" t="n">
        <v>0</v>
      </c>
      <c r="J26" s="5" t="n">
        <v>0</v>
      </c>
      <c r="K26" s="5" t="n">
        <f aca="false">MIN(5,MAX(G26+I26,J26))</f>
        <v>2</v>
      </c>
      <c r="L26" s="5" t="n">
        <f aca="false">F26*K26</f>
        <v>8</v>
      </c>
      <c r="M26" s="3" t="s">
        <v>112</v>
      </c>
      <c r="N26" s="3" t="s">
        <v>113</v>
      </c>
      <c r="O26" s="3" t="s">
        <v>42</v>
      </c>
      <c r="P26" s="2" t="s">
        <v>28</v>
      </c>
    </row>
    <row r="27" customFormat="false" ht="35.05" hidden="false" customHeight="false" outlineLevel="0" collapsed="false">
      <c r="A27" s="2" t="n">
        <v>26</v>
      </c>
      <c r="B27" s="2"/>
      <c r="C27" s="2" t="s">
        <v>114</v>
      </c>
      <c r="D27" s="2" t="s">
        <v>38</v>
      </c>
      <c r="E27" s="3" t="s">
        <v>18</v>
      </c>
      <c r="F27" s="2" t="n">
        <v>4</v>
      </c>
      <c r="G27" s="6" t="n">
        <v>2</v>
      </c>
      <c r="H27" s="6" t="s">
        <v>39</v>
      </c>
      <c r="I27" s="5" t="n">
        <v>0</v>
      </c>
      <c r="J27" s="5" t="n">
        <v>0</v>
      </c>
      <c r="K27" s="5" t="n">
        <f aca="false">MIN(5,MAX(G27+I27,J27))</f>
        <v>2</v>
      </c>
      <c r="L27" s="5" t="n">
        <f aca="false">F27*K27</f>
        <v>8</v>
      </c>
      <c r="M27" s="3" t="s">
        <v>115</v>
      </c>
      <c r="N27" s="3" t="s">
        <v>116</v>
      </c>
      <c r="O27" s="3" t="s">
        <v>90</v>
      </c>
      <c r="P27" s="2" t="s">
        <v>28</v>
      </c>
    </row>
    <row r="29" customFormat="false" ht="15" hidden="false" customHeight="false" outlineLevel="0" collapsed="false">
      <c r="A29" s="7" t="s">
        <v>117</v>
      </c>
    </row>
  </sheetData>
  <autoFilter ref="A1:P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118</v>
      </c>
    </row>
    <row r="2" customFormat="false" ht="15" hidden="false" customHeight="false" outlineLevel="0" collapsed="false">
      <c r="A2" s="7" t="s">
        <v>119</v>
      </c>
    </row>
    <row r="4" customFormat="false" ht="15" hidden="false" customHeight="false" outlineLevel="0" collapsed="false">
      <c r="A4" s="1" t="s">
        <v>6</v>
      </c>
      <c r="B4" s="1" t="s">
        <v>120</v>
      </c>
      <c r="C4" s="1" t="s">
        <v>121</v>
      </c>
      <c r="D4" s="1" t="s">
        <v>5</v>
      </c>
      <c r="E4" s="1" t="s">
        <v>122</v>
      </c>
    </row>
    <row r="5" customFormat="false" ht="15" hidden="false" customHeight="false" outlineLevel="0" collapsed="false">
      <c r="A5" s="9" t="n">
        <v>0</v>
      </c>
      <c r="B5" s="9" t="s">
        <v>123</v>
      </c>
      <c r="C5" s="9" t="n">
        <f aca="false">COUNTIF(Evaluation!$G$2:$G$27,A5)</f>
        <v>0</v>
      </c>
      <c r="D5" s="9" t="n">
        <f aca="false">SUMIF(Evaluation!$G$2:$G$27,A5,Evaluation!$F$2:$F$27)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124</v>
      </c>
      <c r="C6" s="11" t="n">
        <f aca="false">COUNTIF(Evaluation!$G$2:$G$27,A6)</f>
        <v>0</v>
      </c>
      <c r="D6" s="11" t="n">
        <f aca="false">SUMIF(Evaluation!$G$2:$G$27,A6,Evaluation!$F$2:$F$27)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39</v>
      </c>
      <c r="C7" s="13" t="n">
        <f aca="false">COUNTIF(Evaluation!$G$2:$G$27,A7)</f>
        <v>12</v>
      </c>
      <c r="D7" s="13" t="n">
        <f aca="false">SUMIF(Evaluation!$G$2:$G$27,A7,Evaluation!$F$2:$F$27)</f>
        <v>48</v>
      </c>
      <c r="E7" s="14" t="n">
        <f aca="false">IF(SUM($D$5:$D$10)=0,0,D7/SUM($D$5:$D$10))</f>
        <v>0.48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COUNTIF(Evaluation!$G$2:$G$27,A8)</f>
        <v>14</v>
      </c>
      <c r="D8" s="15" t="n">
        <f aca="false">SUMIF(Evaluation!$G$2:$G$27,A8,Evaluation!$F$2:$F$27)</f>
        <v>52</v>
      </c>
      <c r="E8" s="16" t="n">
        <f aca="false">IF(SUM($D$5:$D$10)=0,0,D8/SUM($D$5:$D$10))</f>
        <v>0.52</v>
      </c>
    </row>
    <row r="9" customFormat="false" ht="15" hidden="false" customHeight="false" outlineLevel="0" collapsed="false">
      <c r="A9" s="17" t="n">
        <v>4</v>
      </c>
      <c r="B9" s="17" t="s">
        <v>125</v>
      </c>
      <c r="C9" s="17" t="n">
        <f aca="false">COUNTIF(Evaluation!$G$2:$G$27,A9)</f>
        <v>0</v>
      </c>
      <c r="D9" s="17" t="n">
        <f aca="false">SUMIF(Evaluation!$G$2:$G$27,A9,Evaluation!$F$2:$F$27)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126</v>
      </c>
      <c r="C10" s="19" t="n">
        <f aca="false">COUNTIF(Evaluation!$G$2:$G$27,A10)</f>
        <v>0</v>
      </c>
      <c r="D10" s="19" t="n">
        <f aca="false">SUMIF(Evaluation!$G$2:$G$27,A10,Evaluation!$F$2:$F$27)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127</v>
      </c>
      <c r="C11" s="21" t="n">
        <f aca="false">SUM(C5:C10)</f>
        <v>26</v>
      </c>
      <c r="D11" s="21" t="n">
        <f aca="false">SUM(D5:D10)</f>
        <v>100</v>
      </c>
    </row>
    <row r="13" customFormat="false" ht="46.25" hidden="false" customHeight="false" outlineLevel="0" collapsed="false">
      <c r="A13" s="1" t="s">
        <v>128</v>
      </c>
      <c r="B13" s="1" t="s">
        <v>129</v>
      </c>
      <c r="C13" s="1" t="s">
        <v>130</v>
      </c>
      <c r="D13" s="1" t="s">
        <v>5</v>
      </c>
      <c r="E13" s="1" t="s">
        <v>131</v>
      </c>
    </row>
    <row r="14" customFormat="false" ht="15" hidden="false" customHeight="false" outlineLevel="0" collapsed="false">
      <c r="A14" s="21" t="s">
        <v>132</v>
      </c>
      <c r="B14" s="22" t="n">
        <f aca="false">SUM(Evaluation!$L$2:$L$27)/SUM(Evaluation!$F$2:$F$27)</f>
        <v>2.52</v>
      </c>
      <c r="C14" s="22" t="n">
        <f aca="false">SUMPRODUCT(Evaluation!$F$2:$F$27,Evaluation!$G$2:$G$27)/SUM(Evaluation!$F$2:$F$27)</f>
        <v>2.52</v>
      </c>
      <c r="D14" s="21" t="n">
        <f aca="false">SUM(Evaluation!$F$2:$F$27)</f>
        <v>100</v>
      </c>
      <c r="E14" s="22" t="n">
        <f aca="false">AVERAGE(Evaluation!$G$2:$G$27)</f>
        <v>2.53846153846154</v>
      </c>
    </row>
    <row r="16" customFormat="false" ht="15" hidden="false" customHeight="false" outlineLevel="0" collapsed="false">
      <c r="A16" s="7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134</v>
      </c>
    </row>
    <row r="3" customFormat="false" ht="23.85" hidden="false" customHeight="false" outlineLevel="0" collapsed="false">
      <c r="A3" s="1" t="s">
        <v>135</v>
      </c>
      <c r="B3" s="1" t="s">
        <v>136</v>
      </c>
      <c r="C3" s="1" t="s">
        <v>131</v>
      </c>
      <c r="D3" s="1" t="s">
        <v>137</v>
      </c>
      <c r="E3" s="1" t="s">
        <v>138</v>
      </c>
      <c r="F3" s="1" t="s">
        <v>139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140</v>
      </c>
      <c r="B9" s="22" t="n">
        <f aca="false">Summary!B14</f>
        <v>2.52</v>
      </c>
      <c r="C9" s="22" t="n">
        <f aca="false">Summary!E14</f>
        <v>2.53846153846154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2026-10-18T17:22:23Z</dcterms:created>
  <dc:creator>openpyxl</dc:creator>
  <dc:description/>
  <dc:language>en-US</dc:language>
  <cp:lastModifiedBy/>
  <dcterms:modified xsi:type="dcterms:W3CDTF">2026-10-18T17:22:23Z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