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<sst xmlns="http://schemas.openxmlformats.org/spreadsheetml/2006/main" count="159" uniqueCount="95">
  <si>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</si>
  <si>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</si>
  <si>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</si>
  <si>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</si>
  <si>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</si>
  <si>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</si>
  <si>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</si>
  <si>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</si>
  <si>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</si>
  <si>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</si>
  <si>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</si>
  <si>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</si>
  <si>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</si>
  <si>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</si>
  <si>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</si>
  <si>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</si>
  <si>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</si>
  <si>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</si>
  <si>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Solution of triangle</t>
  </si>
  <si>
    <t xml:space="preserve">Average Advanced</t>
  </si>
  <si>
    <t xml:space="preserve">Parametrising the angles by C = theta and eliminating theta between b^2 + c^2 = k^2 and b^2 - c^2 = k a.</t>
  </si>
  <si>
    <t xml:space="preserve">Two linked ideas: sine law with a well-chosen parameter, then an elimination that is not a standard identity; options allow a check by a special triangle, which keeps it at 3. Harder than the cosine-rule ratio of 2021-P1-Q18 (L2), comparable to the triangle inequalities of 2021-P2-Q2 (L3).</t>
  </si>
  <si>
    <t xml:space="preserve">2021-P2-Q2 (L3)</t>
  </si>
  <si>
    <t xml:space="preserve">Medium</t>
  </si>
  <si>
    <t xml:space="preserve">Q02</t>
  </si>
  <si>
    <t xml:space="preserve">Recovering BD through angle BAD = pi/2 - angle CAB, then tan of the sum of two cosine-rule angles with the obtuse sign.</t>
  </si>
  <si>
    <t xml:space="preserve">A four-stage chain (cosine rule, complement, cosine rule, tan of a sum) with a sign trap; nothing is non-routine but the configuration must be read correctly. Above the single cosine-rule computation of 2021-P1-Q18 (L2), comparable to 2024-P1-Q3 (L3).</t>
  </si>
  <si>
    <t xml:space="preserve">2024-P1-Q3 (L3)</t>
  </si>
  <si>
    <t xml:space="preserve">Q03</t>
  </si>
  <si>
    <t xml:space="preserve">Combining the half-angle identity xy + yz + zx = 1 with Napier's analogy to solve for tan(A/2).</t>
  </si>
  <si>
    <t xml:space="preserve">Two standard results must be linked into a small system before either gives the answer; options exclude the slips (sqrt15/9 is tan(A/2) itself). Comparable to 2024-P1-Q3 (L3), above the one-formula ratio of 2021-P1-Q18 (L2).</t>
  </si>
  <si>
    <t xml:space="preserve">Q04</t>
  </si>
  <si>
    <t xml:space="preserve">Easier than Advanced</t>
  </si>
  <si>
    <t xml:space="preserve">Reading the ratio 2:1 from the position vector of D and applying the m-n theorem with cot B and cot C from dot products.</t>
  </si>
  <si>
    <t xml:space="preserve">Routine chain of three standard steps (section formula, two dot-product angles, m-n theorem) with no insight; the direct vector route gives the same answer. Comparable to 2026-P2-Q1 (L2), above the section-formula checks of 2023-P2-Q4 (L1).</t>
  </si>
  <si>
    <t xml:space="preserve">2026-P2-Q1 (L2)</t>
  </si>
  <si>
    <t xml:space="preserve">High</t>
  </si>
  <si>
    <t xml:space="preserve">Q05</t>
  </si>
  <si>
    <t xml:space="preserve">Numerical</t>
  </si>
  <si>
    <t xml:space="preserve">Expressing CI as (s-c)/cos(C/2) and getting cos(C/2) from the half-angle formula to fix the scale.</t>
  </si>
  <si>
    <t xml:space="preserve">Four standard results chained in a numerical answer, with the incentre-distance relation as the less routine link; no casework. Above 2021-P1-Q18 (L2), below the inradius part 2023-P2-Q15 (L4).</t>
  </si>
  <si>
    <t xml:space="preserve">2021-P1-Q18 (L2)</t>
  </si>
  <si>
    <t xml:space="preserve">Q06</t>
  </si>
  <si>
    <t xml:space="preserve">Using projection formulae to get a and then b^2 - c^2 = a(b cos C - c cos B), with b = 2c from the sine law.</t>
  </si>
  <si>
    <t xml:space="preserve">A routine multi-step chain of standard formulae with no insight; numerical format with a sign. Comparable to the cosine-rule ratio 2021-P1-Q18 (L2).</t>
  </si>
  <si>
    <t xml:space="preserve">Q07</t>
  </si>
  <si>
    <t xml:space="preserve">Reading tan(A/2) = r/(s-a) from the incircle data and converting it to sin A and cos A.</t>
  </si>
  <si>
    <t xml:space="preserve">Routine chain of standard formulae (half-angle, t-formulae, area, cosine rule) with no insight; the numerical sign is the only trap. Comparable to 2021-P1-Q18 (L2).</t>
  </si>
  <si>
    <t xml:space="preserve">Q08</t>
  </si>
  <si>
    <t xml:space="preserve">Recognising the two solutions B1 and pi - B1 and writing the two angles C as pi - A - B1 and B1 - A.</t>
  </si>
  <si>
    <t xml:space="preserve">A routine ambiguous-case chain (sine law, admissibility, compound angles) with no non-standard idea; numerical answer. Comparable to 2021-P1-Q18 (L2).</t>
  </si>
  <si>
    <t xml:space="preserve">Q09</t>
  </si>
  <si>
    <t xml:space="preserve">Seeing that E, F are feet of altitudes, so the circle through A, E, F has AH as diameter.</t>
  </si>
  <si>
    <t xml:space="preserve">Two ideas linked (right angles in a semicircle make E, F feet of altitudes; then a second diametric circle on AH), with a long coordinate route available as the alternative. Comparable to 2021-P1-Q1 (L3), circle from orthocentre data.</t>
  </si>
  <si>
    <t xml:space="preserve">2021-P1-Q1 (L3)</t>
  </si>
  <si>
    <t xml:space="preserve">Q10</t>
  </si>
  <si>
    <t xml:space="preserve">Reading PQ as |b - c| and using r r1 = (s-b)(s-c) to get s - b and s - c.</t>
  </si>
  <si>
    <t xml:space="preserve">Routine chain of standard incircle/excircle results with one small link (PQ = |b - c|); numerical but no casework. Comparable to 2021-P1-Q18 (L2), below the inradius part 2023-P2-Q15 (L4).</t>
  </si>
  <si>
    <t xml:space="preserve">Q11</t>
  </si>
  <si>
    <t xml:space="preserve">Getting G from O and H, then the midpoint M of BC, then BC as the line through M perpendicular to AH.</t>
  </si>
  <si>
    <t xml:space="preserve">Two linked ideas (Euler-line ratio, then building BC from M and the altitude direction) in a numerical answer; routine coordinate work otherwise. Comparable to 2021-P1-Q1 (L3), triangle from orthocentre data.</t>
  </si>
  <si>
    <t xml:space="preserve">Q12</t>
  </si>
  <si>
    <t xml:space="preserve">Converting PQ = 6 into AB : AC = 1 : 3 through internal and external division of BC.</t>
  </si>
  <si>
    <t xml:space="preserve">Two linked ideas (harmonic division by the two bisectors, then the median formula) and a final area computation; numerical answer with a quadratic in k. Above 2021-P1-Q18 (L2), comparable to the average Advanced two-idea questions such as 2021-P2-Q2 (L3).</t>
  </si>
  <si>
    <t xml:space="preserve">Q13</t>
  </si>
  <si>
    <t xml:space="preserve">Choosing the bisector of the obtuse angle to get cos(A/2) and solving the bisector-length equation for AC.</t>
  </si>
  <si>
    <t xml:space="preserve">Two linked ideas (correct bisector of two lines, then the bisector-length formula solved for a side) in a numerical answer with a sign decided by the obtuse condition. Comparable to 2021-P1-Q1 (L3) in coordinate demand, above 2021-P1-Q18 (L2).</t>
  </si>
  <si>
    <t xml:space="preserve">Q14</t>
  </si>
  <si>
    <t xml:space="preserve">Recognising ABC as the pedal triangle of the excentral triangle, so the area ratio is 2 sin(A/2) sin(B/2) sin(C/2) = r/(2R).</t>
  </si>
  <si>
    <t xml:space="preserve">Standard facts about the excentral and pedal triangles applied in a short chain; with the formula 'area of excentral = 2Rs' it is a direct computation. Comparable to 2021-P1-Q18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</si>
  <si>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</si>
  <si>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</si>
  <si>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Solution of triangle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</si>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</sst>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4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29</v>
      </c>
      <c r="N4" s="3" t="s">
        <v>30</v>
      </c>
      <c r="O4" s="3" t="s">
        <v>27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31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32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33</v>
      </c>
      <c r="N5" s="3" t="s">
        <v>34</v>
      </c>
      <c r="O5" s="3" t="s">
        <v>35</v>
      </c>
      <c r="P5" s="2" t="s">
        <v>36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38</v>
      </c>
      <c r="E6" s="3" t="s">
        <v>18</v>
      </c>
      <c r="F6" s="2" t="n">
        <v>4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39</v>
      </c>
      <c r="N6" s="3" t="s">
        <v>40</v>
      </c>
      <c r="O6" s="3" t="s">
        <v>41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42</v>
      </c>
      <c r="D7" s="2" t="s">
        <v>38</v>
      </c>
      <c r="E7" s="3" t="s">
        <v>18</v>
      </c>
      <c r="F7" s="2" t="n">
        <v>4</v>
      </c>
      <c r="G7" s="6" t="n">
        <v>2</v>
      </c>
      <c r="H7" s="6" t="s">
        <v>32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8</v>
      </c>
      <c r="M7" s="3" t="s">
        <v>43</v>
      </c>
      <c r="N7" s="3" t="s">
        <v>44</v>
      </c>
      <c r="O7" s="3" t="s">
        <v>41</v>
      </c>
      <c r="P7" s="2" t="s">
        <v>36</v>
      </c>
    </row>
    <row r="8" customFormat="false" ht="35.05" hidden="false" customHeight="false" outlineLevel="0" collapsed="false">
      <c r="A8" s="2" t="n">
        <v>7</v>
      </c>
      <c r="B8" s="2"/>
      <c r="C8" s="2" t="s">
        <v>45</v>
      </c>
      <c r="D8" s="2" t="s">
        <v>38</v>
      </c>
      <c r="E8" s="3" t="s">
        <v>18</v>
      </c>
      <c r="F8" s="2" t="n">
        <v>4</v>
      </c>
      <c r="G8" s="6" t="n">
        <v>2</v>
      </c>
      <c r="H8" s="6" t="s">
        <v>32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46</v>
      </c>
      <c r="N8" s="3" t="s">
        <v>47</v>
      </c>
      <c r="O8" s="3" t="s">
        <v>41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48</v>
      </c>
      <c r="D9" s="2" t="s">
        <v>38</v>
      </c>
      <c r="E9" s="3" t="s">
        <v>18</v>
      </c>
      <c r="F9" s="2" t="n">
        <v>4</v>
      </c>
      <c r="G9" s="6" t="n">
        <v>2</v>
      </c>
      <c r="H9" s="6" t="s">
        <v>32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49</v>
      </c>
      <c r="N9" s="3" t="s">
        <v>50</v>
      </c>
      <c r="O9" s="3" t="s">
        <v>41</v>
      </c>
      <c r="P9" s="2" t="s">
        <v>23</v>
      </c>
    </row>
    <row r="10" customFormat="false" ht="46.25" hidden="false" customHeight="false" outlineLevel="0" collapsed="false">
      <c r="A10" s="2" t="n">
        <v>9</v>
      </c>
      <c r="B10" s="2"/>
      <c r="C10" s="2" t="s">
        <v>51</v>
      </c>
      <c r="D10" s="2" t="s">
        <v>38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52</v>
      </c>
      <c r="N10" s="3" t="s">
        <v>53</v>
      </c>
      <c r="O10" s="3" t="s">
        <v>54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55</v>
      </c>
      <c r="D11" s="2" t="s">
        <v>38</v>
      </c>
      <c r="E11" s="3" t="s">
        <v>18</v>
      </c>
      <c r="F11" s="2" t="n">
        <v>4</v>
      </c>
      <c r="G11" s="6" t="n">
        <v>2</v>
      </c>
      <c r="H11" s="6" t="s">
        <v>32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56</v>
      </c>
      <c r="N11" s="3" t="s">
        <v>57</v>
      </c>
      <c r="O11" s="3" t="s">
        <v>41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58</v>
      </c>
      <c r="D12" s="2" t="s">
        <v>38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59</v>
      </c>
      <c r="N12" s="3" t="s">
        <v>60</v>
      </c>
      <c r="O12" s="3" t="s">
        <v>54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61</v>
      </c>
      <c r="D13" s="2" t="s">
        <v>38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62</v>
      </c>
      <c r="N13" s="3" t="s">
        <v>63</v>
      </c>
      <c r="O13" s="3" t="s">
        <v>22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64</v>
      </c>
      <c r="D14" s="2" t="s">
        <v>38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65</v>
      </c>
      <c r="N14" s="3" t="s">
        <v>66</v>
      </c>
      <c r="O14" s="3" t="s">
        <v>54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67</v>
      </c>
      <c r="D15" s="2" t="s">
        <v>38</v>
      </c>
      <c r="E15" s="3" t="s">
        <v>18</v>
      </c>
      <c r="F15" s="2" t="n">
        <v>4</v>
      </c>
      <c r="G15" s="6" t="n">
        <v>2</v>
      </c>
      <c r="H15" s="6" t="s">
        <v>32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68</v>
      </c>
      <c r="N15" s="3" t="s">
        <v>69</v>
      </c>
      <c r="O15" s="3" t="s">
        <v>41</v>
      </c>
      <c r="P15" s="2" t="s">
        <v>23</v>
      </c>
    </row>
    <row r="17" customFormat="false" ht="15" hidden="false" customHeight="false" outlineLevel="0" collapsed="false">
      <c r="A17" s="7" t="s">
        <v>70</v>
      </c>
    </row>
  </sheetData>
  <autoFilter ref="A1:P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71</v>
      </c>
    </row>
    <row r="2" customFormat="false" ht="15" hidden="false" customHeight="false" outlineLevel="0" collapsed="false">
      <c r="A2" s="7" t="s">
        <v>72</v>
      </c>
    </row>
    <row r="4" customFormat="false" ht="15" hidden="false" customHeight="false" outlineLevel="0" collapsed="false">
      <c r="A4" s="1" t="s">
        <v>6</v>
      </c>
      <c r="B4" s="1" t="s">
        <v>73</v>
      </c>
      <c r="C4" s="1" t="s">
        <v>74</v>
      </c>
      <c r="D4" s="1" t="s">
        <v>5</v>
      </c>
      <c r="E4" s="1" t="s">
        <v>75</v>
      </c>
    </row>
    <row r="5" customFormat="false" ht="15" hidden="false" customHeight="false" outlineLevel="0" collapsed="false">
      <c r="A5" s="9" t="n">
        <v>0</v>
      </c>
      <c r="B5" s="9" t="s">
        <v>76</v>
      </c>
      <c r="C5" s="9" t="n">
        <f aca="false">COUNTIF(Evaluation!$G$2:$G$15,A5)</f>
        <v>0</v>
      </c>
      <c r="D5" s="9" t="n">
        <f aca="false">SUMIF(Evaluation!$G$2:$G$15,A5,Evaluation!$F$2:$F$15)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77</v>
      </c>
      <c r="C6" s="11" t="n">
        <f aca="false">COUNTIF(Evaluation!$G$2:$G$15,A6)</f>
        <v>0</v>
      </c>
      <c r="D6" s="11" t="n">
        <f aca="false">SUMIF(Evaluation!$G$2:$G$15,A6,Evaluation!$F$2:$F$15)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32</v>
      </c>
      <c r="C7" s="13" t="n">
        <f aca="false">COUNTIF(Evaluation!$G$2:$G$15,A7)</f>
        <v>6</v>
      </c>
      <c r="D7" s="13" t="n">
        <f aca="false">SUMIF(Evaluation!$G$2:$G$15,A7,Evaluation!$F$2:$F$15)</f>
        <v>23</v>
      </c>
      <c r="E7" s="14" t="n">
        <f aca="false">IF(SUM($D$5:$D$10)=0,0,D7/SUM($D$5:$D$10))</f>
        <v>0.442307692307692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COUNTIF(Evaluation!$G$2:$G$15,A8)</f>
        <v>8</v>
      </c>
      <c r="D8" s="15" t="n">
        <f aca="false">SUMIF(Evaluation!$G$2:$G$15,A8,Evaluation!$F$2:$F$15)</f>
        <v>29</v>
      </c>
      <c r="E8" s="16" t="n">
        <f aca="false">IF(SUM($D$5:$D$10)=0,0,D8/SUM($D$5:$D$10))</f>
        <v>0.557692307692308</v>
      </c>
    </row>
    <row r="9" customFormat="false" ht="15" hidden="false" customHeight="false" outlineLevel="0" collapsed="false">
      <c r="A9" s="17" t="n">
        <v>4</v>
      </c>
      <c r="B9" s="17" t="s">
        <v>78</v>
      </c>
      <c r="C9" s="17" t="n">
        <f aca="false">COUNTIF(Evaluation!$G$2:$G$15,A9)</f>
        <v>0</v>
      </c>
      <c r="D9" s="17" t="n">
        <f aca="false">SUMIF(Evaluation!$G$2:$G$15,A9,Evaluation!$F$2:$F$15)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79</v>
      </c>
      <c r="C10" s="19" t="n">
        <f aca="false">COUNTIF(Evaluation!$G$2:$G$15,A10)</f>
        <v>0</v>
      </c>
      <c r="D10" s="19" t="n">
        <f aca="false">SUMIF(Evaluation!$G$2:$G$15,A10,Evaluation!$F$2:$F$15)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80</v>
      </c>
      <c r="C11" s="21" t="n">
        <f aca="false">SUM(C5:C10)</f>
        <v>14</v>
      </c>
      <c r="D11" s="21" t="n">
        <f aca="false">SUM(D5:D10)</f>
        <v>52</v>
      </c>
    </row>
    <row r="13" customFormat="false" ht="46.25" hidden="false" customHeight="false" outlineLevel="0" collapsed="false">
      <c r="A13" s="1" t="s">
        <v>81</v>
      </c>
      <c r="B13" s="1" t="s">
        <v>82</v>
      </c>
      <c r="C13" s="1" t="s">
        <v>83</v>
      </c>
      <c r="D13" s="1" t="s">
        <v>5</v>
      </c>
      <c r="E13" s="1" t="s">
        <v>84</v>
      </c>
    </row>
    <row r="14" customFormat="false" ht="15" hidden="false" customHeight="false" outlineLevel="0" collapsed="false">
      <c r="A14" s="21" t="s">
        <v>85</v>
      </c>
      <c r="B14" s="22" t="n">
        <f aca="false">SUM(Evaluation!$L$2:$L$15)/SUM(Evaluation!$F$2:$F$15)</f>
        <v>2.55769230769231</v>
      </c>
      <c r="C14" s="22" t="n">
        <f aca="false">SUMPRODUCT(Evaluation!$F$2:$F$15,Evaluation!$G$2:$G$15)/SUM(Evaluation!$F$2:$F$15)</f>
        <v>2.55769230769231</v>
      </c>
      <c r="D14" s="21" t="n">
        <f aca="false">SUM(Evaluation!$F$2:$F$15)</f>
        <v>52</v>
      </c>
      <c r="E14" s="22" t="n">
        <f aca="false">AVERAGE(Evaluation!$G$2:$G$15)</f>
        <v>2.57142857142857</v>
      </c>
    </row>
    <row r="16" customFormat="false" ht="15" hidden="false" customHeight="false" outlineLevel="0" collapsed="false">
      <c r="A16" s="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87</v>
      </c>
    </row>
    <row r="3" customFormat="false" ht="23.85" hidden="false" customHeight="false" outlineLevel="0" collapsed="false">
      <c r="A3" s="1" t="s">
        <v>88</v>
      </c>
      <c r="B3" s="1" t="s">
        <v>89</v>
      </c>
      <c r="C3" s="1" t="s">
        <v>84</v>
      </c>
      <c r="D3" s="1" t="s">
        <v>90</v>
      </c>
      <c r="E3" s="1" t="s">
        <v>91</v>
      </c>
      <c r="F3" s="1" t="s">
        <v>92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93</v>
      </c>
      <c r="B9" s="22" t="n">
        <f aca="false">Summary!B14</f>
        <v>2.55769230769231</v>
      </c>
      <c r="C9" s="22" t="n">
        <f aca="false">Summary!E14</f>
        <v>2.57142857142857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2026-10-19T14:06:44Z</dcterms:created>
  <dc:creator>openpyxl</dc:creator>
  <dc:description/>
  <dc:language>en-US</dc:language>
  <cp:lastModifiedBy/>
  <dcterms:modified xsi:type="dcterms:W3CDTF">2026-10-19T14:06:44Z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