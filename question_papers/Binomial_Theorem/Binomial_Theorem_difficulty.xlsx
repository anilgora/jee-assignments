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Evaluation" sheetId="1" state="visible" r:id="rId3"/>
    <sheet name="Summary" sheetId="2" state="visible" r:id="rId4"/>
    <sheet name="Reference" sheetId="3" state="visible" r:id="rId5"/>
  </sheets>
  <definedNames>
    <definedName function="false" hidden="true" localSheetId="0" name="_xlnm._FilterDatabase" vbProcedure="false">Evaluation!$A$1:$P$33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<sst xmlns="http://schemas.openxmlformats.org/spreadsheetml/2006/main" count="303" uniqueCount="159">
  <si>
    <t xml:space="preserve">Sr No</t>
  </si>
  <si>
    <t xml:space="preserve">Paper</t>
  </si>
  <si>
    <t xml:space="preserve">Q Ref</t>
  </si>
  <si>
    <t xml:space="preserve">Type</t>
  </si>
  <si>
    <t xml:space="preserve">Chapter</t>
  </si>
  <si>
    <t xml:space="preserve">Marks</t>
  </si>
  <si>
    <t xml:space="preserve">Level</t>
  </si>
  <si>
    <t xml:space="preserve">Level Label</t>
  </si>
  <si>
    <t xml:space="preserve">Equiv. Rel. Adj</t>
  </si>
  <si>
    <t xml:space="preserve">MCQ Floor</t>
  </si>
  <si>
    <t xml:space="preserve">Adjusted Level</t>
  </si>
  <si>
    <t xml:space="preserve">Marks x Adj Level</t>
  </si>
  <si>
    <t xml:space="preserve">Key Step</t>
  </si>
  <si>
    <t xml:space="preserve">Justification</t>
  </si>
  <si>
    <t xml:space="preserve">Nearest Anchor</t>
  </si>
  <si>
    <t xml:space="preserve">Confidence</t>
  </si>
  <si>
    <t xml:space="preserve">Q01</t>
  </si>
  <si>
    <t xml:space="preserve">SCQ</t>
  </si>
  <si>
    <t xml:space="preserve">Binomial Theorem</t>
  </si>
  <si>
    <t xml:space="preserve">Average Advanced</t>
  </si>
  <si>
    <t xml:space="preserve">Recognise the four-term base as (ax - 1/x)^3 and then use the general term twice (negative power to fix a, then the constant term).</t>
  </si>
  <si>
    <t xml:space="preserve">Two linked steps: the hidden cube (not a routine move) and a parameter fixed by an unusual negative-power coefficient before the constant term. Above 2023-P1-Q13 (L1, equate coefficients) because the binomial form must first be discovered.</t>
  </si>
  <si>
    <t xml:space="preserve">2023-P1-Q13 (L1)</t>
  </si>
  <si>
    <t xml:space="preserve">Medium</t>
  </si>
  <si>
    <t xml:space="preserve">Q02</t>
  </si>
  <si>
    <t xml:space="preserve">Easier than Advanced</t>
  </si>
  <si>
    <t xml:space="preserve">Notice the odd-r terms cancel, then count r even with 3 | r.</t>
  </si>
  <si>
    <t xml:space="preserve">Routine rationality count plus one extra step (cancellation in the conjugate sum); several standard steps, no real insight. Same level as the routine counting anchors such as 2021-P2-Q1 (L2).</t>
  </si>
  <si>
    <t xml:space="preserve">2021-P2-Q1 (L2)</t>
  </si>
  <si>
    <t xml:space="preserve">Q03</t>
  </si>
  <si>
    <t xml:space="preserve">Write the x^2 coefficient as ((m-n)^2 - (m+n))/2 to get m + n.</t>
  </si>
  <si>
    <t xml:space="preserve">A routine chain: two coefficient equations, solve, then one more coefficient; no insight beyond tidy algebra. Comparable to 2025-P1-Q1 (L2, coefficient of x^3 in a combination of polynomials).</t>
  </si>
  <si>
    <t xml:space="preserve">2025-P1-Q1 (L2)</t>
  </si>
  <si>
    <t xml:space="preserve">High</t>
  </si>
  <si>
    <t xml:space="preserve">Q04</t>
  </si>
  <si>
    <t xml:space="preserve">Identify n from (2^(n+1)-1)/(n+1) = 1023/10, then the r^2 sum by double differentiation.</t>
  </si>
  <si>
    <t xml:space="preserve">Two standard techniques (integration and differentiation of (1+x)^n) linked through an unknown n; each is familiar but the student must run both and match. Placed with the L3 two-ideas-linked anchors such as 2024-P2-Q13 (L3).</t>
  </si>
  <si>
    <t xml:space="preserve">2024-P2-Q13 (L3)</t>
  </si>
  <si>
    <t xml:space="preserve">Q05</t>
  </si>
  <si>
    <t xml:space="preserve">Recognise T_k as a coefficient of (1-x^2)^10 and then evaluate a partial alternating sum.</t>
  </si>
  <si>
    <t xml:space="preserve">Two linked ideas (product-of-coefficients as a coefficient of a product, then the partial alternating sum); neither is hard alone, but the student must combine them. Comparable to the L3 two-step anchors such as 2026-P1-Q11 (L3).</t>
  </si>
  <si>
    <t xml:space="preserve">2026-P1-Q11 (L3)</t>
  </si>
  <si>
    <t xml:space="preserve">Q06</t>
  </si>
  <si>
    <t xml:space="preserve">Multiply the two series to fourth order and notice the x^3 term cancels.</t>
  </si>
  <si>
    <t xml:space="preserve">Routine series multiplication carried one order further than usual; several standard steps, no insight. Close to 2025-P2-Q1 (L2, a limit by expansion).</t>
  </si>
  <si>
    <t xml:space="preserve">2025-P2-Q1 (L2)</t>
  </si>
  <si>
    <t xml:space="preserve">Q07</t>
  </si>
  <si>
    <t xml:space="preserve">Reduce 5^100 modulo 60 with Euler, then evaluate 3^25 modulo 7 and 11 with Fermat and combine.</t>
  </si>
  <si>
    <t xml:space="preserve">A chain of standard number-theory steps (Euler reduction, two Fermat evaluations, combination) without a real insight; option elimination helps. Routine chain as in the L2 anchors, e.g. 2024-P1-Q8 (L2).</t>
  </si>
  <si>
    <t xml:space="preserve">2024-P1-Q8 (L2)</t>
  </si>
  <si>
    <t xml:space="preserve">Q08</t>
  </si>
  <si>
    <t xml:space="preserve">Regroup the double sum by the gap k = j - i and use sum C_i C_(i+k) = C(12, 6+k).</t>
  </si>
  <si>
    <t xml:space="preserve">Standard regrouping and the Vandermonde-type product sum, then six terms of arithmetic; a routine multi-step chain. Comparable to 2021-P2-Q1 (L2, counting with several sets).</t>
  </si>
  <si>
    <t xml:space="preserve">Q09</t>
  </si>
  <si>
    <t xml:space="preserve">Numerical</t>
  </si>
  <si>
    <t xml:space="preserve">Solve 2n - 3r = n to see that only n = 3, 6, 9 contribute, then three general-term evaluations with signs.</t>
  </si>
  <si>
    <t xml:space="preserve">General-term work repeated for a family with a divisibility filter and alternating signs; numerical answer with several places to slip. Placed with the L3 numerical anchors such as 2026-P1-Q11 (L3).</t>
  </si>
  <si>
    <t xml:space="preserve">Q10</t>
  </si>
  <si>
    <t xml:space="preserve">Use parity of exponents to pick the contributing pairs, solve the cubic for a, then pair again for x^(-2).</t>
  </si>
  <si>
    <t xml:space="preserve">Coefficient extraction in a product with a parameter fixed through a cubic (uniqueness to argue), then a second extraction; two linked stages in numerical format. Above 2023-P1-Q13 (L1) by the product structure and parameter.</t>
  </si>
  <si>
    <t xml:space="preserve">Q11</t>
  </si>
  <si>
    <t xml:space="preserve">Turn the two existence conditions into (p+1) | 6 and 6p &gt;= 24.</t>
  </si>
  <si>
    <t xml:space="preserve">Two linked conditions on an unknown inner exponent, a divisibility argument, then a general-term evaluation; numerical. Typical L3: two ideas combined, as in 2024-P2-Q13 (L3).</t>
  </si>
  <si>
    <t xml:space="preserve">Q12</t>
  </si>
  <si>
    <t xml:space="preserve">n = 7 from the greatest coefficient, then the equal middle coefficients cancel in Q/P.</t>
  </si>
  <si>
    <t xml:space="preserve">Standard middle-term and greatest-coefficient facts chained with one cancellation; routine multi-step, no insight. Comparable to routine L2 anchors such as 2021-P2-Q8 (L2).</t>
  </si>
  <si>
    <t xml:space="preserve">2021-P2-Q8 (L2)</t>
  </si>
  <si>
    <t xml:space="preserve">Q13</t>
  </si>
  <si>
    <t xml:space="preserve">Show 1 - f = (sqrt10 - sqrt7)^6 using the conjugate and 0 &lt; sqrt10 - sqrt7 &lt; 1.</t>
  </si>
  <si>
    <t xml:space="preserve">Two linked ideas (rational-term count to fix n, conjugate pairing for the fractional part) with a check that the conjugate is below 1; standard ingredients combined. Comparable to 2026-P1-Q11 (L3) in weight.</t>
  </si>
  <si>
    <t xml:space="preserve">Q14</t>
  </si>
  <si>
    <t xml:space="preserve">Separate the greatest binomial coefficient from the greatest term and translate 'T5 is greatest' into two ratio inequalities.</t>
  </si>
  <si>
    <t xml:space="preserve">Two concepts deliberately contrasted, then ratio inequalities with endpoint care; numerical. Below 2025-P2-Q10 (L4, largest coefficient of (1+2x/5)^23) because the position is given here.</t>
  </si>
  <si>
    <t xml:space="preserve">2025-P2-Q10 (L4)</t>
  </si>
  <si>
    <t xml:space="preserve">Q15</t>
  </si>
  <si>
    <t xml:space="preserve">Run the ratio test on absolute values to locate T7, then form the ratio with the middle term.</t>
  </si>
  <si>
    <t xml:space="preserve">Three standard facts chained with a sign trap and careful arithmetic; numerical. Near 2025-P2-Q10 (L4, largest coefficient) but easier since only the term's position and a ratio are needed.</t>
  </si>
  <si>
    <t xml:space="preserve">Q16</t>
  </si>
  <si>
    <t xml:space="preserve">Write 7^2026 = (50-1)^1013 and 3^2026 = (10-1)^1013 and keep the terms that survive modulo 25.</t>
  </si>
  <si>
    <t xml:space="preserve">Two routine binomial-remainder computations and a subtraction; several standard steps, no insight. Comparable to 2024-P1-Q8 (L2).</t>
  </si>
  <si>
    <t xml:space="preserve">Q17</t>
  </si>
  <si>
    <t xml:space="preserve">Get the residues modulo 100 for even and odd n from (10 +- 1)^n and see that 5 | n is needed for odd n.</t>
  </si>
  <si>
    <t xml:space="preserve">Two-case analysis of a family of remainders followed by a count; numerical with a parity trap. Comparable to L3 counting anchors such as 2026-P1-Q11 (L3).</t>
  </si>
  <si>
    <t xml:space="preserve">Q18</t>
  </si>
  <si>
    <t xml:space="preserve">Rewrite 3^4052 as (10-1)^2026 and keep three terms.</t>
  </si>
  <si>
    <t xml:space="preserve">A routine binomial truncation with careful arithmetic; several standard steps. Comparable to 2024-P1-Q8 (L2).</t>
  </si>
  <si>
    <t xml:space="preserve">Q19</t>
  </si>
  <si>
    <t xml:space="preserve">Use (1 - sqrt2)^(-1) = -(1 + sqrt2) and the conjugate sum 478.</t>
  </si>
  <si>
    <t xml:space="preserve">Standard conjugate-pair argument with one extra step (reciprocal) and a sign trap; routine chain. Comparable to 2026-P1-Q4 (L2, a range-shift trap).</t>
  </si>
  <si>
    <t xml:space="preserve">2026-P1-Q4 (L2)</t>
  </si>
  <si>
    <t xml:space="preserve">Q20</t>
  </si>
  <si>
    <t xml:space="preserve">Divide (r^2+3)/(r+1) = r - 1 + 4/(r+1) and use differentiation and integration of (1-x)^15.</t>
  </si>
  <si>
    <t xml:space="preserve">Three standard sums combined after a polynomial division; the student must see the split and that two parts vanish. L3 two-ideas-linked, comparable to 2024-P2-Q13 (L3).</t>
  </si>
  <si>
    <t xml:space="preserve">Q21</t>
  </si>
  <si>
    <t xml:space="preserve">See f = ({x}-2)^9 and avoid the discontinuous antiderivative by working on unit intervals.</t>
  </si>
  <si>
    <t xml:space="preserve">Two linked ideas: recognising the binomial sum, and handling a periodic integrand whose antiderivative jumps; numerical. Comparable to 2024-P2-Q13 (L3, integral of a piecewise function), easier than 2021-P2-Q19 (L4).</t>
  </si>
  <si>
    <t xml:space="preserve">Q22</t>
  </si>
  <si>
    <t xml:space="preserve">Use the roots of z^3 = -1 (not of unity) to filter the alternating step-3 sums.</t>
  </si>
  <si>
    <t xml:space="preserve">A multisection with a twist (cube roots of -1) and polar-form powers; two ideas linked, numerical. Below 2025-P2-Q13 (L4, arg of a sum of powers of -omega) as the method is a known filter once the right roots are chosen.</t>
  </si>
  <si>
    <t xml:space="preserve">2025-P2-Q13 (L4)</t>
  </si>
  <si>
    <t xml:space="preserve">Q23</t>
  </si>
  <si>
    <t xml:space="preserve">Recognise C(k,2) = C(k+1,3) - C(k,3) in the numerator.</t>
  </si>
  <si>
    <t xml:space="preserve">One standard identity followed by telescoping; routine but needs the right identity. Comparable to routine L2 anchors such as 2021-P1-Q18 (L2).</t>
  </si>
  <si>
    <t xml:space="preserve">2021-P1-Q18 (L2)</t>
  </si>
  <si>
    <t xml:space="preserve">Q24</t>
  </si>
  <si>
    <t xml:space="preserve">Split n = (n+6) - 6 and absorb (n+6) into C(n+5,5), then telescope with factorials.</t>
  </si>
  <si>
    <t xml:space="preserve">Absorption plus two factorial telescopings of different order; two ideas linked, numerical. Below 2025-P2-Q15 (L4, a telescoping trigonometric sum) since each step is a known pattern.</t>
  </si>
  <si>
    <t xml:space="preserve">2025-P2-Q15 (L4)</t>
  </si>
  <si>
    <t xml:space="preserve">Q25</t>
  </si>
  <si>
    <t xml:space="preserve">List the (a,b,c) with b + 2c = 3 and a + b + c = 5.</t>
  </si>
  <si>
    <t xml:space="preserve">Standard multinomial coefficient extraction with two cases and fractions; routine multi-step. Comparable to 2025-P1-Q1 (L2).</t>
  </si>
  <si>
    <t xml:space="preserve">Q26</t>
  </si>
  <si>
    <t xml:space="preserve">Count distinct exponents b + 3c with b + c &lt;= 7 and spot the missing x^20.</t>
  </si>
  <si>
    <t xml:space="preserve">Routine enumeration with two traps (the multinomial count and the missing power); several standard steps. Comparable to 2021-P2-Q1 (L2, counting).</t>
  </si>
  <si>
    <t xml:space="preserve">Q27</t>
  </si>
  <si>
    <t xml:space="preserve">Compute the fractional-index coefficients up to x^4 and form the Cauchy product with e^x.</t>
  </si>
  <si>
    <t xml:space="preserve">Two series combined to fourth order with signed fractions; precision risk in a numerical answer. Below 2025-P1-Q11 (L4, series expansion in a limit) because no parameter must be fixed.</t>
  </si>
  <si>
    <t xml:space="preserve">2025-P1-Q11 (L4)</t>
  </si>
  <si>
    <t xml:space="preserve">Q28</t>
  </si>
  <si>
    <t xml:space="preserve">Cancel the first-order terms to fix a = 4, then add the second-order coefficients with signs.</t>
  </si>
  <si>
    <t xml:space="preserve">Two expansions with different indices plus a parameter fixed by existence of the limit; two linked steps, numerical. Below 2025-P1-Q11 (L4, series limit with two parameters).</t>
  </si>
  <si>
    <t xml:space="preserve">Q29</t>
  </si>
  <si>
    <t xml:space="preserve">Write both powers as e^(x log) and expand to order x^3.</t>
  </si>
  <si>
    <t xml:space="preserve">Composition of the logarithmic and exponential series with order bookkeeping; two linked series ideas, numerical. Above 2024-P2-Q3 (L1, 1^infinity limit) and below 2025-P1-Q11 (L4).</t>
  </si>
  <si>
    <t xml:space="preserve">Q30</t>
  </si>
  <si>
    <t xml:space="preserve">Apply Fermat to each term and remove the two multiples of 41.</t>
  </si>
  <si>
    <t xml:space="preserve">One standard theorem plus a counting trap; a short routine chain. Comparable to 2021-P2-Q17 (L1) but with the extra exclusion step, so L2.</t>
  </si>
  <si>
    <t xml:space="preserve">2021-P2-Q17 (L1)</t>
  </si>
  <si>
    <t xml:space="preserve">Q31</t>
  </si>
  <si>
    <t xml:space="preserve">Reduce the exponent modulo phi(50) = 20.</t>
  </si>
  <si>
    <t xml:space="preserve">One standard theorem and a few modular multiplications; routine chain. Comparable to 2024-P1-Q8 (L2).</t>
  </si>
  <si>
    <t xml:space="preserve">Q32</t>
  </si>
  <si>
    <t xml:space="preserve">Sum over i first to get 2^j - 1.</t>
  </si>
  <si>
    <t xml:space="preserve">Two applications of the binomial theorem after reordering the double sum; routine multi-step. Comparable to 2021-P2-Q1 (L2).</t>
  </si>
  <si>
    <t xml:space="preserve">Adjusted level = min(5, max(level + equivalence-relation adj, MCQ floor)). Equivalence adj +0.5 when the key step tests equivalence relations/classes; MCQ floor 2.5 for one-or-more-correct questions involving several concepts. Edit columns I-J to change them.</t>
  </si>
  <si>
    <t xml:space="preserve">Difficulty summary</t>
  </si>
  <si>
    <t xml:space="preserve">Source: Binomial Theorem   |   Evaluated on: 2026-10-18</t>
  </si>
  <si>
    <t xml:space="preserve">Label</t>
  </si>
  <si>
    <t xml:space="preserve">Questions</t>
  </si>
  <si>
    <t xml:space="preserve">% of marks</t>
  </si>
  <si>
    <t xml:space="preserve">Easier than JEE Main</t>
  </si>
  <si>
    <t xml:space="preserve">JEE Main level</t>
  </si>
  <si>
    <t xml:space="preserve">Slightly difficult</t>
  </si>
  <si>
    <t xml:space="preserve">Very difficult</t>
  </si>
  <si>
    <t xml:space="preserve">Total</t>
  </si>
  <si>
    <t xml:space="preserve">Scope</t>
  </si>
  <si>
    <t xml:space="preserve">Weighted index (adjusted)</t>
  </si>
  <si>
    <t xml:space="preserve">Weighted index (unadjusted)</t>
  </si>
  <si>
    <t xml:space="preserve">Mean level</t>
  </si>
  <si>
    <t xml:space="preserve">Overall</t>
  </si>
  <si>
    <t xml:space="preserve">Weighted index = sum(marks x level) / sum(marks), scale 0-5. 'Adjusted' uses the adjusted level (equivalence-relation adjustment and MCQ floor); 'unadjusted' uses the integer level.</t>
  </si>
  <si>
    <t xml:space="preserve">User's own ratings of official JEE Advanced maths papers</t>
  </si>
  <si>
    <t xml:space="preserve">Year</t>
  </si>
  <si>
    <t xml:space="preserve">Weighted index</t>
  </si>
  <si>
    <t xml:space="preserve">Marks at L0-1</t>
  </si>
  <si>
    <t xml:space="preserve">Marks at L4-5</t>
  </si>
  <si>
    <t xml:space="preserve">Level-5 questions</t>
  </si>
  <si>
    <t xml:space="preserve">This paper</t>
  </si>
  <si>
    <t xml:space="preserve">Source: the user's ratings in references/anchors.csv, used as given (they already reflect format and topic). 'This paper' uses the adjusted index. Official papers are 120 marks; compare the marks-at-level columns only for full-length papers.</t>
  </si>
</sst>
</file>

<file path=xl/styles.xml><?xml version="1.0" encoding="utf-8"?>
<styleSheet xmlns="http://schemas.openxmlformats.org/spreadsheetml/2006/main">
  <numFmts count="4">
    <numFmt numFmtId="164" formatCode="General"/>
    <numFmt numFmtId="165" formatCode="0.0"/>
    <numFmt numFmtId="166" formatCode="0%"/>
    <numFmt numFmtId="167" formatCode="0.00"/>
  </numFmts>
  <fonts count="9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0"/>
      <color rgb="FFFFFFFF"/>
      <name val="Arial"/>
      <family val="0"/>
      <charset val="1"/>
    </font>
    <font>
      <sz val="10"/>
      <name val="Arial"/>
      <family val="0"/>
      <charset val="1"/>
    </font>
    <font>
      <i val="true"/>
      <sz val="9"/>
      <color rgb="FF595959"/>
      <name val="Arial"/>
      <family val="0"/>
      <charset val="1"/>
    </font>
    <font>
      <b val="true"/>
      <sz val="13"/>
      <color rgb="FF1A365D"/>
      <name val="Arial"/>
      <family val="0"/>
      <charset val="1"/>
    </font>
    <font>
      <b val="true"/>
      <sz val="10"/>
      <name val="Arial"/>
      <family val="0"/>
      <charset val="1"/>
    </font>
  </fonts>
  <fills count="9">
    <fill>
      <patternFill patternType="none"/>
    </fill>
    <fill>
      <patternFill patternType="gray125"/>
    </fill>
    <fill>
      <patternFill patternType="solid">
        <fgColor rgb="FF1A365D"/>
        <bgColor rgb="FF333333"/>
      </patternFill>
    </fill>
    <fill>
      <patternFill patternType="solid">
        <fgColor rgb="FFFCE5CD"/>
        <bgColor rgb="FFFFF2CC"/>
      </patternFill>
    </fill>
    <fill>
      <patternFill patternType="solid">
        <fgColor rgb="FFFFF2CC"/>
        <bgColor rgb="FFFCE5CD"/>
      </patternFill>
    </fill>
    <fill>
      <patternFill patternType="solid">
        <fgColor rgb="FFD9EAD3"/>
        <bgColor rgb="FFE8F0D8"/>
      </patternFill>
    </fill>
    <fill>
      <patternFill patternType="solid">
        <fgColor rgb="FFE8F0D8"/>
        <bgColor rgb="FFD9EAD3"/>
      </patternFill>
    </fill>
    <fill>
      <patternFill patternType="solid">
        <fgColor rgb="FFF4CCCC"/>
        <bgColor rgb="FFFCE5CD"/>
      </patternFill>
    </fill>
    <fill>
      <patternFill patternType="solid">
        <fgColor rgb="FFEA9999"/>
        <bgColor rgb="FFFF8080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0" borderId="1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4" fontId="5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5" fillId="3" borderId="1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5" fontId="5" fillId="0" borderId="1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4" fontId="5" fillId="4" borderId="1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5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5" fillId="5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6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5" fillId="6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5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5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7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5" fillId="7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8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5" fillId="8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5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5">
    <dxf>
      <fill>
        <patternFill patternType="solid">
          <fgColor rgb="FF1A365D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fgColor rgb="FFFCE5CD"/>
          <bgColor rgb="FF000000"/>
        </patternFill>
      </fill>
    </dxf>
    <dxf>
      <fill>
        <patternFill patternType="solid">
          <fgColor rgb="FFFFF2CC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2CC"/>
      <rgbColor rgb="FFE8F0D8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D9EAD3"/>
      <rgbColor rgb="FFFCE5CD"/>
      <rgbColor rgb="FF99CCFF"/>
      <rgbColor rgb="FFEA9999"/>
      <rgbColor rgb="FFCC99FF"/>
      <rgbColor rgb="FFF4CCCC"/>
      <rgbColor rgb="FF3366FF"/>
      <rgbColor rgb="FF33CCCC"/>
      <rgbColor rgb="FF99CC00"/>
      <rgbColor rgb="FFFFCC00"/>
      <rgbColor rgb="FFFF9900"/>
      <rgbColor rgb="FFFF6600"/>
      <rgbColor rgb="FF595959"/>
      <rgbColor rgb="FF969696"/>
      <rgbColor rgb="FF1A365D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P3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3" ySplit="1" topLeftCell="D2" activePane="bottomRight" state="frozen"/>
      <selection pane="topLeft" activeCell="A1" activeCellId="0" sqref="A1"/>
      <selection pane="topRight" activeCell="D1" activeCellId="0" sqref="D1"/>
      <selection pane="bottomLeft" activeCell="A2" activeCellId="0" sqref="A2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7"/>
    <col collapsed="false" customWidth="true" hidden="false" outlineLevel="0" max="2" min="2" style="0" width="8"/>
    <col collapsed="false" customWidth="true" hidden="false" outlineLevel="0" max="3" min="3" style="0" width="9"/>
    <col collapsed="false" customWidth="true" hidden="false" outlineLevel="0" max="4" min="4" style="0" width="12"/>
    <col collapsed="false" customWidth="true" hidden="false" outlineLevel="0" max="5" min="5" style="0" width="24"/>
    <col collapsed="false" customWidth="true" hidden="false" outlineLevel="0" max="7" min="6" style="0" width="7"/>
    <col collapsed="false" customWidth="true" hidden="false" outlineLevel="0" max="8" min="8" style="0" width="20"/>
    <col collapsed="false" customWidth="true" hidden="false" outlineLevel="0" max="9" min="9" style="0" width="9"/>
    <col collapsed="false" customWidth="true" hidden="false" outlineLevel="0" max="10" min="10" style="0" width="8"/>
    <col collapsed="false" customWidth="true" hidden="false" outlineLevel="0" max="11" min="11" style="0" width="9"/>
    <col collapsed="false" customWidth="true" hidden="false" outlineLevel="0" max="12" min="12" style="0" width="10"/>
    <col collapsed="false" customWidth="true" hidden="false" outlineLevel="0" max="13" min="13" style="0" width="38"/>
    <col collapsed="false" customWidth="true" hidden="false" outlineLevel="0" max="14" min="14" style="0" width="60"/>
    <col collapsed="false" customWidth="true" hidden="false" outlineLevel="0" max="15" min="15" style="0" width="20"/>
    <col collapsed="false" customWidth="true" hidden="false" outlineLevel="0" max="16" min="16" style="0" width="11"/>
  </cols>
  <sheetData>
    <row r="1" customFormat="false" ht="35.0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customFormat="false" ht="46.25" hidden="false" customHeight="false" outlineLevel="0" collapsed="false">
      <c r="A2" s="2" t="n">
        <v>1</v>
      </c>
      <c r="B2" s="2"/>
      <c r="C2" s="2" t="s">
        <v>16</v>
      </c>
      <c r="D2" s="2" t="s">
        <v>17</v>
      </c>
      <c r="E2" s="3" t="s">
        <v>18</v>
      </c>
      <c r="F2" s="2" t="n">
        <v>3</v>
      </c>
      <c r="G2" s="4" t="n">
        <v>3</v>
      </c>
      <c r="H2" s="4" t="s">
        <v>19</v>
      </c>
      <c r="I2" s="5" t="n">
        <v>0</v>
      </c>
      <c r="J2" s="5" t="n">
        <v>0</v>
      </c>
      <c r="K2" s="5" t="n">
        <f aca="false">MIN(5,MAX(G2+I2,J2))</f>
        <v>3</v>
      </c>
      <c r="L2" s="5" t="n">
        <f aca="false">F2*K2</f>
        <v>9</v>
      </c>
      <c r="M2" s="3" t="s">
        <v>20</v>
      </c>
      <c r="N2" s="3" t="s">
        <v>21</v>
      </c>
      <c r="O2" s="3" t="s">
        <v>22</v>
      </c>
      <c r="P2" s="2" t="s">
        <v>23</v>
      </c>
    </row>
    <row r="3" customFormat="false" ht="35.05" hidden="false" customHeight="false" outlineLevel="0" collapsed="false">
      <c r="A3" s="2" t="n">
        <v>2</v>
      </c>
      <c r="B3" s="2"/>
      <c r="C3" s="2" t="s">
        <v>24</v>
      </c>
      <c r="D3" s="2" t="s">
        <v>17</v>
      </c>
      <c r="E3" s="3" t="s">
        <v>18</v>
      </c>
      <c r="F3" s="2" t="n">
        <v>3</v>
      </c>
      <c r="G3" s="6" t="n">
        <v>2</v>
      </c>
      <c r="H3" s="6" t="s">
        <v>25</v>
      </c>
      <c r="I3" s="5" t="n">
        <v>0</v>
      </c>
      <c r="J3" s="5" t="n">
        <v>0</v>
      </c>
      <c r="K3" s="5" t="n">
        <f aca="false">MIN(5,MAX(G3+I3,J3))</f>
        <v>2</v>
      </c>
      <c r="L3" s="5" t="n">
        <f aca="false">F3*K3</f>
        <v>6</v>
      </c>
      <c r="M3" s="3" t="s">
        <v>26</v>
      </c>
      <c r="N3" s="3" t="s">
        <v>27</v>
      </c>
      <c r="O3" s="3" t="s">
        <v>28</v>
      </c>
      <c r="P3" s="2" t="s">
        <v>23</v>
      </c>
    </row>
    <row r="4" customFormat="false" ht="35.05" hidden="false" customHeight="false" outlineLevel="0" collapsed="false">
      <c r="A4" s="2" t="n">
        <v>3</v>
      </c>
      <c r="B4" s="2"/>
      <c r="C4" s="2" t="s">
        <v>29</v>
      </c>
      <c r="D4" s="2" t="s">
        <v>17</v>
      </c>
      <c r="E4" s="3" t="s">
        <v>18</v>
      </c>
      <c r="F4" s="2" t="n">
        <v>3</v>
      </c>
      <c r="G4" s="6" t="n">
        <v>2</v>
      </c>
      <c r="H4" s="6" t="s">
        <v>25</v>
      </c>
      <c r="I4" s="5" t="n">
        <v>0</v>
      </c>
      <c r="J4" s="5" t="n">
        <v>0</v>
      </c>
      <c r="K4" s="5" t="n">
        <f aca="false">MIN(5,MAX(G4+I4,J4))</f>
        <v>2</v>
      </c>
      <c r="L4" s="5" t="n">
        <f aca="false">F4*K4</f>
        <v>6</v>
      </c>
      <c r="M4" s="3" t="s">
        <v>30</v>
      </c>
      <c r="N4" s="3" t="s">
        <v>31</v>
      </c>
      <c r="O4" s="3" t="s">
        <v>32</v>
      </c>
      <c r="P4" s="2" t="s">
        <v>33</v>
      </c>
    </row>
    <row r="5" customFormat="false" ht="46.25" hidden="false" customHeight="false" outlineLevel="0" collapsed="false">
      <c r="A5" s="2" t="n">
        <v>4</v>
      </c>
      <c r="B5" s="2"/>
      <c r="C5" s="2" t="s">
        <v>34</v>
      </c>
      <c r="D5" s="2" t="s">
        <v>17</v>
      </c>
      <c r="E5" s="3" t="s">
        <v>18</v>
      </c>
      <c r="F5" s="2" t="n">
        <v>3</v>
      </c>
      <c r="G5" s="4" t="n">
        <v>3</v>
      </c>
      <c r="H5" s="4" t="s">
        <v>19</v>
      </c>
      <c r="I5" s="5" t="n">
        <v>0</v>
      </c>
      <c r="J5" s="5" t="n">
        <v>0</v>
      </c>
      <c r="K5" s="5" t="n">
        <f aca="false">MIN(5,MAX(G5+I5,J5))</f>
        <v>3</v>
      </c>
      <c r="L5" s="5" t="n">
        <f aca="false">F5*K5</f>
        <v>9</v>
      </c>
      <c r="M5" s="3" t="s">
        <v>35</v>
      </c>
      <c r="N5" s="3" t="s">
        <v>36</v>
      </c>
      <c r="O5" s="3" t="s">
        <v>37</v>
      </c>
      <c r="P5" s="2" t="s">
        <v>23</v>
      </c>
    </row>
    <row r="6" customFormat="false" ht="46.25" hidden="false" customHeight="false" outlineLevel="0" collapsed="false">
      <c r="A6" s="2" t="n">
        <v>5</v>
      </c>
      <c r="B6" s="2"/>
      <c r="C6" s="2" t="s">
        <v>38</v>
      </c>
      <c r="D6" s="2" t="s">
        <v>17</v>
      </c>
      <c r="E6" s="3" t="s">
        <v>18</v>
      </c>
      <c r="F6" s="2" t="n">
        <v>3</v>
      </c>
      <c r="G6" s="4" t="n">
        <v>3</v>
      </c>
      <c r="H6" s="4" t="s">
        <v>19</v>
      </c>
      <c r="I6" s="5" t="n">
        <v>0</v>
      </c>
      <c r="J6" s="5" t="n">
        <v>0</v>
      </c>
      <c r="K6" s="5" t="n">
        <f aca="false">MIN(5,MAX(G6+I6,J6))</f>
        <v>3</v>
      </c>
      <c r="L6" s="5" t="n">
        <f aca="false">F6*K6</f>
        <v>9</v>
      </c>
      <c r="M6" s="3" t="s">
        <v>39</v>
      </c>
      <c r="N6" s="3" t="s">
        <v>40</v>
      </c>
      <c r="O6" s="3" t="s">
        <v>41</v>
      </c>
      <c r="P6" s="2" t="s">
        <v>23</v>
      </c>
    </row>
    <row r="7" customFormat="false" ht="35.05" hidden="false" customHeight="false" outlineLevel="0" collapsed="false">
      <c r="A7" s="2" t="n">
        <v>6</v>
      </c>
      <c r="B7" s="2"/>
      <c r="C7" s="2" t="s">
        <v>42</v>
      </c>
      <c r="D7" s="2" t="s">
        <v>17</v>
      </c>
      <c r="E7" s="3" t="s">
        <v>18</v>
      </c>
      <c r="F7" s="2" t="n">
        <v>3</v>
      </c>
      <c r="G7" s="6" t="n">
        <v>2</v>
      </c>
      <c r="H7" s="6" t="s">
        <v>25</v>
      </c>
      <c r="I7" s="5" t="n">
        <v>0</v>
      </c>
      <c r="J7" s="5" t="n">
        <v>0</v>
      </c>
      <c r="K7" s="5" t="n">
        <f aca="false">MIN(5,MAX(G7+I7,J7))</f>
        <v>2</v>
      </c>
      <c r="L7" s="5" t="n">
        <f aca="false">F7*K7</f>
        <v>6</v>
      </c>
      <c r="M7" s="3" t="s">
        <v>43</v>
      </c>
      <c r="N7" s="3" t="s">
        <v>44</v>
      </c>
      <c r="O7" s="3" t="s">
        <v>45</v>
      </c>
      <c r="P7" s="2" t="s">
        <v>33</v>
      </c>
    </row>
    <row r="8" customFormat="false" ht="35.05" hidden="false" customHeight="false" outlineLevel="0" collapsed="false">
      <c r="A8" s="2" t="n">
        <v>7</v>
      </c>
      <c r="B8" s="2"/>
      <c r="C8" s="2" t="s">
        <v>46</v>
      </c>
      <c r="D8" s="2" t="s">
        <v>17</v>
      </c>
      <c r="E8" s="3" t="s">
        <v>18</v>
      </c>
      <c r="F8" s="2" t="n">
        <v>3</v>
      </c>
      <c r="G8" s="6" t="n">
        <v>2</v>
      </c>
      <c r="H8" s="6" t="s">
        <v>25</v>
      </c>
      <c r="I8" s="5" t="n">
        <v>0</v>
      </c>
      <c r="J8" s="5" t="n">
        <v>0</v>
      </c>
      <c r="K8" s="5" t="n">
        <f aca="false">MIN(5,MAX(G8+I8,J8))</f>
        <v>2</v>
      </c>
      <c r="L8" s="5" t="n">
        <f aca="false">F8*K8</f>
        <v>6</v>
      </c>
      <c r="M8" s="3" t="s">
        <v>47</v>
      </c>
      <c r="N8" s="3" t="s">
        <v>48</v>
      </c>
      <c r="O8" s="3" t="s">
        <v>49</v>
      </c>
      <c r="P8" s="2" t="s">
        <v>23</v>
      </c>
    </row>
    <row r="9" customFormat="false" ht="35.05" hidden="false" customHeight="false" outlineLevel="0" collapsed="false">
      <c r="A9" s="2" t="n">
        <v>8</v>
      </c>
      <c r="B9" s="2"/>
      <c r="C9" s="2" t="s">
        <v>50</v>
      </c>
      <c r="D9" s="2" t="s">
        <v>17</v>
      </c>
      <c r="E9" s="3" t="s">
        <v>18</v>
      </c>
      <c r="F9" s="2" t="n">
        <v>3</v>
      </c>
      <c r="G9" s="6" t="n">
        <v>2</v>
      </c>
      <c r="H9" s="6" t="s">
        <v>25</v>
      </c>
      <c r="I9" s="5" t="n">
        <v>0</v>
      </c>
      <c r="J9" s="5" t="n">
        <v>0</v>
      </c>
      <c r="K9" s="5" t="n">
        <f aca="false">MIN(5,MAX(G9+I9,J9))</f>
        <v>2</v>
      </c>
      <c r="L9" s="5" t="n">
        <f aca="false">F9*K9</f>
        <v>6</v>
      </c>
      <c r="M9" s="3" t="s">
        <v>51</v>
      </c>
      <c r="N9" s="3" t="s">
        <v>52</v>
      </c>
      <c r="O9" s="3" t="s">
        <v>28</v>
      </c>
      <c r="P9" s="2" t="s">
        <v>23</v>
      </c>
    </row>
    <row r="10" customFormat="false" ht="35.05" hidden="false" customHeight="false" outlineLevel="0" collapsed="false">
      <c r="A10" s="2" t="n">
        <v>9</v>
      </c>
      <c r="B10" s="2"/>
      <c r="C10" s="2" t="s">
        <v>53</v>
      </c>
      <c r="D10" s="2" t="s">
        <v>54</v>
      </c>
      <c r="E10" s="3" t="s">
        <v>18</v>
      </c>
      <c r="F10" s="2" t="n">
        <v>4</v>
      </c>
      <c r="G10" s="4" t="n">
        <v>3</v>
      </c>
      <c r="H10" s="4" t="s">
        <v>19</v>
      </c>
      <c r="I10" s="5" t="n">
        <v>0</v>
      </c>
      <c r="J10" s="5" t="n">
        <v>0</v>
      </c>
      <c r="K10" s="5" t="n">
        <f aca="false">MIN(5,MAX(G10+I10,J10))</f>
        <v>3</v>
      </c>
      <c r="L10" s="5" t="n">
        <f aca="false">F10*K10</f>
        <v>12</v>
      </c>
      <c r="M10" s="3" t="s">
        <v>55</v>
      </c>
      <c r="N10" s="3" t="s">
        <v>56</v>
      </c>
      <c r="O10" s="3" t="s">
        <v>41</v>
      </c>
      <c r="P10" s="2" t="s">
        <v>23</v>
      </c>
    </row>
    <row r="11" customFormat="false" ht="46.25" hidden="false" customHeight="false" outlineLevel="0" collapsed="false">
      <c r="A11" s="2" t="n">
        <v>10</v>
      </c>
      <c r="B11" s="2"/>
      <c r="C11" s="2" t="s">
        <v>57</v>
      </c>
      <c r="D11" s="2" t="s">
        <v>54</v>
      </c>
      <c r="E11" s="3" t="s">
        <v>18</v>
      </c>
      <c r="F11" s="2" t="n">
        <v>4</v>
      </c>
      <c r="G11" s="4" t="n">
        <v>3</v>
      </c>
      <c r="H11" s="4" t="s">
        <v>19</v>
      </c>
      <c r="I11" s="5" t="n">
        <v>0</v>
      </c>
      <c r="J11" s="5" t="n">
        <v>0</v>
      </c>
      <c r="K11" s="5" t="n">
        <f aca="false">MIN(5,MAX(G11+I11,J11))</f>
        <v>3</v>
      </c>
      <c r="L11" s="5" t="n">
        <f aca="false">F11*K11</f>
        <v>12</v>
      </c>
      <c r="M11" s="3" t="s">
        <v>58</v>
      </c>
      <c r="N11" s="3" t="s">
        <v>59</v>
      </c>
      <c r="O11" s="3" t="s">
        <v>22</v>
      </c>
      <c r="P11" s="2" t="s">
        <v>23</v>
      </c>
    </row>
    <row r="12" customFormat="false" ht="35.05" hidden="false" customHeight="false" outlineLevel="0" collapsed="false">
      <c r="A12" s="2" t="n">
        <v>11</v>
      </c>
      <c r="B12" s="2"/>
      <c r="C12" s="2" t="s">
        <v>60</v>
      </c>
      <c r="D12" s="2" t="s">
        <v>54</v>
      </c>
      <c r="E12" s="3" t="s">
        <v>18</v>
      </c>
      <c r="F12" s="2" t="n">
        <v>4</v>
      </c>
      <c r="G12" s="4" t="n">
        <v>3</v>
      </c>
      <c r="H12" s="4" t="s">
        <v>19</v>
      </c>
      <c r="I12" s="5" t="n">
        <v>0</v>
      </c>
      <c r="J12" s="5" t="n">
        <v>0</v>
      </c>
      <c r="K12" s="5" t="n">
        <f aca="false">MIN(5,MAX(G12+I12,J12))</f>
        <v>3</v>
      </c>
      <c r="L12" s="5" t="n">
        <f aca="false">F12*K12</f>
        <v>12</v>
      </c>
      <c r="M12" s="3" t="s">
        <v>61</v>
      </c>
      <c r="N12" s="3" t="s">
        <v>62</v>
      </c>
      <c r="O12" s="3" t="s">
        <v>37</v>
      </c>
      <c r="P12" s="2" t="s">
        <v>23</v>
      </c>
    </row>
    <row r="13" customFormat="false" ht="35.05" hidden="false" customHeight="false" outlineLevel="0" collapsed="false">
      <c r="A13" s="2" t="n">
        <v>12</v>
      </c>
      <c r="B13" s="2"/>
      <c r="C13" s="2" t="s">
        <v>63</v>
      </c>
      <c r="D13" s="2" t="s">
        <v>54</v>
      </c>
      <c r="E13" s="3" t="s">
        <v>18</v>
      </c>
      <c r="F13" s="2" t="n">
        <v>4</v>
      </c>
      <c r="G13" s="6" t="n">
        <v>2</v>
      </c>
      <c r="H13" s="6" t="s">
        <v>25</v>
      </c>
      <c r="I13" s="5" t="n">
        <v>0</v>
      </c>
      <c r="J13" s="5" t="n">
        <v>0</v>
      </c>
      <c r="K13" s="5" t="n">
        <f aca="false">MIN(5,MAX(G13+I13,J13))</f>
        <v>2</v>
      </c>
      <c r="L13" s="5" t="n">
        <f aca="false">F13*K13</f>
        <v>8</v>
      </c>
      <c r="M13" s="3" t="s">
        <v>64</v>
      </c>
      <c r="N13" s="3" t="s">
        <v>65</v>
      </c>
      <c r="O13" s="3" t="s">
        <v>66</v>
      </c>
      <c r="P13" s="2" t="s">
        <v>33</v>
      </c>
    </row>
    <row r="14" customFormat="false" ht="35.05" hidden="false" customHeight="false" outlineLevel="0" collapsed="false">
      <c r="A14" s="2" t="n">
        <v>13</v>
      </c>
      <c r="B14" s="2"/>
      <c r="C14" s="2" t="s">
        <v>67</v>
      </c>
      <c r="D14" s="2" t="s">
        <v>54</v>
      </c>
      <c r="E14" s="3" t="s">
        <v>18</v>
      </c>
      <c r="F14" s="2" t="n">
        <v>4</v>
      </c>
      <c r="G14" s="4" t="n">
        <v>3</v>
      </c>
      <c r="H14" s="4" t="s">
        <v>19</v>
      </c>
      <c r="I14" s="5" t="n">
        <v>0</v>
      </c>
      <c r="J14" s="5" t="n">
        <v>0</v>
      </c>
      <c r="K14" s="5" t="n">
        <f aca="false">MIN(5,MAX(G14+I14,J14))</f>
        <v>3</v>
      </c>
      <c r="L14" s="5" t="n">
        <f aca="false">F14*K14</f>
        <v>12</v>
      </c>
      <c r="M14" s="3" t="s">
        <v>68</v>
      </c>
      <c r="N14" s="3" t="s">
        <v>69</v>
      </c>
      <c r="O14" s="3" t="s">
        <v>41</v>
      </c>
      <c r="P14" s="2" t="s">
        <v>23</v>
      </c>
    </row>
    <row r="15" customFormat="false" ht="35.05" hidden="false" customHeight="false" outlineLevel="0" collapsed="false">
      <c r="A15" s="2" t="n">
        <v>14</v>
      </c>
      <c r="B15" s="2"/>
      <c r="C15" s="2" t="s">
        <v>70</v>
      </c>
      <c r="D15" s="2" t="s">
        <v>54</v>
      </c>
      <c r="E15" s="3" t="s">
        <v>18</v>
      </c>
      <c r="F15" s="2" t="n">
        <v>4</v>
      </c>
      <c r="G15" s="4" t="n">
        <v>3</v>
      </c>
      <c r="H15" s="4" t="s">
        <v>19</v>
      </c>
      <c r="I15" s="5" t="n">
        <v>0</v>
      </c>
      <c r="J15" s="5" t="n">
        <v>0</v>
      </c>
      <c r="K15" s="5" t="n">
        <f aca="false">MIN(5,MAX(G15+I15,J15))</f>
        <v>3</v>
      </c>
      <c r="L15" s="5" t="n">
        <f aca="false">F15*K15</f>
        <v>12</v>
      </c>
      <c r="M15" s="3" t="s">
        <v>71</v>
      </c>
      <c r="N15" s="3" t="s">
        <v>72</v>
      </c>
      <c r="O15" s="3" t="s">
        <v>73</v>
      </c>
      <c r="P15" s="2" t="s">
        <v>23</v>
      </c>
    </row>
    <row r="16" customFormat="false" ht="35.05" hidden="false" customHeight="false" outlineLevel="0" collapsed="false">
      <c r="A16" s="2" t="n">
        <v>15</v>
      </c>
      <c r="B16" s="2"/>
      <c r="C16" s="2" t="s">
        <v>74</v>
      </c>
      <c r="D16" s="2" t="s">
        <v>54</v>
      </c>
      <c r="E16" s="3" t="s">
        <v>18</v>
      </c>
      <c r="F16" s="2" t="n">
        <v>4</v>
      </c>
      <c r="G16" s="4" t="n">
        <v>3</v>
      </c>
      <c r="H16" s="4" t="s">
        <v>19</v>
      </c>
      <c r="I16" s="5" t="n">
        <v>0</v>
      </c>
      <c r="J16" s="5" t="n">
        <v>0</v>
      </c>
      <c r="K16" s="5" t="n">
        <f aca="false">MIN(5,MAX(G16+I16,J16))</f>
        <v>3</v>
      </c>
      <c r="L16" s="5" t="n">
        <f aca="false">F16*K16</f>
        <v>12</v>
      </c>
      <c r="M16" s="3" t="s">
        <v>75</v>
      </c>
      <c r="N16" s="3" t="s">
        <v>76</v>
      </c>
      <c r="O16" s="3" t="s">
        <v>73</v>
      </c>
      <c r="P16" s="2" t="s">
        <v>23</v>
      </c>
    </row>
    <row r="17" customFormat="false" ht="35.05" hidden="false" customHeight="false" outlineLevel="0" collapsed="false">
      <c r="A17" s="2" t="n">
        <v>16</v>
      </c>
      <c r="B17" s="2"/>
      <c r="C17" s="2" t="s">
        <v>77</v>
      </c>
      <c r="D17" s="2" t="s">
        <v>54</v>
      </c>
      <c r="E17" s="3" t="s">
        <v>18</v>
      </c>
      <c r="F17" s="2" t="n">
        <v>4</v>
      </c>
      <c r="G17" s="6" t="n">
        <v>2</v>
      </c>
      <c r="H17" s="6" t="s">
        <v>25</v>
      </c>
      <c r="I17" s="5" t="n">
        <v>0</v>
      </c>
      <c r="J17" s="5" t="n">
        <v>0</v>
      </c>
      <c r="K17" s="5" t="n">
        <f aca="false">MIN(5,MAX(G17+I17,J17))</f>
        <v>2</v>
      </c>
      <c r="L17" s="5" t="n">
        <f aca="false">F17*K17</f>
        <v>8</v>
      </c>
      <c r="M17" s="3" t="s">
        <v>78</v>
      </c>
      <c r="N17" s="3" t="s">
        <v>79</v>
      </c>
      <c r="O17" s="3" t="s">
        <v>49</v>
      </c>
      <c r="P17" s="2" t="s">
        <v>33</v>
      </c>
    </row>
    <row r="18" customFormat="false" ht="35.05" hidden="false" customHeight="false" outlineLevel="0" collapsed="false">
      <c r="A18" s="2" t="n">
        <v>17</v>
      </c>
      <c r="B18" s="2"/>
      <c r="C18" s="2" t="s">
        <v>80</v>
      </c>
      <c r="D18" s="2" t="s">
        <v>54</v>
      </c>
      <c r="E18" s="3" t="s">
        <v>18</v>
      </c>
      <c r="F18" s="2" t="n">
        <v>4</v>
      </c>
      <c r="G18" s="4" t="n">
        <v>3</v>
      </c>
      <c r="H18" s="4" t="s">
        <v>19</v>
      </c>
      <c r="I18" s="5" t="n">
        <v>0</v>
      </c>
      <c r="J18" s="5" t="n">
        <v>0</v>
      </c>
      <c r="K18" s="5" t="n">
        <f aca="false">MIN(5,MAX(G18+I18,J18))</f>
        <v>3</v>
      </c>
      <c r="L18" s="5" t="n">
        <f aca="false">F18*K18</f>
        <v>12</v>
      </c>
      <c r="M18" s="3" t="s">
        <v>81</v>
      </c>
      <c r="N18" s="3" t="s">
        <v>82</v>
      </c>
      <c r="O18" s="3" t="s">
        <v>41</v>
      </c>
      <c r="P18" s="2" t="s">
        <v>23</v>
      </c>
    </row>
    <row r="19" customFormat="false" ht="23.85" hidden="false" customHeight="false" outlineLevel="0" collapsed="false">
      <c r="A19" s="2" t="n">
        <v>18</v>
      </c>
      <c r="B19" s="2"/>
      <c r="C19" s="2" t="s">
        <v>83</v>
      </c>
      <c r="D19" s="2" t="s">
        <v>54</v>
      </c>
      <c r="E19" s="3" t="s">
        <v>18</v>
      </c>
      <c r="F19" s="2" t="n">
        <v>4</v>
      </c>
      <c r="G19" s="6" t="n">
        <v>2</v>
      </c>
      <c r="H19" s="6" t="s">
        <v>25</v>
      </c>
      <c r="I19" s="5" t="n">
        <v>0</v>
      </c>
      <c r="J19" s="5" t="n">
        <v>0</v>
      </c>
      <c r="K19" s="5" t="n">
        <f aca="false">MIN(5,MAX(G19+I19,J19))</f>
        <v>2</v>
      </c>
      <c r="L19" s="5" t="n">
        <f aca="false">F19*K19</f>
        <v>8</v>
      </c>
      <c r="M19" s="3" t="s">
        <v>84</v>
      </c>
      <c r="N19" s="3" t="s">
        <v>85</v>
      </c>
      <c r="O19" s="3" t="s">
        <v>49</v>
      </c>
      <c r="P19" s="2" t="s">
        <v>33</v>
      </c>
    </row>
    <row r="20" customFormat="false" ht="35.05" hidden="false" customHeight="false" outlineLevel="0" collapsed="false">
      <c r="A20" s="2" t="n">
        <v>19</v>
      </c>
      <c r="B20" s="2"/>
      <c r="C20" s="2" t="s">
        <v>86</v>
      </c>
      <c r="D20" s="2" t="s">
        <v>54</v>
      </c>
      <c r="E20" s="3" t="s">
        <v>18</v>
      </c>
      <c r="F20" s="2" t="n">
        <v>4</v>
      </c>
      <c r="G20" s="6" t="n">
        <v>2</v>
      </c>
      <c r="H20" s="6" t="s">
        <v>25</v>
      </c>
      <c r="I20" s="5" t="n">
        <v>0</v>
      </c>
      <c r="J20" s="5" t="n">
        <v>0</v>
      </c>
      <c r="K20" s="5" t="n">
        <f aca="false">MIN(5,MAX(G20+I20,J20))</f>
        <v>2</v>
      </c>
      <c r="L20" s="5" t="n">
        <f aca="false">F20*K20</f>
        <v>8</v>
      </c>
      <c r="M20" s="3" t="s">
        <v>87</v>
      </c>
      <c r="N20" s="3" t="s">
        <v>88</v>
      </c>
      <c r="O20" s="3" t="s">
        <v>89</v>
      </c>
      <c r="P20" s="2" t="s">
        <v>23</v>
      </c>
    </row>
    <row r="21" customFormat="false" ht="35.05" hidden="false" customHeight="false" outlineLevel="0" collapsed="false">
      <c r="A21" s="2" t="n">
        <v>20</v>
      </c>
      <c r="B21" s="2"/>
      <c r="C21" s="2" t="s">
        <v>90</v>
      </c>
      <c r="D21" s="2" t="s">
        <v>54</v>
      </c>
      <c r="E21" s="3" t="s">
        <v>18</v>
      </c>
      <c r="F21" s="2" t="n">
        <v>4</v>
      </c>
      <c r="G21" s="4" t="n">
        <v>3</v>
      </c>
      <c r="H21" s="4" t="s">
        <v>19</v>
      </c>
      <c r="I21" s="5" t="n">
        <v>0</v>
      </c>
      <c r="J21" s="5" t="n">
        <v>0</v>
      </c>
      <c r="K21" s="5" t="n">
        <f aca="false">MIN(5,MAX(G21+I21,J21))</f>
        <v>3</v>
      </c>
      <c r="L21" s="5" t="n">
        <f aca="false">F21*K21</f>
        <v>12</v>
      </c>
      <c r="M21" s="3" t="s">
        <v>91</v>
      </c>
      <c r="N21" s="3" t="s">
        <v>92</v>
      </c>
      <c r="O21" s="3" t="s">
        <v>37</v>
      </c>
      <c r="P21" s="2" t="s">
        <v>23</v>
      </c>
    </row>
    <row r="22" customFormat="false" ht="35.05" hidden="false" customHeight="false" outlineLevel="0" collapsed="false">
      <c r="A22" s="2" t="n">
        <v>21</v>
      </c>
      <c r="B22" s="2"/>
      <c r="C22" s="2" t="s">
        <v>93</v>
      </c>
      <c r="D22" s="2" t="s">
        <v>54</v>
      </c>
      <c r="E22" s="3" t="s">
        <v>18</v>
      </c>
      <c r="F22" s="2" t="n">
        <v>4</v>
      </c>
      <c r="G22" s="4" t="n">
        <v>3</v>
      </c>
      <c r="H22" s="4" t="s">
        <v>19</v>
      </c>
      <c r="I22" s="5" t="n">
        <v>0</v>
      </c>
      <c r="J22" s="5" t="n">
        <v>0</v>
      </c>
      <c r="K22" s="5" t="n">
        <f aca="false">MIN(5,MAX(G22+I22,J22))</f>
        <v>3</v>
      </c>
      <c r="L22" s="5" t="n">
        <f aca="false">F22*K22</f>
        <v>12</v>
      </c>
      <c r="M22" s="3" t="s">
        <v>94</v>
      </c>
      <c r="N22" s="3" t="s">
        <v>95</v>
      </c>
      <c r="O22" s="3" t="s">
        <v>37</v>
      </c>
      <c r="P22" s="2" t="s">
        <v>23</v>
      </c>
    </row>
    <row r="23" customFormat="false" ht="46.25" hidden="false" customHeight="false" outlineLevel="0" collapsed="false">
      <c r="A23" s="2" t="n">
        <v>22</v>
      </c>
      <c r="B23" s="2"/>
      <c r="C23" s="2" t="s">
        <v>96</v>
      </c>
      <c r="D23" s="2" t="s">
        <v>54</v>
      </c>
      <c r="E23" s="3" t="s">
        <v>18</v>
      </c>
      <c r="F23" s="2" t="n">
        <v>4</v>
      </c>
      <c r="G23" s="4" t="n">
        <v>3</v>
      </c>
      <c r="H23" s="4" t="s">
        <v>19</v>
      </c>
      <c r="I23" s="5" t="n">
        <v>0</v>
      </c>
      <c r="J23" s="5" t="n">
        <v>0</v>
      </c>
      <c r="K23" s="5" t="n">
        <f aca="false">MIN(5,MAX(G23+I23,J23))</f>
        <v>3</v>
      </c>
      <c r="L23" s="5" t="n">
        <f aca="false">F23*K23</f>
        <v>12</v>
      </c>
      <c r="M23" s="3" t="s">
        <v>97</v>
      </c>
      <c r="N23" s="3" t="s">
        <v>98</v>
      </c>
      <c r="O23" s="3" t="s">
        <v>99</v>
      </c>
      <c r="P23" s="2" t="s">
        <v>23</v>
      </c>
    </row>
    <row r="24" customFormat="false" ht="23.85" hidden="false" customHeight="false" outlineLevel="0" collapsed="false">
      <c r="A24" s="2" t="n">
        <v>23</v>
      </c>
      <c r="B24" s="2"/>
      <c r="C24" s="2" t="s">
        <v>100</v>
      </c>
      <c r="D24" s="2" t="s">
        <v>54</v>
      </c>
      <c r="E24" s="3" t="s">
        <v>18</v>
      </c>
      <c r="F24" s="2" t="n">
        <v>4</v>
      </c>
      <c r="G24" s="6" t="n">
        <v>2</v>
      </c>
      <c r="H24" s="6" t="s">
        <v>25</v>
      </c>
      <c r="I24" s="5" t="n">
        <v>0</v>
      </c>
      <c r="J24" s="5" t="n">
        <v>0</v>
      </c>
      <c r="K24" s="5" t="n">
        <f aca="false">MIN(5,MAX(G24+I24,J24))</f>
        <v>2</v>
      </c>
      <c r="L24" s="5" t="n">
        <f aca="false">F24*K24</f>
        <v>8</v>
      </c>
      <c r="M24" s="3" t="s">
        <v>101</v>
      </c>
      <c r="N24" s="3" t="s">
        <v>102</v>
      </c>
      <c r="O24" s="3" t="s">
        <v>103</v>
      </c>
      <c r="P24" s="2" t="s">
        <v>23</v>
      </c>
    </row>
    <row r="25" customFormat="false" ht="35.05" hidden="false" customHeight="false" outlineLevel="0" collapsed="false">
      <c r="A25" s="2" t="n">
        <v>24</v>
      </c>
      <c r="B25" s="2"/>
      <c r="C25" s="2" t="s">
        <v>104</v>
      </c>
      <c r="D25" s="2" t="s">
        <v>54</v>
      </c>
      <c r="E25" s="3" t="s">
        <v>18</v>
      </c>
      <c r="F25" s="2" t="n">
        <v>4</v>
      </c>
      <c r="G25" s="4" t="n">
        <v>3</v>
      </c>
      <c r="H25" s="4" t="s">
        <v>19</v>
      </c>
      <c r="I25" s="5" t="n">
        <v>0</v>
      </c>
      <c r="J25" s="5" t="n">
        <v>0</v>
      </c>
      <c r="K25" s="5" t="n">
        <f aca="false">MIN(5,MAX(G25+I25,J25))</f>
        <v>3</v>
      </c>
      <c r="L25" s="5" t="n">
        <f aca="false">F25*K25</f>
        <v>12</v>
      </c>
      <c r="M25" s="3" t="s">
        <v>105</v>
      </c>
      <c r="N25" s="3" t="s">
        <v>106</v>
      </c>
      <c r="O25" s="3" t="s">
        <v>107</v>
      </c>
      <c r="P25" s="2" t="s">
        <v>23</v>
      </c>
    </row>
    <row r="26" customFormat="false" ht="23.85" hidden="false" customHeight="false" outlineLevel="0" collapsed="false">
      <c r="A26" s="2" t="n">
        <v>25</v>
      </c>
      <c r="B26" s="2"/>
      <c r="C26" s="2" t="s">
        <v>108</v>
      </c>
      <c r="D26" s="2" t="s">
        <v>54</v>
      </c>
      <c r="E26" s="3" t="s">
        <v>18</v>
      </c>
      <c r="F26" s="2" t="n">
        <v>4</v>
      </c>
      <c r="G26" s="6" t="n">
        <v>2</v>
      </c>
      <c r="H26" s="6" t="s">
        <v>25</v>
      </c>
      <c r="I26" s="5" t="n">
        <v>0</v>
      </c>
      <c r="J26" s="5" t="n">
        <v>0</v>
      </c>
      <c r="K26" s="5" t="n">
        <f aca="false">MIN(5,MAX(G26+I26,J26))</f>
        <v>2</v>
      </c>
      <c r="L26" s="5" t="n">
        <f aca="false">F26*K26</f>
        <v>8</v>
      </c>
      <c r="M26" s="3" t="s">
        <v>109</v>
      </c>
      <c r="N26" s="3" t="s">
        <v>110</v>
      </c>
      <c r="O26" s="3" t="s">
        <v>32</v>
      </c>
      <c r="P26" s="2" t="s">
        <v>33</v>
      </c>
    </row>
    <row r="27" customFormat="false" ht="35.05" hidden="false" customHeight="false" outlineLevel="0" collapsed="false">
      <c r="A27" s="2" t="n">
        <v>26</v>
      </c>
      <c r="B27" s="2"/>
      <c r="C27" s="2" t="s">
        <v>111</v>
      </c>
      <c r="D27" s="2" t="s">
        <v>54</v>
      </c>
      <c r="E27" s="3" t="s">
        <v>18</v>
      </c>
      <c r="F27" s="2" t="n">
        <v>4</v>
      </c>
      <c r="G27" s="6" t="n">
        <v>2</v>
      </c>
      <c r="H27" s="6" t="s">
        <v>25</v>
      </c>
      <c r="I27" s="5" t="n">
        <v>0</v>
      </c>
      <c r="J27" s="5" t="n">
        <v>0</v>
      </c>
      <c r="K27" s="5" t="n">
        <f aca="false">MIN(5,MAX(G27+I27,J27))</f>
        <v>2</v>
      </c>
      <c r="L27" s="5" t="n">
        <f aca="false">F27*K27</f>
        <v>8</v>
      </c>
      <c r="M27" s="3" t="s">
        <v>112</v>
      </c>
      <c r="N27" s="3" t="s">
        <v>113</v>
      </c>
      <c r="O27" s="3" t="s">
        <v>28</v>
      </c>
      <c r="P27" s="2" t="s">
        <v>23</v>
      </c>
    </row>
    <row r="28" customFormat="false" ht="35.05" hidden="false" customHeight="false" outlineLevel="0" collapsed="false">
      <c r="A28" s="2" t="n">
        <v>27</v>
      </c>
      <c r="B28" s="2"/>
      <c r="C28" s="2" t="s">
        <v>114</v>
      </c>
      <c r="D28" s="2" t="s">
        <v>54</v>
      </c>
      <c r="E28" s="3" t="s">
        <v>18</v>
      </c>
      <c r="F28" s="2" t="n">
        <v>4</v>
      </c>
      <c r="G28" s="4" t="n">
        <v>3</v>
      </c>
      <c r="H28" s="4" t="s">
        <v>19</v>
      </c>
      <c r="I28" s="5" t="n">
        <v>0</v>
      </c>
      <c r="J28" s="5" t="n">
        <v>0</v>
      </c>
      <c r="K28" s="5" t="n">
        <f aca="false">MIN(5,MAX(G28+I28,J28))</f>
        <v>3</v>
      </c>
      <c r="L28" s="5" t="n">
        <f aca="false">F28*K28</f>
        <v>12</v>
      </c>
      <c r="M28" s="3" t="s">
        <v>115</v>
      </c>
      <c r="N28" s="3" t="s">
        <v>116</v>
      </c>
      <c r="O28" s="3" t="s">
        <v>117</v>
      </c>
      <c r="P28" s="2" t="s">
        <v>23</v>
      </c>
    </row>
    <row r="29" customFormat="false" ht="35.05" hidden="false" customHeight="false" outlineLevel="0" collapsed="false">
      <c r="A29" s="2" t="n">
        <v>28</v>
      </c>
      <c r="B29" s="2"/>
      <c r="C29" s="2" t="s">
        <v>118</v>
      </c>
      <c r="D29" s="2" t="s">
        <v>54</v>
      </c>
      <c r="E29" s="3" t="s">
        <v>18</v>
      </c>
      <c r="F29" s="2" t="n">
        <v>4</v>
      </c>
      <c r="G29" s="4" t="n">
        <v>3</v>
      </c>
      <c r="H29" s="4" t="s">
        <v>19</v>
      </c>
      <c r="I29" s="5" t="n">
        <v>0</v>
      </c>
      <c r="J29" s="5" t="n">
        <v>0</v>
      </c>
      <c r="K29" s="5" t="n">
        <f aca="false">MIN(5,MAX(G29+I29,J29))</f>
        <v>3</v>
      </c>
      <c r="L29" s="5" t="n">
        <f aca="false">F29*K29</f>
        <v>12</v>
      </c>
      <c r="M29" s="3" t="s">
        <v>119</v>
      </c>
      <c r="N29" s="3" t="s">
        <v>120</v>
      </c>
      <c r="O29" s="3" t="s">
        <v>117</v>
      </c>
      <c r="P29" s="2" t="s">
        <v>23</v>
      </c>
    </row>
    <row r="30" customFormat="false" ht="35.05" hidden="false" customHeight="false" outlineLevel="0" collapsed="false">
      <c r="A30" s="2" t="n">
        <v>29</v>
      </c>
      <c r="B30" s="2"/>
      <c r="C30" s="2" t="s">
        <v>121</v>
      </c>
      <c r="D30" s="2" t="s">
        <v>54</v>
      </c>
      <c r="E30" s="3" t="s">
        <v>18</v>
      </c>
      <c r="F30" s="2" t="n">
        <v>4</v>
      </c>
      <c r="G30" s="4" t="n">
        <v>3</v>
      </c>
      <c r="H30" s="4" t="s">
        <v>19</v>
      </c>
      <c r="I30" s="5" t="n">
        <v>0</v>
      </c>
      <c r="J30" s="5" t="n">
        <v>0</v>
      </c>
      <c r="K30" s="5" t="n">
        <f aca="false">MIN(5,MAX(G30+I30,J30))</f>
        <v>3</v>
      </c>
      <c r="L30" s="5" t="n">
        <f aca="false">F30*K30</f>
        <v>12</v>
      </c>
      <c r="M30" s="3" t="s">
        <v>122</v>
      </c>
      <c r="N30" s="3" t="s">
        <v>123</v>
      </c>
      <c r="O30" s="3" t="s">
        <v>117</v>
      </c>
      <c r="P30" s="2" t="s">
        <v>23</v>
      </c>
    </row>
    <row r="31" customFormat="false" ht="23.85" hidden="false" customHeight="false" outlineLevel="0" collapsed="false">
      <c r="A31" s="2" t="n">
        <v>30</v>
      </c>
      <c r="B31" s="2"/>
      <c r="C31" s="2" t="s">
        <v>124</v>
      </c>
      <c r="D31" s="2" t="s">
        <v>54</v>
      </c>
      <c r="E31" s="3" t="s">
        <v>18</v>
      </c>
      <c r="F31" s="2" t="n">
        <v>4</v>
      </c>
      <c r="G31" s="6" t="n">
        <v>2</v>
      </c>
      <c r="H31" s="6" t="s">
        <v>25</v>
      </c>
      <c r="I31" s="5" t="n">
        <v>0</v>
      </c>
      <c r="J31" s="5" t="n">
        <v>0</v>
      </c>
      <c r="K31" s="5" t="n">
        <f aca="false">MIN(5,MAX(G31+I31,J31))</f>
        <v>2</v>
      </c>
      <c r="L31" s="5" t="n">
        <f aca="false">F31*K31</f>
        <v>8</v>
      </c>
      <c r="M31" s="3" t="s">
        <v>125</v>
      </c>
      <c r="N31" s="3" t="s">
        <v>126</v>
      </c>
      <c r="O31" s="3" t="s">
        <v>127</v>
      </c>
      <c r="P31" s="2" t="s">
        <v>23</v>
      </c>
    </row>
    <row r="32" customFormat="false" ht="23.85" hidden="false" customHeight="false" outlineLevel="0" collapsed="false">
      <c r="A32" s="2" t="n">
        <v>31</v>
      </c>
      <c r="B32" s="2"/>
      <c r="C32" s="2" t="s">
        <v>128</v>
      </c>
      <c r="D32" s="2" t="s">
        <v>54</v>
      </c>
      <c r="E32" s="3" t="s">
        <v>18</v>
      </c>
      <c r="F32" s="2" t="n">
        <v>4</v>
      </c>
      <c r="G32" s="6" t="n">
        <v>2</v>
      </c>
      <c r="H32" s="6" t="s">
        <v>25</v>
      </c>
      <c r="I32" s="5" t="n">
        <v>0</v>
      </c>
      <c r="J32" s="5" t="n">
        <v>0</v>
      </c>
      <c r="K32" s="5" t="n">
        <f aca="false">MIN(5,MAX(G32+I32,J32))</f>
        <v>2</v>
      </c>
      <c r="L32" s="5" t="n">
        <f aca="false">F32*K32</f>
        <v>8</v>
      </c>
      <c r="M32" s="3" t="s">
        <v>129</v>
      </c>
      <c r="N32" s="3" t="s">
        <v>130</v>
      </c>
      <c r="O32" s="3" t="s">
        <v>49</v>
      </c>
      <c r="P32" s="2" t="s">
        <v>33</v>
      </c>
    </row>
    <row r="33" customFormat="false" ht="23.85" hidden="false" customHeight="false" outlineLevel="0" collapsed="false">
      <c r="A33" s="2" t="n">
        <v>32</v>
      </c>
      <c r="B33" s="2"/>
      <c r="C33" s="2" t="s">
        <v>131</v>
      </c>
      <c r="D33" s="2" t="s">
        <v>54</v>
      </c>
      <c r="E33" s="3" t="s">
        <v>18</v>
      </c>
      <c r="F33" s="2" t="n">
        <v>4</v>
      </c>
      <c r="G33" s="6" t="n">
        <v>2</v>
      </c>
      <c r="H33" s="6" t="s">
        <v>25</v>
      </c>
      <c r="I33" s="5" t="n">
        <v>0</v>
      </c>
      <c r="J33" s="5" t="n">
        <v>0</v>
      </c>
      <c r="K33" s="5" t="n">
        <f aca="false">MIN(5,MAX(G33+I33,J33))</f>
        <v>2</v>
      </c>
      <c r="L33" s="5" t="n">
        <f aca="false">F33*K33</f>
        <v>8</v>
      </c>
      <c r="M33" s="3" t="s">
        <v>132</v>
      </c>
      <c r="N33" s="3" t="s">
        <v>133</v>
      </c>
      <c r="O33" s="3" t="s">
        <v>28</v>
      </c>
      <c r="P33" s="2" t="s">
        <v>33</v>
      </c>
    </row>
    <row r="35" customFormat="false" ht="15" hidden="false" customHeight="false" outlineLevel="0" collapsed="false">
      <c r="A35" s="7" t="s">
        <v>134</v>
      </c>
    </row>
  </sheetData>
  <autoFilter ref="A1:P33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1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8"/>
    <col collapsed="false" customWidth="true" hidden="false" outlineLevel="0" max="2" min="2" style="0" width="22"/>
    <col collapsed="false" customWidth="true" hidden="false" outlineLevel="0" max="3" min="3" style="0" width="11"/>
    <col collapsed="false" customWidth="true" hidden="false" outlineLevel="0" max="4" min="4" style="0" width="9"/>
    <col collapsed="false" customWidth="true" hidden="false" outlineLevel="0" max="5" min="5" style="0" width="11"/>
  </cols>
  <sheetData>
    <row r="1" customFormat="false" ht="16.15" hidden="false" customHeight="false" outlineLevel="0" collapsed="false">
      <c r="A1" s="8" t="s">
        <v>135</v>
      </c>
    </row>
    <row r="2" customFormat="false" ht="15" hidden="false" customHeight="false" outlineLevel="0" collapsed="false">
      <c r="A2" s="7" t="s">
        <v>136</v>
      </c>
    </row>
    <row r="4" customFormat="false" ht="15" hidden="false" customHeight="false" outlineLevel="0" collapsed="false">
      <c r="A4" s="1" t="s">
        <v>6</v>
      </c>
      <c r="B4" s="1" t="s">
        <v>137</v>
      </c>
      <c r="C4" s="1" t="s">
        <v>138</v>
      </c>
      <c r="D4" s="1" t="s">
        <v>5</v>
      </c>
      <c r="E4" s="1" t="s">
        <v>139</v>
      </c>
    </row>
    <row r="5" customFormat="false" ht="15" hidden="false" customHeight="false" outlineLevel="0" collapsed="false">
      <c r="A5" s="9" t="n">
        <v>0</v>
      </c>
      <c r="B5" s="9" t="s">
        <v>140</v>
      </c>
      <c r="C5" s="9" t="n">
        <f aca="false">COUNTIF(Evaluation!$G$2:$G$33,A5)</f>
        <v>0</v>
      </c>
      <c r="D5" s="9" t="n">
        <f aca="false">SUMIF(Evaluation!$G$2:$G$33,A5,Evaluation!$F$2:$F$33)</f>
        <v>0</v>
      </c>
      <c r="E5" s="10" t="n">
        <f aca="false">IF(SUM($D$5:$D$10)=0,0,D5/SUM($D$5:$D$10))</f>
        <v>0</v>
      </c>
    </row>
    <row r="6" customFormat="false" ht="15" hidden="false" customHeight="false" outlineLevel="0" collapsed="false">
      <c r="A6" s="11" t="n">
        <v>1</v>
      </c>
      <c r="B6" s="11" t="s">
        <v>141</v>
      </c>
      <c r="C6" s="11" t="n">
        <f aca="false">COUNTIF(Evaluation!$G$2:$G$33,A6)</f>
        <v>0</v>
      </c>
      <c r="D6" s="11" t="n">
        <f aca="false">SUMIF(Evaluation!$G$2:$G$33,A6,Evaluation!$F$2:$F$33)</f>
        <v>0</v>
      </c>
      <c r="E6" s="12" t="n">
        <f aca="false">IF(SUM($D$5:$D$10)=0,0,D6/SUM($D$5:$D$10))</f>
        <v>0</v>
      </c>
    </row>
    <row r="7" customFormat="false" ht="15" hidden="false" customHeight="false" outlineLevel="0" collapsed="false">
      <c r="A7" s="13" t="n">
        <v>2</v>
      </c>
      <c r="B7" s="13" t="s">
        <v>25</v>
      </c>
      <c r="C7" s="13" t="n">
        <f aca="false">COUNTIF(Evaluation!$G$2:$G$33,A7)</f>
        <v>15</v>
      </c>
      <c r="D7" s="13" t="n">
        <f aca="false">SUMIF(Evaluation!$G$2:$G$33,A7,Evaluation!$F$2:$F$33)</f>
        <v>55</v>
      </c>
      <c r="E7" s="14" t="n">
        <f aca="false">IF(SUM($D$5:$D$10)=0,0,D7/SUM($D$5:$D$10))</f>
        <v>0.458333333333333</v>
      </c>
    </row>
    <row r="8" customFormat="false" ht="15" hidden="false" customHeight="false" outlineLevel="0" collapsed="false">
      <c r="A8" s="15" t="n">
        <v>3</v>
      </c>
      <c r="B8" s="15" t="s">
        <v>19</v>
      </c>
      <c r="C8" s="15" t="n">
        <f aca="false">COUNTIF(Evaluation!$G$2:$G$33,A8)</f>
        <v>17</v>
      </c>
      <c r="D8" s="15" t="n">
        <f aca="false">SUMIF(Evaluation!$G$2:$G$33,A8,Evaluation!$F$2:$F$33)</f>
        <v>65</v>
      </c>
      <c r="E8" s="16" t="n">
        <f aca="false">IF(SUM($D$5:$D$10)=0,0,D8/SUM($D$5:$D$10))</f>
        <v>0.541666666666667</v>
      </c>
    </row>
    <row r="9" customFormat="false" ht="15" hidden="false" customHeight="false" outlineLevel="0" collapsed="false">
      <c r="A9" s="17" t="n">
        <v>4</v>
      </c>
      <c r="B9" s="17" t="s">
        <v>142</v>
      </c>
      <c r="C9" s="17" t="n">
        <f aca="false">COUNTIF(Evaluation!$G$2:$G$33,A9)</f>
        <v>0</v>
      </c>
      <c r="D9" s="17" t="n">
        <f aca="false">SUMIF(Evaluation!$G$2:$G$33,A9,Evaluation!$F$2:$F$33)</f>
        <v>0</v>
      </c>
      <c r="E9" s="18" t="n">
        <f aca="false">IF(SUM($D$5:$D$10)=0,0,D9/SUM($D$5:$D$10))</f>
        <v>0</v>
      </c>
    </row>
    <row r="10" customFormat="false" ht="15" hidden="false" customHeight="false" outlineLevel="0" collapsed="false">
      <c r="A10" s="19" t="n">
        <v>5</v>
      </c>
      <c r="B10" s="19" t="s">
        <v>143</v>
      </c>
      <c r="C10" s="19" t="n">
        <f aca="false">COUNTIF(Evaluation!$G$2:$G$33,A10)</f>
        <v>0</v>
      </c>
      <c r="D10" s="19" t="n">
        <f aca="false">SUMIF(Evaluation!$G$2:$G$33,A10,Evaluation!$F$2:$F$33)</f>
        <v>0</v>
      </c>
      <c r="E10" s="20" t="n">
        <f aca="false">IF(SUM($D$5:$D$10)=0,0,D10/SUM($D$5:$D$10))</f>
        <v>0</v>
      </c>
    </row>
    <row r="11" customFormat="false" ht="15" hidden="false" customHeight="false" outlineLevel="0" collapsed="false">
      <c r="A11" s="21" t="s">
        <v>144</v>
      </c>
      <c r="C11" s="21" t="n">
        <f aca="false">SUM(C5:C10)</f>
        <v>32</v>
      </c>
      <c r="D11" s="21" t="n">
        <f aca="false">SUM(D5:D10)</f>
        <v>120</v>
      </c>
    </row>
    <row r="13" customFormat="false" ht="46.25" hidden="false" customHeight="false" outlineLevel="0" collapsed="false">
      <c r="A13" s="1" t="s">
        <v>145</v>
      </c>
      <c r="B13" s="1" t="s">
        <v>146</v>
      </c>
      <c r="C13" s="1" t="s">
        <v>147</v>
      </c>
      <c r="D13" s="1" t="s">
        <v>5</v>
      </c>
      <c r="E13" s="1" t="s">
        <v>148</v>
      </c>
    </row>
    <row r="14" customFormat="false" ht="15" hidden="false" customHeight="false" outlineLevel="0" collapsed="false">
      <c r="A14" s="21" t="s">
        <v>149</v>
      </c>
      <c r="B14" s="22" t="n">
        <f aca="false">SUM(Evaluation!$L$2:$L$33)/SUM(Evaluation!$F$2:$F$33)</f>
        <v>2.54166666666667</v>
      </c>
      <c r="C14" s="22" t="n">
        <f aca="false">SUMPRODUCT(Evaluation!$F$2:$F$33,Evaluation!$G$2:$G$33)/SUM(Evaluation!$F$2:$F$33)</f>
        <v>2.54166666666667</v>
      </c>
      <c r="D14" s="21" t="n">
        <f aca="false">SUM(Evaluation!$F$2:$F$33)</f>
        <v>120</v>
      </c>
      <c r="E14" s="22" t="n">
        <f aca="false">AVERAGE(Evaluation!$G$2:$G$33)</f>
        <v>2.53125</v>
      </c>
    </row>
    <row r="16" customFormat="false" ht="15" hidden="false" customHeight="false" outlineLevel="0" collapsed="false">
      <c r="A16" s="7" t="s">
        <v>150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1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2"/>
    <col collapsed="false" customWidth="true" hidden="false" outlineLevel="0" max="2" min="2" style="0" width="15"/>
    <col collapsed="false" customWidth="true" hidden="false" outlineLevel="0" max="3" min="3" style="0" width="11"/>
    <col collapsed="false" customWidth="true" hidden="false" outlineLevel="0" max="5" min="4" style="0" width="13"/>
    <col collapsed="false" customWidth="true" hidden="false" outlineLevel="0" max="6" min="6" style="0" width="15"/>
  </cols>
  <sheetData>
    <row r="1" customFormat="false" ht="16.15" hidden="false" customHeight="false" outlineLevel="0" collapsed="false">
      <c r="A1" s="8" t="s">
        <v>151</v>
      </c>
    </row>
    <row r="3" customFormat="false" ht="23.85" hidden="false" customHeight="false" outlineLevel="0" collapsed="false">
      <c r="A3" s="1" t="s">
        <v>152</v>
      </c>
      <c r="B3" s="1" t="s">
        <v>153</v>
      </c>
      <c r="C3" s="1" t="s">
        <v>148</v>
      </c>
      <c r="D3" s="1" t="s">
        <v>154</v>
      </c>
      <c r="E3" s="1" t="s">
        <v>155</v>
      </c>
      <c r="F3" s="1" t="s">
        <v>156</v>
      </c>
    </row>
    <row r="4" customFormat="false" ht="15" hidden="false" customHeight="false" outlineLevel="0" collapsed="false">
      <c r="A4" s="23" t="n">
        <v>2021</v>
      </c>
      <c r="B4" s="24" t="n">
        <v>2.75833333333333</v>
      </c>
      <c r="C4" s="24" t="n">
        <v>2.89473684210526</v>
      </c>
      <c r="D4" s="23" t="n">
        <v>16</v>
      </c>
      <c r="E4" s="23" t="n">
        <v>34</v>
      </c>
      <c r="F4" s="23" t="n">
        <v>1</v>
      </c>
    </row>
    <row r="5" customFormat="false" ht="15" hidden="false" customHeight="false" outlineLevel="0" collapsed="false">
      <c r="A5" s="23" t="n">
        <v>2023</v>
      </c>
      <c r="B5" s="24" t="n">
        <v>3.19166666666667</v>
      </c>
      <c r="C5" s="24" t="n">
        <v>3.14705882352941</v>
      </c>
      <c r="D5" s="23" t="n">
        <v>13</v>
      </c>
      <c r="E5" s="23" t="n">
        <v>47</v>
      </c>
      <c r="F5" s="23" t="n">
        <v>5</v>
      </c>
    </row>
    <row r="6" customFormat="false" ht="15" hidden="false" customHeight="false" outlineLevel="0" collapsed="false">
      <c r="A6" s="23" t="n">
        <v>2024</v>
      </c>
      <c r="B6" s="24" t="n">
        <v>2.59166666666667</v>
      </c>
      <c r="C6" s="24" t="n">
        <v>2.55882352941176</v>
      </c>
      <c r="D6" s="23" t="n">
        <v>28</v>
      </c>
      <c r="E6" s="23" t="n">
        <v>40</v>
      </c>
      <c r="F6" s="23" t="n">
        <v>1</v>
      </c>
    </row>
    <row r="7" customFormat="false" ht="15" hidden="false" customHeight="false" outlineLevel="0" collapsed="false">
      <c r="A7" s="23" t="n">
        <v>2025</v>
      </c>
      <c r="B7" s="24" t="n">
        <v>3.20833333333333</v>
      </c>
      <c r="C7" s="24" t="n">
        <v>3.1875</v>
      </c>
      <c r="D7" s="23" t="n">
        <v>8</v>
      </c>
      <c r="E7" s="23" t="n">
        <v>65</v>
      </c>
      <c r="F7" s="23" t="n">
        <v>1</v>
      </c>
    </row>
    <row r="8" customFormat="false" ht="15" hidden="false" customHeight="false" outlineLevel="0" collapsed="false">
      <c r="A8" s="23" t="n">
        <v>2026</v>
      </c>
      <c r="B8" s="24" t="n">
        <v>3.025</v>
      </c>
      <c r="C8" s="24" t="n">
        <v>2.94117647058824</v>
      </c>
      <c r="D8" s="23" t="n">
        <v>6</v>
      </c>
      <c r="E8" s="23" t="n">
        <v>38</v>
      </c>
      <c r="F8" s="23" t="n">
        <v>2</v>
      </c>
    </row>
    <row r="9" customFormat="false" ht="15" hidden="false" customHeight="false" outlineLevel="0" collapsed="false">
      <c r="A9" s="21" t="s">
        <v>157</v>
      </c>
      <c r="B9" s="22" t="n">
        <f aca="false">Summary!B14</f>
        <v>2.54166666666667</v>
      </c>
      <c r="C9" s="22" t="n">
        <f aca="false">Summary!E14</f>
        <v>2.53125</v>
      </c>
      <c r="D9" s="21" t="n">
        <f aca="false">Summary!D5+Summary!D6</f>
        <v>0</v>
      </c>
      <c r="E9" s="21" t="n">
        <f aca="false">Summary!D9+Summary!D10</f>
        <v>0</v>
      </c>
      <c r="F9" s="21" t="n">
        <f aca="false">Summary!C10</f>
        <v>0</v>
      </c>
    </row>
    <row r="11" customFormat="false" ht="15" hidden="false" customHeight="false" outlineLevel="0" collapsed="false">
      <c r="A11" s="7" t="s">
        <v>158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2026-10-18T16:11:24Z</dcterms:created>
  <dc:creator>openpyxl</dc:creator>
  <dc:description/>
  <dc:language>en-US</dc:language>
  <cp:lastModifiedBy/>
  <dcterms:modified xsi:type="dcterms:W3CDTF">2026-10-18T16:11:24Z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