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<sst xmlns="http://schemas.openxmlformats.org/spreadsheetml/2006/main" count="159" uniqueCount="99">
  <si>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</si>
  <si>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</si>
  <si>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</si>
  <si>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</si>
  <si>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</si>
  <si>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</si>
  <si>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</si>
  <si>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</si>
  <si>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</si>
  <si>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</si>
  <si>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</si>
  <si>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</si>
  <si>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</si>
  <si>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</si>
  <si>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</si>
  <si>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</si>
  <si>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</si>
  <si>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</si>
  <si>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Continuity and Differentiability</t>
  </si>
  <si>
    <t xml:space="preserve">Easier than Advanced</t>
  </si>
  <si>
    <t xml:space="preserve">A root of p where |p| is differentiable must be repeated, so p = (x-1)^2 (x-3); then f'(0) = -p'(0) because p(0) &lt; 0.</t>
  </si>
  <si>
    <t xml:space="preserve">Routine chain of three standard steps: corners of |p| at simple roots, Vieta-free reconstruction of p, and the sign of p for the derivative of |p|. Options allow checking. Slightly above 2025-P1-Q15 (L1) because of the reverse deduction.</t>
  </si>
  <si>
    <t xml:space="preserve">2025-P1-Q15 (L1)</t>
  </si>
  <si>
    <t xml:space="preserve">Medium</t>
  </si>
  <si>
    <t xml:space="preserve">Q02</t>
  </si>
  <si>
    <t xml:space="preserve">Numerical</t>
  </si>
  <si>
    <t xml:space="preserve">Average Advanced</t>
  </si>
  <si>
    <t xml:space="preserve">At an integer n, continuity iff p(n) = 0 and differentiability iff p'(n) = 0 (double zero), giving the classes 'coprime to 6', 'divisible by 2 or 3 but not 6' and 'divisible by 6'.</t>
  </si>
  <si>
    <t xml:space="preserve">Two ideas linked: one-sided limits and derivatives of {x}p(x) at integers, then an inclusion-exclusion count with no options. Same kind of demand as 2023-P2-Q6 (L3) on [4x] times a polynomial; lighter than 2026-P2-Q14 (L4).</t>
  </si>
  <si>
    <t xml:space="preserve">2023-P2-Q6 (L3)</t>
  </si>
  <si>
    <t xml:space="preserve">Q03</t>
  </si>
  <si>
    <t xml:space="preserve">For a decreasing f, the left derivative of g at f(0) equals 1/f'(0+) and the right derivative equals 1/f'(0-).</t>
  </si>
  <si>
    <t xml:space="preserve">Two ideas linked: continuity fixes a, then one-sided derivatives of an inverse with the side swap caused by monotonic decrease; numerical answer whose sign is a trap. Comparable to 2025-P2-Q14 (L3) on derivative of an inverse composition.</t>
  </si>
  <si>
    <t xml:space="preserve">2025-P2-Q14 (L3)</t>
  </si>
  <si>
    <t xml:space="preserve">Q04</t>
  </si>
  <si>
    <t xml:space="preserve">Split into unit intervals; crossings x = 4n/3 (x &gt; 0) and 4n/5 (x &lt; 0) give corners, and every integer in (-4,4) is a jump of the max.</t>
  </si>
  <si>
    <t xml:space="preserve">Three ideas combined with interval-by-interval casework and no options: jumps of the max at integers, corners at crossings, and asymmetric crossing formulas on the two sides. Similar counting demand to 2023-P2-Q6 (L3), below 2026-P1-Q10 (L4) which has more cancellation.</t>
  </si>
  <si>
    <t xml:space="preserve">Q05</t>
  </si>
  <si>
    <t xml:space="preserve">Split by the position of the window: g = f(x), then 1, then max{f(x-1), f(x)}, then f(x); the only corner is the tie x = 5/2.</t>
  </si>
  <si>
    <t xml:space="preserve">An unfamiliar construction (moving-window max) requiring four regimes and a check of each junction, with a numerical answer; the algebra is light. Placed with 2024-P1-Q17 (L3) and above the running-max JEE Main problems.</t>
  </si>
  <si>
    <t xml:space="preserve">2024-P1-Q17 (L3)</t>
  </si>
  <si>
    <t xml:space="preserve">Q06</t>
  </si>
  <si>
    <t xml:space="preserve">Differentiability at c needs q(c) = 0 and a = 3c^2, i.e. a repeated root; Vieta then gives c = 1/2.</t>
  </si>
  <si>
    <t xml:space="preserve">A routine chain of three steps (continuity iff equal formulas, derivative match along both sets, Vieta) built on the familiar rational/irrational continuity idea. Comparable to 2024-P1-Q1 (L2) in length; the tangency step keeps it from L1.</t>
  </si>
  <si>
    <t xml:space="preserve">2024-P1-Q1 (L2)</t>
  </si>
  <si>
    <t xml:space="preserve">Q07</t>
  </si>
  <si>
    <t xml:space="preserve">Iterate to f(x) = f(x/2^n) times the cosine product, telescope the product to sin x/(2^n sin(x/2^n)), and pass to the limit using continuity at 0.</t>
  </si>
  <si>
    <t xml:space="preserve">A routine chain once iteration is tried: iteration, a known product identity, and a limit justified by continuity at 0. Same kind of functional-equation demand as 2024-P2-Q8 (L2).</t>
  </si>
  <si>
    <t xml:space="preserve">2024-P2-Q8 (L2)</t>
  </si>
  <si>
    <t xml:space="preserve">High</t>
  </si>
  <si>
    <t xml:space="preserve">Q08</t>
  </si>
  <si>
    <t xml:space="preserve">Limit exists means the numerator vanishes at 1, so f = (x-1)^2 - 6 off x = 1; the range is (-6, -2] with -6 missing.</t>
  </si>
  <si>
    <t xml:space="preserve">Routine chain: removable vs infinite discontinuity, factorisation, IVT for the range, and the excluded value. Similar length to 2025-P2-Q1 (L2); the trap at -6 keeps it at 2 rather than 1.</t>
  </si>
  <si>
    <t xml:space="preserve">2025-P2-Q1 (L2)</t>
  </si>
  <si>
    <t xml:space="preserve">Q09</t>
  </si>
  <si>
    <t xml:space="preserve">Split at x = 0: positive roots via log x / x = 1/n (two iff n &gt;= 3), negative roots via the monotone function e^x - x^n (one iff n even).</t>
  </si>
  <si>
    <t xml:space="preserve">Two linked ideas (monotonicity of log x / x with IVT, and parity analysis for negative x) with casework over ten values and no options. Above the one-step 2024-P2-Q10 (L1) and similar in demand to 2023-P2-Q7 (L3).</t>
  </si>
  <si>
    <t xml:space="preserve">2023-P2-Q7 (L3)</t>
  </si>
  <si>
    <t xml:space="preserve">Q10</t>
  </si>
  <si>
    <t xml:space="preserve">Finite one-sided limits force a = b = 1; then the sign of x|x| on the left gives -1/2.</t>
  </si>
  <si>
    <t xml:space="preserve">Routine chain: two orders of the expansion fix a and b, then a one-sided limit with |x|. Same demand as 2025-P2-Q1 (L2) on limits with an absolute value.</t>
  </si>
  <si>
    <t xml:space="preserve">Q11</t>
  </si>
  <si>
    <t xml:space="preserve">Repeated implicit differentiation of y + 6y^3 = x gives y'(0) = 1, y''(0) = 0, y'''(0) = -36, which the cubic must match.</t>
  </si>
  <si>
    <t xml:space="preserve">Two ideas linked: third-order matching of one-sided derivatives and higher derivatives of an implicitly defined function, with a numerical answer where one slip in the third derivative is fatal. Comparable to 2025-P2-Q14 (L3); below the Leibniz insight of 2026-P2-Q5 (L4).</t>
  </si>
  <si>
    <t xml:space="preserve">Q12</t>
  </si>
  <si>
    <t xml:space="preserve">Differentiable at 0 iff m &gt;= 2; f' unbounded near 0 iff the exponent m - n - 1 is negative; count 2 &lt;= m &lt;= n &lt;= 20.</t>
  </si>
  <si>
    <t xml:space="preserve">Routine chain on a standard family: difference quotient by sandwich, derivative formula, exponent comparison, then a simple triangular count. Below 2024-P1-Q17 (L3), which combines several functions; the count is easy.</t>
  </si>
  <si>
    <t xml:space="preserve">Q13</t>
  </si>
  <si>
    <t xml:space="preserve">Non-differentiable points are x = 7/(2k+1); count those in (a,1) with floor-type bounds and squeeze a N(a) to 7/2.</t>
  </si>
  <si>
    <t xml:space="preserve">Two ideas linked: corners of |g| at the accumulating zeros of cos(c/x), and a sandwich limit of a counting function; the bounds need care but the limit forgives off-by-one slips, so not L4. Placed below 2024-P2-Q4 (L4) zero counting of x^2 sin(pi/x^2) and 2023-P1-Q4 (L4) sandwich.</t>
  </si>
  <si>
    <t xml:space="preserve">2024-P2-Q4 (L4)</t>
  </si>
  <si>
    <t xml:space="preserve">Q14</t>
  </si>
  <si>
    <t xml:space="preserve">Split f(g(x)) into f(x-1) and f(4x+1); continuity gives f(-1) = f(1), equal one-sided derivatives give f'(-1) = 4 f'(1).</t>
  </si>
  <si>
    <t xml:space="preserve">Routine chain of two conditions (continuity and derivative matching) after noticing that the chain rule cannot be used at the jump; light algebra. Comparable to 2024-P1-Q1 (L2); the discontinuous inner function stops it from being L1.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</si>
  <si>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</si>
  <si>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</si>
  <si>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Continuity and Differentiability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</si>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</sst>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25</v>
      </c>
      <c r="E3" s="3" t="s">
        <v>18</v>
      </c>
      <c r="F3" s="2" t="n">
        <v>4</v>
      </c>
      <c r="G3" s="6" t="n">
        <v>3</v>
      </c>
      <c r="H3" s="6" t="s">
        <v>26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12</v>
      </c>
      <c r="M3" s="3" t="s">
        <v>27</v>
      </c>
      <c r="N3" s="3" t="s">
        <v>28</v>
      </c>
      <c r="O3" s="3" t="s">
        <v>29</v>
      </c>
      <c r="P3" s="2" t="s">
        <v>23</v>
      </c>
    </row>
    <row r="4" customFormat="false" ht="46.25" hidden="false" customHeight="false" outlineLevel="0" collapsed="false">
      <c r="A4" s="2" t="n">
        <v>3</v>
      </c>
      <c r="B4" s="2"/>
      <c r="C4" s="2" t="s">
        <v>30</v>
      </c>
      <c r="D4" s="2" t="s">
        <v>25</v>
      </c>
      <c r="E4" s="3" t="s">
        <v>18</v>
      </c>
      <c r="F4" s="2" t="n">
        <v>4</v>
      </c>
      <c r="G4" s="6" t="n">
        <v>3</v>
      </c>
      <c r="H4" s="6" t="s">
        <v>26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12</v>
      </c>
      <c r="M4" s="3" t="s">
        <v>31</v>
      </c>
      <c r="N4" s="3" t="s">
        <v>32</v>
      </c>
      <c r="O4" s="3" t="s">
        <v>33</v>
      </c>
      <c r="P4" s="2" t="s">
        <v>23</v>
      </c>
    </row>
    <row r="5" customFormat="false" ht="46.25" hidden="false" customHeight="false" outlineLevel="0" collapsed="false">
      <c r="A5" s="2" t="n">
        <v>4</v>
      </c>
      <c r="B5" s="2"/>
      <c r="C5" s="2" t="s">
        <v>34</v>
      </c>
      <c r="D5" s="2" t="s">
        <v>25</v>
      </c>
      <c r="E5" s="3" t="s">
        <v>18</v>
      </c>
      <c r="F5" s="2" t="n">
        <v>4</v>
      </c>
      <c r="G5" s="6" t="n">
        <v>3</v>
      </c>
      <c r="H5" s="6" t="s">
        <v>26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12</v>
      </c>
      <c r="M5" s="3" t="s">
        <v>35</v>
      </c>
      <c r="N5" s="3" t="s">
        <v>36</v>
      </c>
      <c r="O5" s="3" t="s">
        <v>29</v>
      </c>
      <c r="P5" s="2" t="s">
        <v>23</v>
      </c>
    </row>
    <row r="6" customFormat="false" ht="46.25" hidden="false" customHeight="false" outlineLevel="0" collapsed="false">
      <c r="A6" s="2" t="n">
        <v>5</v>
      </c>
      <c r="B6" s="2"/>
      <c r="C6" s="2" t="s">
        <v>37</v>
      </c>
      <c r="D6" s="2" t="s">
        <v>25</v>
      </c>
      <c r="E6" s="3" t="s">
        <v>18</v>
      </c>
      <c r="F6" s="2" t="n">
        <v>4</v>
      </c>
      <c r="G6" s="6" t="n">
        <v>3</v>
      </c>
      <c r="H6" s="6" t="s">
        <v>26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12</v>
      </c>
      <c r="M6" s="3" t="s">
        <v>38</v>
      </c>
      <c r="N6" s="3" t="s">
        <v>39</v>
      </c>
      <c r="O6" s="3" t="s">
        <v>40</v>
      </c>
      <c r="P6" s="2" t="s">
        <v>23</v>
      </c>
    </row>
    <row r="7" customFormat="false" ht="46.25" hidden="false" customHeight="false" outlineLevel="0" collapsed="false">
      <c r="A7" s="2" t="n">
        <v>6</v>
      </c>
      <c r="B7" s="2"/>
      <c r="C7" s="2" t="s">
        <v>41</v>
      </c>
      <c r="D7" s="2" t="s">
        <v>25</v>
      </c>
      <c r="E7" s="3" t="s">
        <v>18</v>
      </c>
      <c r="F7" s="2" t="n">
        <v>4</v>
      </c>
      <c r="G7" s="4" t="n">
        <v>2</v>
      </c>
      <c r="H7" s="4" t="s">
        <v>19</v>
      </c>
      <c r="I7" s="5" t="n">
        <v>0</v>
      </c>
      <c r="J7" s="5" t="n">
        <v>0</v>
      </c>
      <c r="K7" s="5" t="n">
        <f aca="false">MIN(5,MAX(G7+I7,J7))</f>
        <v>2</v>
      </c>
      <c r="L7" s="5" t="n">
        <f aca="false">F7*K7</f>
        <v>8</v>
      </c>
      <c r="M7" s="3" t="s">
        <v>42</v>
      </c>
      <c r="N7" s="3" t="s">
        <v>43</v>
      </c>
      <c r="O7" s="3" t="s">
        <v>44</v>
      </c>
      <c r="P7" s="2" t="s">
        <v>23</v>
      </c>
    </row>
    <row r="8" customFormat="false" ht="46.25" hidden="false" customHeight="false" outlineLevel="0" collapsed="false">
      <c r="A8" s="2" t="n">
        <v>7</v>
      </c>
      <c r="B8" s="2"/>
      <c r="C8" s="2" t="s">
        <v>45</v>
      </c>
      <c r="D8" s="2" t="s">
        <v>25</v>
      </c>
      <c r="E8" s="3" t="s">
        <v>18</v>
      </c>
      <c r="F8" s="2" t="n">
        <v>4</v>
      </c>
      <c r="G8" s="4" t="n">
        <v>2</v>
      </c>
      <c r="H8" s="4" t="s">
        <v>19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46</v>
      </c>
      <c r="N8" s="3" t="s">
        <v>47</v>
      </c>
      <c r="O8" s="3" t="s">
        <v>48</v>
      </c>
      <c r="P8" s="2" t="s">
        <v>49</v>
      </c>
    </row>
    <row r="9" customFormat="false" ht="35.05" hidden="false" customHeight="false" outlineLevel="0" collapsed="false">
      <c r="A9" s="2" t="n">
        <v>8</v>
      </c>
      <c r="B9" s="2"/>
      <c r="C9" s="2" t="s">
        <v>50</v>
      </c>
      <c r="D9" s="2" t="s">
        <v>25</v>
      </c>
      <c r="E9" s="3" t="s">
        <v>18</v>
      </c>
      <c r="F9" s="2" t="n">
        <v>4</v>
      </c>
      <c r="G9" s="4" t="n">
        <v>2</v>
      </c>
      <c r="H9" s="4" t="s">
        <v>19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51</v>
      </c>
      <c r="N9" s="3" t="s">
        <v>52</v>
      </c>
      <c r="O9" s="3" t="s">
        <v>53</v>
      </c>
      <c r="P9" s="2" t="s">
        <v>23</v>
      </c>
    </row>
    <row r="10" customFormat="false" ht="35.05" hidden="false" customHeight="false" outlineLevel="0" collapsed="false">
      <c r="A10" s="2" t="n">
        <v>9</v>
      </c>
      <c r="B10" s="2"/>
      <c r="C10" s="2" t="s">
        <v>54</v>
      </c>
      <c r="D10" s="2" t="s">
        <v>25</v>
      </c>
      <c r="E10" s="3" t="s">
        <v>18</v>
      </c>
      <c r="F10" s="2" t="n">
        <v>4</v>
      </c>
      <c r="G10" s="6" t="n">
        <v>3</v>
      </c>
      <c r="H10" s="6" t="s">
        <v>26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55</v>
      </c>
      <c r="N10" s="3" t="s">
        <v>56</v>
      </c>
      <c r="O10" s="3" t="s">
        <v>57</v>
      </c>
      <c r="P10" s="2" t="s">
        <v>23</v>
      </c>
    </row>
    <row r="11" customFormat="false" ht="35.05" hidden="false" customHeight="false" outlineLevel="0" collapsed="false">
      <c r="A11" s="2" t="n">
        <v>10</v>
      </c>
      <c r="B11" s="2"/>
      <c r="C11" s="2" t="s">
        <v>58</v>
      </c>
      <c r="D11" s="2" t="s">
        <v>25</v>
      </c>
      <c r="E11" s="3" t="s">
        <v>18</v>
      </c>
      <c r="F11" s="2" t="n">
        <v>4</v>
      </c>
      <c r="G11" s="4" t="n">
        <v>2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59</v>
      </c>
      <c r="N11" s="3" t="s">
        <v>60</v>
      </c>
      <c r="O11" s="3" t="s">
        <v>53</v>
      </c>
      <c r="P11" s="2" t="s">
        <v>49</v>
      </c>
    </row>
    <row r="12" customFormat="false" ht="46.25" hidden="false" customHeight="false" outlineLevel="0" collapsed="false">
      <c r="A12" s="2" t="n">
        <v>11</v>
      </c>
      <c r="B12" s="2"/>
      <c r="C12" s="2" t="s">
        <v>61</v>
      </c>
      <c r="D12" s="2" t="s">
        <v>25</v>
      </c>
      <c r="E12" s="3" t="s">
        <v>18</v>
      </c>
      <c r="F12" s="2" t="n">
        <v>4</v>
      </c>
      <c r="G12" s="6" t="n">
        <v>3</v>
      </c>
      <c r="H12" s="6" t="s">
        <v>26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62</v>
      </c>
      <c r="N12" s="3" t="s">
        <v>63</v>
      </c>
      <c r="O12" s="3" t="s">
        <v>33</v>
      </c>
      <c r="P12" s="2" t="s">
        <v>23</v>
      </c>
    </row>
    <row r="13" customFormat="false" ht="46.25" hidden="false" customHeight="false" outlineLevel="0" collapsed="false">
      <c r="A13" s="2" t="n">
        <v>12</v>
      </c>
      <c r="B13" s="2"/>
      <c r="C13" s="2" t="s">
        <v>64</v>
      </c>
      <c r="D13" s="2" t="s">
        <v>25</v>
      </c>
      <c r="E13" s="3" t="s">
        <v>18</v>
      </c>
      <c r="F13" s="2" t="n">
        <v>4</v>
      </c>
      <c r="G13" s="4" t="n">
        <v>2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2</v>
      </c>
      <c r="L13" s="5" t="n">
        <f aca="false">F13*K13</f>
        <v>8</v>
      </c>
      <c r="M13" s="3" t="s">
        <v>65</v>
      </c>
      <c r="N13" s="3" t="s">
        <v>66</v>
      </c>
      <c r="O13" s="3" t="s">
        <v>40</v>
      </c>
      <c r="P13" s="2" t="s">
        <v>23</v>
      </c>
    </row>
    <row r="14" customFormat="false" ht="46.25" hidden="false" customHeight="false" outlineLevel="0" collapsed="false">
      <c r="A14" s="2" t="n">
        <v>13</v>
      </c>
      <c r="B14" s="2"/>
      <c r="C14" s="2" t="s">
        <v>67</v>
      </c>
      <c r="D14" s="2" t="s">
        <v>25</v>
      </c>
      <c r="E14" s="3" t="s">
        <v>18</v>
      </c>
      <c r="F14" s="2" t="n">
        <v>4</v>
      </c>
      <c r="G14" s="6" t="n">
        <v>3</v>
      </c>
      <c r="H14" s="6" t="s">
        <v>26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68</v>
      </c>
      <c r="N14" s="3" t="s">
        <v>69</v>
      </c>
      <c r="O14" s="3" t="s">
        <v>70</v>
      </c>
      <c r="P14" s="2" t="s">
        <v>23</v>
      </c>
    </row>
    <row r="15" customFormat="false" ht="46.25" hidden="false" customHeight="false" outlineLevel="0" collapsed="false">
      <c r="A15" s="2" t="n">
        <v>14</v>
      </c>
      <c r="B15" s="2"/>
      <c r="C15" s="2" t="s">
        <v>71</v>
      </c>
      <c r="D15" s="2" t="s">
        <v>25</v>
      </c>
      <c r="E15" s="3" t="s">
        <v>18</v>
      </c>
      <c r="F15" s="2" t="n">
        <v>4</v>
      </c>
      <c r="G15" s="4" t="n">
        <v>2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72</v>
      </c>
      <c r="N15" s="3" t="s">
        <v>73</v>
      </c>
      <c r="O15" s="3" t="s">
        <v>44</v>
      </c>
      <c r="P15" s="2" t="s">
        <v>23</v>
      </c>
    </row>
    <row r="17" customFormat="false" ht="15" hidden="false" customHeight="false" outlineLevel="0" collapsed="false">
      <c r="A17" s="7" t="s">
        <v>74</v>
      </c>
    </row>
  </sheetData>
  <autoFilter ref="A1:P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75</v>
      </c>
    </row>
    <row r="2" customFormat="false" ht="15" hidden="false" customHeight="false" outlineLevel="0" collapsed="false">
      <c r="A2" s="7" t="s">
        <v>76</v>
      </c>
    </row>
    <row r="4" customFormat="false" ht="15" hidden="false" customHeight="false" outlineLevel="0" collapsed="false">
      <c r="A4" s="1" t="s">
        <v>6</v>
      </c>
      <c r="B4" s="1" t="s">
        <v>77</v>
      </c>
      <c r="C4" s="1" t="s">
        <v>78</v>
      </c>
      <c r="D4" s="1" t="s">
        <v>5</v>
      </c>
      <c r="E4" s="1" t="s">
        <v>79</v>
      </c>
    </row>
    <row r="5" customFormat="false" ht="15" hidden="false" customHeight="false" outlineLevel="0" collapsed="false">
      <c r="A5" s="9" t="n">
        <v>0</v>
      </c>
      <c r="B5" s="9" t="s">
        <v>80</v>
      </c>
      <c r="C5" s="9" t="n">
        <f aca="false">COUNTIF(Evaluation!$G$2:$G$15,A5)</f>
        <v>0</v>
      </c>
      <c r="D5" s="9" t="n">
        <f aca="false">SUMIF(Evaluation!$G$2:$G$15,A5,Evaluation!$F$2:$F$15)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81</v>
      </c>
      <c r="C6" s="11" t="n">
        <f aca="false">COUNTIF(Evaluation!$G$2:$G$15,A6)</f>
        <v>0</v>
      </c>
      <c r="D6" s="11" t="n">
        <f aca="false">SUMIF(Evaluation!$G$2:$G$15,A6,Evaluation!$F$2:$F$15)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COUNTIF(Evaluation!$G$2:$G$15,A7)</f>
        <v>7</v>
      </c>
      <c r="D7" s="13" t="n">
        <f aca="false">SUMIF(Evaluation!$G$2:$G$15,A7,Evaluation!$F$2:$F$15)</f>
        <v>27</v>
      </c>
      <c r="E7" s="14" t="n">
        <f aca="false">IF(SUM($D$5:$D$10)=0,0,D7/SUM($D$5:$D$10))</f>
        <v>0.490909090909091</v>
      </c>
    </row>
    <row r="8" customFormat="false" ht="15" hidden="false" customHeight="false" outlineLevel="0" collapsed="false">
      <c r="A8" s="15" t="n">
        <v>3</v>
      </c>
      <c r="B8" s="15" t="s">
        <v>26</v>
      </c>
      <c r="C8" s="15" t="n">
        <f aca="false">COUNTIF(Evaluation!$G$2:$G$15,A8)</f>
        <v>7</v>
      </c>
      <c r="D8" s="15" t="n">
        <f aca="false">SUMIF(Evaluation!$G$2:$G$15,A8,Evaluation!$F$2:$F$15)</f>
        <v>28</v>
      </c>
      <c r="E8" s="16" t="n">
        <f aca="false">IF(SUM($D$5:$D$10)=0,0,D8/SUM($D$5:$D$10))</f>
        <v>0.509090909090909</v>
      </c>
    </row>
    <row r="9" customFormat="false" ht="15" hidden="false" customHeight="false" outlineLevel="0" collapsed="false">
      <c r="A9" s="17" t="n">
        <v>4</v>
      </c>
      <c r="B9" s="17" t="s">
        <v>82</v>
      </c>
      <c r="C9" s="17" t="n">
        <f aca="false">COUNTIF(Evaluation!$G$2:$G$15,A9)</f>
        <v>0</v>
      </c>
      <c r="D9" s="17" t="n">
        <f aca="false">SUMIF(Evaluation!$G$2:$G$15,A9,Evaluation!$F$2:$F$15)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83</v>
      </c>
      <c r="C10" s="19" t="n">
        <f aca="false">COUNTIF(Evaluation!$G$2:$G$15,A10)</f>
        <v>0</v>
      </c>
      <c r="D10" s="19" t="n">
        <f aca="false">SUMIF(Evaluation!$G$2:$G$15,A10,Evaluation!$F$2:$F$15)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84</v>
      </c>
      <c r="C11" s="21" t="n">
        <f aca="false">SUM(C5:C10)</f>
        <v>14</v>
      </c>
      <c r="D11" s="21" t="n">
        <f aca="false">SUM(D5:D10)</f>
        <v>55</v>
      </c>
    </row>
    <row r="13" customFormat="false" ht="46.25" hidden="false" customHeight="false" outlineLevel="0" collapsed="false">
      <c r="A13" s="1" t="s">
        <v>85</v>
      </c>
      <c r="B13" s="1" t="s">
        <v>86</v>
      </c>
      <c r="C13" s="1" t="s">
        <v>87</v>
      </c>
      <c r="D13" s="1" t="s">
        <v>5</v>
      </c>
      <c r="E13" s="1" t="s">
        <v>88</v>
      </c>
    </row>
    <row r="14" customFormat="false" ht="15" hidden="false" customHeight="false" outlineLevel="0" collapsed="false">
      <c r="A14" s="21" t="s">
        <v>89</v>
      </c>
      <c r="B14" s="22" t="n">
        <f aca="false">SUM(Evaluation!$L$2:$L$15)/SUM(Evaluation!$F$2:$F$15)</f>
        <v>2.50909090909091</v>
      </c>
      <c r="C14" s="22" t="n">
        <f aca="false">SUMPRODUCT(Evaluation!$F$2:$F$15,Evaluation!$G$2:$G$15)/SUM(Evaluation!$F$2:$F$15)</f>
        <v>2.50909090909091</v>
      </c>
      <c r="D14" s="21" t="n">
        <f aca="false">SUM(Evaluation!$F$2:$F$15)</f>
        <v>55</v>
      </c>
      <c r="E14" s="22" t="n">
        <f aca="false">AVERAGE(Evaluation!$G$2:$G$15)</f>
        <v>2.5</v>
      </c>
    </row>
    <row r="16" customFormat="false" ht="15" hidden="false" customHeight="false" outlineLevel="0" collapsed="false">
      <c r="A16" s="7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91</v>
      </c>
    </row>
    <row r="3" customFormat="false" ht="23.85" hidden="false" customHeight="false" outlineLevel="0" collapsed="false">
      <c r="A3" s="1" t="s">
        <v>92</v>
      </c>
      <c r="B3" s="1" t="s">
        <v>93</v>
      </c>
      <c r="C3" s="1" t="s">
        <v>88</v>
      </c>
      <c r="D3" s="1" t="s">
        <v>94</v>
      </c>
      <c r="E3" s="1" t="s">
        <v>95</v>
      </c>
      <c r="F3" s="1" t="s">
        <v>96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97</v>
      </c>
      <c r="B9" s="22" t="n">
        <f aca="false">Summary!B14</f>
        <v>2.50909090909091</v>
      </c>
      <c r="C9" s="22" t="n">
        <f aca="false">Summary!E14</f>
        <v>2.5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2026-10-18T19:07:29Z</dcterms:created>
  <dc:creator>openpyxl</dc:creator>
  <dc:description/>
  <dc:language>en-US</dc:language>
  <cp:lastModifiedBy/>
  <dcterms:modified xsi:type="dcterms:W3CDTF">2026-10-18T19:07:29Z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