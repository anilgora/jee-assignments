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<sst xmlns="http://schemas.openxmlformats.org/spreadsheetml/2006/main" count="207" uniqueCount="122">
  <si>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</si>
  <si>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</si>
  <si>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</si>
  <si>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</si>
  <si>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</si>
  <si>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</si>
  <si>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</si>
  <si>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</si>
  <si>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</si>
  <si>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</si>
  <si>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</si>
  <si>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</si>
  <si>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</si>
  <si>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</si>
  <si>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</si>
  <si>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</si>
  <si>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</si>
  <si>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</si>
  <si>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Parabola</t>
  </si>
  <si>
    <t xml:space="preserve">Average Advanced</t>
  </si>
  <si>
    <t xml:space="preserve">Linking the slope of AQ to tan(theta/2) of the eccentric angle, then bounding 4t/(t^2+2) by AM-GM and using that 2cos(theta) decreases in tan^2(theta/2).</t>
  </si>
  <si>
    <t xml:space="preserve">Two parametric descriptions must be linked through the half-angle slope and then an extremum found; neither step is a single formula, and the monotonicity argument is easy to get backwards. Comparable to 2025-P2-Q7 (L3), which links ellipse points to angles, and above the routine parametric chain of 2026-P2-Q2 (L2).</t>
  </si>
  <si>
    <t xml:space="preserve">2025-P2-Q7 (L3)</t>
  </si>
  <si>
    <t xml:space="preserve">Medium</t>
  </si>
  <si>
    <t xml:space="preserve">Q02</t>
  </si>
  <si>
    <t xml:space="preserve">Easier than Advanced</t>
  </si>
  <si>
    <t xml:space="preserve">Turning orthogonality into 'the parabola's tangent at P passes through the centre', then the parametric tangent.</t>
  </si>
  <si>
    <t xml:space="preserve">A short chain of three routine steps (orthogonality condition, parametric tangent through a point, distance) with no real insight. Same kind of demand as 2026-P2-Q17 (L2, angle between tangents of two conics) and 2026-P2-Q2 (L2).</t>
  </si>
  <si>
    <t xml:space="preserve">2026-P2-Q17 (L2)</t>
  </si>
  <si>
    <t xml:space="preserve">High</t>
  </si>
  <si>
    <t xml:space="preserve">Q03</t>
  </si>
  <si>
    <t xml:space="preserve">Writing the normal through A and seeing the cubic has the single real root t = 2.</t>
  </si>
  <si>
    <t xml:space="preserve">Routine three-step chain (normal through a point, solve a cubic with an obvious root, area by coordinates). Matches the demand of 2023-P1-Q7 (L2, normal and triangle with the focus).</t>
  </si>
  <si>
    <t xml:space="preserve">2023-P1-Q7 (L2)</t>
  </si>
  <si>
    <t xml:space="preserve">Q04</t>
  </si>
  <si>
    <t xml:space="preserve">Numerical</t>
  </si>
  <si>
    <t xml:space="preserve">Seeing that only distances matter: 2a from focus-directrix distance and the chord's distance 9 from the vertex, then Archimedes.</t>
  </si>
  <si>
    <t xml:space="preserve">Two linked ideas (reading the parabola's elements from a rotated focus-directrix description, and the 2/3 segment rule) in numerical format; a student who expands the second-degree equation faces heavy algebra. Between the routine area anchor 2024-P2-Q2 (L2) and the chord-area locus 2025-P2-Q6 (L4).</t>
  </si>
  <si>
    <t xml:space="preserve">2024-P2-Q2 (L2)</t>
  </si>
  <si>
    <t xml:space="preserve">Q05</t>
  </si>
  <si>
    <t xml:space="preserve">Building y^2 = 12x from the ellipse's centre and focus, then combining the focal distance x + a with PS1 + PS2 = 2a.</t>
  </si>
  <si>
    <t xml:space="preserve">A routine chain of standard results (ellipse foci, parabola from vertex and focus, intersection, two focal-distance properties) with no insight. Same level as the conic chain 2021-P2-Q18 (L2) and 2026-P2-Q17 (L2).</t>
  </si>
  <si>
    <t xml:space="preserve">2021-P2-Q18 (L2)</t>
  </si>
  <si>
    <t xml:space="preserve">Q06</t>
  </si>
  <si>
    <t xml:space="preserve">Fixing H from e and the directrix distance, building C from mixed focus/directrix, and rejecting the spurious root while counting both symmetric points.</t>
  </si>
  <si>
    <t xml:space="preserve">Several standard stages chained (hyperbola from e and directrices, parabola from focus-directrix, intersection) with a trap at the end, in numerical format with no options. Comparable to 2026-P2-Q13 (L3), a numerical question combining hyperbola elements with a parabola.</t>
  </si>
  <si>
    <t xml:space="preserve">2026-P2-Q13 (L3)</t>
  </si>
  <si>
    <t xml:space="preserve">Q07</t>
  </si>
  <si>
    <t xml:space="preserve">Locating V and L from focus and directrix and writing the diametric circle.</t>
  </si>
  <si>
    <t xml:space="preserve">Routine chain: elements of a shifted parabola, diametric form of a circle, product of roots. Like 2026-P1-Q2 (L2), which builds a circle from points obtained on conics; above the one-step circle anchor 2024-P1-Q15 (L1).</t>
  </si>
  <si>
    <t xml:space="preserve">2026-P1-Q2 (L2)</t>
  </si>
  <si>
    <t xml:space="preserve">Q08</t>
  </si>
  <si>
    <t xml:space="preserve">Reading the ellipse's axes from the shifted form and seeing that (1, 3) is the parabola's vertex.</t>
  </si>
  <si>
    <t xml:space="preserve">Routine chain of shifted-form reductions with no insight beyond a symmetry; standard result chaining like 2026-P2-Q17 (L2) and 2021-P2-Q18 (L2).</t>
  </si>
  <si>
    <t xml:space="preserve">Q09</t>
  </si>
  <si>
    <t xml:space="preserve">Expressing the segment area through y2 - y1 and minimising the quadratic 144[(m-1)^2 + 4].</t>
  </si>
  <si>
    <t xml:space="preserve">Two linked ideas (segment area as a function of the chord, and an optimisation over the chord family) in numerical format. Lighter than the chord-area locus 2025-P2-Q6 (L4) but clearly above the routine area anchor 2024-P2-Q2 (L2).</t>
  </si>
  <si>
    <t xml:space="preserve">2025-P2-Q6 (L4)</t>
  </si>
  <si>
    <t xml:space="preserve">Q10</t>
  </si>
  <si>
    <t xml:space="preserve">Combining the two quadratic conditions into a union of two intervals and noticing that 0 is excluded.</t>
  </si>
  <si>
    <t xml:space="preserve">Two position conditions must be set up and intersected, with irrational bounds that have to be located between integers and a gap that removes 0; numerical answer with no options. Similar in demand to 2023-P1-Q6 (L3), which also combines position relative to an ellipse and a parabola.</t>
  </si>
  <si>
    <t xml:space="preserve">2023-P1-Q6 (L3)</t>
  </si>
  <si>
    <t xml:space="preserve">Q11</t>
  </si>
  <si>
    <t xml:space="preserve">Matching the cubic's tangent y = 3s^2 x - 2s^3 with the slope-form condition c = 6/m to get s^5 = -1.</t>
  </si>
  <si>
    <t xml:space="preserve">Two linked ideas (tangent to a non-conic curve, tangency condition for the parabola) and a meet-again factorisation, in numerical format. Comparable to the common-tangent anchor 2023-P1-Q2 (L3).</t>
  </si>
  <si>
    <t xml:space="preserve">2023-P1-Q2 (L3)</t>
  </si>
  <si>
    <t xml:space="preserve">Q12</t>
  </si>
  <si>
    <t xml:space="preserve">Writing the curved region as triangle minus Archimedes segment, a^2 D^3/6, and solving |t + 1/t| = 10/3.</t>
  </si>
  <si>
    <t xml:space="preserve">Two linked results (tangent-triangle area and Archimedes' segment) used in reverse, with a sign decision at the end, in numerical format. Comparable to the parabola area anchor 2025-P2-Q6 (L4) but more standard, and above 2024-P2-Q7 (L2); average Advanced.</t>
  </si>
  <si>
    <t xml:space="preserve">Q13</t>
  </si>
  <si>
    <t xml:space="preserve">Seeing that a tangent and a normal at the same point are perpendicular tangents of the parabola, so the point lies on its directrix.</t>
  </si>
  <si>
    <t xml:space="preserve">Two linked ideas (perpendicular tangents meet on the directrix; tangency condition c = a/m) give a short route, but the first idea is not prompted, and direct algebra without it is long; numerical answer. Comparable to the ellipse-parabola tangent anchor 2023-P1-Q2 (L3).</t>
  </si>
  <si>
    <t xml:space="preserve">Q14</t>
  </si>
  <si>
    <t xml:space="preserve">Recognising the inflection normal as the parabola's normal at t = 1/2 and following it to t' = -9/2.</t>
  </si>
  <si>
    <t xml:space="preserve">A chain of several standard stages across two chapters (inflection point, normal to a curve, identification as a parabola normal, meet-again point, area) with no options. More than the single-step normal anchor 2023-P1-Q7 (L2), below the non-routine normal question 2024-P2-Q12 (L4).</t>
  </si>
  <si>
    <t xml:space="preserve">Q15</t>
  </si>
  <si>
    <t xml:space="preserve">Reading t1 t2 and t1 + t2 from T, then using the zero sum and the pairwise-product relation of the co-normal cubic.</t>
  </si>
  <si>
    <t xml:space="preserve">Two standard ideas linked in reverse (tangent intersection and co-normal Vieta relations), numerical answer, no heavy computation. Average Advanced, like the parabola tangent/normal chain 2024-P2-Q7 (L2) plus one more genuine link.</t>
  </si>
  <si>
    <t xml:space="preserve">2024-P2-Q7 (L2)</t>
  </si>
  <si>
    <t xml:space="preserve">Q16</t>
  </si>
  <si>
    <t xml:space="preserve">Reducing 'three normals' to three distinct real roots of t^3 - ut - u and using the product of the extreme values.</t>
  </si>
  <si>
    <t xml:space="preserve">Two linked ideas (co-normal cubic, root analysis by derivatives) with a parameter in two coefficients; numerical answer with a boundary to handle. Comparable to the root-counting anchor 2023-P2-Q7 (L3) and to 2026-P1-Q1 (L3).</t>
  </si>
  <si>
    <t xml:space="preserve">2026-P1-Q1 (L3)</t>
  </si>
  <si>
    <t xml:space="preserve">Q17</t>
  </si>
  <si>
    <t xml:space="preserve">Using 'perpendicular tangents meet on the directrix' for alpha and the chord of contact T = 0 for beta.</t>
  </si>
  <si>
    <t xml:space="preserve">Two standard results applied once each after completing the square; routine multi-step with no insight. Like 2026-P2-Q2 (L2, perpendicular tangents of a parabola).</t>
  </si>
  <si>
    <t xml:space="preserve">2026-P2-Q2 (L2)</t>
  </si>
  <si>
    <t xml:space="preserve">Q18</t>
  </si>
  <si>
    <t xml:space="preserve">Writing both polars, applying the two tangency conditions and rejecting h = 4.</t>
  </si>
  <si>
    <t xml:space="preserve">Two linked conditions on polars with respect to two different conics, each needing the right tangency condition, and a root to reject; numerical. Comparable in demand to the ellipse-parabola tangent anchor 2023-P1-Q2 (L3).</t>
  </si>
  <si>
    <t xml:space="preserve">Q19</t>
  </si>
  <si>
    <t xml:space="preserve">Using the reflection property to make PQ a focal chord, then seeing that the tangents and normals at P and Q form a rectangle.</t>
  </si>
  <si>
    <t xml:space="preserve">Two linked ideas (reflection property, perpendicular tangents at the ends of a focal chord) followed by a short computation; numerical. Above the routine perpendicular-tangent anchor 2026-P2-Q2 (L2) by one genuine link.</t>
  </si>
  <si>
    <t xml:space="preserve">Q20</t>
  </si>
  <si>
    <t xml:space="preserve">Equating the axis intercepts of the two normals at the contact point (subnormal 1 and e^2 x1).</t>
  </si>
  <si>
    <t xml:space="preserve">Routine: two standard properties (or a discriminant) and a substitution, three short steps. Like 2024-P1-Q4 (L2) and 2021-P2-Q18 (L2) among conic anchors.</t>
  </si>
  <si>
    <t xml:space="preserve">2024-P1-Q4 (L2)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</si>
  <si>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</si>
  <si>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</si>
  <si>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Parabola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</si>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</sst>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7.4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35.0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6" t="n">
        <v>2</v>
      </c>
      <c r="H4" s="6" t="s">
        <v>25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31</v>
      </c>
      <c r="N4" s="3" t="s">
        <v>32</v>
      </c>
      <c r="O4" s="3" t="s">
        <v>33</v>
      </c>
      <c r="P4" s="2" t="s">
        <v>29</v>
      </c>
    </row>
    <row r="5" customFormat="false" ht="57.45" hidden="false" customHeight="false" outlineLevel="0" collapsed="false">
      <c r="A5" s="2" t="n">
        <v>4</v>
      </c>
      <c r="B5" s="2"/>
      <c r="C5" s="2" t="s">
        <v>34</v>
      </c>
      <c r="D5" s="2" t="s">
        <v>35</v>
      </c>
      <c r="E5" s="3" t="s">
        <v>18</v>
      </c>
      <c r="F5" s="2" t="n">
        <v>4</v>
      </c>
      <c r="G5" s="4" t="n">
        <v>3</v>
      </c>
      <c r="H5" s="4" t="s">
        <v>19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36</v>
      </c>
      <c r="N5" s="3" t="s">
        <v>37</v>
      </c>
      <c r="O5" s="3" t="s">
        <v>38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39</v>
      </c>
      <c r="D6" s="2" t="s">
        <v>35</v>
      </c>
      <c r="E6" s="3" t="s">
        <v>18</v>
      </c>
      <c r="F6" s="2" t="n">
        <v>4</v>
      </c>
      <c r="G6" s="6" t="n">
        <v>2</v>
      </c>
      <c r="H6" s="6" t="s">
        <v>25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40</v>
      </c>
      <c r="N6" s="3" t="s">
        <v>41</v>
      </c>
      <c r="O6" s="3" t="s">
        <v>42</v>
      </c>
      <c r="P6" s="2" t="s">
        <v>29</v>
      </c>
    </row>
    <row r="7" customFormat="false" ht="46.25" hidden="false" customHeight="false" outlineLevel="0" collapsed="false">
      <c r="A7" s="2" t="n">
        <v>6</v>
      </c>
      <c r="B7" s="2"/>
      <c r="C7" s="2" t="s">
        <v>43</v>
      </c>
      <c r="D7" s="2" t="s">
        <v>35</v>
      </c>
      <c r="E7" s="3" t="s">
        <v>18</v>
      </c>
      <c r="F7" s="2" t="n">
        <v>4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44</v>
      </c>
      <c r="N7" s="3" t="s">
        <v>45</v>
      </c>
      <c r="O7" s="3" t="s">
        <v>46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47</v>
      </c>
      <c r="D8" s="2" t="s">
        <v>35</v>
      </c>
      <c r="E8" s="3" t="s">
        <v>18</v>
      </c>
      <c r="F8" s="2" t="n">
        <v>4</v>
      </c>
      <c r="G8" s="6" t="n">
        <v>2</v>
      </c>
      <c r="H8" s="6" t="s">
        <v>25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48</v>
      </c>
      <c r="N8" s="3" t="s">
        <v>49</v>
      </c>
      <c r="O8" s="3" t="s">
        <v>50</v>
      </c>
      <c r="P8" s="2" t="s">
        <v>29</v>
      </c>
    </row>
    <row r="9" customFormat="false" ht="35.05" hidden="false" customHeight="false" outlineLevel="0" collapsed="false">
      <c r="A9" s="2" t="n">
        <v>8</v>
      </c>
      <c r="B9" s="2"/>
      <c r="C9" s="2" t="s">
        <v>51</v>
      </c>
      <c r="D9" s="2" t="s">
        <v>35</v>
      </c>
      <c r="E9" s="3" t="s">
        <v>18</v>
      </c>
      <c r="F9" s="2" t="n">
        <v>4</v>
      </c>
      <c r="G9" s="6" t="n">
        <v>2</v>
      </c>
      <c r="H9" s="6" t="s">
        <v>25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52</v>
      </c>
      <c r="N9" s="3" t="s">
        <v>53</v>
      </c>
      <c r="O9" s="3" t="s">
        <v>28</v>
      </c>
      <c r="P9" s="2" t="s">
        <v>29</v>
      </c>
    </row>
    <row r="10" customFormat="false" ht="46.25" hidden="false" customHeight="false" outlineLevel="0" collapsed="false">
      <c r="A10" s="2" t="n">
        <v>9</v>
      </c>
      <c r="B10" s="2"/>
      <c r="C10" s="2" t="s">
        <v>54</v>
      </c>
      <c r="D10" s="2" t="s">
        <v>35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55</v>
      </c>
      <c r="N10" s="3" t="s">
        <v>56</v>
      </c>
      <c r="O10" s="3" t="s">
        <v>57</v>
      </c>
      <c r="P10" s="2" t="s">
        <v>23</v>
      </c>
    </row>
    <row r="11" customFormat="false" ht="46.25" hidden="false" customHeight="false" outlineLevel="0" collapsed="false">
      <c r="A11" s="2" t="n">
        <v>10</v>
      </c>
      <c r="B11" s="2"/>
      <c r="C11" s="2" t="s">
        <v>58</v>
      </c>
      <c r="D11" s="2" t="s">
        <v>35</v>
      </c>
      <c r="E11" s="3" t="s">
        <v>18</v>
      </c>
      <c r="F11" s="2" t="n">
        <v>4</v>
      </c>
      <c r="G11" s="4" t="n">
        <v>3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59</v>
      </c>
      <c r="N11" s="3" t="s">
        <v>60</v>
      </c>
      <c r="O11" s="3" t="s">
        <v>61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62</v>
      </c>
      <c r="D12" s="2" t="s">
        <v>35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63</v>
      </c>
      <c r="N12" s="3" t="s">
        <v>64</v>
      </c>
      <c r="O12" s="3" t="s">
        <v>65</v>
      </c>
      <c r="P12" s="2" t="s">
        <v>23</v>
      </c>
    </row>
    <row r="13" customFormat="false" ht="46.25" hidden="false" customHeight="false" outlineLevel="0" collapsed="false">
      <c r="A13" s="2" t="n">
        <v>12</v>
      </c>
      <c r="B13" s="2"/>
      <c r="C13" s="2" t="s">
        <v>66</v>
      </c>
      <c r="D13" s="2" t="s">
        <v>35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67</v>
      </c>
      <c r="N13" s="3" t="s">
        <v>68</v>
      </c>
      <c r="O13" s="3" t="s">
        <v>57</v>
      </c>
      <c r="P13" s="2" t="s">
        <v>23</v>
      </c>
    </row>
    <row r="14" customFormat="false" ht="46.25" hidden="false" customHeight="false" outlineLevel="0" collapsed="false">
      <c r="A14" s="2" t="n">
        <v>13</v>
      </c>
      <c r="B14" s="2"/>
      <c r="C14" s="2" t="s">
        <v>69</v>
      </c>
      <c r="D14" s="2" t="s">
        <v>35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70</v>
      </c>
      <c r="N14" s="3" t="s">
        <v>71</v>
      </c>
      <c r="O14" s="3" t="s">
        <v>65</v>
      </c>
      <c r="P14" s="2" t="s">
        <v>23</v>
      </c>
    </row>
    <row r="15" customFormat="false" ht="46.25" hidden="false" customHeight="false" outlineLevel="0" collapsed="false">
      <c r="A15" s="2" t="n">
        <v>14</v>
      </c>
      <c r="B15" s="2"/>
      <c r="C15" s="2" t="s">
        <v>72</v>
      </c>
      <c r="D15" s="2" t="s">
        <v>35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73</v>
      </c>
      <c r="N15" s="3" t="s">
        <v>74</v>
      </c>
      <c r="O15" s="3" t="s">
        <v>33</v>
      </c>
      <c r="P15" s="2" t="s">
        <v>23</v>
      </c>
    </row>
    <row r="16" customFormat="false" ht="46.25" hidden="false" customHeight="false" outlineLevel="0" collapsed="false">
      <c r="A16" s="2" t="n">
        <v>15</v>
      </c>
      <c r="B16" s="2"/>
      <c r="C16" s="2" t="s">
        <v>75</v>
      </c>
      <c r="D16" s="2" t="s">
        <v>35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76</v>
      </c>
      <c r="N16" s="3" t="s">
        <v>77</v>
      </c>
      <c r="O16" s="3" t="s">
        <v>78</v>
      </c>
      <c r="P16" s="2" t="s">
        <v>23</v>
      </c>
    </row>
    <row r="17" customFormat="false" ht="46.25" hidden="false" customHeight="false" outlineLevel="0" collapsed="false">
      <c r="A17" s="2" t="n">
        <v>16</v>
      </c>
      <c r="B17" s="2"/>
      <c r="C17" s="2" t="s">
        <v>79</v>
      </c>
      <c r="D17" s="2" t="s">
        <v>35</v>
      </c>
      <c r="E17" s="3" t="s">
        <v>18</v>
      </c>
      <c r="F17" s="2" t="n">
        <v>4</v>
      </c>
      <c r="G17" s="4" t="n">
        <v>3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80</v>
      </c>
      <c r="N17" s="3" t="s">
        <v>81</v>
      </c>
      <c r="O17" s="3" t="s">
        <v>82</v>
      </c>
      <c r="P17" s="2" t="s">
        <v>23</v>
      </c>
    </row>
    <row r="18" customFormat="false" ht="35.05" hidden="false" customHeight="false" outlineLevel="0" collapsed="false">
      <c r="A18" s="2" t="n">
        <v>17</v>
      </c>
      <c r="B18" s="2"/>
      <c r="C18" s="2" t="s">
        <v>83</v>
      </c>
      <c r="D18" s="2" t="s">
        <v>35</v>
      </c>
      <c r="E18" s="3" t="s">
        <v>18</v>
      </c>
      <c r="F18" s="2" t="n">
        <v>4</v>
      </c>
      <c r="G18" s="6" t="n">
        <v>2</v>
      </c>
      <c r="H18" s="6" t="s">
        <v>25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84</v>
      </c>
      <c r="N18" s="3" t="s">
        <v>85</v>
      </c>
      <c r="O18" s="3" t="s">
        <v>86</v>
      </c>
      <c r="P18" s="2" t="s">
        <v>29</v>
      </c>
    </row>
    <row r="19" customFormat="false" ht="46.25" hidden="false" customHeight="false" outlineLevel="0" collapsed="false">
      <c r="A19" s="2" t="n">
        <v>18</v>
      </c>
      <c r="B19" s="2"/>
      <c r="C19" s="2" t="s">
        <v>87</v>
      </c>
      <c r="D19" s="2" t="s">
        <v>35</v>
      </c>
      <c r="E19" s="3" t="s">
        <v>18</v>
      </c>
      <c r="F19" s="2" t="n">
        <v>4</v>
      </c>
      <c r="G19" s="4" t="n">
        <v>3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88</v>
      </c>
      <c r="N19" s="3" t="s">
        <v>89</v>
      </c>
      <c r="O19" s="3" t="s">
        <v>65</v>
      </c>
      <c r="P19" s="2" t="s">
        <v>23</v>
      </c>
    </row>
    <row r="20" customFormat="false" ht="46.25" hidden="false" customHeight="false" outlineLevel="0" collapsed="false">
      <c r="A20" s="2" t="n">
        <v>19</v>
      </c>
      <c r="B20" s="2"/>
      <c r="C20" s="2" t="s">
        <v>90</v>
      </c>
      <c r="D20" s="2" t="s">
        <v>35</v>
      </c>
      <c r="E20" s="3" t="s">
        <v>18</v>
      </c>
      <c r="F20" s="2" t="n">
        <v>4</v>
      </c>
      <c r="G20" s="4" t="n">
        <v>3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91</v>
      </c>
      <c r="N20" s="3" t="s">
        <v>92</v>
      </c>
      <c r="O20" s="3" t="s">
        <v>86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93</v>
      </c>
      <c r="D21" s="2" t="s">
        <v>35</v>
      </c>
      <c r="E21" s="3" t="s">
        <v>18</v>
      </c>
      <c r="F21" s="2" t="n">
        <v>4</v>
      </c>
      <c r="G21" s="6" t="n">
        <v>2</v>
      </c>
      <c r="H21" s="6" t="s">
        <v>25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94</v>
      </c>
      <c r="N21" s="3" t="s">
        <v>95</v>
      </c>
      <c r="O21" s="3" t="s">
        <v>96</v>
      </c>
      <c r="P21" s="2" t="s">
        <v>29</v>
      </c>
    </row>
    <row r="23" customFormat="false" ht="15" hidden="false" customHeight="false" outlineLevel="0" collapsed="false">
      <c r="A23" s="7" t="s">
        <v>97</v>
      </c>
    </row>
  </sheetData>
  <autoFilter ref="A1:P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98</v>
      </c>
    </row>
    <row r="2" customFormat="false" ht="15" hidden="false" customHeight="false" outlineLevel="0" collapsed="false">
      <c r="A2" s="7" t="s">
        <v>99</v>
      </c>
    </row>
    <row r="4" customFormat="false" ht="15" hidden="false" customHeight="false" outlineLevel="0" collapsed="false">
      <c r="A4" s="1" t="s">
        <v>6</v>
      </c>
      <c r="B4" s="1" t="s">
        <v>100</v>
      </c>
      <c r="C4" s="1" t="s">
        <v>101</v>
      </c>
      <c r="D4" s="1" t="s">
        <v>5</v>
      </c>
      <c r="E4" s="1" t="s">
        <v>102</v>
      </c>
    </row>
    <row r="5" customFormat="false" ht="15" hidden="false" customHeight="false" outlineLevel="0" collapsed="false">
      <c r="A5" s="9" t="n">
        <v>0</v>
      </c>
      <c r="B5" s="9" t="s">
        <v>103</v>
      </c>
      <c r="C5" s="9" t="n">
        <f aca="false">COUNTIF(Evaluation!$G$2:$G$21,A5)</f>
        <v>0</v>
      </c>
      <c r="D5" s="9" t="n">
        <f aca="false">SUMIF(Evaluation!$G$2:$G$21,A5,Evaluation!$F$2:$F$21)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104</v>
      </c>
      <c r="C6" s="11" t="n">
        <f aca="false">COUNTIF(Evaluation!$G$2:$G$21,A6)</f>
        <v>0</v>
      </c>
      <c r="D6" s="11" t="n">
        <f aca="false">SUMIF(Evaluation!$G$2:$G$21,A6,Evaluation!$F$2:$F$21)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COUNTIF(Evaluation!$G$2:$G$21,A7)</f>
        <v>7</v>
      </c>
      <c r="D7" s="13" t="n">
        <f aca="false">SUMIF(Evaluation!$G$2:$G$21,A7,Evaluation!$F$2:$F$21)</f>
        <v>26</v>
      </c>
      <c r="E7" s="14" t="n">
        <f aca="false">IF(SUM($D$5:$D$10)=0,0,D7/SUM($D$5:$D$10))</f>
        <v>0.337662337662338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COUNTIF(Evaluation!$G$2:$G$21,A8)</f>
        <v>13</v>
      </c>
      <c r="D8" s="15" t="n">
        <f aca="false">SUMIF(Evaluation!$G$2:$G$21,A8,Evaluation!$F$2:$F$21)</f>
        <v>51</v>
      </c>
      <c r="E8" s="16" t="n">
        <f aca="false">IF(SUM($D$5:$D$10)=0,0,D8/SUM($D$5:$D$10))</f>
        <v>0.662337662337662</v>
      </c>
    </row>
    <row r="9" customFormat="false" ht="15" hidden="false" customHeight="false" outlineLevel="0" collapsed="false">
      <c r="A9" s="17" t="n">
        <v>4</v>
      </c>
      <c r="B9" s="17" t="s">
        <v>105</v>
      </c>
      <c r="C9" s="17" t="n">
        <f aca="false">COUNTIF(Evaluation!$G$2:$G$21,A9)</f>
        <v>0</v>
      </c>
      <c r="D9" s="17" t="n">
        <f aca="false">SUMIF(Evaluation!$G$2:$G$21,A9,Evaluation!$F$2:$F$21)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106</v>
      </c>
      <c r="C10" s="19" t="n">
        <f aca="false">COUNTIF(Evaluation!$G$2:$G$21,A10)</f>
        <v>0</v>
      </c>
      <c r="D10" s="19" t="n">
        <f aca="false">SUMIF(Evaluation!$G$2:$G$21,A10,Evaluation!$F$2:$F$21)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107</v>
      </c>
      <c r="C11" s="21" t="n">
        <f aca="false">SUM(C5:C10)</f>
        <v>20</v>
      </c>
      <c r="D11" s="21" t="n">
        <f aca="false">SUM(D5:D10)</f>
        <v>77</v>
      </c>
    </row>
    <row r="13" customFormat="false" ht="46.25" hidden="false" customHeight="false" outlineLevel="0" collapsed="false">
      <c r="A13" s="1" t="s">
        <v>108</v>
      </c>
      <c r="B13" s="1" t="s">
        <v>109</v>
      </c>
      <c r="C13" s="1" t="s">
        <v>110</v>
      </c>
      <c r="D13" s="1" t="s">
        <v>5</v>
      </c>
      <c r="E13" s="1" t="s">
        <v>111</v>
      </c>
    </row>
    <row r="14" customFormat="false" ht="15" hidden="false" customHeight="false" outlineLevel="0" collapsed="false">
      <c r="A14" s="21" t="s">
        <v>112</v>
      </c>
      <c r="B14" s="22" t="n">
        <f aca="false">SUM(Evaluation!$L$2:$L$21)/SUM(Evaluation!$F$2:$F$21)</f>
        <v>2.66233766233766</v>
      </c>
      <c r="C14" s="22" t="n">
        <f aca="false">SUMPRODUCT(Evaluation!$F$2:$F$21,Evaluation!$G$2:$G$21)/SUM(Evaluation!$F$2:$F$21)</f>
        <v>2.66233766233766</v>
      </c>
      <c r="D14" s="21" t="n">
        <f aca="false">SUM(Evaluation!$F$2:$F$21)</f>
        <v>77</v>
      </c>
      <c r="E14" s="22" t="n">
        <f aca="false">AVERAGE(Evaluation!$G$2:$G$21)</f>
        <v>2.65</v>
      </c>
    </row>
    <row r="16" customFormat="false" ht="15" hidden="false" customHeight="false" outlineLevel="0" collapsed="false">
      <c r="A16" s="7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114</v>
      </c>
    </row>
    <row r="3" customFormat="false" ht="23.85" hidden="false" customHeight="false" outlineLevel="0" collapsed="false">
      <c r="A3" s="1" t="s">
        <v>115</v>
      </c>
      <c r="B3" s="1" t="s">
        <v>116</v>
      </c>
      <c r="C3" s="1" t="s">
        <v>111</v>
      </c>
      <c r="D3" s="1" t="s">
        <v>117</v>
      </c>
      <c r="E3" s="1" t="s">
        <v>118</v>
      </c>
      <c r="F3" s="1" t="s">
        <v>119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120</v>
      </c>
      <c r="B9" s="22" t="n">
        <f aca="false">Summary!B14</f>
        <v>2.66233766233766</v>
      </c>
      <c r="C9" s="22" t="n">
        <f aca="false">Summary!E14</f>
        <v>2.65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2026-10-19T08:20:29Z</dcterms:created>
  <dc:creator>openpyxl</dc:creator>
  <dc:description/>
  <dc:language>en-US</dc:language>
  <cp:lastModifiedBy/>
  <dcterms:modified xsi:type="dcterms:W3CDTF">2026-10-19T08:20:29Z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