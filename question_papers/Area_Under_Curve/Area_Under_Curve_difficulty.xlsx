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<sst xmlns="http://schemas.openxmlformats.org/spreadsheetml/2006/main" count="215" uniqueCount="119">
  <si>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</si>
  <si>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</si>
  <si>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</si>
  <si>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</si>
  <si>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</si>
  <si>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</si>
  <si>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</si>
  <si>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</si>
  <si>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</si>
  <si>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</si>
  <si>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</si>
  <si>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</si>
  <si>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</si>
  <si>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</si>
  <si>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</si>
  <si>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</si>
  <si>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</si>
  <si>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</si>
  <si>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Area Under Curve</t>
  </si>
  <si>
    <t xml:space="preserve">Easier than Advanced</t>
  </si>
  <si>
    <t xml:space="preserve">Switch to horizontal strips: width 4 - 2^(y+1) for 0 &lt;= y &lt;= 1.</t>
  </si>
  <si>
    <t xml:space="preserve">A routine two-step chain (locate the region, integrate in y) with a standard choice of variable; comparable to the region problems 2024-P2-Q2 and 2021-P1-Q2 (L2).</t>
  </si>
  <si>
    <t xml:space="preserve">2024-P2-Q2 (L2)</t>
  </si>
  <si>
    <t xml:space="preserve">High</t>
  </si>
  <si>
    <t xml:space="preserve">Q02</t>
  </si>
  <si>
    <t xml:space="preserve">Recognise C as x = g(y) and integrate the horizontal width between the chord and the curve.</t>
  </si>
  <si>
    <t xml:space="preserve">Needs the decision to integrate in y plus a routine root and integral; three routine steps with no insight, like 2021-P1-Q2 (L2).</t>
  </si>
  <si>
    <t xml:space="preserve">2021-P1-Q2 (L2)</t>
  </si>
  <si>
    <t xml:space="preserve">Q03</t>
  </si>
  <si>
    <t xml:space="preserve">Factor the curve as (x-3)(y-2) = 4 and shift the origin to (3,2).</t>
  </si>
  <si>
    <t xml:space="preserve">Routine chain: factorisation/shift, intersections, one integral; no insight beyond the standard shift. Same level as 2025-P2-Q2 (region with xy &gt; 1 between lines, L2).</t>
  </si>
  <si>
    <t xml:space="preserve">2025-P2-Q2 (L2)</t>
  </si>
  <si>
    <t xml:space="preserve">Q04</t>
  </si>
  <si>
    <t xml:space="preserve">Use the symmetry about both axes and integrate 2 - x - x^2 on [0,1].</t>
  </si>
  <si>
    <t xml:space="preserve">Routine inequality region with symmetry and one integral, like 2021-P1-Q2 (L2).</t>
  </si>
  <si>
    <t xml:space="preserve">Q05</t>
  </si>
  <si>
    <t xml:space="preserve">C is the point where the tangent is parallel to AB; segment minus triangle.</t>
  </si>
  <si>
    <t xml:space="preserve">Three routine steps (intersections, maximal-triangle point, segment minus triangle) with a well-known ratio; like 2024-P2-Q2 (L2).</t>
  </si>
  <si>
    <t xml:space="preserve">Q06</t>
  </si>
  <si>
    <t xml:space="preserve">Average Advanced</t>
  </si>
  <si>
    <t xml:space="preserve">Express A(m) = ((m-2)^2+8)^(3/2)/6 through the (beta-alpha)^3/6 formula, then use it for both the minimum and the given value.</t>
  </si>
  <si>
    <t xml:space="preserve">Two ideas linked (segment-area formula as a function of the slope, minimisation plus solving), more than a routine region; options allow checking, so 3 rather than 4. Comparable to 2026-P2-Q18 (L3) in demand.</t>
  </si>
  <si>
    <t xml:space="preserve">2026-P2-Q18 (L3)</t>
  </si>
  <si>
    <t xml:space="preserve">Medium</t>
  </si>
  <si>
    <t xml:space="preserve">Q07</t>
  </si>
  <si>
    <t xml:space="preserve">Numerical</t>
  </si>
  <si>
    <t xml:space="preserve">Use the quadrant to fix the sign of a, then recognise g(2) as the signed area.</t>
  </si>
  <si>
    <t xml:space="preserve">Two linked ideas (FTC to recover f and to read g' = f, sign handling of the area) with a sign trap; numerical. Close to 2024-P2-Q13 (L3), which also reads zeros of an integral function.</t>
  </si>
  <si>
    <t xml:space="preserve">2024-P2-Q13 (L3)</t>
  </si>
  <si>
    <t xml:space="preserve">Q08</t>
  </si>
  <si>
    <t xml:space="preserve">Split the given area at x = a to get 5a^4/2, then double one region by odd symmetry.</t>
  </si>
  <si>
    <t xml:space="preserve">Several linked standard steps (sign split, parameter, second region, symmetry) with a sign trap that changes the answer; numerical. Between 2024-P2-Q2 (L2) and 2023-P1-Q9 (L4); placed at 3.</t>
  </si>
  <si>
    <t xml:space="preserve">Q09</t>
  </si>
  <si>
    <t xml:space="preserve">Locate the crossing at (1/sqrt2, pi/4) and integrate both regions in y.</t>
  </si>
  <si>
    <t xml:space="preserve">Two regions, inverse functions and the y-strip choice with careful limits; numerical with a signed answer. Comparable to 2026-P2-Q18 (L3) common-area work.</t>
  </si>
  <si>
    <t xml:space="preserve">Q10</t>
  </si>
  <si>
    <t xml:space="preserve">Find the intersections on the two branches and split the integral at sqrt2.</t>
  </si>
  <si>
    <t xml:space="preserve">Routine modulus region with a split, surd arithmetic; numerical but no insight. Like 2024-P2-Q2 (L2).</t>
  </si>
  <si>
    <t xml:space="preserve">Q11</t>
  </si>
  <si>
    <t xml:space="preserve">Use |x| symmetry and solve x^2 - 4x - 12 &lt;= 0 for the strip range.</t>
  </si>
  <si>
    <t xml:space="preserve">Routine inequality region with symmetry and one polynomial integral, like 2021-P1-Q2 (L2); numerical format keeps it at 2 rather than 1.</t>
  </si>
  <si>
    <t xml:space="preserve">Q12</t>
  </si>
  <si>
    <t xml:space="preserve">Rewrite x + y + xy &gt;= 4 as (1+x)(1+y) &gt;= 5.</t>
  </si>
  <si>
    <t xml:space="preserve">Needs the factorisation idea plus symmetry and a log integral; numerical. Above the routine L2 region questions (2025-P2-Q2) because of the hidden factorisation; at the level of 2026-P2-Q18 (L3).</t>
  </si>
  <si>
    <t xml:space="preserve">2025-P2-Q2 (L2) / 2026-P2-Q18 (L3)</t>
  </si>
  <si>
    <t xml:space="preserve">Q13</t>
  </si>
  <si>
    <t xml:space="preserve">Use the symmetry about y = x and the factorisation (y-x)(x+y+1) = 0 for the four corners.</t>
  </si>
  <si>
    <t xml:space="preserve">Two linked ideas (mirror symmetry, a corner piece with surds that cancel) and careful setup; numerical. At the level of 2026-P2-Q18 (L3).</t>
  </si>
  <si>
    <t xml:space="preserve">Q14</t>
  </si>
  <si>
    <t xml:space="preserve">f(x) - f(-x) = 2x(x^2 + k), area k^2 by symmetry.</t>
  </si>
  <si>
    <t xml:space="preserve">Routine chain (difference, roots, symmetric integral) with one sign decision; like 2024-P2-Q2 (L2).</t>
  </si>
  <si>
    <t xml:space="preserve">Q15</t>
  </si>
  <si>
    <t xml:space="preserve">Shift the origin to the inflection point (2,0).</t>
  </si>
  <si>
    <t xml:space="preserve">A standard shift followed by a symmetric integral; three routine steps. L2 like 2024-P2-Q2.</t>
  </si>
  <si>
    <t xml:space="preserve">Q16</t>
  </si>
  <si>
    <t xml:space="preserve">Reduce to twice the area between f_k and y = x.</t>
  </si>
  <si>
    <t xml:space="preserve">Standard reflection argument plus a routine integral and two-piece symmetry; L2 like 2024-P2-Q2.</t>
  </si>
  <si>
    <t xml:space="preserve">Q17</t>
  </si>
  <si>
    <t xml:space="preserve">Write the tangent to the first parabola and use the (difference of roots)^3/6 area for the second.</t>
  </si>
  <si>
    <t xml:space="preserve">Two curves linked through a tangent-chord, discriminant and a cube-root step; numerical. Two ideas linked, L3, comparable to 2023-P1-Q7 (L2) plus an extra area stage.</t>
  </si>
  <si>
    <t xml:space="preserve">2023-P1-Q7 (L2) / 2026-P2-Q18 (L3)</t>
  </si>
  <si>
    <t xml:space="preserve">Q18</t>
  </si>
  <si>
    <t xml:space="preserve">Draw |f(|x|)| and see that it crosses the square's side at x = 1/2, so the part with |x| &gt; 1/2 is empty.</t>
  </si>
  <si>
    <t xml:space="preserve">Graph transformation, symmetry and a crossing that removes part of the range; a slip (integrating to x = 1) gives a wrong answer; numerical. L3 like 2026-P2-Q18.</t>
  </si>
  <si>
    <t xml:space="preserve">Q19</t>
  </si>
  <si>
    <t xml:space="preserve">Each piece on [n, n+1) is a triangle of area |n|/2.</t>
  </si>
  <si>
    <t xml:space="preserve">Piecewise area with a sign handling and a triangular-number count; routine multi-step, L2. Comparable to 2021-P2-Q19 (L4) only in topic; much simpler.</t>
  </si>
  <si>
    <t xml:space="preserve">Q20</t>
  </si>
  <si>
    <t xml:space="preserve">Solve [x]^2 + 2[x] - 3 &lt;= 0 and read the heights 4 - (n+1)^2.</t>
  </si>
  <si>
    <t xml:space="preserve">GIF inequality, degenerate columns (a trap) and a bisector; two ideas linked, numerical. L3 like 2024-P2-Q13 (piecewise integral function).</t>
  </si>
  <si>
    <t xml:space="preserve">Q21</t>
  </si>
  <si>
    <t xml:space="preserve">Write A(t) as a cubic in t and compare its critical value with the end values on [1,5].</t>
  </si>
  <si>
    <t xml:space="preserve">Area as a function of a parameter, then closed-interval extrema with end-point comparison; two ideas linked, numerical. L3, a step above 2023-P2-Q9 (L2, DE then maximum).</t>
  </si>
  <si>
    <t xml:space="preserve">2023-P2-Q9 (L2) / 2026-P2-Q18 (L3)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</si>
  <si>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</si>
  <si>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</si>
  <si>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Area Under Curve   |   Evaluated on: 2026-10-18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</si>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</sst>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35.0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2</v>
      </c>
      <c r="H2" s="4" t="s">
        <v>19</v>
      </c>
      <c r="I2" s="5" t="n">
        <v>0</v>
      </c>
      <c r="J2" s="5" t="n">
        <v>0</v>
      </c>
      <c r="K2" s="5" t="n">
        <f aca="false">MIN(5,MAX(G2+I2,J2))</f>
        <v>2</v>
      </c>
      <c r="L2" s="5" t="n">
        <f aca="false">F2*K2</f>
        <v>6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35.0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4" t="n">
        <v>2</v>
      </c>
      <c r="H3" s="4" t="s">
        <v>19</v>
      </c>
      <c r="I3" s="5" t="n">
        <v>0</v>
      </c>
      <c r="J3" s="5" t="n">
        <v>0</v>
      </c>
      <c r="K3" s="5" t="n">
        <f aca="false">MIN(5,MAX(G3+I3,J3))</f>
        <v>2</v>
      </c>
      <c r="L3" s="5" t="n">
        <f aca="false">F3*K3</f>
        <v>6</v>
      </c>
      <c r="M3" s="3" t="s">
        <v>25</v>
      </c>
      <c r="N3" s="3" t="s">
        <v>26</v>
      </c>
      <c r="O3" s="3" t="s">
        <v>27</v>
      </c>
      <c r="P3" s="2" t="s">
        <v>23</v>
      </c>
    </row>
    <row r="4" customFormat="false" ht="35.05" hidden="false" customHeight="false" outlineLevel="0" collapsed="false">
      <c r="A4" s="2" t="n">
        <v>3</v>
      </c>
      <c r="B4" s="2"/>
      <c r="C4" s="2" t="s">
        <v>28</v>
      </c>
      <c r="D4" s="2" t="s">
        <v>17</v>
      </c>
      <c r="E4" s="3" t="s">
        <v>18</v>
      </c>
      <c r="F4" s="2" t="n">
        <v>3</v>
      </c>
      <c r="G4" s="4" t="n">
        <v>2</v>
      </c>
      <c r="H4" s="4" t="s">
        <v>19</v>
      </c>
      <c r="I4" s="5" t="n">
        <v>0</v>
      </c>
      <c r="J4" s="5" t="n">
        <v>0</v>
      </c>
      <c r="K4" s="5" t="n">
        <f aca="false">MIN(5,MAX(G4+I4,J4))</f>
        <v>2</v>
      </c>
      <c r="L4" s="5" t="n">
        <f aca="false">F4*K4</f>
        <v>6</v>
      </c>
      <c r="M4" s="3" t="s">
        <v>29</v>
      </c>
      <c r="N4" s="3" t="s">
        <v>30</v>
      </c>
      <c r="O4" s="3" t="s">
        <v>31</v>
      </c>
      <c r="P4" s="2" t="s">
        <v>23</v>
      </c>
    </row>
    <row r="5" customFormat="false" ht="23.85" hidden="false" customHeight="false" outlineLevel="0" collapsed="false">
      <c r="A5" s="2" t="n">
        <v>4</v>
      </c>
      <c r="B5" s="2"/>
      <c r="C5" s="2" t="s">
        <v>32</v>
      </c>
      <c r="D5" s="2" t="s">
        <v>17</v>
      </c>
      <c r="E5" s="3" t="s">
        <v>18</v>
      </c>
      <c r="F5" s="2" t="n">
        <v>3</v>
      </c>
      <c r="G5" s="4" t="n">
        <v>2</v>
      </c>
      <c r="H5" s="4" t="s">
        <v>19</v>
      </c>
      <c r="I5" s="5" t="n">
        <v>0</v>
      </c>
      <c r="J5" s="5" t="n">
        <v>0</v>
      </c>
      <c r="K5" s="5" t="n">
        <f aca="false">MIN(5,MAX(G5+I5,J5))</f>
        <v>2</v>
      </c>
      <c r="L5" s="5" t="n">
        <f aca="false">F5*K5</f>
        <v>6</v>
      </c>
      <c r="M5" s="3" t="s">
        <v>33</v>
      </c>
      <c r="N5" s="3" t="s">
        <v>34</v>
      </c>
      <c r="O5" s="3" t="s">
        <v>27</v>
      </c>
      <c r="P5" s="2" t="s">
        <v>23</v>
      </c>
    </row>
    <row r="6" customFormat="false" ht="23.85" hidden="false" customHeight="false" outlineLevel="0" collapsed="false">
      <c r="A6" s="2" t="n">
        <v>5</v>
      </c>
      <c r="B6" s="2"/>
      <c r="C6" s="2" t="s">
        <v>35</v>
      </c>
      <c r="D6" s="2" t="s">
        <v>17</v>
      </c>
      <c r="E6" s="3" t="s">
        <v>18</v>
      </c>
      <c r="F6" s="2" t="n">
        <v>3</v>
      </c>
      <c r="G6" s="4" t="n">
        <v>2</v>
      </c>
      <c r="H6" s="4" t="s">
        <v>19</v>
      </c>
      <c r="I6" s="5" t="n">
        <v>0</v>
      </c>
      <c r="J6" s="5" t="n">
        <v>0</v>
      </c>
      <c r="K6" s="5" t="n">
        <f aca="false">MIN(5,MAX(G6+I6,J6))</f>
        <v>2</v>
      </c>
      <c r="L6" s="5" t="n">
        <f aca="false">F6*K6</f>
        <v>6</v>
      </c>
      <c r="M6" s="3" t="s">
        <v>36</v>
      </c>
      <c r="N6" s="3" t="s">
        <v>37</v>
      </c>
      <c r="O6" s="3" t="s">
        <v>22</v>
      </c>
      <c r="P6" s="2" t="s">
        <v>23</v>
      </c>
    </row>
    <row r="7" customFormat="false" ht="46.25" hidden="false" customHeight="false" outlineLevel="0" collapsed="false">
      <c r="A7" s="2" t="n">
        <v>6</v>
      </c>
      <c r="B7" s="2"/>
      <c r="C7" s="2" t="s">
        <v>38</v>
      </c>
      <c r="D7" s="2" t="s">
        <v>17</v>
      </c>
      <c r="E7" s="3" t="s">
        <v>18</v>
      </c>
      <c r="F7" s="2" t="n">
        <v>3</v>
      </c>
      <c r="G7" s="6" t="n">
        <v>3</v>
      </c>
      <c r="H7" s="6" t="s">
        <v>39</v>
      </c>
      <c r="I7" s="5" t="n">
        <v>0</v>
      </c>
      <c r="J7" s="5" t="n">
        <v>0</v>
      </c>
      <c r="K7" s="5" t="n">
        <f aca="false">MIN(5,MAX(G7+I7,J7))</f>
        <v>3</v>
      </c>
      <c r="L7" s="5" t="n">
        <f aca="false">F7*K7</f>
        <v>9</v>
      </c>
      <c r="M7" s="3" t="s">
        <v>40</v>
      </c>
      <c r="N7" s="3" t="s">
        <v>41</v>
      </c>
      <c r="O7" s="3" t="s">
        <v>42</v>
      </c>
      <c r="P7" s="2" t="s">
        <v>43</v>
      </c>
    </row>
    <row r="8" customFormat="false" ht="35.05" hidden="false" customHeight="false" outlineLevel="0" collapsed="false">
      <c r="A8" s="2" t="n">
        <v>7</v>
      </c>
      <c r="B8" s="2"/>
      <c r="C8" s="2" t="s">
        <v>44</v>
      </c>
      <c r="D8" s="2" t="s">
        <v>45</v>
      </c>
      <c r="E8" s="3" t="s">
        <v>18</v>
      </c>
      <c r="F8" s="2" t="n">
        <v>4</v>
      </c>
      <c r="G8" s="6" t="n">
        <v>3</v>
      </c>
      <c r="H8" s="6" t="s">
        <v>39</v>
      </c>
      <c r="I8" s="5" t="n">
        <v>0</v>
      </c>
      <c r="J8" s="5" t="n">
        <v>0</v>
      </c>
      <c r="K8" s="5" t="n">
        <f aca="false">MIN(5,MAX(G8+I8,J8))</f>
        <v>3</v>
      </c>
      <c r="L8" s="5" t="n">
        <f aca="false">F8*K8</f>
        <v>12</v>
      </c>
      <c r="M8" s="3" t="s">
        <v>46</v>
      </c>
      <c r="N8" s="3" t="s">
        <v>47</v>
      </c>
      <c r="O8" s="3" t="s">
        <v>48</v>
      </c>
      <c r="P8" s="2" t="s">
        <v>43</v>
      </c>
    </row>
    <row r="9" customFormat="false" ht="35.05" hidden="false" customHeight="false" outlineLevel="0" collapsed="false">
      <c r="A9" s="2" t="n">
        <v>8</v>
      </c>
      <c r="B9" s="2"/>
      <c r="C9" s="2" t="s">
        <v>49</v>
      </c>
      <c r="D9" s="2" t="s">
        <v>45</v>
      </c>
      <c r="E9" s="3" t="s">
        <v>18</v>
      </c>
      <c r="F9" s="2" t="n">
        <v>4</v>
      </c>
      <c r="G9" s="6" t="n">
        <v>3</v>
      </c>
      <c r="H9" s="6" t="s">
        <v>39</v>
      </c>
      <c r="I9" s="5" t="n">
        <v>0</v>
      </c>
      <c r="J9" s="5" t="n">
        <v>0</v>
      </c>
      <c r="K9" s="5" t="n">
        <f aca="false">MIN(5,MAX(G9+I9,J9))</f>
        <v>3</v>
      </c>
      <c r="L9" s="5" t="n">
        <f aca="false">F9*K9</f>
        <v>12</v>
      </c>
      <c r="M9" s="3" t="s">
        <v>50</v>
      </c>
      <c r="N9" s="3" t="s">
        <v>51</v>
      </c>
      <c r="O9" s="3" t="s">
        <v>42</v>
      </c>
      <c r="P9" s="2" t="s">
        <v>43</v>
      </c>
    </row>
    <row r="10" customFormat="false" ht="35.05" hidden="false" customHeight="false" outlineLevel="0" collapsed="false">
      <c r="A10" s="2" t="n">
        <v>9</v>
      </c>
      <c r="B10" s="2"/>
      <c r="C10" s="2" t="s">
        <v>52</v>
      </c>
      <c r="D10" s="2" t="s">
        <v>45</v>
      </c>
      <c r="E10" s="3" t="s">
        <v>18</v>
      </c>
      <c r="F10" s="2" t="n">
        <v>4</v>
      </c>
      <c r="G10" s="6" t="n">
        <v>3</v>
      </c>
      <c r="H10" s="6" t="s">
        <v>39</v>
      </c>
      <c r="I10" s="5" t="n">
        <v>0</v>
      </c>
      <c r="J10" s="5" t="n">
        <v>0</v>
      </c>
      <c r="K10" s="5" t="n">
        <f aca="false">MIN(5,MAX(G10+I10,J10))</f>
        <v>3</v>
      </c>
      <c r="L10" s="5" t="n">
        <f aca="false">F10*K10</f>
        <v>12</v>
      </c>
      <c r="M10" s="3" t="s">
        <v>53</v>
      </c>
      <c r="N10" s="3" t="s">
        <v>54</v>
      </c>
      <c r="O10" s="3" t="s">
        <v>42</v>
      </c>
      <c r="P10" s="2" t="s">
        <v>43</v>
      </c>
    </row>
    <row r="11" customFormat="false" ht="23.85" hidden="false" customHeight="false" outlineLevel="0" collapsed="false">
      <c r="A11" s="2" t="n">
        <v>10</v>
      </c>
      <c r="B11" s="2"/>
      <c r="C11" s="2" t="s">
        <v>55</v>
      </c>
      <c r="D11" s="2" t="s">
        <v>45</v>
      </c>
      <c r="E11" s="3" t="s">
        <v>18</v>
      </c>
      <c r="F11" s="2" t="n">
        <v>4</v>
      </c>
      <c r="G11" s="4" t="n">
        <v>2</v>
      </c>
      <c r="H11" s="4" t="s">
        <v>19</v>
      </c>
      <c r="I11" s="5" t="n">
        <v>0</v>
      </c>
      <c r="J11" s="5" t="n">
        <v>0</v>
      </c>
      <c r="K11" s="5" t="n">
        <f aca="false">MIN(5,MAX(G11+I11,J11))</f>
        <v>2</v>
      </c>
      <c r="L11" s="5" t="n">
        <f aca="false">F11*K11</f>
        <v>8</v>
      </c>
      <c r="M11" s="3" t="s">
        <v>56</v>
      </c>
      <c r="N11" s="3" t="s">
        <v>57</v>
      </c>
      <c r="O11" s="3" t="s">
        <v>22</v>
      </c>
      <c r="P11" s="2" t="s">
        <v>23</v>
      </c>
    </row>
    <row r="12" customFormat="false" ht="23.85" hidden="false" customHeight="false" outlineLevel="0" collapsed="false">
      <c r="A12" s="2" t="n">
        <v>11</v>
      </c>
      <c r="B12" s="2"/>
      <c r="C12" s="2" t="s">
        <v>58</v>
      </c>
      <c r="D12" s="2" t="s">
        <v>45</v>
      </c>
      <c r="E12" s="3" t="s">
        <v>18</v>
      </c>
      <c r="F12" s="2" t="n">
        <v>4</v>
      </c>
      <c r="G12" s="4" t="n">
        <v>2</v>
      </c>
      <c r="H12" s="4" t="s">
        <v>19</v>
      </c>
      <c r="I12" s="5" t="n">
        <v>0</v>
      </c>
      <c r="J12" s="5" t="n">
        <v>0</v>
      </c>
      <c r="K12" s="5" t="n">
        <f aca="false">MIN(5,MAX(G12+I12,J12))</f>
        <v>2</v>
      </c>
      <c r="L12" s="5" t="n">
        <f aca="false">F12*K12</f>
        <v>8</v>
      </c>
      <c r="M12" s="3" t="s">
        <v>59</v>
      </c>
      <c r="N12" s="3" t="s">
        <v>60</v>
      </c>
      <c r="O12" s="3" t="s">
        <v>27</v>
      </c>
      <c r="P12" s="2" t="s">
        <v>23</v>
      </c>
    </row>
    <row r="13" customFormat="false" ht="35.05" hidden="false" customHeight="false" outlineLevel="0" collapsed="false">
      <c r="A13" s="2" t="n">
        <v>12</v>
      </c>
      <c r="B13" s="2"/>
      <c r="C13" s="2" t="s">
        <v>61</v>
      </c>
      <c r="D13" s="2" t="s">
        <v>45</v>
      </c>
      <c r="E13" s="3" t="s">
        <v>18</v>
      </c>
      <c r="F13" s="2" t="n">
        <v>4</v>
      </c>
      <c r="G13" s="6" t="n">
        <v>3</v>
      </c>
      <c r="H13" s="6" t="s">
        <v>39</v>
      </c>
      <c r="I13" s="5" t="n">
        <v>0</v>
      </c>
      <c r="J13" s="5" t="n">
        <v>0</v>
      </c>
      <c r="K13" s="5" t="n">
        <f aca="false">MIN(5,MAX(G13+I13,J13))</f>
        <v>3</v>
      </c>
      <c r="L13" s="5" t="n">
        <f aca="false">F13*K13</f>
        <v>12</v>
      </c>
      <c r="M13" s="3" t="s">
        <v>62</v>
      </c>
      <c r="N13" s="3" t="s">
        <v>63</v>
      </c>
      <c r="O13" s="3" t="s">
        <v>64</v>
      </c>
      <c r="P13" s="2" t="s">
        <v>43</v>
      </c>
    </row>
    <row r="14" customFormat="false" ht="35.05" hidden="false" customHeight="false" outlineLevel="0" collapsed="false">
      <c r="A14" s="2" t="n">
        <v>13</v>
      </c>
      <c r="B14" s="2"/>
      <c r="C14" s="2" t="s">
        <v>65</v>
      </c>
      <c r="D14" s="2" t="s">
        <v>45</v>
      </c>
      <c r="E14" s="3" t="s">
        <v>18</v>
      </c>
      <c r="F14" s="2" t="n">
        <v>4</v>
      </c>
      <c r="G14" s="6" t="n">
        <v>3</v>
      </c>
      <c r="H14" s="6" t="s">
        <v>39</v>
      </c>
      <c r="I14" s="5" t="n">
        <v>0</v>
      </c>
      <c r="J14" s="5" t="n">
        <v>0</v>
      </c>
      <c r="K14" s="5" t="n">
        <f aca="false">MIN(5,MAX(G14+I14,J14))</f>
        <v>3</v>
      </c>
      <c r="L14" s="5" t="n">
        <f aca="false">F14*K14</f>
        <v>12</v>
      </c>
      <c r="M14" s="3" t="s">
        <v>66</v>
      </c>
      <c r="N14" s="3" t="s">
        <v>67</v>
      </c>
      <c r="O14" s="3" t="s">
        <v>42</v>
      </c>
      <c r="P14" s="2" t="s">
        <v>43</v>
      </c>
    </row>
    <row r="15" customFormat="false" ht="23.85" hidden="false" customHeight="false" outlineLevel="0" collapsed="false">
      <c r="A15" s="2" t="n">
        <v>14</v>
      </c>
      <c r="B15" s="2"/>
      <c r="C15" s="2" t="s">
        <v>68</v>
      </c>
      <c r="D15" s="2" t="s">
        <v>45</v>
      </c>
      <c r="E15" s="3" t="s">
        <v>18</v>
      </c>
      <c r="F15" s="2" t="n">
        <v>4</v>
      </c>
      <c r="G15" s="4" t="n">
        <v>2</v>
      </c>
      <c r="H15" s="4" t="s">
        <v>19</v>
      </c>
      <c r="I15" s="5" t="n">
        <v>0</v>
      </c>
      <c r="J15" s="5" t="n">
        <v>0</v>
      </c>
      <c r="K15" s="5" t="n">
        <f aca="false">MIN(5,MAX(G15+I15,J15))</f>
        <v>2</v>
      </c>
      <c r="L15" s="5" t="n">
        <f aca="false">F15*K15</f>
        <v>8</v>
      </c>
      <c r="M15" s="3" t="s">
        <v>69</v>
      </c>
      <c r="N15" s="3" t="s">
        <v>70</v>
      </c>
      <c r="O15" s="3" t="s">
        <v>22</v>
      </c>
      <c r="P15" s="2" t="s">
        <v>23</v>
      </c>
    </row>
    <row r="16" customFormat="false" ht="23.85" hidden="false" customHeight="false" outlineLevel="0" collapsed="false">
      <c r="A16" s="2" t="n">
        <v>15</v>
      </c>
      <c r="B16" s="2"/>
      <c r="C16" s="2" t="s">
        <v>71</v>
      </c>
      <c r="D16" s="2" t="s">
        <v>45</v>
      </c>
      <c r="E16" s="3" t="s">
        <v>18</v>
      </c>
      <c r="F16" s="2" t="n">
        <v>4</v>
      </c>
      <c r="G16" s="4" t="n">
        <v>2</v>
      </c>
      <c r="H16" s="4" t="s">
        <v>19</v>
      </c>
      <c r="I16" s="5" t="n">
        <v>0</v>
      </c>
      <c r="J16" s="5" t="n">
        <v>0</v>
      </c>
      <c r="K16" s="5" t="n">
        <f aca="false">MIN(5,MAX(G16+I16,J16))</f>
        <v>2</v>
      </c>
      <c r="L16" s="5" t="n">
        <f aca="false">F16*K16</f>
        <v>8</v>
      </c>
      <c r="M16" s="3" t="s">
        <v>72</v>
      </c>
      <c r="N16" s="3" t="s">
        <v>73</v>
      </c>
      <c r="O16" s="3" t="s">
        <v>22</v>
      </c>
      <c r="P16" s="2" t="s">
        <v>23</v>
      </c>
    </row>
    <row r="17" customFormat="false" ht="23.85" hidden="false" customHeight="false" outlineLevel="0" collapsed="false">
      <c r="A17" s="2" t="n">
        <v>16</v>
      </c>
      <c r="B17" s="2"/>
      <c r="C17" s="2" t="s">
        <v>74</v>
      </c>
      <c r="D17" s="2" t="s">
        <v>45</v>
      </c>
      <c r="E17" s="3" t="s">
        <v>18</v>
      </c>
      <c r="F17" s="2" t="n">
        <v>4</v>
      </c>
      <c r="G17" s="4" t="n">
        <v>2</v>
      </c>
      <c r="H17" s="4" t="s">
        <v>19</v>
      </c>
      <c r="I17" s="5" t="n">
        <v>0</v>
      </c>
      <c r="J17" s="5" t="n">
        <v>0</v>
      </c>
      <c r="K17" s="5" t="n">
        <f aca="false">MIN(5,MAX(G17+I17,J17))</f>
        <v>2</v>
      </c>
      <c r="L17" s="5" t="n">
        <f aca="false">F17*K17</f>
        <v>8</v>
      </c>
      <c r="M17" s="3" t="s">
        <v>75</v>
      </c>
      <c r="N17" s="3" t="s">
        <v>76</v>
      </c>
      <c r="O17" s="3" t="s">
        <v>22</v>
      </c>
      <c r="P17" s="2" t="s">
        <v>23</v>
      </c>
    </row>
    <row r="18" customFormat="false" ht="35.05" hidden="false" customHeight="false" outlineLevel="0" collapsed="false">
      <c r="A18" s="2" t="n">
        <v>17</v>
      </c>
      <c r="B18" s="2"/>
      <c r="C18" s="2" t="s">
        <v>77</v>
      </c>
      <c r="D18" s="2" t="s">
        <v>45</v>
      </c>
      <c r="E18" s="3" t="s">
        <v>18</v>
      </c>
      <c r="F18" s="2" t="n">
        <v>4</v>
      </c>
      <c r="G18" s="6" t="n">
        <v>3</v>
      </c>
      <c r="H18" s="6" t="s">
        <v>39</v>
      </c>
      <c r="I18" s="5" t="n">
        <v>0</v>
      </c>
      <c r="J18" s="5" t="n">
        <v>0</v>
      </c>
      <c r="K18" s="5" t="n">
        <f aca="false">MIN(5,MAX(G18+I18,J18))</f>
        <v>3</v>
      </c>
      <c r="L18" s="5" t="n">
        <f aca="false">F18*K18</f>
        <v>12</v>
      </c>
      <c r="M18" s="3" t="s">
        <v>78</v>
      </c>
      <c r="N18" s="3" t="s">
        <v>79</v>
      </c>
      <c r="O18" s="3" t="s">
        <v>80</v>
      </c>
      <c r="P18" s="2" t="s">
        <v>43</v>
      </c>
    </row>
    <row r="19" customFormat="false" ht="35.05" hidden="false" customHeight="false" outlineLevel="0" collapsed="false">
      <c r="A19" s="2" t="n">
        <v>18</v>
      </c>
      <c r="B19" s="2"/>
      <c r="C19" s="2" t="s">
        <v>81</v>
      </c>
      <c r="D19" s="2" t="s">
        <v>45</v>
      </c>
      <c r="E19" s="3" t="s">
        <v>18</v>
      </c>
      <c r="F19" s="2" t="n">
        <v>4</v>
      </c>
      <c r="G19" s="6" t="n">
        <v>3</v>
      </c>
      <c r="H19" s="6" t="s">
        <v>39</v>
      </c>
      <c r="I19" s="5" t="n">
        <v>0</v>
      </c>
      <c r="J19" s="5" t="n">
        <v>0</v>
      </c>
      <c r="K19" s="5" t="n">
        <f aca="false">MIN(5,MAX(G19+I19,J19))</f>
        <v>3</v>
      </c>
      <c r="L19" s="5" t="n">
        <f aca="false">F19*K19</f>
        <v>12</v>
      </c>
      <c r="M19" s="3" t="s">
        <v>82</v>
      </c>
      <c r="N19" s="3" t="s">
        <v>83</v>
      </c>
      <c r="O19" s="3" t="s">
        <v>42</v>
      </c>
      <c r="P19" s="2" t="s">
        <v>43</v>
      </c>
    </row>
    <row r="20" customFormat="false" ht="35.05" hidden="false" customHeight="false" outlineLevel="0" collapsed="false">
      <c r="A20" s="2" t="n">
        <v>19</v>
      </c>
      <c r="B20" s="2"/>
      <c r="C20" s="2" t="s">
        <v>84</v>
      </c>
      <c r="D20" s="2" t="s">
        <v>45</v>
      </c>
      <c r="E20" s="3" t="s">
        <v>18</v>
      </c>
      <c r="F20" s="2" t="n">
        <v>4</v>
      </c>
      <c r="G20" s="4" t="n">
        <v>2</v>
      </c>
      <c r="H20" s="4" t="s">
        <v>19</v>
      </c>
      <c r="I20" s="5" t="n">
        <v>0</v>
      </c>
      <c r="J20" s="5" t="n">
        <v>0</v>
      </c>
      <c r="K20" s="5" t="n">
        <f aca="false">MIN(5,MAX(G20+I20,J20))</f>
        <v>2</v>
      </c>
      <c r="L20" s="5" t="n">
        <f aca="false">F20*K20</f>
        <v>8</v>
      </c>
      <c r="M20" s="3" t="s">
        <v>85</v>
      </c>
      <c r="N20" s="3" t="s">
        <v>86</v>
      </c>
      <c r="O20" s="3" t="s">
        <v>22</v>
      </c>
      <c r="P20" s="2" t="s">
        <v>43</v>
      </c>
    </row>
    <row r="21" customFormat="false" ht="23.85" hidden="false" customHeight="false" outlineLevel="0" collapsed="false">
      <c r="A21" s="2" t="n">
        <v>20</v>
      </c>
      <c r="B21" s="2"/>
      <c r="C21" s="2" t="s">
        <v>87</v>
      </c>
      <c r="D21" s="2" t="s">
        <v>45</v>
      </c>
      <c r="E21" s="3" t="s">
        <v>18</v>
      </c>
      <c r="F21" s="2" t="n">
        <v>4</v>
      </c>
      <c r="G21" s="6" t="n">
        <v>3</v>
      </c>
      <c r="H21" s="6" t="s">
        <v>39</v>
      </c>
      <c r="I21" s="5" t="n">
        <v>0</v>
      </c>
      <c r="J21" s="5" t="n">
        <v>0</v>
      </c>
      <c r="K21" s="5" t="n">
        <f aca="false">MIN(5,MAX(G21+I21,J21))</f>
        <v>3</v>
      </c>
      <c r="L21" s="5" t="n">
        <f aca="false">F21*K21</f>
        <v>12</v>
      </c>
      <c r="M21" s="3" t="s">
        <v>88</v>
      </c>
      <c r="N21" s="3" t="s">
        <v>89</v>
      </c>
      <c r="O21" s="3" t="s">
        <v>48</v>
      </c>
      <c r="P21" s="2" t="s">
        <v>43</v>
      </c>
    </row>
    <row r="22" customFormat="false" ht="35.05" hidden="false" customHeight="false" outlineLevel="0" collapsed="false">
      <c r="A22" s="2" t="n">
        <v>21</v>
      </c>
      <c r="B22" s="2"/>
      <c r="C22" s="2" t="s">
        <v>90</v>
      </c>
      <c r="D22" s="2" t="s">
        <v>45</v>
      </c>
      <c r="E22" s="3" t="s">
        <v>18</v>
      </c>
      <c r="F22" s="2" t="n">
        <v>4</v>
      </c>
      <c r="G22" s="6" t="n">
        <v>3</v>
      </c>
      <c r="H22" s="6" t="s">
        <v>39</v>
      </c>
      <c r="I22" s="5" t="n">
        <v>0</v>
      </c>
      <c r="J22" s="5" t="n">
        <v>0</v>
      </c>
      <c r="K22" s="5" t="n">
        <f aca="false">MIN(5,MAX(G22+I22,J22))</f>
        <v>3</v>
      </c>
      <c r="L22" s="5" t="n">
        <f aca="false">F22*K22</f>
        <v>12</v>
      </c>
      <c r="M22" s="3" t="s">
        <v>91</v>
      </c>
      <c r="N22" s="3" t="s">
        <v>92</v>
      </c>
      <c r="O22" s="3" t="s">
        <v>93</v>
      </c>
      <c r="P22" s="2" t="s">
        <v>43</v>
      </c>
    </row>
    <row r="24" customFormat="false" ht="15" hidden="false" customHeight="false" outlineLevel="0" collapsed="false">
      <c r="A24" s="7" t="s">
        <v>94</v>
      </c>
    </row>
  </sheetData>
  <autoFilter ref="A1:P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95</v>
      </c>
    </row>
    <row r="2" customFormat="false" ht="15" hidden="false" customHeight="false" outlineLevel="0" collapsed="false">
      <c r="A2" s="7" t="s">
        <v>96</v>
      </c>
    </row>
    <row r="4" customFormat="false" ht="15" hidden="false" customHeight="false" outlineLevel="0" collapsed="false">
      <c r="A4" s="1" t="s">
        <v>6</v>
      </c>
      <c r="B4" s="1" t="s">
        <v>97</v>
      </c>
      <c r="C4" s="1" t="s">
        <v>98</v>
      </c>
      <c r="D4" s="1" t="s">
        <v>5</v>
      </c>
      <c r="E4" s="1" t="s">
        <v>99</v>
      </c>
    </row>
    <row r="5" customFormat="false" ht="15" hidden="false" customHeight="false" outlineLevel="0" collapsed="false">
      <c r="A5" s="9" t="n">
        <v>0</v>
      </c>
      <c r="B5" s="9" t="s">
        <v>100</v>
      </c>
      <c r="C5" s="9" t="n">
        <f aca="false">COUNTIF(Evaluation!$G$2:$G$22,A5)</f>
        <v>0</v>
      </c>
      <c r="D5" s="9" t="n">
        <f aca="false">SUMIF(Evaluation!$G$2:$G$22,A5,Evaluation!$F$2:$F$22)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101</v>
      </c>
      <c r="C6" s="11" t="n">
        <f aca="false">COUNTIF(Evaluation!$G$2:$G$22,A6)</f>
        <v>0</v>
      </c>
      <c r="D6" s="11" t="n">
        <f aca="false">SUMIF(Evaluation!$G$2:$G$22,A6,Evaluation!$F$2:$F$22)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19</v>
      </c>
      <c r="C7" s="13" t="n">
        <f aca="false">COUNTIF(Evaluation!$G$2:$G$22,A7)</f>
        <v>11</v>
      </c>
      <c r="D7" s="13" t="n">
        <f aca="false">SUMIF(Evaluation!$G$2:$G$22,A7,Evaluation!$F$2:$F$22)</f>
        <v>39</v>
      </c>
      <c r="E7" s="14" t="n">
        <f aca="false">IF(SUM($D$5:$D$10)=0,0,D7/SUM($D$5:$D$10))</f>
        <v>0.5</v>
      </c>
    </row>
    <row r="8" customFormat="false" ht="15" hidden="false" customHeight="false" outlineLevel="0" collapsed="false">
      <c r="A8" s="15" t="n">
        <v>3</v>
      </c>
      <c r="B8" s="15" t="s">
        <v>39</v>
      </c>
      <c r="C8" s="15" t="n">
        <f aca="false">COUNTIF(Evaluation!$G$2:$G$22,A8)</f>
        <v>10</v>
      </c>
      <c r="D8" s="15" t="n">
        <f aca="false">SUMIF(Evaluation!$G$2:$G$22,A8,Evaluation!$F$2:$F$22)</f>
        <v>39</v>
      </c>
      <c r="E8" s="16" t="n">
        <f aca="false">IF(SUM($D$5:$D$10)=0,0,D8/SUM($D$5:$D$10))</f>
        <v>0.5</v>
      </c>
    </row>
    <row r="9" customFormat="false" ht="15" hidden="false" customHeight="false" outlineLevel="0" collapsed="false">
      <c r="A9" s="17" t="n">
        <v>4</v>
      </c>
      <c r="B9" s="17" t="s">
        <v>102</v>
      </c>
      <c r="C9" s="17" t="n">
        <f aca="false">COUNTIF(Evaluation!$G$2:$G$22,A9)</f>
        <v>0</v>
      </c>
      <c r="D9" s="17" t="n">
        <f aca="false">SUMIF(Evaluation!$G$2:$G$22,A9,Evaluation!$F$2:$F$22)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103</v>
      </c>
      <c r="C10" s="19" t="n">
        <f aca="false">COUNTIF(Evaluation!$G$2:$G$22,A10)</f>
        <v>0</v>
      </c>
      <c r="D10" s="19" t="n">
        <f aca="false">SUMIF(Evaluation!$G$2:$G$22,A10,Evaluation!$F$2:$F$22)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104</v>
      </c>
      <c r="C11" s="21" t="n">
        <f aca="false">SUM(C5:C10)</f>
        <v>21</v>
      </c>
      <c r="D11" s="21" t="n">
        <f aca="false">SUM(D5:D10)</f>
        <v>78</v>
      </c>
    </row>
    <row r="13" customFormat="false" ht="46.25" hidden="false" customHeight="false" outlineLevel="0" collapsed="false">
      <c r="A13" s="1" t="s">
        <v>105</v>
      </c>
      <c r="B13" s="1" t="s">
        <v>106</v>
      </c>
      <c r="C13" s="1" t="s">
        <v>107</v>
      </c>
      <c r="D13" s="1" t="s">
        <v>5</v>
      </c>
      <c r="E13" s="1" t="s">
        <v>108</v>
      </c>
    </row>
    <row r="14" customFormat="false" ht="15" hidden="false" customHeight="false" outlineLevel="0" collapsed="false">
      <c r="A14" s="21" t="s">
        <v>109</v>
      </c>
      <c r="B14" s="22" t="n">
        <f aca="false">SUM(Evaluation!$L$2:$L$22)/SUM(Evaluation!$F$2:$F$22)</f>
        <v>2.5</v>
      </c>
      <c r="C14" s="22" t="n">
        <f aca="false">SUMPRODUCT(Evaluation!$F$2:$F$22,Evaluation!$G$2:$G$22)/SUM(Evaluation!$F$2:$F$22)</f>
        <v>2.5</v>
      </c>
      <c r="D14" s="21" t="n">
        <f aca="false">SUM(Evaluation!$F$2:$F$22)</f>
        <v>78</v>
      </c>
      <c r="E14" s="22" t="n">
        <f aca="false">AVERAGE(Evaluation!$G$2:$G$22)</f>
        <v>2.47619047619048</v>
      </c>
    </row>
    <row r="16" customFormat="false" ht="15" hidden="false" customHeight="false" outlineLevel="0" collapsed="false">
      <c r="A16" s="7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111</v>
      </c>
    </row>
    <row r="3" customFormat="false" ht="23.85" hidden="false" customHeight="false" outlineLevel="0" collapsed="false">
      <c r="A3" s="1" t="s">
        <v>112</v>
      </c>
      <c r="B3" s="1" t="s">
        <v>113</v>
      </c>
      <c r="C3" s="1" t="s">
        <v>108</v>
      </c>
      <c r="D3" s="1" t="s">
        <v>114</v>
      </c>
      <c r="E3" s="1" t="s">
        <v>115</v>
      </c>
      <c r="F3" s="1" t="s">
        <v>116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117</v>
      </c>
      <c r="B9" s="22" t="n">
        <f aca="false">Summary!B14</f>
        <v>2.5</v>
      </c>
      <c r="C9" s="22" t="n">
        <f aca="false">Summary!E14</f>
        <v>2.47619047619048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2026-10-18T15:28:46Z</dcterms:created>
  <dc:creator>openpyxl</dc:creator>
  <dc:description/>
  <dc:language>en-US</dc:language>
  <cp:lastModifiedBy/>
  <dcterms:modified xsi:type="dcterms:W3CDTF">2026-10-18T15:28:46Z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