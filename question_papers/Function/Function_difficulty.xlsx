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<sst xmlns="http://schemas.openxmlformats.org/spreadsheetml/2006/main" count="343" uniqueCount="180">
  <si>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</si>
  <si>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</si>
  <si>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</si>
  <si>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</si>
  <si>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</si>
  <si>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</si>
  <si>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</si>
  <si>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</si>
  <si>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</si>
  <si>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</si>
  <si>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</si>
  <si>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</si>
  <si>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</si>
  <si>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</si>
  <si>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</si>
  <si>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</si>
  <si>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</si>
  <si>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</si>
  <si>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Function</t>
  </si>
  <si>
    <t xml:space="preserve">Average Advanced</t>
  </si>
  <si>
    <t xml:space="preserve">Reduce f to its values at 2, 3, 5, 7 and read the bounds 3f(2)&lt;=3, 2f(3)&lt;=3, f(2)+f(5)&lt;=3 off the products inside the set.</t>
  </si>
  <si>
    <t xml:space="preserve">Two ideas linked: the functional equation fixes f by prime values, and the truncated domain/codomain turns it into a bounded count with a coupled constraint (f(10)) that is easy to miss. Comparable to 2026-P2-Q10 (L4, counting functions with conditions) but shorter, and to 2026-P1-Q11 (L3, bounded count).</t>
  </si>
  <si>
    <t xml:space="preserve">2026-P1-Q11 (L3)</t>
  </si>
  <si>
    <t xml:space="preserve">Medium</t>
  </si>
  <si>
    <t xml:space="preserve">Q02</t>
  </si>
  <si>
    <t xml:space="preserve">For strictly increasing h, h(x)=h^{-1}(x) reduces to h(x)=x; then g=x^2-4x+2 ln x is increasing with g(3)&lt;0&lt;g(4).</t>
  </si>
  <si>
    <t xml:space="preserve">Several linked ideas: solving the Cauchy equation from differentiability at one point, a monotonicity check for invertibility, the increasing-function reduction to y=x, and IVT. Each is standard, the chain is genuine. Comparable to 2026-P1-Q1 (L3, sign of f' via an auxiliary function) and 2024-P2-Q10 (L1, monotone root count).</t>
  </si>
  <si>
    <t xml:space="preserve">2026-P1-Q1 (L3)</t>
  </si>
  <si>
    <t xml:space="preserve">Q03</t>
  </si>
  <si>
    <t xml:space="preserve">Arguing that an increasing function meets its inverse only on y=x, then g'(1)=1/f'(1).</t>
  </si>
  <si>
    <t xml:space="preserve">Two ideas linked (symmetry of inverse graphs with the increasing-function argument, and the derivative of the inverse) plus the angle formula; options help checking. Comparable to 2025-P2-Q14 (L3, derivative of f o g^{-1}) and above 2026-P2-Q17 (L2, angle between tangents).</t>
  </si>
  <si>
    <t xml:space="preserve">2025-P2-Q14 (L3)</t>
  </si>
  <si>
    <t xml:space="preserve">Q04</t>
  </si>
  <si>
    <t xml:space="preserve">Easier than Advanced</t>
  </si>
  <si>
    <t xml:space="preserve">Recognising that sin(cos t) has period 2 pi while cos(sin t) has period pi, then taking LCM(4, 3/2).</t>
  </si>
  <si>
    <t xml:space="preserve">Routine multi-step chain: two composite periods plus an LCM with a fractional period; the trap is a familiar one. Comparable to 2024-P1-Q3 (L3 trig evaluation) on the lower side and to routine L2 period questions; below 2026-P1-Q14 (L3).</t>
  </si>
  <si>
    <t xml:space="preserve">2026-P1-Q4 (L2)</t>
  </si>
  <si>
    <t xml:space="preserve">High</t>
  </si>
  <si>
    <t xml:space="preserve">Q05</t>
  </si>
  <si>
    <t xml:space="preserve">Numerical</t>
  </si>
  <si>
    <t xml:space="preserve">Seeing that e^{kx}&gt;=1+2x for all x forces the touching slope k=2.</t>
  </si>
  <si>
    <t xml:space="preserve">Two linked ideas with no options: deriving the exponential form from the equation plus continuity at a point, and converting a global inequality into k=2 via a minimum at 0. Comparable to 2024-P2-Q8 (L2, Cauchy equations, evaluate) with a genuine extra idea; below 2025-P1-Q12 (L4).</t>
  </si>
  <si>
    <t xml:space="preserve">2024-P2-Q8 (L2)</t>
  </si>
  <si>
    <t xml:space="preserve">Q06</t>
  </si>
  <si>
    <t xml:space="preserve">Recovering f=3 ln x from the limit condition, then reading the sum as the integral of 3x ln x on [0,1].</t>
  </si>
  <si>
    <t xml:space="preserve">Two linked standard ideas (Cauchy equation via derivative at 1, limit of a sum as an integral) plus by-parts with an end-point limit, no options. Comparable to 2023-P2-Q1 (L2) for the integral-equation chain, raised by the numerical format and the sum-to-integral step; near 2025-P2-Q14 (L3).</t>
  </si>
  <si>
    <t xml:space="preserve">Q07</t>
  </si>
  <si>
    <t xml:space="preserve">Noticing that x -&gt; 1/(1-x) has order 3 so that -1, 1/2, 2 close up into three equations.</t>
  </si>
  <si>
    <t xml:space="preserve">Routine but multi-step: find the orbit, write three equations, solve. No real insight beyond the familiar substitution trick. Comparable to 2024-P2-Q8 (L2, functional equations, evaluate) and 2025-P1-Q1 (L2).</t>
  </si>
  <si>
    <t xml:space="preserve">Q08</t>
  </si>
  <si>
    <t xml:space="preserve">Separating where the quotient is positive (four-point sign scheme) from where both factors are positive, and seeing that the difference is the interval where both are negative.</t>
  </si>
  <si>
    <t xml:space="preserve">A routine sign-scheme chain plus the identical-functions comparison; the trap (both factors negative) is common, but the numerical format with two domains and a set definition adds checking. Comparable to 2023-P1-Q8 (L2) for domain-type counting, nudged up by format; near 2025-P2-Q3 (L3).</t>
  </si>
  <si>
    <t xml:space="preserve">2023-P1-Q8 (L2)</t>
  </si>
  <si>
    <t xml:space="preserve">Low</t>
  </si>
  <si>
    <t xml:space="preserve">Q09</t>
  </si>
  <si>
    <t xml:space="preserve">Splitting the vertical line test into injectivity inside each block of [y] (a &lt;= 3/2) and disjointness of the block ranges (a &gt;= 1).</t>
  </si>
  <si>
    <t xml:space="preserve">Two independent conditions must be found and combined, one of which (block overlap) is easily missed; numerical answer with no options. Comparable to 2023-P2-Q6 (L3), a GIF-based function analysed piece by piece.</t>
  </si>
  <si>
    <t xml:space="preserve">2023-P2-Q6 (L3)</t>
  </si>
  <si>
    <t xml:space="preserve">Q10</t>
  </si>
  <si>
    <t xml:space="preserve">Recognising that D = [100, infinity) excludes the AM-GM point x = 50, so the least value is at the end point 100.</t>
  </si>
  <si>
    <t xml:space="preserve">Three routine pieces (radical domains, identical-function condition, range of x + k/x) are chained, with a trap in the AM-GM value; numerical answer. Comparable to 2021-P1-Q12 (L2) and 2026-P1-Q1 (L3); placed at 3 because the domain decides the answer.</t>
  </si>
  <si>
    <t xml:space="preserve">Q11</t>
  </si>
  <si>
    <t xml:space="preserve">Splitting at |x| = 4 where log base 1/2 changes sign and requiring opposite signs of the GIF product on the two sides.</t>
  </si>
  <si>
    <t xml:space="preserve">Several domain conditions interact (log argument, zero denominator, sign reversal for base below 1, GIF blocks), and one slip (including -4, or keeping (-4,-3)) changes the answer; numerical. Comparable to 2023-P1-Q8 (L2) but with more interacting conditions, so 3.</t>
  </si>
  <si>
    <t xml:space="preserve">Q12</t>
  </si>
  <si>
    <t xml:space="preserve">Separating crossing points of an integer level (limit fails) from touching points at the extremes x = +-1 (limit exists).</t>
  </si>
  <si>
    <t xml:space="preserve">Range by AM-GM plus a careful count of crossing versus touching points; one slip (counting x = +-1) gives 18. Comparable to 2023-P2-Q6 (L3); below 2026-P2-Q14 (L4) because there is only one function and no cancellations.</t>
  </si>
  <si>
    <t xml:space="preserve">Q13</t>
  </si>
  <si>
    <t xml:space="preserve">Seeing that the minimum of the maximum is at the left crossing x = -5/2 of the reflected arc and the line.</t>
  </si>
  <si>
    <t xml:space="preserve">Needs the graph of f(|x|), the upper envelope with a line and a case split on both sides; numerical answer. Comparable to 2026-P1-Q1 (L3) in being a two-idea function analysis with a sign/region decision.</t>
  </si>
  <si>
    <t xml:space="preserve">Q14</t>
  </si>
  <si>
    <t xml:space="preserve">Evaluating the limit as max{4|x|, |x - 5|} and locating its minimum at the crossing x = 1.</t>
  </si>
  <si>
    <t xml:space="preserve">A standard limit (max of the bases) followed by the routine least value of the maximum of two modulus graphs; a short chain with no insight. Comparable to 2024-P2-Q3 (L1) for the limit plus 2025-P1-Q1 (L2) for the routine function step, so 2.</t>
  </si>
  <si>
    <t xml:space="preserve">2025-P1-Q1 (L2)</t>
  </si>
  <si>
    <t xml:space="preserve">Q15</t>
  </si>
  <si>
    <t xml:space="preserve">Tracking which values the inner piecewise function actually takes, [-3,-1) and [2,5], before applying f.</t>
  </si>
  <si>
    <t xml:space="preserve">Composition of piecewise functions with a domain restriction and a gap in the inner range; one slip (using the whole range of f, or including 1) changes the answer; numerical. Comparable to 2024-P1-Q17 (L3).</t>
  </si>
  <si>
    <t xml:space="preserve">2024-P1-Q17 (L3)</t>
  </si>
  <si>
    <t xml:space="preserve">Q16</t>
  </si>
  <si>
    <t xml:space="preserve">Using existence of the limit at the junction to fix a = 1/4, then combining the ranges of the two monotonic pieces.</t>
  </si>
  <si>
    <t xml:space="preserve">A limit of a non-uniformly defined function fixes the parameter, then the range of two pieces must be found with monotonicity; routine stages but no options, so 3 rather than 2. Comparable to 2025-P2-Q1 (L2) raised by the numerical format and the extra range stage.</t>
  </si>
  <si>
    <t xml:space="preserve">2025-P2-Q1 (L2)</t>
  </si>
  <si>
    <t xml:space="preserve">Q17</t>
  </si>
  <si>
    <t xml:space="preserve">Domain of a quotient = common domain minus zeros of f - g, with the extraneous root x = -1 of sqrt(2x+3) = x rejected.</t>
  </si>
  <si>
    <t xml:space="preserve">A routine chain (common domain, zero of the denominator, squaring, checking roots) with one trap; no insight needed. Comparable to the Level 2 function anchor 2025-P1-Q1 (L2), a short multi-step function computation.</t>
  </si>
  <si>
    <t xml:space="preserve">Q18</t>
  </si>
  <si>
    <t xml:space="preserve">Remove the zeros of both g (x = -2) and f (x = 1) from the common domain (-5/2, 1].</t>
  </si>
  <si>
    <t xml:space="preserve">Routine chain of domain conditions (exponential inequality, logarithm, two non-zero conditions) with no real insight. Same kind of demand as 2025-P1-Q1 (L2); slightly above Level 1 because four conditions must be combined.</t>
  </si>
  <si>
    <t xml:space="preserve">Q19</t>
  </si>
  <si>
    <t xml:space="preserve">Read (x,y)-&gt;(2x,y) as y = f(x/2), then reflect and translate to get y = 9 - (x-3)^2/4.</t>
  </si>
  <si>
    <t xml:space="preserve">Three routine transformation steps chained, then a direct area; no insight. Comparable to 2021-P1-Q2 (L2), a routine region computation, and to the Level 2 rule for three chained routine steps.</t>
  </si>
  <si>
    <t xml:space="preserve">2021-P1-Q2 (L2)</t>
  </si>
  <si>
    <t xml:space="preserve">Q20</t>
  </si>
  <si>
    <t xml:space="preserve">Build f = 6 - |x - 10|, use the evenness of f(|x|) and reflect the negative parts to locate the region on [0, 22].</t>
  </si>
  <si>
    <t xml:space="preserve">A routine chain of graph operations followed by areas of triangles; every step is standard and nothing needs insight. Comparable to 2025-P2-Q2 (L2), a routine area of a region between curves.</t>
  </si>
  <si>
    <t xml:space="preserve">2025-P2-Q2 (L2)</t>
  </si>
  <si>
    <t xml:space="preserve">Q21</t>
  </si>
  <si>
    <t xml:space="preserve">Range of 1/u on [-1/4,0) union (0,3/4) is (-inf,-4] union (4/3, inf); the floor then misses exactly -3,-2,-1,0.</t>
  </si>
  <si>
    <t xml:space="preserve">Two ideas linked: the range of the fractional part with an excluded value, and the reciprocal graph with careful end-point handling before the greatest integer; one slip at an end point (1 or -4) changes the answer and there are no options. Comparable to 2023-P1-Q11 (L3), where a range must be examined for which integers it contains.</t>
  </si>
  <si>
    <t xml:space="preserve">2023-P1-Q11 (L3)</t>
  </si>
  <si>
    <t xml:space="preserve">Q22</t>
  </si>
  <si>
    <t xml:space="preserve">One-one on an interval means strictly monotonic; the right piece 2x^2 - 3x + 3a is monotonic on [a, infinity) only when a &gt;= 3/4.</t>
  </si>
  <si>
    <t xml:space="preserve">Two ideas linked (one-one via monotonicity on an interval, and monotonicity of a piecewise function with a moving kink), with a three-way case split and no options. Comparable to 2026-P1-Q1 (L3), monotonicity decided by the sign of a derivative on pieces.</t>
  </si>
  <si>
    <t xml:space="preserve">Q23</t>
  </si>
  <si>
    <t xml:space="preserve">Inclusion-exclusion with the fixed-point restriction: N_k = (3-k)^(4-k)(4-k)^(k+1), giving q = 84; p = D_4 x 4 = 36.</t>
  </si>
  <si>
    <t xml:space="preserve">Two counting ideas linked (derangements and onto counting by inclusion-exclusion with modified weights), with a precise final number and no options; one slip in the weights changes the answer. Comparable to 2026-P1-Q11 (L3), a bounded-distribution count, and below 2026-P2-Q10 (L4), which hides the one-one condition more deeply.</t>
  </si>
  <si>
    <t xml:space="preserve">Q24</t>
  </si>
  <si>
    <t xml:space="preserve">Join the monotone case (lambda &gt;= 6) with the turning-value sign test; the boundary is the double-root value from f = f' = 0, lambda = -63/2.</t>
  </si>
  <si>
    <t xml:space="preserve">Two ideas linked: monotonicity/one-one-ness for one root and the double-root condition for the change in the number of roots; the natural trap (answering 6) and the cubic for the tangency point make it a genuine Advanced-average question, numerical. Comparable to 2023-P2-Q7 (L3) on counting fixed points through convexity and monotonicity, and above 2024-P2-Q10 (L1) where monotonicity alone settles the count.</t>
  </si>
  <si>
    <t xml:space="preserve">2023-P2-Q7 (L3)</t>
  </si>
  <si>
    <t xml:space="preserve">Q25</t>
  </si>
  <si>
    <t xml:space="preserve">Complement inside the family f(1)&lt;f(2): onto count (1560-240)/2 = 660 by the swap symmetry, or inclusion-exclusion restricted to the family.</t>
  </si>
  <si>
    <t xml:space="preserve">Two counting ideas must be linked (into as complement of onto, and the order restriction handled by symmetry after removing f(1)=f(2)), with a numerical answer and no options. Comparable to 2026-P1-Q11 (L3) bounded counting; below 2026-P2-Q10 (L4), which also needs to decode the condition into one-one.</t>
  </si>
  <si>
    <t xml:space="preserve">Q26</t>
  </si>
  <si>
    <t xml:space="preserve">Splitting by the sign of f(x) - 1/4 and checking each junction, noticing that x = 1/2 (touch) is harmless and x = 0 (jump of f) gives a corner but no jump.</t>
  </si>
  <si>
    <t xml:space="preserve">A routine chain of piecewise checks with two small traps; no non-routine idea. Below 2023-P2-Q6 (L3), which needs a product with a greatest-integer factor and statement checks; above 2025-P1-Q15 (L1) short parts. Numerical format keeps it at the top of level 2.</t>
  </si>
  <si>
    <t xml:space="preserve">Q27</t>
  </si>
  <si>
    <t xml:space="preserve">Recognising that for a decreasing function f(x) = f^{-1}(x) is equivalent to f(f(x)) = x, not to f(x) = x, and solving it after the shift u = x - 5/4.</t>
  </si>
  <si>
    <t xml:space="preserve">Two ideas linked: existence and symmetry of the inverse, and the decreasing-function trap that produces solutions off y = x; execution is light after the shift. Comparable to 2023-P2-Q3 (L3), where a range/branch subtlety decides the solution set; numerical format, no options.</t>
  </si>
  <si>
    <t xml:space="preserve">2023-P2-Q3 (L3)</t>
  </si>
  <si>
    <t xml:space="preserve">Q28</t>
  </si>
  <si>
    <t xml:space="preserve">Substituting x = f(t) to obtain f(f(t)) = 3f(t) - 2t, then the degree argument d^2 = d.</t>
  </si>
  <si>
    <t xml:space="preserve">Two linked ideas: using the inverse relation f^{-1}(f(t)) = t to remove the inverse, and a degree argument to force linearity, followed by coefficient matching with a case to reject. Above 2024-P2-Q8 (L2), a direct functional-equation evaluation; comparable to 2025-P2-Q14 (L3) on inverse functions.</t>
  </si>
  <si>
    <t xml:space="preserve">Q29</t>
  </si>
  <si>
    <t xml:space="preserve">Using reflection in y = x: the area between f and f^{-1} is twice the area between f and y = x, after showing the curves meet only on y = x.</t>
  </si>
  <si>
    <t xml:space="preserve">Two ideas linked (meeting points of an increasing function and its inverse lie on y = x; area doubled by symmetry) plus oddness for the second loop; the computation is light. Comparable to 2026-P2-Q18 (L3), an area found by a symmetry argument.</t>
  </si>
  <si>
    <t xml:space="preserve">2026-P2-Q18 (L3)</t>
  </si>
  <si>
    <t xml:space="preserve">Q30</t>
  </si>
  <si>
    <t xml:space="preserve">h(x) = (f(x) - f(-x))/2 with both values reduced by the period 3 read from {x/3}.</t>
  </si>
  <si>
    <t xml:space="preserve">Routine chain of three standard steps (decomposition formula, period from the fractional part, evaluation at two reduced points) with no real insight. Comparable to 2025-P1-Q1 (L2), a direct function computation; numerical format.</t>
  </si>
  <si>
    <t xml:space="preserve">Q31</t>
  </si>
  <si>
    <t xml:space="preserve">Splitting (x+1)f(x) into odd part xE + O and even part xO + E, so E = -xO, then using that the symmetric integral sees only E.</t>
  </si>
  <si>
    <t xml:space="preserve">Two parity properties must be combined (parity of a product, integral of odd/even functions over [-x, x]) to recover f; neither alone suffices, numerical answer. Comparable to 2026-P1-Q7 (L3), which reasons about g = x f(x) and parity/regularity implications.</t>
  </si>
  <si>
    <t xml:space="preserve">2026-P1-Q7 (L3)</t>
  </si>
  <si>
    <t xml:space="preserve">Q32</t>
  </si>
  <si>
    <t xml:space="preserve">phi(x) = f(x)f(-x) = g^2 - h^2, whose terms have periods 6, 3, 4, so its period is 12 rather than the period 24 of f.</t>
  </si>
  <si>
    <t xml:space="preserve">Three linked stages: even/odd parts, period of a square (halving), and the period of g^2 - h^2 by LCM with the trap of using the period of f. Numerical, no options. Comparable to 2026-P1-Q14 (L3), where several trigonometric expressions must be simplified before a count.</t>
  </si>
  <si>
    <t xml:space="preserve">2026-P1-Q14 (L3)</t>
  </si>
  <si>
    <t xml:space="preserve">Q33</t>
  </si>
  <si>
    <t xml:space="preserve">Composing y -&gt; (y-3)/(y+1) three times gives the identity, so f has period 3; then f(1) is recovered from f(2) by the inverse map.</t>
  </si>
  <si>
    <t xml:space="preserve">Two linked ideas: discovering the period from the iterated map (three compositions) and using the periodic property backwards with an inverse step; numerical, exact arithmetic. Between 2024-P2-Q8 (L2, functional equations evaluated) and 2025-P1-Q12 (L4, functional equation with an AP).</t>
  </si>
  <si>
    <t xml:space="preserve">Q34</t>
  </si>
  <si>
    <t xml:space="preserve">Convert x degrees and the arc-length angle to pi x/180 and pi x/40, halve both periods (square, modulus), then LCM(180, 40) = 360.</t>
  </si>
  <si>
    <t xml:space="preserve">Several routine conversions (degree to radian, arc = r theta) followed by two period-halving traps and an LCM, with no options; each step is standard, but the chain and the traps put it at the Advanced average for a numerical. Comparable to 2026-P1-Q4 (L2, angle conversion with range shift) plus the period combination, so placed one level above it.</t>
  </si>
  <si>
    <t xml:space="preserve">Q35</t>
  </si>
  <si>
    <t xml:space="preserve">After the compound-angle simplification, the product sin(pi x/10) sin(pi x/30) is a difference of cosines of periods 30 and 15, so the period is 30, not LCM(20, 60) = 60.</t>
  </si>
  <si>
    <t xml:space="preserve">Two ideas linked: compound-angle simplification of each factor, and the period of a product being smaller than the LCM because of simultaneous sign change; numerical. Comparable to 2024-P1-Q3 (L3), a trigonometric expression that must be simplified by compound angles before evaluation.</t>
  </si>
  <si>
    <t xml:space="preserve">2024-P1-Q3 (L3)</t>
  </si>
  <si>
    <t xml:space="preserve">Q36</t>
  </si>
  <si>
    <t xml:space="preserve">Divide by x^2 and set u = x + 1/x (|u| &gt;= 2) to get 15u/(4u^2 + 9), which is monotonic on u &gt;= 2.</t>
  </si>
  <si>
    <t xml:space="preserve">A routine chain: oddness, the reciprocal substitution, monotonicity of 4u + 9/u on u &gt;= 2, then the range; the only trap (AM-GM equality outside the allowed set) is a standard caution. Comparable to 2021-P1-Q12 (L2), range of a rational function.</t>
  </si>
  <si>
    <t xml:space="preserve">2021-P1-Q12 (L2)</t>
  </si>
  <si>
    <t xml:space="preserve">Q37</t>
  </si>
  <si>
    <t xml:space="preserve">Case split on the position of the critical point sqrt(a) relative to [1, 2]; the interior case gives 2 sqrt(a) &gt;= 2 &gt; 9/5, so the minimum is at the end point x = 1.</t>
  </si>
  <si>
    <t xml:space="preserve">Two linked ideas: the extreme value on a closed interval (end points vs interior critical point) and the consistency check of the case, with a strong trap (a = 0.81) and no options. Comparable to 2026-P1-Q1 (L3), extrema decided by a sign analysis of f'.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</si>
  <si>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</si>
  <si>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</si>
  <si>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Function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</si>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</sst>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57.4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57.4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3</v>
      </c>
      <c r="H3" s="4" t="s">
        <v>19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25</v>
      </c>
      <c r="N3" s="3" t="s">
        <v>26</v>
      </c>
      <c r="O3" s="3" t="s">
        <v>27</v>
      </c>
      <c r="P3" s="2" t="s">
        <v>23</v>
      </c>
    </row>
    <row r="4" customFormat="false" ht="46.25" hidden="false" customHeight="false" outlineLevel="0" collapsed="false">
      <c r="A4" s="2" t="n">
        <v>3</v>
      </c>
      <c r="B4" s="2"/>
      <c r="C4" s="2" t="s">
        <v>28</v>
      </c>
      <c r="D4" s="2" t="s">
        <v>17</v>
      </c>
      <c r="E4" s="3" t="s">
        <v>18</v>
      </c>
      <c r="F4" s="2" t="n">
        <v>3</v>
      </c>
      <c r="G4" s="4" t="n">
        <v>3</v>
      </c>
      <c r="H4" s="4" t="s">
        <v>19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9</v>
      </c>
      <c r="M4" s="3" t="s">
        <v>29</v>
      </c>
      <c r="N4" s="3" t="s">
        <v>30</v>
      </c>
      <c r="O4" s="3" t="s">
        <v>31</v>
      </c>
      <c r="P4" s="2" t="s">
        <v>23</v>
      </c>
    </row>
    <row r="5" customFormat="false" ht="46.25" hidden="false" customHeight="false" outlineLevel="0" collapsed="false">
      <c r="A5" s="2" t="n">
        <v>4</v>
      </c>
      <c r="B5" s="2"/>
      <c r="C5" s="2" t="s">
        <v>32</v>
      </c>
      <c r="D5" s="2" t="s">
        <v>17</v>
      </c>
      <c r="E5" s="3" t="s">
        <v>18</v>
      </c>
      <c r="F5" s="2" t="n">
        <v>3</v>
      </c>
      <c r="G5" s="6" t="n">
        <v>2</v>
      </c>
      <c r="H5" s="6" t="s">
        <v>33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34</v>
      </c>
      <c r="N5" s="3" t="s">
        <v>35</v>
      </c>
      <c r="O5" s="3" t="s">
        <v>36</v>
      </c>
      <c r="P5" s="2" t="s">
        <v>37</v>
      </c>
    </row>
    <row r="6" customFormat="false" ht="46.25" hidden="false" customHeight="false" outlineLevel="0" collapsed="false">
      <c r="A6" s="2" t="n">
        <v>5</v>
      </c>
      <c r="B6" s="2"/>
      <c r="C6" s="2" t="s">
        <v>38</v>
      </c>
      <c r="D6" s="2" t="s">
        <v>39</v>
      </c>
      <c r="E6" s="3" t="s">
        <v>18</v>
      </c>
      <c r="F6" s="2" t="n">
        <v>4</v>
      </c>
      <c r="G6" s="4" t="n">
        <v>3</v>
      </c>
      <c r="H6" s="4" t="s">
        <v>19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12</v>
      </c>
      <c r="M6" s="3" t="s">
        <v>40</v>
      </c>
      <c r="N6" s="3" t="s">
        <v>41</v>
      </c>
      <c r="O6" s="3" t="s">
        <v>42</v>
      </c>
      <c r="P6" s="2" t="s">
        <v>23</v>
      </c>
    </row>
    <row r="7" customFormat="false" ht="57.45" hidden="false" customHeight="false" outlineLevel="0" collapsed="false">
      <c r="A7" s="2" t="n">
        <v>6</v>
      </c>
      <c r="B7" s="2"/>
      <c r="C7" s="2" t="s">
        <v>43</v>
      </c>
      <c r="D7" s="2" t="s">
        <v>39</v>
      </c>
      <c r="E7" s="3" t="s">
        <v>18</v>
      </c>
      <c r="F7" s="2" t="n">
        <v>4</v>
      </c>
      <c r="G7" s="4" t="n">
        <v>3</v>
      </c>
      <c r="H7" s="4" t="s">
        <v>19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44</v>
      </c>
      <c r="N7" s="3" t="s">
        <v>45</v>
      </c>
      <c r="O7" s="3" t="s">
        <v>31</v>
      </c>
      <c r="P7" s="2" t="s">
        <v>23</v>
      </c>
    </row>
    <row r="8" customFormat="false" ht="35.05" hidden="false" customHeight="false" outlineLevel="0" collapsed="false">
      <c r="A8" s="2" t="n">
        <v>7</v>
      </c>
      <c r="B8" s="2"/>
      <c r="C8" s="2" t="s">
        <v>46</v>
      </c>
      <c r="D8" s="2" t="s">
        <v>39</v>
      </c>
      <c r="E8" s="3" t="s">
        <v>18</v>
      </c>
      <c r="F8" s="2" t="n">
        <v>4</v>
      </c>
      <c r="G8" s="6" t="n">
        <v>2</v>
      </c>
      <c r="H8" s="6" t="s">
        <v>33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47</v>
      </c>
      <c r="N8" s="3" t="s">
        <v>48</v>
      </c>
      <c r="O8" s="3" t="s">
        <v>42</v>
      </c>
      <c r="P8" s="2" t="s">
        <v>37</v>
      </c>
    </row>
    <row r="9" customFormat="false" ht="57.45" hidden="false" customHeight="false" outlineLevel="0" collapsed="false">
      <c r="A9" s="2" t="n">
        <v>8</v>
      </c>
      <c r="B9" s="2"/>
      <c r="C9" s="2" t="s">
        <v>49</v>
      </c>
      <c r="D9" s="2" t="s">
        <v>39</v>
      </c>
      <c r="E9" s="3" t="s">
        <v>18</v>
      </c>
      <c r="F9" s="2" t="n">
        <v>4</v>
      </c>
      <c r="G9" s="4" t="n">
        <v>3</v>
      </c>
      <c r="H9" s="4" t="s">
        <v>19</v>
      </c>
      <c r="I9" s="5" t="n">
        <v>0</v>
      </c>
      <c r="J9" s="5" t="n">
        <v>0</v>
      </c>
      <c r="K9" s="5" t="n">
        <f aca="false">MIN(5,MAX(G9+I9,J9))</f>
        <v>3</v>
      </c>
      <c r="L9" s="5" t="n">
        <f aca="false">F9*K9</f>
        <v>12</v>
      </c>
      <c r="M9" s="3" t="s">
        <v>50</v>
      </c>
      <c r="N9" s="3" t="s">
        <v>51</v>
      </c>
      <c r="O9" s="3" t="s">
        <v>52</v>
      </c>
      <c r="P9" s="2" t="s">
        <v>53</v>
      </c>
    </row>
    <row r="10" customFormat="false" ht="46.25" hidden="false" customHeight="false" outlineLevel="0" collapsed="false">
      <c r="A10" s="2" t="n">
        <v>9</v>
      </c>
      <c r="B10" s="2"/>
      <c r="C10" s="2" t="s">
        <v>54</v>
      </c>
      <c r="D10" s="2" t="s">
        <v>39</v>
      </c>
      <c r="E10" s="3" t="s">
        <v>18</v>
      </c>
      <c r="F10" s="2" t="n">
        <v>4</v>
      </c>
      <c r="G10" s="4" t="n">
        <v>3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55</v>
      </c>
      <c r="N10" s="3" t="s">
        <v>56</v>
      </c>
      <c r="O10" s="3" t="s">
        <v>57</v>
      </c>
      <c r="P10" s="2" t="s">
        <v>23</v>
      </c>
    </row>
    <row r="11" customFormat="false" ht="46.25" hidden="false" customHeight="false" outlineLevel="0" collapsed="false">
      <c r="A11" s="2" t="n">
        <v>10</v>
      </c>
      <c r="B11" s="2"/>
      <c r="C11" s="2" t="s">
        <v>58</v>
      </c>
      <c r="D11" s="2" t="s">
        <v>39</v>
      </c>
      <c r="E11" s="3" t="s">
        <v>18</v>
      </c>
      <c r="F11" s="2" t="n">
        <v>4</v>
      </c>
      <c r="G11" s="4" t="n">
        <v>3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3</v>
      </c>
      <c r="L11" s="5" t="n">
        <f aca="false">F11*K11</f>
        <v>12</v>
      </c>
      <c r="M11" s="3" t="s">
        <v>59</v>
      </c>
      <c r="N11" s="3" t="s">
        <v>60</v>
      </c>
      <c r="O11" s="3" t="s">
        <v>27</v>
      </c>
      <c r="P11" s="2" t="s">
        <v>23</v>
      </c>
    </row>
    <row r="12" customFormat="false" ht="46.25" hidden="false" customHeight="false" outlineLevel="0" collapsed="false">
      <c r="A12" s="2" t="n">
        <v>11</v>
      </c>
      <c r="B12" s="2"/>
      <c r="C12" s="2" t="s">
        <v>61</v>
      </c>
      <c r="D12" s="2" t="s">
        <v>39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62</v>
      </c>
      <c r="N12" s="3" t="s">
        <v>63</v>
      </c>
      <c r="O12" s="3" t="s">
        <v>52</v>
      </c>
      <c r="P12" s="2" t="s">
        <v>23</v>
      </c>
    </row>
    <row r="13" customFormat="false" ht="46.25" hidden="false" customHeight="false" outlineLevel="0" collapsed="false">
      <c r="A13" s="2" t="n">
        <v>12</v>
      </c>
      <c r="B13" s="2"/>
      <c r="C13" s="2" t="s">
        <v>64</v>
      </c>
      <c r="D13" s="2" t="s">
        <v>39</v>
      </c>
      <c r="E13" s="3" t="s">
        <v>18</v>
      </c>
      <c r="F13" s="2" t="n">
        <v>4</v>
      </c>
      <c r="G13" s="4" t="n">
        <v>3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65</v>
      </c>
      <c r="N13" s="3" t="s">
        <v>66</v>
      </c>
      <c r="O13" s="3" t="s">
        <v>57</v>
      </c>
      <c r="P13" s="2" t="s">
        <v>23</v>
      </c>
    </row>
    <row r="14" customFormat="false" ht="35.05" hidden="false" customHeight="false" outlineLevel="0" collapsed="false">
      <c r="A14" s="2" t="n">
        <v>13</v>
      </c>
      <c r="B14" s="2"/>
      <c r="C14" s="2" t="s">
        <v>67</v>
      </c>
      <c r="D14" s="2" t="s">
        <v>39</v>
      </c>
      <c r="E14" s="3" t="s">
        <v>18</v>
      </c>
      <c r="F14" s="2" t="n">
        <v>4</v>
      </c>
      <c r="G14" s="4" t="n">
        <v>3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68</v>
      </c>
      <c r="N14" s="3" t="s">
        <v>69</v>
      </c>
      <c r="O14" s="3" t="s">
        <v>27</v>
      </c>
      <c r="P14" s="2" t="s">
        <v>23</v>
      </c>
    </row>
    <row r="15" customFormat="false" ht="46.25" hidden="false" customHeight="false" outlineLevel="0" collapsed="false">
      <c r="A15" s="2" t="n">
        <v>14</v>
      </c>
      <c r="B15" s="2"/>
      <c r="C15" s="2" t="s">
        <v>70</v>
      </c>
      <c r="D15" s="2" t="s">
        <v>39</v>
      </c>
      <c r="E15" s="3" t="s">
        <v>18</v>
      </c>
      <c r="F15" s="2" t="n">
        <v>4</v>
      </c>
      <c r="G15" s="6" t="n">
        <v>2</v>
      </c>
      <c r="H15" s="6" t="s">
        <v>33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71</v>
      </c>
      <c r="N15" s="3" t="s">
        <v>72</v>
      </c>
      <c r="O15" s="3" t="s">
        <v>73</v>
      </c>
      <c r="P15" s="2" t="s">
        <v>37</v>
      </c>
    </row>
    <row r="16" customFormat="false" ht="35.05" hidden="false" customHeight="false" outlineLevel="0" collapsed="false">
      <c r="A16" s="2" t="n">
        <v>15</v>
      </c>
      <c r="B16" s="2"/>
      <c r="C16" s="2" t="s">
        <v>74</v>
      </c>
      <c r="D16" s="2" t="s">
        <v>39</v>
      </c>
      <c r="E16" s="3" t="s">
        <v>18</v>
      </c>
      <c r="F16" s="2" t="n">
        <v>4</v>
      </c>
      <c r="G16" s="4" t="n">
        <v>3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75</v>
      </c>
      <c r="N16" s="3" t="s">
        <v>76</v>
      </c>
      <c r="O16" s="3" t="s">
        <v>77</v>
      </c>
      <c r="P16" s="2" t="s">
        <v>23</v>
      </c>
    </row>
    <row r="17" customFormat="false" ht="46.25" hidden="false" customHeight="false" outlineLevel="0" collapsed="false">
      <c r="A17" s="2" t="n">
        <v>16</v>
      </c>
      <c r="B17" s="2"/>
      <c r="C17" s="2" t="s">
        <v>78</v>
      </c>
      <c r="D17" s="2" t="s">
        <v>39</v>
      </c>
      <c r="E17" s="3" t="s">
        <v>18</v>
      </c>
      <c r="F17" s="2" t="n">
        <v>4</v>
      </c>
      <c r="G17" s="4" t="n">
        <v>3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3</v>
      </c>
      <c r="L17" s="5" t="n">
        <f aca="false">F17*K17</f>
        <v>12</v>
      </c>
      <c r="M17" s="3" t="s">
        <v>79</v>
      </c>
      <c r="N17" s="3" t="s">
        <v>80</v>
      </c>
      <c r="O17" s="3" t="s">
        <v>81</v>
      </c>
      <c r="P17" s="2" t="s">
        <v>23</v>
      </c>
    </row>
    <row r="18" customFormat="false" ht="46.25" hidden="false" customHeight="false" outlineLevel="0" collapsed="false">
      <c r="A18" s="2" t="n">
        <v>17</v>
      </c>
      <c r="B18" s="2"/>
      <c r="C18" s="2" t="s">
        <v>82</v>
      </c>
      <c r="D18" s="2" t="s">
        <v>39</v>
      </c>
      <c r="E18" s="3" t="s">
        <v>18</v>
      </c>
      <c r="F18" s="2" t="n">
        <v>4</v>
      </c>
      <c r="G18" s="6" t="n">
        <v>2</v>
      </c>
      <c r="H18" s="6" t="s">
        <v>33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83</v>
      </c>
      <c r="N18" s="3" t="s">
        <v>84</v>
      </c>
      <c r="O18" s="3" t="s">
        <v>73</v>
      </c>
      <c r="P18" s="2" t="s">
        <v>37</v>
      </c>
    </row>
    <row r="19" customFormat="false" ht="46.25" hidden="false" customHeight="false" outlineLevel="0" collapsed="false">
      <c r="A19" s="2" t="n">
        <v>18</v>
      </c>
      <c r="B19" s="2"/>
      <c r="C19" s="2" t="s">
        <v>85</v>
      </c>
      <c r="D19" s="2" t="s">
        <v>39</v>
      </c>
      <c r="E19" s="3" t="s">
        <v>18</v>
      </c>
      <c r="F19" s="2" t="n">
        <v>4</v>
      </c>
      <c r="G19" s="6" t="n">
        <v>2</v>
      </c>
      <c r="H19" s="6" t="s">
        <v>33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86</v>
      </c>
      <c r="N19" s="3" t="s">
        <v>87</v>
      </c>
      <c r="O19" s="3" t="s">
        <v>73</v>
      </c>
      <c r="P19" s="2" t="s">
        <v>37</v>
      </c>
    </row>
    <row r="20" customFormat="false" ht="35.05" hidden="false" customHeight="false" outlineLevel="0" collapsed="false">
      <c r="A20" s="2" t="n">
        <v>19</v>
      </c>
      <c r="B20" s="2"/>
      <c r="C20" s="2" t="s">
        <v>88</v>
      </c>
      <c r="D20" s="2" t="s">
        <v>39</v>
      </c>
      <c r="E20" s="3" t="s">
        <v>18</v>
      </c>
      <c r="F20" s="2" t="n">
        <v>4</v>
      </c>
      <c r="G20" s="6" t="n">
        <v>2</v>
      </c>
      <c r="H20" s="6" t="s">
        <v>33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89</v>
      </c>
      <c r="N20" s="3" t="s">
        <v>90</v>
      </c>
      <c r="O20" s="3" t="s">
        <v>91</v>
      </c>
      <c r="P20" s="2" t="s">
        <v>37</v>
      </c>
    </row>
    <row r="21" customFormat="false" ht="35.05" hidden="false" customHeight="false" outlineLevel="0" collapsed="false">
      <c r="A21" s="2" t="n">
        <v>20</v>
      </c>
      <c r="B21" s="2"/>
      <c r="C21" s="2" t="s">
        <v>92</v>
      </c>
      <c r="D21" s="2" t="s">
        <v>39</v>
      </c>
      <c r="E21" s="3" t="s">
        <v>18</v>
      </c>
      <c r="F21" s="2" t="n">
        <v>4</v>
      </c>
      <c r="G21" s="6" t="n">
        <v>2</v>
      </c>
      <c r="H21" s="6" t="s">
        <v>33</v>
      </c>
      <c r="I21" s="5" t="n">
        <v>0</v>
      </c>
      <c r="J21" s="5" t="n">
        <v>0</v>
      </c>
      <c r="K21" s="5" t="n">
        <f aca="false">MIN(5,MAX(G21+I21,J21))</f>
        <v>2</v>
      </c>
      <c r="L21" s="5" t="n">
        <f aca="false">F21*K21</f>
        <v>8</v>
      </c>
      <c r="M21" s="3" t="s">
        <v>93</v>
      </c>
      <c r="N21" s="3" t="s">
        <v>94</v>
      </c>
      <c r="O21" s="3" t="s">
        <v>95</v>
      </c>
      <c r="P21" s="2" t="s">
        <v>23</v>
      </c>
    </row>
    <row r="22" customFormat="false" ht="57.45" hidden="false" customHeight="false" outlineLevel="0" collapsed="false">
      <c r="A22" s="2" t="n">
        <v>21</v>
      </c>
      <c r="B22" s="2"/>
      <c r="C22" s="2" t="s">
        <v>96</v>
      </c>
      <c r="D22" s="2" t="s">
        <v>39</v>
      </c>
      <c r="E22" s="3" t="s">
        <v>18</v>
      </c>
      <c r="F22" s="2" t="n">
        <v>4</v>
      </c>
      <c r="G22" s="4" t="n">
        <v>3</v>
      </c>
      <c r="H22" s="4" t="s">
        <v>19</v>
      </c>
      <c r="I22" s="5" t="n">
        <v>0</v>
      </c>
      <c r="J22" s="5" t="n">
        <v>0</v>
      </c>
      <c r="K22" s="5" t="n">
        <f aca="false">MIN(5,MAX(G22+I22,J22))</f>
        <v>3</v>
      </c>
      <c r="L22" s="5" t="n">
        <f aca="false">F22*K22</f>
        <v>12</v>
      </c>
      <c r="M22" s="3" t="s">
        <v>97</v>
      </c>
      <c r="N22" s="3" t="s">
        <v>98</v>
      </c>
      <c r="O22" s="3" t="s">
        <v>99</v>
      </c>
      <c r="P22" s="2" t="s">
        <v>23</v>
      </c>
    </row>
    <row r="23" customFormat="false" ht="46.25" hidden="false" customHeight="false" outlineLevel="0" collapsed="false">
      <c r="A23" s="2" t="n">
        <v>22</v>
      </c>
      <c r="B23" s="2"/>
      <c r="C23" s="2" t="s">
        <v>100</v>
      </c>
      <c r="D23" s="2" t="s">
        <v>39</v>
      </c>
      <c r="E23" s="3" t="s">
        <v>18</v>
      </c>
      <c r="F23" s="2" t="n">
        <v>4</v>
      </c>
      <c r="G23" s="4" t="n">
        <v>3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3</v>
      </c>
      <c r="L23" s="5" t="n">
        <f aca="false">F23*K23</f>
        <v>12</v>
      </c>
      <c r="M23" s="3" t="s">
        <v>101</v>
      </c>
      <c r="N23" s="3" t="s">
        <v>102</v>
      </c>
      <c r="O23" s="3" t="s">
        <v>27</v>
      </c>
      <c r="P23" s="2" t="s">
        <v>23</v>
      </c>
    </row>
    <row r="24" customFormat="false" ht="57.45" hidden="false" customHeight="false" outlineLevel="0" collapsed="false">
      <c r="A24" s="2" t="n">
        <v>23</v>
      </c>
      <c r="B24" s="2"/>
      <c r="C24" s="2" t="s">
        <v>103</v>
      </c>
      <c r="D24" s="2" t="s">
        <v>39</v>
      </c>
      <c r="E24" s="3" t="s">
        <v>18</v>
      </c>
      <c r="F24" s="2" t="n">
        <v>4</v>
      </c>
      <c r="G24" s="4" t="n">
        <v>3</v>
      </c>
      <c r="H24" s="4" t="s">
        <v>19</v>
      </c>
      <c r="I24" s="5" t="n">
        <v>0</v>
      </c>
      <c r="J24" s="5" t="n">
        <v>0</v>
      </c>
      <c r="K24" s="5" t="n">
        <f aca="false">MIN(5,MAX(G24+I24,J24))</f>
        <v>3</v>
      </c>
      <c r="L24" s="5" t="n">
        <f aca="false">F24*K24</f>
        <v>12</v>
      </c>
      <c r="M24" s="3" t="s">
        <v>104</v>
      </c>
      <c r="N24" s="3" t="s">
        <v>105</v>
      </c>
      <c r="O24" s="3" t="s">
        <v>22</v>
      </c>
      <c r="P24" s="2" t="s">
        <v>23</v>
      </c>
    </row>
    <row r="25" customFormat="false" ht="68.65" hidden="false" customHeight="false" outlineLevel="0" collapsed="false">
      <c r="A25" s="2" t="n">
        <v>24</v>
      </c>
      <c r="B25" s="2"/>
      <c r="C25" s="2" t="s">
        <v>106</v>
      </c>
      <c r="D25" s="2" t="s">
        <v>39</v>
      </c>
      <c r="E25" s="3" t="s">
        <v>18</v>
      </c>
      <c r="F25" s="2" t="n">
        <v>4</v>
      </c>
      <c r="G25" s="4" t="n">
        <v>3</v>
      </c>
      <c r="H25" s="4" t="s">
        <v>19</v>
      </c>
      <c r="I25" s="5" t="n">
        <v>0</v>
      </c>
      <c r="J25" s="5" t="n">
        <v>0</v>
      </c>
      <c r="K25" s="5" t="n">
        <f aca="false">MIN(5,MAX(G25+I25,J25))</f>
        <v>3</v>
      </c>
      <c r="L25" s="5" t="n">
        <f aca="false">F25*K25</f>
        <v>12</v>
      </c>
      <c r="M25" s="3" t="s">
        <v>107</v>
      </c>
      <c r="N25" s="3" t="s">
        <v>108</v>
      </c>
      <c r="O25" s="3" t="s">
        <v>109</v>
      </c>
      <c r="P25" s="2" t="s">
        <v>23</v>
      </c>
    </row>
    <row r="26" customFormat="false" ht="57.45" hidden="false" customHeight="false" outlineLevel="0" collapsed="false">
      <c r="A26" s="2" t="n">
        <v>25</v>
      </c>
      <c r="B26" s="2"/>
      <c r="C26" s="2" t="s">
        <v>110</v>
      </c>
      <c r="D26" s="2" t="s">
        <v>39</v>
      </c>
      <c r="E26" s="3" t="s">
        <v>18</v>
      </c>
      <c r="F26" s="2" t="n">
        <v>4</v>
      </c>
      <c r="G26" s="4" t="n">
        <v>3</v>
      </c>
      <c r="H26" s="4" t="s">
        <v>19</v>
      </c>
      <c r="I26" s="5" t="n">
        <v>0</v>
      </c>
      <c r="J26" s="5" t="n">
        <v>0</v>
      </c>
      <c r="K26" s="5" t="n">
        <f aca="false">MIN(5,MAX(G26+I26,J26))</f>
        <v>3</v>
      </c>
      <c r="L26" s="5" t="n">
        <f aca="false">F26*K26</f>
        <v>12</v>
      </c>
      <c r="M26" s="3" t="s">
        <v>111</v>
      </c>
      <c r="N26" s="3" t="s">
        <v>112</v>
      </c>
      <c r="O26" s="3" t="s">
        <v>22</v>
      </c>
      <c r="P26" s="2" t="s">
        <v>23</v>
      </c>
    </row>
    <row r="27" customFormat="false" ht="46.25" hidden="false" customHeight="false" outlineLevel="0" collapsed="false">
      <c r="A27" s="2" t="n">
        <v>26</v>
      </c>
      <c r="B27" s="2"/>
      <c r="C27" s="2" t="s">
        <v>113</v>
      </c>
      <c r="D27" s="2" t="s">
        <v>39</v>
      </c>
      <c r="E27" s="3" t="s">
        <v>18</v>
      </c>
      <c r="F27" s="2" t="n">
        <v>4</v>
      </c>
      <c r="G27" s="6" t="n">
        <v>2</v>
      </c>
      <c r="H27" s="6" t="s">
        <v>33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114</v>
      </c>
      <c r="N27" s="3" t="s">
        <v>115</v>
      </c>
      <c r="O27" s="3" t="s">
        <v>57</v>
      </c>
      <c r="P27" s="2" t="s">
        <v>23</v>
      </c>
    </row>
    <row r="28" customFormat="false" ht="57.45" hidden="false" customHeight="false" outlineLevel="0" collapsed="false">
      <c r="A28" s="2" t="n">
        <v>27</v>
      </c>
      <c r="B28" s="2"/>
      <c r="C28" s="2" t="s">
        <v>116</v>
      </c>
      <c r="D28" s="2" t="s">
        <v>39</v>
      </c>
      <c r="E28" s="3" t="s">
        <v>18</v>
      </c>
      <c r="F28" s="2" t="n">
        <v>4</v>
      </c>
      <c r="G28" s="4" t="n">
        <v>3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3</v>
      </c>
      <c r="L28" s="5" t="n">
        <f aca="false">F28*K28</f>
        <v>12</v>
      </c>
      <c r="M28" s="3" t="s">
        <v>117</v>
      </c>
      <c r="N28" s="3" t="s">
        <v>118</v>
      </c>
      <c r="O28" s="3" t="s">
        <v>119</v>
      </c>
      <c r="P28" s="2" t="s">
        <v>23</v>
      </c>
    </row>
    <row r="29" customFormat="false" ht="57.45" hidden="false" customHeight="false" outlineLevel="0" collapsed="false">
      <c r="A29" s="2" t="n">
        <v>28</v>
      </c>
      <c r="B29" s="2"/>
      <c r="C29" s="2" t="s">
        <v>120</v>
      </c>
      <c r="D29" s="2" t="s">
        <v>39</v>
      </c>
      <c r="E29" s="3" t="s">
        <v>18</v>
      </c>
      <c r="F29" s="2" t="n">
        <v>4</v>
      </c>
      <c r="G29" s="4" t="n">
        <v>3</v>
      </c>
      <c r="H29" s="4" t="s">
        <v>19</v>
      </c>
      <c r="I29" s="5" t="n">
        <v>0</v>
      </c>
      <c r="J29" s="5" t="n">
        <v>0</v>
      </c>
      <c r="K29" s="5" t="n">
        <f aca="false">MIN(5,MAX(G29+I29,J29))</f>
        <v>3</v>
      </c>
      <c r="L29" s="5" t="n">
        <f aca="false">F29*K29</f>
        <v>12</v>
      </c>
      <c r="M29" s="3" t="s">
        <v>121</v>
      </c>
      <c r="N29" s="3" t="s">
        <v>122</v>
      </c>
      <c r="O29" s="3" t="s">
        <v>31</v>
      </c>
      <c r="P29" s="2" t="s">
        <v>23</v>
      </c>
    </row>
    <row r="30" customFormat="false" ht="46.25" hidden="false" customHeight="false" outlineLevel="0" collapsed="false">
      <c r="A30" s="2" t="n">
        <v>29</v>
      </c>
      <c r="B30" s="2"/>
      <c r="C30" s="2" t="s">
        <v>123</v>
      </c>
      <c r="D30" s="2" t="s">
        <v>39</v>
      </c>
      <c r="E30" s="3" t="s">
        <v>18</v>
      </c>
      <c r="F30" s="2" t="n">
        <v>4</v>
      </c>
      <c r="G30" s="4" t="n">
        <v>3</v>
      </c>
      <c r="H30" s="4" t="s">
        <v>19</v>
      </c>
      <c r="I30" s="5" t="n">
        <v>0</v>
      </c>
      <c r="J30" s="5" t="n">
        <v>0</v>
      </c>
      <c r="K30" s="5" t="n">
        <f aca="false">MIN(5,MAX(G30+I30,J30))</f>
        <v>3</v>
      </c>
      <c r="L30" s="5" t="n">
        <f aca="false">F30*K30</f>
        <v>12</v>
      </c>
      <c r="M30" s="3" t="s">
        <v>124</v>
      </c>
      <c r="N30" s="3" t="s">
        <v>125</v>
      </c>
      <c r="O30" s="3" t="s">
        <v>126</v>
      </c>
      <c r="P30" s="2" t="s">
        <v>23</v>
      </c>
    </row>
    <row r="31" customFormat="false" ht="46.25" hidden="false" customHeight="false" outlineLevel="0" collapsed="false">
      <c r="A31" s="2" t="n">
        <v>30</v>
      </c>
      <c r="B31" s="2"/>
      <c r="C31" s="2" t="s">
        <v>127</v>
      </c>
      <c r="D31" s="2" t="s">
        <v>39</v>
      </c>
      <c r="E31" s="3" t="s">
        <v>18</v>
      </c>
      <c r="F31" s="2" t="n">
        <v>4</v>
      </c>
      <c r="G31" s="6" t="n">
        <v>2</v>
      </c>
      <c r="H31" s="6" t="s">
        <v>33</v>
      </c>
      <c r="I31" s="5" t="n">
        <v>0</v>
      </c>
      <c r="J31" s="5" t="n">
        <v>0</v>
      </c>
      <c r="K31" s="5" t="n">
        <f aca="false">MIN(5,MAX(G31+I31,J31))</f>
        <v>2</v>
      </c>
      <c r="L31" s="5" t="n">
        <f aca="false">F31*K31</f>
        <v>8</v>
      </c>
      <c r="M31" s="3" t="s">
        <v>128</v>
      </c>
      <c r="N31" s="3" t="s">
        <v>129</v>
      </c>
      <c r="O31" s="3" t="s">
        <v>73</v>
      </c>
      <c r="P31" s="2" t="s">
        <v>37</v>
      </c>
    </row>
    <row r="32" customFormat="false" ht="46.25" hidden="false" customHeight="false" outlineLevel="0" collapsed="false">
      <c r="A32" s="2" t="n">
        <v>31</v>
      </c>
      <c r="B32" s="2"/>
      <c r="C32" s="2" t="s">
        <v>130</v>
      </c>
      <c r="D32" s="2" t="s">
        <v>39</v>
      </c>
      <c r="E32" s="3" t="s">
        <v>18</v>
      </c>
      <c r="F32" s="2" t="n">
        <v>4</v>
      </c>
      <c r="G32" s="4" t="n">
        <v>3</v>
      </c>
      <c r="H32" s="4" t="s">
        <v>19</v>
      </c>
      <c r="I32" s="5" t="n">
        <v>0</v>
      </c>
      <c r="J32" s="5" t="n">
        <v>0</v>
      </c>
      <c r="K32" s="5" t="n">
        <f aca="false">MIN(5,MAX(G32+I32,J32))</f>
        <v>3</v>
      </c>
      <c r="L32" s="5" t="n">
        <f aca="false">F32*K32</f>
        <v>12</v>
      </c>
      <c r="M32" s="3" t="s">
        <v>131</v>
      </c>
      <c r="N32" s="3" t="s">
        <v>132</v>
      </c>
      <c r="O32" s="3" t="s">
        <v>133</v>
      </c>
      <c r="P32" s="2" t="s">
        <v>23</v>
      </c>
    </row>
    <row r="33" customFormat="false" ht="46.25" hidden="false" customHeight="false" outlineLevel="0" collapsed="false">
      <c r="A33" s="2" t="n">
        <v>32</v>
      </c>
      <c r="B33" s="2"/>
      <c r="C33" s="2" t="s">
        <v>134</v>
      </c>
      <c r="D33" s="2" t="s">
        <v>39</v>
      </c>
      <c r="E33" s="3" t="s">
        <v>18</v>
      </c>
      <c r="F33" s="2" t="n">
        <v>4</v>
      </c>
      <c r="G33" s="4" t="n">
        <v>3</v>
      </c>
      <c r="H33" s="4" t="s">
        <v>19</v>
      </c>
      <c r="I33" s="5" t="n">
        <v>0</v>
      </c>
      <c r="J33" s="5" t="n">
        <v>0</v>
      </c>
      <c r="K33" s="5" t="n">
        <f aca="false">MIN(5,MAX(G33+I33,J33))</f>
        <v>3</v>
      </c>
      <c r="L33" s="5" t="n">
        <f aca="false">F33*K33</f>
        <v>12</v>
      </c>
      <c r="M33" s="3" t="s">
        <v>135</v>
      </c>
      <c r="N33" s="3" t="s">
        <v>136</v>
      </c>
      <c r="O33" s="3" t="s">
        <v>137</v>
      </c>
      <c r="P33" s="2" t="s">
        <v>23</v>
      </c>
    </row>
    <row r="34" customFormat="false" ht="57.45" hidden="false" customHeight="false" outlineLevel="0" collapsed="false">
      <c r="A34" s="2" t="n">
        <v>33</v>
      </c>
      <c r="B34" s="2"/>
      <c r="C34" s="2" t="s">
        <v>138</v>
      </c>
      <c r="D34" s="2" t="s">
        <v>39</v>
      </c>
      <c r="E34" s="3" t="s">
        <v>18</v>
      </c>
      <c r="F34" s="2" t="n">
        <v>4</v>
      </c>
      <c r="G34" s="4" t="n">
        <v>3</v>
      </c>
      <c r="H34" s="4" t="s">
        <v>19</v>
      </c>
      <c r="I34" s="5" t="n">
        <v>0</v>
      </c>
      <c r="J34" s="5" t="n">
        <v>0</v>
      </c>
      <c r="K34" s="5" t="n">
        <f aca="false">MIN(5,MAX(G34+I34,J34))</f>
        <v>3</v>
      </c>
      <c r="L34" s="5" t="n">
        <f aca="false">F34*K34</f>
        <v>12</v>
      </c>
      <c r="M34" s="3" t="s">
        <v>139</v>
      </c>
      <c r="N34" s="3" t="s">
        <v>140</v>
      </c>
      <c r="O34" s="3" t="s">
        <v>42</v>
      </c>
      <c r="P34" s="2" t="s">
        <v>23</v>
      </c>
    </row>
    <row r="35" customFormat="false" ht="57.45" hidden="false" customHeight="false" outlineLevel="0" collapsed="false">
      <c r="A35" s="2" t="n">
        <v>34</v>
      </c>
      <c r="B35" s="2"/>
      <c r="C35" s="2" t="s">
        <v>141</v>
      </c>
      <c r="D35" s="2" t="s">
        <v>39</v>
      </c>
      <c r="E35" s="3" t="s">
        <v>18</v>
      </c>
      <c r="F35" s="2" t="n">
        <v>4</v>
      </c>
      <c r="G35" s="4" t="n">
        <v>3</v>
      </c>
      <c r="H35" s="4" t="s">
        <v>19</v>
      </c>
      <c r="I35" s="5" t="n">
        <v>0</v>
      </c>
      <c r="J35" s="5" t="n">
        <v>0</v>
      </c>
      <c r="K35" s="5" t="n">
        <f aca="false">MIN(5,MAX(G35+I35,J35))</f>
        <v>3</v>
      </c>
      <c r="L35" s="5" t="n">
        <f aca="false">F35*K35</f>
        <v>12</v>
      </c>
      <c r="M35" s="3" t="s">
        <v>142</v>
      </c>
      <c r="N35" s="3" t="s">
        <v>143</v>
      </c>
      <c r="O35" s="3" t="s">
        <v>36</v>
      </c>
      <c r="P35" s="2" t="s">
        <v>23</v>
      </c>
    </row>
    <row r="36" customFormat="false" ht="46.25" hidden="false" customHeight="false" outlineLevel="0" collapsed="false">
      <c r="A36" s="2" t="n">
        <v>35</v>
      </c>
      <c r="B36" s="2"/>
      <c r="C36" s="2" t="s">
        <v>144</v>
      </c>
      <c r="D36" s="2" t="s">
        <v>39</v>
      </c>
      <c r="E36" s="3" t="s">
        <v>18</v>
      </c>
      <c r="F36" s="2" t="n">
        <v>4</v>
      </c>
      <c r="G36" s="4" t="n">
        <v>3</v>
      </c>
      <c r="H36" s="4" t="s">
        <v>19</v>
      </c>
      <c r="I36" s="5" t="n">
        <v>0</v>
      </c>
      <c r="J36" s="5" t="n">
        <v>0</v>
      </c>
      <c r="K36" s="5" t="n">
        <f aca="false">MIN(5,MAX(G36+I36,J36))</f>
        <v>3</v>
      </c>
      <c r="L36" s="5" t="n">
        <f aca="false">F36*K36</f>
        <v>12</v>
      </c>
      <c r="M36" s="3" t="s">
        <v>145</v>
      </c>
      <c r="N36" s="3" t="s">
        <v>146</v>
      </c>
      <c r="O36" s="3" t="s">
        <v>147</v>
      </c>
      <c r="P36" s="2" t="s">
        <v>23</v>
      </c>
    </row>
    <row r="37" customFormat="false" ht="46.25" hidden="false" customHeight="false" outlineLevel="0" collapsed="false">
      <c r="A37" s="2" t="n">
        <v>36</v>
      </c>
      <c r="B37" s="2"/>
      <c r="C37" s="2" t="s">
        <v>148</v>
      </c>
      <c r="D37" s="2" t="s">
        <v>39</v>
      </c>
      <c r="E37" s="3" t="s">
        <v>18</v>
      </c>
      <c r="F37" s="2" t="n">
        <v>4</v>
      </c>
      <c r="G37" s="6" t="n">
        <v>2</v>
      </c>
      <c r="H37" s="6" t="s">
        <v>33</v>
      </c>
      <c r="I37" s="5" t="n">
        <v>0</v>
      </c>
      <c r="J37" s="5" t="n">
        <v>0</v>
      </c>
      <c r="K37" s="5" t="n">
        <f aca="false">MIN(5,MAX(G37+I37,J37))</f>
        <v>2</v>
      </c>
      <c r="L37" s="5" t="n">
        <f aca="false">F37*K37</f>
        <v>8</v>
      </c>
      <c r="M37" s="3" t="s">
        <v>149</v>
      </c>
      <c r="N37" s="3" t="s">
        <v>150</v>
      </c>
      <c r="O37" s="3" t="s">
        <v>151</v>
      </c>
      <c r="P37" s="2" t="s">
        <v>23</v>
      </c>
    </row>
    <row r="38" customFormat="false" ht="46.25" hidden="false" customHeight="false" outlineLevel="0" collapsed="false">
      <c r="A38" s="2" t="n">
        <v>37</v>
      </c>
      <c r="B38" s="2"/>
      <c r="C38" s="2" t="s">
        <v>152</v>
      </c>
      <c r="D38" s="2" t="s">
        <v>39</v>
      </c>
      <c r="E38" s="3" t="s">
        <v>18</v>
      </c>
      <c r="F38" s="2" t="n">
        <v>4</v>
      </c>
      <c r="G38" s="4" t="n">
        <v>3</v>
      </c>
      <c r="H38" s="4" t="s">
        <v>19</v>
      </c>
      <c r="I38" s="5" t="n">
        <v>0</v>
      </c>
      <c r="J38" s="5" t="n">
        <v>0</v>
      </c>
      <c r="K38" s="5" t="n">
        <f aca="false">MIN(5,MAX(G38+I38,J38))</f>
        <v>3</v>
      </c>
      <c r="L38" s="5" t="n">
        <f aca="false">F38*K38</f>
        <v>12</v>
      </c>
      <c r="M38" s="3" t="s">
        <v>153</v>
      </c>
      <c r="N38" s="3" t="s">
        <v>154</v>
      </c>
      <c r="O38" s="3" t="s">
        <v>27</v>
      </c>
      <c r="P38" s="2" t="s">
        <v>23</v>
      </c>
    </row>
    <row r="40" customFormat="false" ht="15" hidden="false" customHeight="false" outlineLevel="0" collapsed="false">
      <c r="A40" s="7" t="s">
        <v>155</v>
      </c>
    </row>
  </sheetData>
  <autoFilter ref="A1:P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156</v>
      </c>
    </row>
    <row r="2" customFormat="false" ht="15" hidden="false" customHeight="false" outlineLevel="0" collapsed="false">
      <c r="A2" s="7" t="s">
        <v>157</v>
      </c>
    </row>
    <row r="4" customFormat="false" ht="15" hidden="false" customHeight="false" outlineLevel="0" collapsed="false">
      <c r="A4" s="1" t="s">
        <v>6</v>
      </c>
      <c r="B4" s="1" t="s">
        <v>158</v>
      </c>
      <c r="C4" s="1" t="s">
        <v>159</v>
      </c>
      <c r="D4" s="1" t="s">
        <v>5</v>
      </c>
      <c r="E4" s="1" t="s">
        <v>160</v>
      </c>
    </row>
    <row r="5" customFormat="false" ht="15" hidden="false" customHeight="false" outlineLevel="0" collapsed="false">
      <c r="A5" s="9" t="n">
        <v>0</v>
      </c>
      <c r="B5" s="9" t="s">
        <v>161</v>
      </c>
      <c r="C5" s="9" t="n">
        <f aca="false">COUNTIF(Evaluation!$G$2:$G$38,A5)</f>
        <v>0</v>
      </c>
      <c r="D5" s="9" t="n">
        <f aca="false">SUMIF(Evaluation!$G$2:$G$38,A5,Evaluation!$F$2:$F$38)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162</v>
      </c>
      <c r="C6" s="11" t="n">
        <f aca="false">COUNTIF(Evaluation!$G$2:$G$38,A6)</f>
        <v>0</v>
      </c>
      <c r="D6" s="11" t="n">
        <f aca="false">SUMIF(Evaluation!$G$2:$G$38,A6,Evaluation!$F$2:$F$38)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33</v>
      </c>
      <c r="C7" s="13" t="n">
        <f aca="false">COUNTIF(Evaluation!$G$2:$G$38,A7)</f>
        <v>10</v>
      </c>
      <c r="D7" s="13" t="n">
        <f aca="false">SUMIF(Evaluation!$G$2:$G$38,A7,Evaluation!$F$2:$F$38)</f>
        <v>39</v>
      </c>
      <c r="E7" s="14" t="n">
        <f aca="false">IF(SUM($D$5:$D$10)=0,0,D7/SUM($D$5:$D$10))</f>
        <v>0.270833333333333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COUNTIF(Evaluation!$G$2:$G$38,A8)</f>
        <v>27</v>
      </c>
      <c r="D8" s="15" t="n">
        <f aca="false">SUMIF(Evaluation!$G$2:$G$38,A8,Evaluation!$F$2:$F$38)</f>
        <v>105</v>
      </c>
      <c r="E8" s="16" t="n">
        <f aca="false">IF(SUM($D$5:$D$10)=0,0,D8/SUM($D$5:$D$10))</f>
        <v>0.729166666666667</v>
      </c>
    </row>
    <row r="9" customFormat="false" ht="15" hidden="false" customHeight="false" outlineLevel="0" collapsed="false">
      <c r="A9" s="17" t="n">
        <v>4</v>
      </c>
      <c r="B9" s="17" t="s">
        <v>163</v>
      </c>
      <c r="C9" s="17" t="n">
        <f aca="false">COUNTIF(Evaluation!$G$2:$G$38,A9)</f>
        <v>0</v>
      </c>
      <c r="D9" s="17" t="n">
        <f aca="false">SUMIF(Evaluation!$G$2:$G$38,A9,Evaluation!$F$2:$F$38)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164</v>
      </c>
      <c r="C10" s="19" t="n">
        <f aca="false">COUNTIF(Evaluation!$G$2:$G$38,A10)</f>
        <v>0</v>
      </c>
      <c r="D10" s="19" t="n">
        <f aca="false">SUMIF(Evaluation!$G$2:$G$38,A10,Evaluation!$F$2:$F$38)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165</v>
      </c>
      <c r="C11" s="21" t="n">
        <f aca="false">SUM(C5:C10)</f>
        <v>37</v>
      </c>
      <c r="D11" s="21" t="n">
        <f aca="false">SUM(D5:D10)</f>
        <v>144</v>
      </c>
    </row>
    <row r="13" customFormat="false" ht="46.25" hidden="false" customHeight="false" outlineLevel="0" collapsed="false">
      <c r="A13" s="1" t="s">
        <v>166</v>
      </c>
      <c r="B13" s="1" t="s">
        <v>167</v>
      </c>
      <c r="C13" s="1" t="s">
        <v>168</v>
      </c>
      <c r="D13" s="1" t="s">
        <v>5</v>
      </c>
      <c r="E13" s="1" t="s">
        <v>169</v>
      </c>
    </row>
    <row r="14" customFormat="false" ht="15" hidden="false" customHeight="false" outlineLevel="0" collapsed="false">
      <c r="A14" s="21" t="s">
        <v>170</v>
      </c>
      <c r="B14" s="22" t="n">
        <f aca="false">SUM(Evaluation!$L$2:$L$38)/SUM(Evaluation!$F$2:$F$38)</f>
        <v>2.72916666666667</v>
      </c>
      <c r="C14" s="22" t="n">
        <f aca="false">SUMPRODUCT(Evaluation!$F$2:$F$38,Evaluation!$G$2:$G$38)/SUM(Evaluation!$F$2:$F$38)</f>
        <v>2.72916666666667</v>
      </c>
      <c r="D14" s="21" t="n">
        <f aca="false">SUM(Evaluation!$F$2:$F$38)</f>
        <v>144</v>
      </c>
      <c r="E14" s="22" t="n">
        <f aca="false">AVERAGE(Evaluation!$G$2:$G$38)</f>
        <v>2.72972972972973</v>
      </c>
    </row>
    <row r="16" customFormat="false" ht="15" hidden="false" customHeight="false" outlineLevel="0" collapsed="false">
      <c r="A16" s="7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172</v>
      </c>
    </row>
    <row r="3" customFormat="false" ht="23.85" hidden="false" customHeight="false" outlineLevel="0" collapsed="false">
      <c r="A3" s="1" t="s">
        <v>173</v>
      </c>
      <c r="B3" s="1" t="s">
        <v>174</v>
      </c>
      <c r="C3" s="1" t="s">
        <v>169</v>
      </c>
      <c r="D3" s="1" t="s">
        <v>175</v>
      </c>
      <c r="E3" s="1" t="s">
        <v>176</v>
      </c>
      <c r="F3" s="1" t="s">
        <v>177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178</v>
      </c>
      <c r="B9" s="22" t="n">
        <f aca="false">Summary!B14</f>
        <v>2.72916666666667</v>
      </c>
      <c r="C9" s="22" t="n">
        <f aca="false">Summary!E14</f>
        <v>2.72972972972973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2026-10-19T00:04:46Z</dcterms:created>
  <dc:creator>openpyxl</dc:creator>
  <dc:description/>
  <dc:language>en-US</dc:language>
  <cp:lastModifiedBy/>
  <dcterms:modified xsi:type="dcterms:W3CDTF">2026-10-19T00:04:46Z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