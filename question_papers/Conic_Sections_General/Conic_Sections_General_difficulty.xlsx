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<sst xmlns="http://schemas.openxmlformats.org/spreadsheetml/2006/main" count="95" uniqueCount="70">
  <si>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</si>
  <si>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</si>
  <si>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</si>
  <si>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</si>
  <si>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</si>
  <si>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</si>
  <si>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</si>
  <si>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</si>
  <si>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</si>
  <si>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</si>
  <si>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</si>
  <si>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</si>
  <si>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</si>
  <si>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</si>
  <si>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</si>
  <si>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</si>
  <si>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</si>
  <si>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Numerical</t>
  </si>
  <si>
    <t xml:space="preserve">Conic Sections (General)</t>
  </si>
  <si>
    <t xml:space="preserve">Easier than Advanced</t>
  </si>
  <si>
    <t xml:space="preserve">Apply PS = e.PM at both points, split |4-d| = (5/4)|d| into two cases and keep the one with e &lt; 1.</t>
  </si>
  <si>
    <t xml:space="preserve">A routine chain: two focus-directrix equations, a two-case absolute-value split, then the vertex. The rejection of the hyperbola case is the only decision. Lighter than 2024-P1-Q4 (L2) in execution; numerical format keeps it at 2.</t>
  </si>
  <si>
    <t xml:space="preserve">2024-P1-Q4 (L2)</t>
  </si>
  <si>
    <t xml:space="preserve">High</t>
  </si>
  <si>
    <t xml:space="preserve">Q02</t>
  </si>
  <si>
    <t xml:space="preserve">Average Advanced</t>
  </si>
  <si>
    <t xml:space="preserve">Turn both classifications into 100 &lt; p^2 + q^2 &lt; 400 (excluding both degenerate boundaries) and count lattice points exactly.</t>
  </si>
  <si>
    <t xml:space="preserve">Two ideas linked: the triangle-inequality classification of focal-sum and focal-difference loci (with the degenerate equality cases), then an exact lattice count with no options, where a boundary slip changes the answer. Similar counting demand to 2026-P1-Q11 (L3).</t>
  </si>
  <si>
    <t xml:space="preserve">2026-P1-Q11 (L3)</t>
  </si>
  <si>
    <t xml:space="preserve">Medium</t>
  </si>
  <si>
    <t xml:space="preserve">Q03</t>
  </si>
  <si>
    <t xml:space="preserve">Equate the two tangency conditions to get 9m^2 + 4km + 4 = 0 and require a double root, remembering k &lt; 0 as well.</t>
  </si>
  <si>
    <t xml:space="preserve">Routine chain of standard tangency conditions; the only decision is reading 'exactly two' as a double root and not forgetting the negative k. Like 2024-P2-Q7 (L2) in demand.</t>
  </si>
  <si>
    <t xml:space="preserve">2024-P2-Q7 (L2)</t>
  </si>
  <si>
    <t xml:space="preserve">Q04</t>
  </si>
  <si>
    <t xml:space="preserve">Recognise the centre as the focus so that the tangency condition becomes sqrt(1+m^2)/|m| = sqrt5, then use the radius-tangent right angle for the kite.</t>
  </si>
  <si>
    <t xml:space="preserve">Two ideas linked (slope-form tangency with a circle by distance, then the tangent-normal right angle and tangent length) in numerical format. Nearest is 2023-P1-Q2 (L3), common tangents of two conics with an area; slightly lighter algebra here, so Medium confidence.</t>
  </si>
  <si>
    <t xml:space="preserve">2023-P1-Q2 (L3)</t>
  </si>
  <si>
    <t xml:space="preserve">Q05</t>
  </si>
  <si>
    <t xml:space="preserve">Write P2 as y^2 = -4b(x - b) from the shared focus, subtract to get the chord x = b - 1, and use its length 4 sqrt b.</t>
  </si>
  <si>
    <t xml:space="preserve">Routine three-step chain: focus of a shifted parabola, family with the same focus, common chord by subtraction. No insight beyond the set-up. Like 2026-P2-Q2 (L2).</t>
  </si>
  <si>
    <t xml:space="preserve">2026-P2-Q2 (L2)</t>
  </si>
  <si>
    <t xml:space="preserve">Q06</t>
  </si>
  <si>
    <t xml:space="preserve">Use the common normal at a contact point: the centre (h,0) lies on the normal at the point with x0 = h/e^2, which gives each radius; then subtract the circle equations.</t>
  </si>
  <si>
    <t xml:space="preserve">Two ideas linked: the normal of an ellipse meeting the axis at e^2 x0 (via the common normal of circle and ellipse), then the common chord of two circles and its length, in numerical form with exact fractions. Comparable to 2023-P2-Q13 in style but with a more familiar key step, so 3; nearest 2023-P1-Q2 (L3).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</si>
  <si>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</si>
  <si>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</si>
  <si>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Conic Sections General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</si>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</sst>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4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8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4</v>
      </c>
      <c r="G3" s="6" t="n">
        <v>3</v>
      </c>
      <c r="H3" s="6" t="s">
        <v>25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12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35.0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4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8</v>
      </c>
      <c r="M4" s="3" t="s">
        <v>31</v>
      </c>
      <c r="N4" s="3" t="s">
        <v>32</v>
      </c>
      <c r="O4" s="3" t="s">
        <v>33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4</v>
      </c>
      <c r="G5" s="6" t="n">
        <v>3</v>
      </c>
      <c r="H5" s="6" t="s">
        <v>25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12</v>
      </c>
      <c r="M5" s="3" t="s">
        <v>35</v>
      </c>
      <c r="N5" s="3" t="s">
        <v>36</v>
      </c>
      <c r="O5" s="3" t="s">
        <v>37</v>
      </c>
      <c r="P5" s="2" t="s">
        <v>29</v>
      </c>
    </row>
    <row r="6" customFormat="false" ht="35.05" hidden="false" customHeight="false" outlineLevel="0" collapsed="false">
      <c r="A6" s="2" t="n">
        <v>5</v>
      </c>
      <c r="B6" s="2"/>
      <c r="C6" s="2" t="s">
        <v>38</v>
      </c>
      <c r="D6" s="2" t="s">
        <v>17</v>
      </c>
      <c r="E6" s="3" t="s">
        <v>18</v>
      </c>
      <c r="F6" s="2" t="n">
        <v>4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8</v>
      </c>
      <c r="M6" s="3" t="s">
        <v>39</v>
      </c>
      <c r="N6" s="3" t="s">
        <v>40</v>
      </c>
      <c r="O6" s="3" t="s">
        <v>41</v>
      </c>
      <c r="P6" s="2" t="s">
        <v>23</v>
      </c>
    </row>
    <row r="7" customFormat="false" ht="57.45" hidden="false" customHeight="false" outlineLevel="0" collapsed="false">
      <c r="A7" s="2" t="n">
        <v>6</v>
      </c>
      <c r="B7" s="2"/>
      <c r="C7" s="2" t="s">
        <v>42</v>
      </c>
      <c r="D7" s="2" t="s">
        <v>17</v>
      </c>
      <c r="E7" s="3" t="s">
        <v>18</v>
      </c>
      <c r="F7" s="2" t="n">
        <v>4</v>
      </c>
      <c r="G7" s="6" t="n">
        <v>3</v>
      </c>
      <c r="H7" s="6" t="s">
        <v>25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43</v>
      </c>
      <c r="N7" s="3" t="s">
        <v>44</v>
      </c>
      <c r="O7" s="3" t="s">
        <v>37</v>
      </c>
      <c r="P7" s="2" t="s">
        <v>29</v>
      </c>
    </row>
    <row r="9" customFormat="false" ht="15" hidden="false" customHeight="false" outlineLevel="0" collapsed="false">
      <c r="A9" s="7" t="s">
        <v>45</v>
      </c>
    </row>
  </sheetData>
  <autoFilter ref="A1:P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46</v>
      </c>
    </row>
    <row r="2" customFormat="false" ht="15" hidden="false" customHeight="false" outlineLevel="0" collapsed="false">
      <c r="A2" s="7" t="s">
        <v>47</v>
      </c>
    </row>
    <row r="4" customFormat="false" ht="15" hidden="false" customHeight="false" outlineLevel="0" collapsed="false">
      <c r="A4" s="1" t="s">
        <v>6</v>
      </c>
      <c r="B4" s="1" t="s">
        <v>48</v>
      </c>
      <c r="C4" s="1" t="s">
        <v>49</v>
      </c>
      <c r="D4" s="1" t="s">
        <v>5</v>
      </c>
      <c r="E4" s="1" t="s">
        <v>50</v>
      </c>
    </row>
    <row r="5" customFormat="false" ht="15" hidden="false" customHeight="false" outlineLevel="0" collapsed="false">
      <c r="A5" s="9" t="n">
        <v>0</v>
      </c>
      <c r="B5" s="9" t="s">
        <v>51</v>
      </c>
      <c r="C5" s="9" t="n">
        <f aca="false">COUNTIF(Evaluation!$G$2:$G$7,A5)</f>
        <v>0</v>
      </c>
      <c r="D5" s="9" t="n">
        <f aca="false">SUMIF(Evaluation!$G$2:$G$7,A5,Evaluation!$F$2:$F$7)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52</v>
      </c>
      <c r="C6" s="11" t="n">
        <f aca="false">COUNTIF(Evaluation!$G$2:$G$7,A6)</f>
        <v>0</v>
      </c>
      <c r="D6" s="11" t="n">
        <f aca="false">SUMIF(Evaluation!$G$2:$G$7,A6,Evaluation!$F$2:$F$7)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COUNTIF(Evaluation!$G$2:$G$7,A7)</f>
        <v>3</v>
      </c>
      <c r="D7" s="13" t="n">
        <f aca="false">SUMIF(Evaluation!$G$2:$G$7,A7,Evaluation!$F$2:$F$7)</f>
        <v>12</v>
      </c>
      <c r="E7" s="14" t="n">
        <f aca="false">IF(SUM($D$5:$D$10)=0,0,D7/SUM($D$5:$D$10))</f>
        <v>0.5</v>
      </c>
    </row>
    <row r="8" customFormat="false" ht="15" hidden="false" customHeight="false" outlineLevel="0" collapsed="false">
      <c r="A8" s="15" t="n">
        <v>3</v>
      </c>
      <c r="B8" s="15" t="s">
        <v>25</v>
      </c>
      <c r="C8" s="15" t="n">
        <f aca="false">COUNTIF(Evaluation!$G$2:$G$7,A8)</f>
        <v>3</v>
      </c>
      <c r="D8" s="15" t="n">
        <f aca="false">SUMIF(Evaluation!$G$2:$G$7,A8,Evaluation!$F$2:$F$7)</f>
        <v>12</v>
      </c>
      <c r="E8" s="16" t="n">
        <f aca="false">IF(SUM($D$5:$D$10)=0,0,D8/SUM($D$5:$D$10))</f>
        <v>0.5</v>
      </c>
    </row>
    <row r="9" customFormat="false" ht="15" hidden="false" customHeight="false" outlineLevel="0" collapsed="false">
      <c r="A9" s="17" t="n">
        <v>4</v>
      </c>
      <c r="B9" s="17" t="s">
        <v>53</v>
      </c>
      <c r="C9" s="17" t="n">
        <f aca="false">COUNTIF(Evaluation!$G$2:$G$7,A9)</f>
        <v>0</v>
      </c>
      <c r="D9" s="17" t="n">
        <f aca="false">SUMIF(Evaluation!$G$2:$G$7,A9,Evaluation!$F$2:$F$7)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54</v>
      </c>
      <c r="C10" s="19" t="n">
        <f aca="false">COUNTIF(Evaluation!$G$2:$G$7,A10)</f>
        <v>0</v>
      </c>
      <c r="D10" s="19" t="n">
        <f aca="false">SUMIF(Evaluation!$G$2:$G$7,A10,Evaluation!$F$2:$F$7)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55</v>
      </c>
      <c r="C11" s="21" t="n">
        <f aca="false">SUM(C5:C10)</f>
        <v>6</v>
      </c>
      <c r="D11" s="21" t="n">
        <f aca="false">SUM(D5:D10)</f>
        <v>24</v>
      </c>
    </row>
    <row r="13" customFormat="false" ht="46.25" hidden="false" customHeight="false" outlineLevel="0" collapsed="false">
      <c r="A13" s="1" t="s">
        <v>56</v>
      </c>
      <c r="B13" s="1" t="s">
        <v>57</v>
      </c>
      <c r="C13" s="1" t="s">
        <v>58</v>
      </c>
      <c r="D13" s="1" t="s">
        <v>5</v>
      </c>
      <c r="E13" s="1" t="s">
        <v>59</v>
      </c>
    </row>
    <row r="14" customFormat="false" ht="15" hidden="false" customHeight="false" outlineLevel="0" collapsed="false">
      <c r="A14" s="21" t="s">
        <v>60</v>
      </c>
      <c r="B14" s="22" t="n">
        <f aca="false">SUM(Evaluation!$L$2:$L$7)/SUM(Evaluation!$F$2:$F$7)</f>
        <v>2.5</v>
      </c>
      <c r="C14" s="22" t="n">
        <f aca="false">SUMPRODUCT(Evaluation!$F$2:$F$7,Evaluation!$G$2:$G$7)/SUM(Evaluation!$F$2:$F$7)</f>
        <v>2.5</v>
      </c>
      <c r="D14" s="21" t="n">
        <f aca="false">SUM(Evaluation!$F$2:$F$7)</f>
        <v>24</v>
      </c>
      <c r="E14" s="22" t="n">
        <f aca="false">AVERAGE(Evaluation!$G$2:$G$7)</f>
        <v>2.5</v>
      </c>
    </row>
    <row r="16" customFormat="false" ht="15" hidden="false" customHeight="false" outlineLevel="0" collapsed="false">
      <c r="A16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62</v>
      </c>
    </row>
    <row r="3" customFormat="false" ht="23.85" hidden="false" customHeight="false" outlineLevel="0" collapsed="false">
      <c r="A3" s="1" t="s">
        <v>63</v>
      </c>
      <c r="B3" s="1" t="s">
        <v>64</v>
      </c>
      <c r="C3" s="1" t="s">
        <v>59</v>
      </c>
      <c r="D3" s="1" t="s">
        <v>65</v>
      </c>
      <c r="E3" s="1" t="s">
        <v>66</v>
      </c>
      <c r="F3" s="1" t="s">
        <v>67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68</v>
      </c>
      <c r="B9" s="22" t="n">
        <f aca="false">Summary!B14</f>
        <v>2.5</v>
      </c>
      <c r="C9" s="22" t="n">
        <f aca="false">Summary!E14</f>
        <v>2.5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2026-10-18T17:59:26Z</dcterms:created>
  <dc:creator>openpyxl</dc:creator>
  <dc:description/>
  <dc:language>en-US</dc:language>
  <cp:lastModifiedBy/>
  <dcterms:modified xsi:type="dcterms:W3CDTF">2026-10-18T17:59:26Z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