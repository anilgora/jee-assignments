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<sst xmlns="http://schemas.openxmlformats.org/spreadsheetml/2006/main" count="2194" uniqueCount="329">
  <si>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</si>
  <si>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</si>
  <si>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</si>
  <si>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</si>
  <si>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</si>
  <si>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</si>
  <si>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</si>
  <si>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</si>
  <si>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</si>
  <si>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</si>
  <si>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</si>
  <si>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Hyperbola: Introduction</t>
  </si>
  <si>
    <t xml:space="preserve">What is the condition for general equation of 2nd degree curve to represent a hyperbola?</t>
  </si>
  <si>
    <t xml:space="preserve">Original</t>
  </si>
  <si>
    <t xml:space="preserve">What is the definition of hyperbola?</t>
  </si>
  <si>
    <t xml:space="preserve">What is the equation of standard hyperbola? And what is the relation between a and b?</t>
  </si>
  <si>
    <t xml:space="preserve">Define transverse axis / conjugate axis, foci, vertices, centre, principal axes for a hyperbola.</t>
  </si>
  <si>
    <t xml:space="preserve">Define focal distance / focal radius, focal chord, double ordinate, latus rectum for a hyperbola.</t>
  </si>
  <si>
    <t xml:space="preserve">What is the formula of eccentricity?</t>
  </si>
  <si>
    <t xml:space="preserve">Write expression for b in terms of a and e.</t>
  </si>
  <si>
    <t xml:space="preserve">What are the coordinates of ends of latus rectum and length of latus rectum for standard hyperbola?</t>
  </si>
  <si>
    <t xml:space="preserve">What is the relation between length of LR, e and distance between focus and corresponding directrix for a hyperbola?</t>
  </si>
  <si>
    <t xml:space="preserve">How to find focal distance of a point on a hyperbola?</t>
  </si>
  <si>
    <t xml:space="preserve">How to check whether two hyperbolas are similar?</t>
  </si>
  <si>
    <t xml:space="preserve">Auxiliary Circle and Eccentric Angle</t>
  </si>
  <si>
    <t xml:space="preserve">Define auxiliary circle for a hyperbola.</t>
  </si>
  <si>
    <t xml:space="preserve">What is the equation of auxiliary circle for standard hyperbola?</t>
  </si>
  <si>
    <t xml:space="preserve">What are parametric coordinates of a point on standard hyperbola?</t>
  </si>
  <si>
    <t xml:space="preserve">What is eccentric angle of a point on hyperbola?</t>
  </si>
  <si>
    <t xml:space="preserve">Define corresponding points.</t>
  </si>
  <si>
    <t xml:space="preserve">Standard Hyperbolas</t>
  </si>
  <si>
    <t xml:space="preserve">What does 'everything' mean for a hyperbola?</t>
  </si>
  <si>
    <t xml:space="preserve">Rephrased</t>
  </si>
  <si>
    <t xml:space="preserve">Find everything for standard hyperbola.</t>
  </si>
  <si>
    <t xml:space="preserve">Find everything for standard hyperbola (vertical).</t>
  </si>
  <si>
    <t xml:space="preserve">Plot both types of standard hyperbola and mark everything for them.</t>
  </si>
  <si>
    <t xml:space="preserve">Find everything for hyperbola if equation is given in PS = e PM form.</t>
  </si>
  <si>
    <t xml:space="preserve">How is the equation of a shifted hyperbola represented?</t>
  </si>
  <si>
    <t xml:space="preserve">How to observe whether equation of a 2nd degree curve represents shifted hyperbola?</t>
  </si>
  <si>
    <t xml:space="preserve">Find everything for shifted hyperbola.</t>
  </si>
  <si>
    <t xml:space="preserve">How to find equation of shifted hyperbola if some details about it are given?</t>
  </si>
  <si>
    <t xml:space="preserve">What is the locus of centre of a variable circle which touches two fixed circles externally?</t>
  </si>
  <si>
    <t xml:space="preserve">Find everything for hyperbola if equation is given in |PS_1-PS_2|=2a form.</t>
  </si>
  <si>
    <t xml:space="preserve">Alternate Definition of Hyperbola</t>
  </si>
  <si>
    <t xml:space="preserve">Derive alternate definition of hyperbola.</t>
  </si>
  <si>
    <t xml:space="preserve">Find everything for hyperbola if equation is given in alternate definition form.</t>
  </si>
  <si>
    <t xml:space="preserve">Conjugate Hyperbola</t>
  </si>
  <si>
    <t xml:space="preserve">Define conjugate hyperbola.</t>
  </si>
  <si>
    <t xml:space="preserve">How to find equation of conjugate hyperbola for a standard hyperbola?</t>
  </si>
  <si>
    <t xml:space="preserve">What is the relation between eccentricities of a hyperbola and its conjugate hyperbola?</t>
  </si>
  <si>
    <t xml:space="preserve">Rectangular Hyperbola</t>
  </si>
  <si>
    <t xml:space="preserve">What is the condition for a hyperbola to be rectangular?</t>
  </si>
  <si>
    <t xml:space="preserve">What is the relation between lengths of latus rectum, TA and CA for a rectangular hyperbola?</t>
  </si>
  <si>
    <t xml:space="preserve">Position of a Point w.r.t. Hyperbola</t>
  </si>
  <si>
    <t xml:space="preserve">Which region is called inside / outside w.r.t. a hyperbola?</t>
  </si>
  <si>
    <t xml:space="preserve">Write S, S_1 and T for standard hyperbola.</t>
  </si>
  <si>
    <t xml:space="preserve">How to find relative position of a point w.r.t. a hyperbola?</t>
  </si>
  <si>
    <t xml:space="preserve">Chord Joining Two Points</t>
  </si>
  <si>
    <t xml:space="preserve">Write expression of equation of chord joining two points P(\alpha) and Q(\beta).</t>
  </si>
  <si>
    <t xml:space="preserve">Line and Hyperbola</t>
  </si>
  <si>
    <t xml:space="preserve">What is condition of tangency for standard hyperbola? And how is it used?</t>
  </si>
  <si>
    <t xml:space="preserve">How to apply condition of tangency for different types of standard hyperbolas?</t>
  </si>
  <si>
    <t xml:space="preserve">Director Circle</t>
  </si>
  <si>
    <t xml:space="preserve">What is equation of director circle for a standard hyperbola?</t>
  </si>
  <si>
    <t xml:space="preserve">Derive equation of director circle of standard hyperbola.</t>
  </si>
  <si>
    <t xml:space="preserve">How to find locus of a variable external point P for which condition on slope of tangents drawn from P to hyperbola is given?</t>
  </si>
  <si>
    <t xml:space="preserve">Tangent &amp; Normal</t>
  </si>
  <si>
    <t xml:space="preserve">How to find equation of tangent for a hyperbola if point of tangency is given?</t>
  </si>
  <si>
    <t xml:space="preserve">How to find equation of tangent for a hyperbola if any other condition other than point of tangency is given?</t>
  </si>
  <si>
    <t xml:space="preserve">What is the equation of tangent at a point, whose coordinates are given in parametric form, on standard hyperbola?</t>
  </si>
  <si>
    <t xml:space="preserve">How to find equation of tangent to standard hyperbola passing through an external point?</t>
  </si>
  <si>
    <t xml:space="preserve">How to find point of tangency if equation of tangent is given?</t>
  </si>
  <si>
    <t xml:space="preserve">How to find equation of normal for a standard hyperbola if foot of normal is given?</t>
  </si>
  <si>
    <t xml:space="preserve">Write expression for equation of normal to standard hyperbola in terms of eccentric angle \theta.</t>
  </si>
  <si>
    <t xml:space="preserve">How to find the condition for a line to be a normal to standard hyperbola?</t>
  </si>
  <si>
    <t xml:space="preserve">How to find point of intersection of tangents drawn at P(\alpha) and Q(\beta) on standard hyperbola?</t>
  </si>
  <si>
    <t xml:space="preserve">How to find minimum distance between a point and standard hyperbola?</t>
  </si>
  <si>
    <t xml:space="preserve">How to find minimum distance between a line and standard hyperbola?</t>
  </si>
  <si>
    <t xml:space="preserve">Common Concepts</t>
  </si>
  <si>
    <t xml:space="preserve">Write expression for equation of chord whose mid point is given for standard hyperbola.</t>
  </si>
  <si>
    <t xml:space="preserve">Write expression for equation of chord of contact for standard hyperbola.</t>
  </si>
  <si>
    <t xml:space="preserve">How to find mid point of a chord of a standard hyperbola whose equation is given?</t>
  </si>
  <si>
    <t xml:space="preserve">How to find external point for a chord of contact for standard hyperbola if equation of chord of contact is given?</t>
  </si>
  <si>
    <t xml:space="preserve">Write expression for combined equation of pair of tangents for standard hyperbola.</t>
  </si>
  <si>
    <t xml:space="preserve">Write expression for equation of polar for standard hyperbola.</t>
  </si>
  <si>
    <t xml:space="preserve">What does T=0 represent for a point, position relative to standard hyperbola?</t>
  </si>
  <si>
    <t xml:space="preserve">How to find coordinates of pole of a given line?</t>
  </si>
  <si>
    <t xml:space="preserve">From any variable point on a fixed line, tangents are drawn to the hyperbola; then chord of contact will pass through which point?</t>
  </si>
  <si>
    <t xml:space="preserve">Derive equation of diameter for standard hyperbola.</t>
  </si>
  <si>
    <t xml:space="preserve">Highlights</t>
  </si>
  <si>
    <t xml:space="preserve">What is the difference of focal distances of any point on hyperbola?</t>
  </si>
  <si>
    <t xml:space="preserve">What is the product of length of perpendiculars drawn from foci on any variable tangent to the hyperbola?</t>
  </si>
  <si>
    <t xml:space="preserve">What angle does portion of tangent intercepted between directrix and point of tangency subtend at focus?</t>
  </si>
  <si>
    <t xml:space="preserve">What is the relation between auxiliary circle and circle drawn on any focal distance as diameter?</t>
  </si>
  <si>
    <t xml:space="preserve">Where does foot of perpendicular from focus on any tangent to hyperbola lie?</t>
  </si>
  <si>
    <t xml:space="preserve">Explain reflection property of hyperbola.</t>
  </si>
  <si>
    <t xml:space="preserve">What is the angle of intersection of an ellipse and a hyperbola if they are confocal?</t>
  </si>
  <si>
    <t xml:space="preserve">Asymptote</t>
  </si>
  <si>
    <t xml:space="preserve">Define asymptote for a curve.</t>
  </si>
  <si>
    <t xml:space="preserve">Write equation of pair of asymptotes for standard hyperbola.</t>
  </si>
  <si>
    <t xml:space="preserve">What is relation between equations of hyperbola, pair of asymptotes and conjugate hyperbola?</t>
  </si>
  <si>
    <t xml:space="preserve">How to find equation of pair of asymptotes for a general hyperbola?</t>
  </si>
  <si>
    <t xml:space="preserve">What is the position of a line w.r.t. hyperbola corresponding to number of common points between them?</t>
  </si>
  <si>
    <t xml:space="preserve">How to find angle between asymptotes for a standard hyperbola?</t>
  </si>
  <si>
    <t xml:space="preserve">What is the relation between angle between asymptotes and e?</t>
  </si>
  <si>
    <t xml:space="preserve">Find number of tangents and position of corresponding point(s) of tangency from a point lying in outside region of hyperbola.</t>
  </si>
  <si>
    <t xml:space="preserve">The tangent at P meets the asymptotes at Q and R. What can you say about P and the triangle CQR?</t>
  </si>
  <si>
    <t xml:space="preserve">Added</t>
  </si>
  <si>
    <t xml:space="preserve">DPP-10:6, J-II:77, C-II:50, C-II:51</t>
  </si>
  <si>
    <t xml:space="preserve">Rectangular Hyperbola $xy=c^2$</t>
  </si>
  <si>
    <t xml:space="preserve">Derive everything for xy=c^2.</t>
  </si>
  <si>
    <t xml:space="preserve">What are the tangent and normal at P(t) on xy=c^2, and where does the normal meet the curve again?</t>
  </si>
  <si>
    <t xml:space="preserve">J-I:44, J-I:45, J-I:46, DPP-10:7, DPP-10:8, DPP-10:10, DPP-10:11, C-I:7</t>
  </si>
  <si>
    <t xml:space="preserve">What is the chord of xy=c^2 joining t_1,t_2, and the chord with a given mid-point?</t>
  </si>
  <si>
    <t xml:space="preserve">J-I:43, DPP-10:9, DPP-10:12, J-M(XIII):12, C-II:47</t>
  </si>
  <si>
    <t xml:space="preserve">A circle meets xy=c^2 in four points t_1,t_2,t_3,t_4. What relations hold?</t>
  </si>
  <si>
    <t xml:space="preserve">J-II:76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</si>
  <si>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</si>
  <si>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</si>
  <si>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</si>
  <si>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</si>
  <si>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</si>
  <si>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</si>
  <si>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</si>
  <si>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</si>
  <si>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</si>
  <si>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</si>
  <si>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</si>
  <si>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</si>
  <si>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For the hyperbola   1 , which of the following remains constant  varies? cos2  sin 2  x2 y2 cos2  sin 2 </t>
  </si>
  <si>
    <t xml:space="preserve">Also</t>
  </si>
  <si>
    <t xml:space="preserve">The foci of the ellipse + = 1 and the hyperbola – = coincide. Then the value of b2 is : 16 b 2 144 81 25 x2 y2 x2 y2 1 25 16 b 144 81</t>
  </si>
  <si>
    <t xml:space="preserve">In eccentricity of conjugate hyperbola of the given hyperbola  x  1   y  2   x  5   y  5  3 is e', then value of 8e' is : 2 </t>
  </si>
  <si>
    <t xml:space="preserve">A hyperbola, having the transverse axis of length 2 sin , is confocal with the ellipse 3x2 + 4y2 = 12. Then its equation is : d hl ehd j . </t>
  </si>
  <si>
    <t xml:space="preserve">Let a and b be non-zero real numbers. Then, the equation (ax2 + by2 + c) (x2 – 5xy + 6y2) = 0 represents :</t>
  </si>
  <si>
    <t xml:space="preserve">Consider a branch of the hyperbola, x2 – 2y2 – 2 2 x – 4 2 y – 6 = 0 with vertex at the point A. Let B be one of the end points of its latus</t>
  </si>
  <si>
    <t xml:space="preserve">The locus of a point P(, ) moving under the condition that the line y = x +  is a tangent to the hyperbola x 2 y2  = 1 is : a 2 b2 x 2 </t>
  </si>
  <si>
    <t xml:space="preserve">Tangent are drawn to the hyperbola 4x2 – y2 = 36 at the points P and Q. If these tangents intersect at the point T(0, 3) then the area (in s</t>
  </si>
  <si>
    <t xml:space="preserve">Let P(6, 3) be a point on the hyperbola   1 . If the normal at the point P intersects the x-axis at (9, 0), then a 2 b2 the eccentricity o</t>
  </si>
  <si>
    <t xml:space="preserve">Locus of the middle points of the parallel chords with gradient m of the rectangular hyperbola xy = c2 is :</t>
  </si>
  <si>
    <t xml:space="preserve">The normal to curve xy = 4 at the point (1, 4) meets the curve again at :  1  1  2  4</t>
  </si>
  <si>
    <t xml:space="preserve">Locus of a point, whose chord of contact with respect to the circle x2 + y2 = 4 is a tangent to the hyperbola xy = 1 is a/an :</t>
  </si>
  <si>
    <t xml:space="preserve">If the tangent and normal at a point on rectangular hyperbola cut-off intercept a1, a2 on x-axis and b1, b2 on the y-axis, then a1a2 + b1b2 </t>
  </si>
  <si>
    <t xml:space="preserve">J-II</t>
  </si>
  <si>
    <t xml:space="preserve">Find the equation to the hyperbola whose directrix is 2x + y = 1, focus (1, 1) &amp; eccentricity 3 . Find also the length of its latus rectum. </t>
  </si>
  <si>
    <t xml:space="preserve">The hyperbola   1 passes through the point of intersection of the lines, 7x + 13y – 87 = 0 and a 2 b2 5x – 8y + 7 = 0 &amp; the latus rectum i</t>
  </si>
  <si>
    <t xml:space="preserve">For the hyperbola   1 , prove that 100 25 (i) eccentricity = 5 / 2 (ii) SA. SA = 25, where S &amp; S are the foci &amp; A is the vertex. 2 2 100</t>
  </si>
  <si>
    <t xml:space="preserve">Find the centre, the foci, the directrices, the length of the latus rectum, the length &amp; the equations of the axes of the hyperbola 16x2  9</t>
  </si>
  <si>
    <t xml:space="preserve">If two points P &amp; Q on the hyperbola   1 whose centre is C be such that CP is perpendicular to CQ &amp; a 2 b2 1 1 1 1 a &lt; b, then prove that </t>
  </si>
  <si>
    <t xml:space="preserve">If  1 &amp;  2 are the parameters of the extremities of a chord through (ae, 0) of a hyperbola x 2 y2   e 1   1 , then show that tan 1 · </t>
  </si>
  <si>
    <t xml:space="preserve">Tangents are drawn from the point (, ) to the hyperbola 3x2  2y2 = 6 and are inclined at angles  and  to the x axis. If tan . tan  =</t>
  </si>
  <si>
    <t xml:space="preserve">Find the equation of the tangent to the hyperbola x2  4y2 = 36 which is perpendicular to the line x  y + 4 = 0.</t>
  </si>
  <si>
    <t xml:space="preserve">Tangents are drawn to the hyperbola 3x2  2y2 = 25 from the point (0, 5/2). Find their equations.</t>
  </si>
  <si>
    <t xml:space="preserve">Locus of the feet of the perpendicular from centre of the hyperbola x2 – 4y2 = 4 upon a variable normal to it has the equation, (x2 + y2)2 (</t>
  </si>
  <si>
    <t xml:space="preserve">Let P (a sec , b tan ) and Q (a sec , b tan ), where  +  = , be two points on the hyperbola   1. 2 a 2 b2 If (h, k) is the point of </t>
  </si>
  <si>
    <t xml:space="preserve">The line 2x + y = 1 is tangent to the hyperbola 2  2  1 . If this line passes through the point of intersection of a b the nearest directr</t>
  </si>
  <si>
    <t xml:space="preserve">Chords of the hyperbola   1 are tangents to the circle drawn on the line joining the foci as diameter. Find a 2 b2 the locus of the point </t>
  </si>
  <si>
    <t xml:space="preserve">Tangents are drawn from any point on the hyperbola  = 1 to the circle x2 + y2 = 9. Find the locus of 9 4 midpoint of the chord of contact. </t>
  </si>
  <si>
    <t xml:space="preserve">If C is the centre of a hyperbola 2  2  1 , S, S its foci and P a point on it. Prove that SP. SP = CP2  a2 + a b b2 . 2 2 a b SP. SP =</t>
  </si>
  <si>
    <t xml:space="preserve">A conic C satisfies the differential equation, (1 + y2) dx  xy dy = 0 and passes through the point (1, 0). An ellipse E which is confocal w</t>
  </si>
  <si>
    <t xml:space="preserve">Let 'p' be the perpendicular distance from the centre C of the hyperbola   1 to the tangent drawn at a a 2 b2  b2  point R on the hyperb</t>
  </si>
  <si>
    <t xml:space="preserve">Equation of a common tangent with positive slope to the circle as well as to the hyperbola is : [JEE-2010]</t>
  </si>
  <si>
    <t xml:space="preserve">Equation of the circle with AB as its diameter is :</t>
  </si>
  <si>
    <t xml:space="preserve">Which of the following equations in parametric form can represent a hyperbolic profile, where 't' is a parameter : a  1 b  1 tx y x ty 2</t>
  </si>
  <si>
    <t xml:space="preserve">Let p and q be non-zero real numbers. Then the equation (px2 + qy2 + r)(4x2 + 4y2 – 8x – 4) = 0 represents :</t>
  </si>
  <si>
    <t xml:space="preserve">If the circle x2 + y2 = a2 intersects the hyperbola xy = c2 in four points P(x1, y1), Q(x2, y2), R(x3, y3), S(x4, y4), then:</t>
  </si>
  <si>
    <t xml:space="preserve">The tangent to the hyperbola, x2  3y2 = 3 at the point  3 , 0 when associated with two asymptotes constitutes:</t>
  </si>
  <si>
    <t xml:space="preserve">An ellipse intersects the hyperbola 2x2 – 2y2 = 1 orthogonally. The eccentricity of the ellipse is reciprocal of that of the hyperbola. If t</t>
  </si>
  <si>
    <t xml:space="preserve">Let the eccentricity of the hyperbola 2  2  1 be reciprocal to that of the ellipse x2 + 4y2 = 4. If the hyperbola a b passes through a foc</t>
  </si>
  <si>
    <t xml:space="preserve">I f  is eliminated from the equations a sec  – x tan  = y and b sec  + y tan  = x (a and b are constant) then the eliminant denotes the</t>
  </si>
  <si>
    <t xml:space="preserve">If a hyperbola passes through the focus of the ellipse   1 and its transverse and coincides with the major 25 16 and minor axis of the ell</t>
  </si>
  <si>
    <t xml:space="preserve">Match the following column : Column-I Column-II and the hyperbola 3x2 – y2 = 48, is circle (x – 1)2 + (y – 1)2 = 1, is x2 4 then the maximum</t>
  </si>
  <si>
    <t xml:space="preserve">Identify the conic whose equations are given in column-I : Column-I Column-II (Equation of a conic) (Nature of conic) (E) 4x2 – 4xy + y2 – 1</t>
  </si>
  <si>
    <t xml:space="preserve">Match the following column : Column-I Column-II 2 2 x y 9 4 the point P in the first quadrant meets the y-axis in Q and the chord A'P meets </t>
  </si>
  <si>
    <t xml:space="preserve">Match the statements in Column I with the properties in Column II : Column-I Column-II Column-I Column-II</t>
  </si>
  <si>
    <t xml:space="preserve">J-A</t>
  </si>
  <si>
    <t xml:space="preserve">Y</t>
  </si>
  <si>
    <t xml:space="preserve">Tangents are drawn to the hyperbola   1 , parallel to the straight line 2x – y = 1. The points of contact of 9 4 the tangents on the hyper</t>
  </si>
  <si>
    <t xml:space="preserve">Consider the hyperbola H : x2 – y2 = 1 and a circle S with center N (x2, 0). Suppose that H and S touch each other at a point P (x1, y1) wit</t>
  </si>
  <si>
    <t xml:space="preserve">If 2x – y + 1 = 0 is a tangent to the hyperbola   1 , then which of the following CANNOT be sides of a a 2 16 right angled triangle? [JEE(</t>
  </si>
  <si>
    <t xml:space="preserve">Let H : 2   1 , where  &gt; b &gt; 0, be a hyperbola in the xy-plane whose conjugate axis LM subtends an  b2 angle of 60º at one of its vertic</t>
  </si>
  <si>
    <t xml:space="preserve">Let a and b be positive real numbers such that a &gt; 1 and b &lt; a. Let P be a point in the first quadrant that lies on the x 2 y2 hyperbola  </t>
  </si>
  <si>
    <t xml:space="preserve">Consider the hyperbola   1 with foci at S and S1, where S lies on the positive x-axis. Let P be a point 100 64  on the hyperbola, in the </t>
  </si>
  <si>
    <t xml:space="preserve">C-I</t>
  </si>
  <si>
    <t xml:space="preserve">If x + iy =   i where i = 1 and  and  are non zero real parameters then  = constant and  = constant, represents two systems of recta</t>
  </si>
  <si>
    <t xml:space="preserve">For each positive integer n, consider the point P with abscissa n on the curve y2 – x2 = 1. If dn represents the shortest distance from the </t>
  </si>
  <si>
    <t xml:space="preserve">The equation of the common tangent to the curves y2 = 8x and xy = –1 is :</t>
  </si>
  <si>
    <t xml:space="preserve">C-II</t>
  </si>
  <si>
    <t xml:space="preserve">Tangent and normal are drawn at the upper end (x1, y1) of the latus rectum P with x1 &gt; 0 and y1 &gt; 0, of the x2 y2 hyperbola   1, intersect</t>
  </si>
  <si>
    <t xml:space="preserve">Find the equations of the tangents to the hyperbola x2  9y2 = 9 that are drawn from (3, 2). Find the area of the triangle that these tangen</t>
  </si>
  <si>
    <t xml:space="preserve">The normal to the hyperbola   1 drawn at an extremity of its latus rectum is parallel to an asymptote. a 2 b2 (1  5) Show that the eccent</t>
  </si>
  <si>
    <t xml:space="preserve">A line through the origin meets the circle x2 + y2 = a2 at P &amp; the hyperbola x2  y2 = a2 at Q. If the locus of the point 4 2 2 2 o f i n t </t>
  </si>
  <si>
    <t xml:space="preserve">The graphs of x2 + y2 + 6 x  24 y + 72 = 0 &amp; x2  y2 + 6 x + 16 y  46 = 0 intersect at four points. Compute the sum of the distances of th</t>
  </si>
  <si>
    <t xml:space="preserve">An ellipse and a hyperbola have their principal axes along the coordinate axes and have a common foci separated by a distance 2 13 , the dif</t>
  </si>
  <si>
    <t xml:space="preserve">From the centre C of the hyperbola x2 – y2 = 9, CM is drawn perpendicular to the tangent at any point of the curve, meeting the tangent at M</t>
  </si>
  <si>
    <t xml:space="preserve">A hyperbola has one focus at the origin and its eccentricity = 2 and one of its directrix is x + y + 1 = 0. Find the equation to its asympto</t>
  </si>
  <si>
    <t xml:space="preserve">If a rectangular hyperbola have the equation, xy = c2, then the locus of the middle points of its chords of constant length 6 is (x2 + y2)(x</t>
  </si>
  <si>
    <t xml:space="preserve">If a chord joining the points P (a sec, a tan) &amp; Q (a sec, a tan) on the hyperbola x2  y2 = a2 is a normal to it at P, then show that t</t>
  </si>
  <si>
    <t xml:space="preserve">Prove that the part of the tangent at any point of the hyperbola   1 intercepted between the point of a 2 b2 contact and the transverse ax</t>
  </si>
  <si>
    <t xml:space="preserve">Ascertain the co-ordinates of the two points Q and R, where the tangent to the hyperbola   1 at the point 45 20 P(9, 4) intersects the two</t>
  </si>
  <si>
    <t xml:space="preserve">The tangent at P on the hyperbola 2  2  1 meets one of the asymptote in Q. If the locus of the mid-point of a b x 2 y2 PQ is a hyperbola, </t>
  </si>
  <si>
    <t xml:space="preserve">If the lines x + y + 1 = 0 and 2x – y + 2 = 0 are the asymptotes of a hyperbola. If the line x – 2 = 0 touches the hyperbola then the equati</t>
  </si>
  <si>
    <t xml:space="preserve">Through any point P of the hyperbola   1 a line QPR is drawn with a fixed gradient m, meeting the a 2 b2 a 2 b 2 (1  m 2 ) asymptotes in </t>
  </si>
  <si>
    <t xml:space="preserve">The angle   (0, /2) between the two asymptotes of the hyperbola lies in the interval :</t>
  </si>
  <si>
    <t xml:space="preserve">Vertex of the conic C is :</t>
  </si>
  <si>
    <t xml:space="preserve">Director circle of the conic is :</t>
  </si>
  <si>
    <t xml:space="preserve">Equation of the circle S is :</t>
  </si>
  <si>
    <t xml:space="preserve">Match the properties given in column-I with the corresponding curves given in the column-II. Column-I Column-II from two given points is con</t>
  </si>
  <si>
    <t xml:space="preserve">Match the conics in Column I with the statements/expressions in Column II : [JEE-2009] Column I Column II x2 + y2 = 4  1 t2  2t , y  1</t>
  </si>
  <si>
    <t xml:space="preserve">J-M(XII)</t>
  </si>
  <si>
    <t xml:space="preserve">Let a line L : 2x + y = k, k &gt; 0 be a tangent to the hyperbola x2 – y2 = 3. If L is also a tangent to the parabola y2 = x, then  is equal </t>
  </si>
  <si>
    <t xml:space="preserve">The locus of the centroid of the triangle formed by any point P on the hyperbola 16x2 – 9y2 + 32x + 36y – 164 = 0, and its foci is : [JEE(Ma</t>
  </si>
  <si>
    <t xml:space="preserve">The locus of the mid points of the chord of the hyperbola x2 – y2 = 4, which touch the parabola y2 = 8x, is : [JEE(Main)Aug.2021] [JEE(Main)</t>
  </si>
  <si>
    <t xml:space="preserve">The point P(– 2 6 , 3 ) lies on the hyperbola 2 – 2 = 1 having eccentricity . If the tangent and normal a b 2 at P to the hyperbola intersec</t>
  </si>
  <si>
    <t xml:space="preserve">Let x – 2y =  be a tangent to the hyperbola a x – y = b . then      is equal to : 2 2 2 2 a  b [JEE(Main)June2022] 2 2   2 </t>
  </si>
  <si>
    <t xml:space="preserve">The normal to the hyperbola 2  a 9    1 at the point 8,3 3 on it passes through the point : [JEE(Main)June2022] x 2 y2 a 9    (3) 1,</t>
  </si>
  <si>
    <t xml:space="preserve">Let the eccentricity of the hyperbola H : 2  2  1 be and length of its latus retum be 6 2 , If a b 2 y = 2x + c is a tangent to the hyperb</t>
  </si>
  <si>
    <t xml:space="preserve">Let a &gt; 0, b &gt; 0. Let e and l repsectively be the eccentricity and length of the latus rectum of the hyperbola x 2 y2   1 . Let e’ and l’ </t>
  </si>
  <si>
    <t xml:space="preserve">Let the hyperbola H: 2  y2  1 and the ellipse E : 3x2 + 4y2 = 12 be such that the length of latus rectum of H is a equal to the length of </t>
  </si>
  <si>
    <t xml:space="preserve">Let the eccentricity of the hyperbola 2  2  1 be . If the equation of the normal at the point  ,  on a b 4  5 5 the hyperbola is 8 5x </t>
  </si>
  <si>
    <t xml:space="preserve">Let a line L1 be tangent to the hyperbola   1 and let L2 be the line passing through the origin and perpendicular 16 4 to L1. If the locus</t>
  </si>
  <si>
    <t xml:space="preserve">Let H :   1 , a &gt; 0, b &gt; 0, be a hyperbola such that the sum of lengths of the transverse and the conjugate a 2 b2   axes is 4 2 2  14 </t>
  </si>
  <si>
    <t xml:space="preserve">Let the foci of the ellipse   1 and the hyperbola   coincide. Then the length of the latus 16 7 144  25 rectum of the hyperbola is : [J</t>
  </si>
  <si>
    <t xml:space="preserve">Let the tangent drawn to the parabola y2 = 24x at the point (, ) is perpendicular to the line x 2 y2 2x + 2y = 5. Then the normal to the h</t>
  </si>
  <si>
    <t xml:space="preserve">If the line x – 1 = 0 is a directrix of the hyperbola kx2 – y2 = 6, then the hyperbola passes through the point : [JEE(Main)July2022] [JEE(M</t>
  </si>
  <si>
    <t xml:space="preserve">L et the hyperbola H :  a 2 b2    1 pass through the point 2 2, 2 2 . A parabola is drawn whose focus is same as the focus of H with po</t>
  </si>
  <si>
    <t xml:space="preserve">Let the focal chord of the parabola P : y2 = 4x along the line L : y = mx + c, m &gt; 0 meet the parabola at the points M and N. Let the line L</t>
  </si>
  <si>
    <t xml:space="preserve">Let the equation of two diameters of a circle x2 + y2 – 2x + 2fy + 1 = 0 be 2px – y = 1 and 2x + py = 4p. Then then slope m  (0, ) of the </t>
  </si>
  <si>
    <t xml:space="preserve">An ellipse E : 2  2  1 passes through the vertices of the hyperbola H :   1 . Let the major and a b 49 64 minor axes of the ellipse E c</t>
  </si>
  <si>
    <t xml:space="preserve">For the hyperbola H : x2 – y2 = 1 and the ellipse E :   1 , a &gt; b &gt; 0, let the a 2 b2 (1) eccentricity of E be reciprocal of the eccentric</t>
  </si>
  <si>
    <t xml:space="preserve">J-M(XIII)</t>
  </si>
  <si>
    <t xml:space="preserve">Let a tangent to the curve y2 = 24x meet the curve xy = 2 at the points A and B. Then the mid points of such line segments AB lie on a parab</t>
  </si>
  <si>
    <t xml:space="preserve">Let P(x0,y0) be the point on the hyperbola 3x2 - 4y2 = 36, which is nearest to the line 3x + 2y = 1. Then 2  y0  x 0  is equal to : [JEE(</t>
  </si>
  <si>
    <t xml:space="preserve">  Let H be the hyperbola, whose foci are 1  2, 0 and eccentricity is 2 . Then the length of its latus rectum is __________. [JEE(Main)Jan</t>
  </si>
  <si>
    <t xml:space="preserve">The vertices of hyperbola H are (±6, 0) and its eccentricity is . Let N be the normal to H at a point in the first 2 quadrant and parallel t</t>
  </si>
  <si>
    <t xml:space="preserve">Let the eccentricity of an ellipse 2  2  1 is reciprocal to that of the hyperbola 2x2 – 2y2 = 1. If the ellipse a b intersects the hyperbo</t>
  </si>
  <si>
    <t xml:space="preserve">Let H n :   1, n  N , Let k be the smallest even value of n such that the eccentricity of Hk is a rational 1 n 3  n number. If l is the</t>
  </si>
  <si>
    <t xml:space="preserve">Let the tangent to the parabola y2 = 12x at the point (3, ) be perpendicular to the line 2x + 2y = 3. Then the square of distance of the po</t>
  </si>
  <si>
    <t xml:space="preserve">Let m1 and m2 be the slopes of the tangents drawn from the point P(4, 1) to the hyperbola H :   1 . If Q 25 16 is the point from which the</t>
  </si>
  <si>
    <t xml:space="preserve">The foci of a hyperbola are (±2, 0) and its eccentricity is . A tangent, perpendicular to the line 2 2x + 3 y = 6, is drawn at a point in th</t>
  </si>
  <si>
    <t xml:space="preserve">Let e1 be the eccentricity of the hyperbola   1 and e2 be the eccentricity of the ellipse 2  2  1 , 16 9 a b a &gt; b, which passes through</t>
  </si>
  <si>
    <t xml:space="preserve">Let P be a point on the hyperbola H :   1 , in the first quadrant such that the area of triangle formed by P 9 4 and the two foci of H is </t>
  </si>
  <si>
    <t xml:space="preserve">If the foci of a hyperbola are same as that of the ellipse   1 and the eccentricity of the hyperbola is 9 25 8  14 2  times the eccentri</t>
  </si>
  <si>
    <t xml:space="preserve">Let 2  2  1 , a &gt; b be an ellipse, whose eccentricity is and the length of the latus rectum is 14 . Then the a b 2 x 2 y2 square of the ec</t>
  </si>
  <si>
    <t xml:space="preserve"> , if the eccentricity of the hyperbola x2 – y2 cosec2 = 5 is 2 For 0    7 times eccentricity of the ellipse x 2 2 2 cosec  + y = 5, t</t>
  </si>
  <si>
    <t xml:space="preserve">Let the latus rectum of the hyperbola  2  1 subtend an angle of at the centre of the hyperbola. If b2 is 9 b 3  equal to m   1  n , wh</t>
  </si>
  <si>
    <t xml:space="preserve">Let the foci and length of latus rectum of an ellipse 2  2  1 , a &gt; b be (±5, 0) and 50 , respectively. Then, the a b x2 y2 square of the </t>
  </si>
  <si>
    <t xml:space="preserve">Consider a hyperbola H having centre at the origin and foci on the x-axis. Let C1 be the circle touching the hyperbola H and having the cent</t>
  </si>
  <si>
    <t xml:space="preserve">Let H : 2  2  1 be the hyperbola, whose eccentricity is 3 and the length of the latus rectum is 4 3 . a b Suppose the point (, 6),  &gt; 0 </t>
  </si>
  <si>
    <t xml:space="preserve">Let the foci of a hyperbola H coincide with the foci of the ellipse E :  x  1  y  1   1 and the eccentricity of 100 75 the hyperbola</t>
  </si>
  <si>
    <t xml:space="preserve">The length of the latus rectum and directrices of a hyperbola with eccentricity e are 9 and x   , respectively.. 3 Let the line y  3x  3</t>
  </si>
  <si>
    <t xml:space="preserve">Let S be the focus of the hyperbola   1 , on the positive x-axis. Let C be the circle with its centre at 3 5 A  6, 5  and passing throug</t>
  </si>
  <si>
    <t xml:space="preserve">DPP-8</t>
  </si>
  <si>
    <t xml:space="preserve">DPP</t>
  </si>
  <si>
    <t xml:space="preserve">The area of the quadrilateral with its vertices at the foci of the conics 9x2 – 16y2 – 18x + 32y – 23 = 0 and 25x2 + 9y2 – 50x – 18y + 33 = </t>
  </si>
  <si>
    <t xml:space="preserve">Eccentricity of the hyperbola conjugate to the hyperbola   1 is : 4 12 x 2 y2 4 12 2 4 3 3</t>
  </si>
  <si>
    <t xml:space="preserve">The locus of the point of intersection of the lines 3x  y  4 3t = 0 &amp; 3 tx + ty  4 3 = 0 (where t is a parameter) is a hyperbola whose ec</t>
  </si>
  <si>
    <t xml:space="preserve">If the eccentricity of the hyperbola x 2  y2 sec2  = 5 is 3 times the eccentricity of the ellipse x2 sec2  + y2 = 25, then a value of  i</t>
  </si>
  <si>
    <t xml:space="preserve">The foci of the ellipse  2  1 and the hyperbola   coincide. Then the value of b2 is : 16 b 144 81 25 x 2 y2 x 2 y2 1 16 b 144 81 25</t>
  </si>
  <si>
    <t xml:space="preserve">The focal length of the hyperbola x2 – 3y2 – 4x – 6y – 11 = 0, is :</t>
  </si>
  <si>
    <t xml:space="preserve">The equation  = 1 (p  4, 29) represents : 29  p 4  p x2 y2 29  p 4  p</t>
  </si>
  <si>
    <t xml:space="preserve">The vertices of a hyperbola are at (0, 0) and (10, 0) and one of its foci is at (18, 0). The equation of the hyperbola is : x 2 y2 (x  5) 2</t>
  </si>
  <si>
    <t xml:space="preserve">The eccentricity of the hyperbola whose latus rectum is 8 and conjugate axis is equal to half the distance between the foci is : 4 4 2 3 3 3</t>
  </si>
  <si>
    <t xml:space="preserve">If m is a variable, the locus of the point of intersection of the lines  = m and   is a/an : 3 2 3 2 m x y x y 1 3 2 3 2 m</t>
  </si>
  <si>
    <t xml:space="preserve">The equation of the conic with focus at (1, –1), directrix along x – y + 1 = 0 and with eccentricity 2 is :</t>
  </si>
  <si>
    <t xml:space="preserve">The equation 16x2 – 3y2 – 32x + 12y – 44 = 0 represents a hyperbola : 19 3 19 3</t>
  </si>
  <si>
    <t xml:space="preserve">The latus rectum of a hyperbola   1 is 4 . Its eccentricity e = 16 p 2 x 2 y2 1 16 p 2</t>
  </si>
  <si>
    <t xml:space="preserve">The equation x = ;y= ; t R represents : 2 2 t t t t 2 2</t>
  </si>
  <si>
    <t xml:space="preserve">The ellipse   1 and the hyperbola   1 have in common : 25 16 25 16 x 2 y2 x 2 y2 25 16 25 16</t>
  </si>
  <si>
    <t xml:space="preserve">If   1 represents family of hyperbolas where ‘’ varies then : cos 2  sin 2  x2 y2 cos 2  sin 2 </t>
  </si>
  <si>
    <t xml:space="preserve">If the latus rectum subtends a right angle at the centre of the hyperbola then its eccentricity is :  13  (B) e   5 1 (C) e   5  1</t>
  </si>
  <si>
    <t xml:space="preserve">The foci of a hyperbola coincide with the foci of the ellipse   1 . Then the equation of the hyperbola with 25 9 eccentricity 2 is : x 2 y</t>
  </si>
  <si>
    <t xml:space="preserve">AB is a double ordinate of the hyperbola   1 such that AOB (where 'O' is the origin) is an equilateral a 2 b2 triangle, then the eccentri</t>
  </si>
  <si>
    <t xml:space="preserve">Consider the hyperbola 9x2 – 16y2 + 72x – 32y – 16 = 0. Find the following : (a) centre (b) eccentricity (c) focii (d) equation of directrix</t>
  </si>
  <si>
    <t xml:space="preserve">DPP-9</t>
  </si>
  <si>
    <t xml:space="preserve">P is a point on the hyperbola  = 1, N is the foot of the perpendicular from P on the transverse axis. The a 2 b2 tangent to the hyperbola a</t>
  </si>
  <si>
    <t xml:space="preserve">Let F1, F2 are the foci of the hyperbola  = 1 and F3, F4 are the foci of its conjugate hyperbola. If eH and 16 9 eC are their eccentricitie</t>
  </si>
  <si>
    <t xml:space="preserve">Let the major axis of a standard ellipse equals the transverse axis of a standard hyperbola and their director circles have radius equal to </t>
  </si>
  <si>
    <t xml:space="preserve">The magnitude of the gradient of the tangent at an extremity of latera recta of the hyperbola   1 is equal a 2 b2 to : (where e is the ecc</t>
  </si>
  <si>
    <t xml:space="preserve">The number of possible tangents which can be drawn to the curve 4x2  9y2 = 36, which are perpendicular to the straight line 5x + 2y 10 = 0</t>
  </si>
  <si>
    <t xml:space="preserve">Locus of the point of intersection of the tangents at the points with eccentric angles  and  on the hyperbola 2 x 2 y2  2 = 1 is : a2 b</t>
  </si>
  <si>
    <t xml:space="preserve">The equation of tangents to the hyperbola x2 – 4y2 = 36 which are perpendicular to the line x – y + 4 = 0 :</t>
  </si>
  <si>
    <t xml:space="preserve">The line y = x + 2 touches the hyperbola 5x2 – 9y2 = 45 at the point :</t>
  </si>
  <si>
    <t xml:space="preserve">The line 2x + 6 y = 2 is a tangent to the curve x2 – 2y2 = 4. The point of contact is :</t>
  </si>
  <si>
    <t xml:space="preserve">With one focus of the hyperbola   1 as the centre , a circle is drawn which is tangent to the hyperbola 9 16 with no part of the circle be</t>
  </si>
  <si>
    <t xml:space="preserve">In which of the following cases maximum number of normals can be drawn from a point P lying in the same plane:</t>
  </si>
  <si>
    <t xml:space="preserve">A common tangent to 9x2 – 16y2 = 144 and x2 + y2 = 9 is : 3 15 2 15 3 7 7 7 7 7 3 15 2 15 3 7 7 7 7 7</t>
  </si>
  <si>
    <t xml:space="preserve">The value of sin–1   is : b a b 5    12 6 3 4</t>
  </si>
  <si>
    <t xml:space="preserve">Length of the latus rectum of the conic is :</t>
  </si>
  <si>
    <t xml:space="preserve">Eccentricity of the conic is : 4 3 4 3</t>
  </si>
  <si>
    <t xml:space="preserve">If a hyperbola passes through extremities of minor axis of conic C and its transverse and conjugate axis coincides with the minor and major </t>
  </si>
  <si>
    <t xml:space="preserve">DPP-10</t>
  </si>
  <si>
    <t xml:space="preserve">If PQ and PR are tangents drawn from a point P to the hyperbola  = 1. If equation of QR is 9 4 4x – 3y – 6 = 0, then coordinates of P is : </t>
  </si>
  <si>
    <t xml:space="preserve">The chords passing through L(2, 1) intersects the hyperbola   1 at P and Q. If the tangents at P and Q 16 9 intersects at R then Locus of </t>
  </si>
  <si>
    <t xml:space="preserve">The equation to the chord of the hyperbola x2 – y2 = 9 which is bisected at (5, – 3) is :</t>
  </si>
  <si>
    <t xml:space="preserve">Locus of the feet of the perpendiculars drawn from either foci on a variable tangent to the hyperbola 16y2 – 9x2 = 1 is :</t>
  </si>
  <si>
    <t xml:space="preserve">The asymptote of the hyperbola 2  2 = 1 form with any tangent to the hyperbola a triangle whose area is a2tan a b  in magnitude then its e</t>
  </si>
  <si>
    <t xml:space="preserve">Number of common tangent with finite slope to the curves xy = c2 and y2 = 4ax is :</t>
  </si>
  <si>
    <t xml:space="preserve">If the normal to the rectangular hyperbola xy = c2 at the point 't' meets the curve again at 't1' then t3 t1 has the value equal to :</t>
  </si>
  <si>
    <t xml:space="preserve">The chord PQ of the rectangular hyperbola xy = a2 meets the axis of x at A ; C is the mid point of PQ &amp; 'O' is the origin. Then the  ACO is</t>
  </si>
  <si>
    <t xml:space="preserve">The tangent to the hyperbola xy = c2 at the point P intersects the x-axis at T and the y-axis at T. The normal to the hyperbola at P inters</t>
  </si>
  <si>
    <t xml:space="preserve">The locus of the foot of the perpendicular from the centre of the hyperbola xy = c2 on a variable tangent is :</t>
  </si>
  <si>
    <t xml:space="preserve">The equation to the chord joining two points (x1, y1) and (x2, y2) on the rectangular hyperbola xy = c2 is : x y x y x1  x 2 y1  y 2 x1  </t>
  </si>
  <si>
    <t xml:space="preserve">Find the equations of the tangents to the hyperbola x2  9 y2 = 9 that are drawn from (3, 2) . Find the area of the triangle that these tang</t>
  </si>
  <si>
    <t xml:space="preserve">Find the locus of the mid points of the chords of the circle x2 + y2 = 16, which are tangent to the hyperbola 9 x2  16 y2 = 144.</t>
  </si>
  <si>
    <t xml:space="preserve">QB</t>
  </si>
  <si>
    <t xml:space="preserve">Question Bank</t>
  </si>
  <si>
    <t xml:space="preserve">Let one focus of the hyperbola H : a 2 b    2  1 be at 10, 0 and the corresponding directrix be x  10 . If e and l respectively are the</t>
  </si>
  <si>
    <t xml:space="preserve">Let the sum of the focal distances of the point P(4, 3) on the hyperbola H : 2  2  1 be 8 a b 3 2 length of the latus rectum is l and the </t>
  </si>
  <si>
    <t xml:space="preserve">If for     , 0 , the points (x, y)   3tan     , 2 tan      lie on xy + x + y +  = 0, then  3    3  6  2 + 2 +</t>
  </si>
  <si>
    <t xml:space="preserve">Let e1 and e2 be the eccentricities of the ellipse 2   1 and the hyperbola   1 , respectively. If b 25 16 b 2 b &lt; 5 and e1e2 = 1, then t</t>
  </si>
  <si>
    <t xml:space="preserve">  Let the product of the focal distances of the point P 4, 2 3 on the hyperbola H :  a 2 b2  1 be 32. Let the length of the conjugate ax</t>
  </si>
  <si>
    <t xml:space="preserve">2 2 If A and B are the points of intersection of the circle x + y – 8x = 0 and the hyperbola   1 and a point 9 4 P moves on the line 2x – </t>
  </si>
  <si>
    <t xml:space="preserve">Let P be a point on the hyperbola H :   1 , in the first quadrant such that the area of triangle formed by 9 4 P and the two foci of H is </t>
  </si>
  <si>
    <t xml:space="preserve">If the foci of a hyperbola are same as that of the ellipse   1 and the eccentricity of the hyperbola is 9 25 8  14 2   times the eccent</t>
  </si>
  <si>
    <t xml:space="preserve">If the equation of the hyperbola with foci (4, 2) and (8, 2) is 3x2 – y2 – x + y +  = 0, then  +  +  is equal to ___________. ________</t>
  </si>
  <si>
    <t xml:space="preserve">Consider the hyperbola 2  2  1 having one of its focus at P(–3, 0). If the latus ractum through its other focus a b subtends a right angle</t>
  </si>
  <si>
    <t xml:space="preserve">Let the circle C touch the line x – y + 1 = 0, have the centre on the positive x-axis, and cut off a chord of length 4 x 2 y2 along the line</t>
  </si>
  <si>
    <t xml:space="preserve">Let H1 : 2  2  1 and H 2 :  2  2  1 be two hyperbolas having length of latus rectums 15 2 and a b A B 5 12 5 respectively. Let their ec</t>
  </si>
  <si>
    <t xml:space="preserve">Let the latus rectum of the hyperbola  2  1 subtend an angle of at the centre of the hyperbola. If b2 is 9 b 3 equal to  1  n , where 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</si>
  <si>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</si>
  <si>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</si>
  <si>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</si>
  <si>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</si>
  <si>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</si>
  <si>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44 graded questions; High threshold 4 (about 9.1%).</t>
  </si>
  <si>
    <t xml:space="preserve">Batch XIII: 37 graded questions; High threshold 3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</si>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</sst>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3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1</v>
      </c>
    </row>
    <row r="4" customFormat="false" ht="23.8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1</v>
      </c>
      <c r="H4" s="2" t="str">
        <f aca="false">IF(G4&gt;=Settings!$B$3,"High",IF(G4&gt;=Settings!$B$5,"Medium","Low"))</f>
        <v>Medium</v>
      </c>
      <c r="I4" s="2" t="n">
        <f aca="false">COUNTIFS(Map!$D:$D,$A4,Map!$G:$G,"Y")</f>
        <v>1</v>
      </c>
      <c r="J4" s="2" t="str">
        <f aca="false">IF(I4&gt;=Settings!$B$4,"High",IF(I4&gt;=Settings!$B$5,"Medium","Low"))</f>
        <v>Medium</v>
      </c>
      <c r="K4" s="2" t="n">
        <f aca="false">COUNTIF(Map!$D:$D,$A4)</f>
        <v>8</v>
      </c>
    </row>
    <row r="5" customFormat="false" ht="23.85" hidden="false" customHeight="false" outlineLevel="0" collapsed="false">
      <c r="A5" s="2" t="n">
        <v>4</v>
      </c>
      <c r="B5" s="2" t="s">
        <v>11</v>
      </c>
      <c r="C5" s="2" t="s">
        <v>16</v>
      </c>
      <c r="D5" s="2" t="s">
        <v>13</v>
      </c>
      <c r="E5" s="2"/>
      <c r="F5" s="2" t="n">
        <v>4</v>
      </c>
      <c r="G5" s="2" t="n">
        <f aca="false">COUNTIFS(Map!$D:$D,$A5,Map!$F:$F,"Y")</f>
        <v>1</v>
      </c>
      <c r="H5" s="2" t="str">
        <f aca="false">IF(G5&gt;=Settings!$B$3,"High",IF(G5&gt;=Settings!$B$5,"Medium","Low"))</f>
        <v>Medium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1</v>
      </c>
    </row>
    <row r="6" customFormat="false" ht="23.85" hidden="false" customHeight="false" outlineLevel="0" collapsed="false">
      <c r="A6" s="2" t="n">
        <v>5</v>
      </c>
      <c r="B6" s="2" t="s">
        <v>11</v>
      </c>
      <c r="C6" s="2" t="s">
        <v>17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2</v>
      </c>
    </row>
    <row r="7" customFormat="false" ht="15" hidden="false" customHeight="false" outlineLevel="0" collapsed="false">
      <c r="A7" s="2" t="n">
        <v>6</v>
      </c>
      <c r="B7" s="2" t="s">
        <v>11</v>
      </c>
      <c r="C7" s="2" t="s">
        <v>18</v>
      </c>
      <c r="D7" s="2" t="s">
        <v>13</v>
      </c>
      <c r="E7" s="2"/>
      <c r="F7" s="2" t="n">
        <v>6</v>
      </c>
      <c r="G7" s="2" t="n">
        <f aca="false">COUNTIFS(Map!$D:$D,$A7,Map!$F:$F,"Y")</f>
        <v>19</v>
      </c>
      <c r="H7" s="2" t="str">
        <f aca="false">IF(G7&gt;=Settings!$B$3,"High",IF(G7&gt;=Settings!$B$5,"Medium","Low"))</f>
        <v>High</v>
      </c>
      <c r="I7" s="2" t="n">
        <f aca="false">COUNTIFS(Map!$D:$D,$A7,Map!$G:$G,"Y")</f>
        <v>17</v>
      </c>
      <c r="J7" s="2" t="str">
        <f aca="false">IF(I7&gt;=Settings!$B$4,"High",IF(I7&gt;=Settings!$B$5,"Medium","Low"))</f>
        <v>High</v>
      </c>
      <c r="K7" s="2" t="n">
        <f aca="false">COUNTIF(Map!$D:$D,$A7)</f>
        <v>48</v>
      </c>
    </row>
    <row r="8" customFormat="false" ht="15" hidden="false" customHeight="false" outlineLevel="0" collapsed="false">
      <c r="A8" s="2" t="n">
        <v>7</v>
      </c>
      <c r="B8" s="2" t="s">
        <v>11</v>
      </c>
      <c r="C8" s="2" t="s">
        <v>19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0</v>
      </c>
    </row>
    <row r="9" customFormat="false" ht="23.85" hidden="false" customHeight="false" outlineLevel="0" collapsed="false">
      <c r="A9" s="2" t="n">
        <v>8</v>
      </c>
      <c r="B9" s="2" t="s">
        <v>11</v>
      </c>
      <c r="C9" s="2" t="s">
        <v>20</v>
      </c>
      <c r="D9" s="2" t="s">
        <v>13</v>
      </c>
      <c r="E9" s="2"/>
      <c r="F9" s="2" t="n">
        <v>8</v>
      </c>
      <c r="G9" s="2" t="n">
        <f aca="false">COUNTIFS(Map!$D:$D,$A9,Map!$F:$F,"Y")</f>
        <v>12</v>
      </c>
      <c r="H9" s="2" t="str">
        <f aca="false">IF(G9&gt;=Settings!$B$3,"High",IF(G9&gt;=Settings!$B$5,"Medium","Low"))</f>
        <v>High</v>
      </c>
      <c r="I9" s="2" t="n">
        <f aca="false">COUNTIFS(Map!$D:$D,$A9,Map!$G:$G,"Y")</f>
        <v>10</v>
      </c>
      <c r="J9" s="2" t="str">
        <f aca="false">IF(I9&gt;=Settings!$B$4,"High",IF(I9&gt;=Settings!$B$5,"Medium","Low"))</f>
        <v>High</v>
      </c>
      <c r="K9" s="2" t="n">
        <f aca="false">COUNTIF(Map!$D:$D,$A9)</f>
        <v>26</v>
      </c>
    </row>
    <row r="10" customFormat="false" ht="23.85" hidden="false" customHeight="false" outlineLevel="0" collapsed="false">
      <c r="A10" s="2" t="n">
        <v>9</v>
      </c>
      <c r="B10" s="2" t="s">
        <v>11</v>
      </c>
      <c r="C10" s="2" t="s">
        <v>21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1</v>
      </c>
    </row>
    <row r="11" customFormat="false" ht="15" hidden="false" customHeight="false" outlineLevel="0" collapsed="false">
      <c r="A11" s="2" t="n">
        <v>10</v>
      </c>
      <c r="B11" s="2" t="s">
        <v>11</v>
      </c>
      <c r="C11" s="2" t="s">
        <v>22</v>
      </c>
      <c r="D11" s="2" t="s">
        <v>13</v>
      </c>
      <c r="E11" s="2"/>
      <c r="F11" s="2" t="n">
        <v>10</v>
      </c>
      <c r="G11" s="2" t="n">
        <f aca="false">COUNTIFS(Map!$D:$D,$A11,Map!$F:$F,"Y")</f>
        <v>4</v>
      </c>
      <c r="H11" s="2" t="str">
        <f aca="false">IF(G11&gt;=Settings!$B$3,"High",IF(G11&gt;=Settings!$B$5,"Medium","Low"))</f>
        <v>High</v>
      </c>
      <c r="I11" s="2" t="n">
        <f aca="false">COUNTIFS(Map!$D:$D,$A11,Map!$G:$G,"Y")</f>
        <v>5</v>
      </c>
      <c r="J11" s="2" t="str">
        <f aca="false">IF(I11&gt;=Settings!$B$4,"High",IF(I11&gt;=Settings!$B$5,"Medium","Low"))</f>
        <v>High</v>
      </c>
      <c r="K11" s="2" t="n">
        <f aca="false">COUNTIF(Map!$D:$D,$A11)</f>
        <v>9</v>
      </c>
    </row>
    <row r="12" customFormat="false" ht="15" hidden="false" customHeight="false" outlineLevel="0" collapsed="false">
      <c r="A12" s="2" t="n">
        <v>11</v>
      </c>
      <c r="B12" s="2" t="s">
        <v>11</v>
      </c>
      <c r="C12" s="2" t="s">
        <v>23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24</v>
      </c>
      <c r="C13" s="2" t="s">
        <v>25</v>
      </c>
      <c r="D13" s="2" t="s">
        <v>13</v>
      </c>
      <c r="E13" s="2"/>
      <c r="F13" s="2" t="n">
        <v>12</v>
      </c>
      <c r="G13" s="2" t="n">
        <f aca="false">COUNTIFS(Map!$D:$D,$A13,Map!$F:$F,"Y")</f>
        <v>0</v>
      </c>
      <c r="H13" s="2" t="str">
        <f aca="false">IF(G13&gt;=Settings!$B$3,"High",IF(G13&gt;=Settings!$B$5,"Medium","Low"))</f>
        <v>Low</v>
      </c>
      <c r="I13" s="2" t="n">
        <f aca="false">COUNTIFS(Map!$D:$D,$A13,Map!$G:$G,"Y")</f>
        <v>0</v>
      </c>
      <c r="J13" s="2" t="str">
        <f aca="false">IF(I13&gt;=Settings!$B$4,"High",IF(I13&gt;=Settings!$B$5,"Medium","Low"))</f>
        <v>Low</v>
      </c>
      <c r="K13" s="2" t="n">
        <f aca="false">COUNTIF(Map!$D:$D,$A13)</f>
        <v>0</v>
      </c>
    </row>
    <row r="14" customFormat="false" ht="15" hidden="false" customHeight="false" outlineLevel="0" collapsed="false">
      <c r="A14" s="2" t="n">
        <v>13</v>
      </c>
      <c r="B14" s="2" t="s">
        <v>24</v>
      </c>
      <c r="C14" s="2" t="s">
        <v>26</v>
      </c>
      <c r="D14" s="2" t="s">
        <v>13</v>
      </c>
      <c r="E14" s="2"/>
      <c r="F14" s="2" t="n">
        <v>13</v>
      </c>
      <c r="G14" s="2" t="n">
        <f aca="false">COUNTIFS(Map!$D:$D,$A14,Map!$F:$F,"Y")</f>
        <v>1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1</v>
      </c>
      <c r="J14" s="2" t="str">
        <f aca="false">IF(I14&gt;=Settings!$B$4,"High",IF(I14&gt;=Settings!$B$5,"Medium","Low"))</f>
        <v>Medium</v>
      </c>
      <c r="K14" s="2" t="n">
        <f aca="false">COUNTIF(Map!$D:$D,$A14)</f>
        <v>2</v>
      </c>
    </row>
    <row r="15" customFormat="false" ht="15" hidden="false" customHeight="false" outlineLevel="0" collapsed="false">
      <c r="A15" s="2" t="n">
        <v>14</v>
      </c>
      <c r="B15" s="2" t="s">
        <v>24</v>
      </c>
      <c r="C15" s="2" t="s">
        <v>27</v>
      </c>
      <c r="D15" s="2" t="s">
        <v>13</v>
      </c>
      <c r="E15" s="2"/>
      <c r="F15" s="2" t="n">
        <v>14</v>
      </c>
      <c r="G15" s="2" t="n">
        <f aca="false">COUNTIFS(Map!$D:$D,$A15,Map!$F:$F,"Y")</f>
        <v>3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2</v>
      </c>
      <c r="J15" s="2" t="str">
        <f aca="false">IF(I15&gt;=Settings!$B$4,"High",IF(I15&gt;=Settings!$B$5,"Medium","Low"))</f>
        <v>Medium</v>
      </c>
      <c r="K15" s="2" t="n">
        <f aca="false">COUNTIF(Map!$D:$D,$A15)</f>
        <v>11</v>
      </c>
    </row>
    <row r="16" customFormat="false" ht="15" hidden="false" customHeight="false" outlineLevel="0" collapsed="false">
      <c r="A16" s="2" t="n">
        <v>15</v>
      </c>
      <c r="B16" s="2" t="s">
        <v>24</v>
      </c>
      <c r="C16" s="2" t="s">
        <v>28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0</v>
      </c>
    </row>
    <row r="17" customFormat="false" ht="15" hidden="false" customHeight="false" outlineLevel="0" collapsed="false">
      <c r="A17" s="2" t="n">
        <v>16</v>
      </c>
      <c r="B17" s="2" t="s">
        <v>24</v>
      </c>
      <c r="C17" s="2" t="s">
        <v>29</v>
      </c>
      <c r="D17" s="2" t="s">
        <v>13</v>
      </c>
      <c r="E17" s="2"/>
      <c r="F17" s="2" t="n">
        <v>16</v>
      </c>
      <c r="G17" s="2" t="n">
        <f aca="false">COUNTIFS(Map!$D:$D,$A17,Map!$F:$F,"Y")</f>
        <v>0</v>
      </c>
      <c r="H17" s="2" t="str">
        <f aca="false">IF(G17&gt;=Settings!$B$3,"High",IF(G17&gt;=Settings!$B$5,"Medium","Low"))</f>
        <v>Low</v>
      </c>
      <c r="I17" s="2" t="n">
        <f aca="false">COUNTIFS(Map!$D:$D,$A17,Map!$G:$G,"Y")</f>
        <v>0</v>
      </c>
      <c r="J17" s="2" t="str">
        <f aca="false">IF(I17&gt;=Settings!$B$4,"High",IF(I17&gt;=Settings!$B$5,"Medium","Low"))</f>
        <v>Low</v>
      </c>
      <c r="K17" s="2" t="n">
        <f aca="false">COUNTIF(Map!$D:$D,$A17)</f>
        <v>0</v>
      </c>
    </row>
    <row r="18" customFormat="false" ht="15" hidden="false" customHeight="false" outlineLevel="0" collapsed="false">
      <c r="A18" s="2" t="n">
        <v>17</v>
      </c>
      <c r="B18" s="2" t="s">
        <v>30</v>
      </c>
      <c r="C18" s="2" t="s">
        <v>31</v>
      </c>
      <c r="D18" s="2" t="s">
        <v>32</v>
      </c>
      <c r="E18" s="2"/>
      <c r="F18" s="2" t="n">
        <v>17</v>
      </c>
      <c r="G18" s="2" t="n">
        <f aca="false">COUNTIFS(Map!$D:$D,$A18,Map!$F:$F,"Y")</f>
        <v>0</v>
      </c>
      <c r="H18" s="2" t="str">
        <f aca="false">IF(G18&gt;=Settings!$B$3,"High",IF(G18&gt;=Settings!$B$5,"Medium","Low"))</f>
        <v>Low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0</v>
      </c>
    </row>
    <row r="19" customFormat="false" ht="15" hidden="false" customHeight="false" outlineLevel="0" collapsed="false">
      <c r="A19" s="2" t="n">
        <v>18</v>
      </c>
      <c r="B19" s="2" t="s">
        <v>30</v>
      </c>
      <c r="C19" s="2" t="s">
        <v>33</v>
      </c>
      <c r="D19" s="2" t="s">
        <v>13</v>
      </c>
      <c r="E19" s="2"/>
      <c r="F19" s="2" t="n">
        <v>18</v>
      </c>
      <c r="G19" s="2" t="n">
        <f aca="false">COUNTIFS(Map!$D:$D,$A19,Map!$F:$F,"Y")</f>
        <v>12</v>
      </c>
      <c r="H19" s="2" t="str">
        <f aca="false">IF(G19&gt;=Settings!$B$3,"High",IF(G19&gt;=Settings!$B$5,"Medium","Low"))</f>
        <v>High</v>
      </c>
      <c r="I19" s="2" t="n">
        <f aca="false">COUNTIFS(Map!$D:$D,$A19,Map!$G:$G,"Y")</f>
        <v>8</v>
      </c>
      <c r="J19" s="2" t="str">
        <f aca="false">IF(I19&gt;=Settings!$B$4,"High",IF(I19&gt;=Settings!$B$5,"Medium","Low"))</f>
        <v>High</v>
      </c>
      <c r="K19" s="2" t="n">
        <f aca="false">COUNTIF(Map!$D:$D,$A19)</f>
        <v>30</v>
      </c>
    </row>
    <row r="20" customFormat="false" ht="15" hidden="false" customHeight="false" outlineLevel="0" collapsed="false">
      <c r="A20" s="2" t="n">
        <v>19</v>
      </c>
      <c r="B20" s="2" t="s">
        <v>30</v>
      </c>
      <c r="C20" s="2" t="s">
        <v>34</v>
      </c>
      <c r="D20" s="2" t="s">
        <v>13</v>
      </c>
      <c r="E20" s="2"/>
      <c r="F20" s="2" t="n">
        <v>19</v>
      </c>
      <c r="G20" s="2" t="n">
        <f aca="false">COUNTIFS(Map!$D:$D,$A20,Map!$F:$F,"Y")</f>
        <v>2</v>
      </c>
      <c r="H20" s="2" t="str">
        <f aca="false">IF(G20&gt;=Settings!$B$3,"High",IF(G20&gt;=Settings!$B$5,"Medium","Low"))</f>
        <v>Medium</v>
      </c>
      <c r="I20" s="2" t="n">
        <f aca="false">COUNTIFS(Map!$D:$D,$A20,Map!$G:$G,"Y")</f>
        <v>1</v>
      </c>
      <c r="J20" s="2" t="str">
        <f aca="false">IF(I20&gt;=Settings!$B$4,"High",IF(I20&gt;=Settings!$B$5,"Medium","Low"))</f>
        <v>Medium</v>
      </c>
      <c r="K20" s="2" t="n">
        <f aca="false">COUNTIF(Map!$D:$D,$A20)</f>
        <v>6</v>
      </c>
    </row>
    <row r="21" customFormat="false" ht="15" hidden="false" customHeight="false" outlineLevel="0" collapsed="false">
      <c r="A21" s="2" t="n">
        <v>20</v>
      </c>
      <c r="B21" s="2" t="s">
        <v>30</v>
      </c>
      <c r="C21" s="2" t="s">
        <v>35</v>
      </c>
      <c r="D21" s="2" t="s">
        <v>13</v>
      </c>
      <c r="E21" s="2"/>
      <c r="F21" s="2" t="n">
        <v>20</v>
      </c>
      <c r="G21" s="2" t="n">
        <f aca="false">COUNTIFS(Map!$D:$D,$A21,Map!$F:$F,"Y")</f>
        <v>0</v>
      </c>
      <c r="H21" s="2" t="str">
        <f aca="false">IF(G21&gt;=Settings!$B$3,"High",IF(G21&gt;=Settings!$B$5,"Medium","Low"))</f>
        <v>Low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0</v>
      </c>
    </row>
    <row r="22" customFormat="false" ht="15" hidden="false" customHeight="false" outlineLevel="0" collapsed="false">
      <c r="A22" s="2" t="n">
        <v>21</v>
      </c>
      <c r="B22" s="2" t="s">
        <v>30</v>
      </c>
      <c r="C22" s="2" t="s">
        <v>36</v>
      </c>
      <c r="D22" s="2" t="s">
        <v>13</v>
      </c>
      <c r="E22" s="2"/>
      <c r="F22" s="2" t="n">
        <v>21</v>
      </c>
      <c r="G22" s="2" t="n">
        <f aca="false">COUNTIFS(Map!$D:$D,$A22,Map!$F:$F,"Y")</f>
        <v>0</v>
      </c>
      <c r="H22" s="2" t="str">
        <f aca="false">IF(G22&gt;=Settings!$B$3,"High",IF(G22&gt;=Settings!$B$5,"Medium","Low"))</f>
        <v>Low</v>
      </c>
      <c r="I22" s="2" t="n">
        <f aca="false">COUNTIFS(Map!$D:$D,$A22,Map!$G:$G,"Y")</f>
        <v>0</v>
      </c>
      <c r="J22" s="2" t="str">
        <f aca="false">IF(I22&gt;=Settings!$B$4,"High",IF(I22&gt;=Settings!$B$5,"Medium","Low"))</f>
        <v>Low</v>
      </c>
      <c r="K22" s="2" t="n">
        <f aca="false">COUNTIF(Map!$D:$D,$A22)</f>
        <v>3</v>
      </c>
    </row>
    <row r="23" customFormat="false" ht="15" hidden="false" customHeight="false" outlineLevel="0" collapsed="false">
      <c r="A23" s="2" t="n">
        <v>22</v>
      </c>
      <c r="B23" s="2" t="s">
        <v>30</v>
      </c>
      <c r="C23" s="2" t="s">
        <v>37</v>
      </c>
      <c r="D23" s="2" t="s">
        <v>13</v>
      </c>
      <c r="E23" s="2"/>
      <c r="F23" s="2" t="n">
        <v>22</v>
      </c>
      <c r="G23" s="2" t="n">
        <f aca="false">COUNTIFS(Map!$D:$D,$A23,Map!$F:$F,"Y")</f>
        <v>0</v>
      </c>
      <c r="H23" s="2" t="str">
        <f aca="false">IF(G23&gt;=Settings!$B$3,"High",IF(G23&gt;=Settings!$B$5,"Medium","Low"))</f>
        <v>Low</v>
      </c>
      <c r="I23" s="2" t="n">
        <f aca="false">COUNTIFS(Map!$D:$D,$A23,Map!$G:$G,"Y")</f>
        <v>0</v>
      </c>
      <c r="J23" s="2" t="str">
        <f aca="false">IF(I23&gt;=Settings!$B$4,"High",IF(I23&gt;=Settings!$B$5,"Medium","Low"))</f>
        <v>Low</v>
      </c>
      <c r="K23" s="2" t="n">
        <f aca="false">COUNTIF(Map!$D:$D,$A23)</f>
        <v>0</v>
      </c>
    </row>
    <row r="24" customFormat="false" ht="15" hidden="false" customHeight="false" outlineLevel="0" collapsed="false">
      <c r="A24" s="2" t="n">
        <v>23</v>
      </c>
      <c r="B24" s="2" t="s">
        <v>30</v>
      </c>
      <c r="C24" s="2" t="s">
        <v>38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30</v>
      </c>
      <c r="C25" s="2" t="s">
        <v>39</v>
      </c>
      <c r="D25" s="2" t="s">
        <v>13</v>
      </c>
      <c r="E25" s="2"/>
      <c r="F25" s="2" t="n">
        <v>24</v>
      </c>
      <c r="G25" s="2" t="n">
        <f aca="false">COUNTIFS(Map!$D:$D,$A25,Map!$F:$F,"Y")</f>
        <v>1</v>
      </c>
      <c r="H25" s="2" t="str">
        <f aca="false">IF(G25&gt;=Settings!$B$3,"High",IF(G25&gt;=Settings!$B$5,"Medium","Low"))</f>
        <v>Medium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11</v>
      </c>
    </row>
    <row r="26" customFormat="false" ht="15" hidden="false" customHeight="false" outlineLevel="0" collapsed="false">
      <c r="A26" s="2" t="n">
        <v>25</v>
      </c>
      <c r="B26" s="2" t="s">
        <v>30</v>
      </c>
      <c r="C26" s="2" t="s">
        <v>40</v>
      </c>
      <c r="D26" s="2" t="s">
        <v>13</v>
      </c>
      <c r="E26" s="2"/>
      <c r="F26" s="2" t="n">
        <v>25</v>
      </c>
      <c r="G26" s="2" t="n">
        <f aca="false">COUNTIFS(Map!$D:$D,$A26,Map!$F:$F,"Y")</f>
        <v>2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2</v>
      </c>
      <c r="J26" s="2" t="str">
        <f aca="false">IF(I26&gt;=Settings!$B$4,"High",IF(I26&gt;=Settings!$B$5,"Medium","Low"))</f>
        <v>Medium</v>
      </c>
      <c r="K26" s="2" t="n">
        <f aca="false">COUNTIF(Map!$D:$D,$A26)</f>
        <v>4</v>
      </c>
    </row>
    <row r="27" customFormat="false" ht="23.85" hidden="false" customHeight="false" outlineLevel="0" collapsed="false">
      <c r="A27" s="2" t="n">
        <v>26</v>
      </c>
      <c r="B27" s="2" t="s">
        <v>30</v>
      </c>
      <c r="C27" s="2" t="s">
        <v>41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0</v>
      </c>
    </row>
    <row r="28" customFormat="false" ht="15" hidden="false" customHeight="false" outlineLevel="0" collapsed="false">
      <c r="A28" s="2" t="n">
        <v>27</v>
      </c>
      <c r="B28" s="2" t="s">
        <v>30</v>
      </c>
      <c r="C28" s="2" t="s">
        <v>42</v>
      </c>
      <c r="D28" s="2" t="s">
        <v>13</v>
      </c>
      <c r="E28" s="2"/>
      <c r="F28" s="2" t="n">
        <v>27</v>
      </c>
      <c r="G28" s="2" t="n">
        <f aca="false">COUNTIFS(Map!$D:$D,$A28,Map!$F:$F,"Y")</f>
        <v>0</v>
      </c>
      <c r="H28" s="2" t="str">
        <f aca="false">IF(G28&gt;=Settings!$B$3,"High",IF(G28&gt;=Settings!$B$5,"Medium","Low"))</f>
        <v>Low</v>
      </c>
      <c r="I28" s="2" t="n">
        <f aca="false">COUNTIFS(Map!$D:$D,$A28,Map!$G:$G,"Y")</f>
        <v>0</v>
      </c>
      <c r="J28" s="2" t="str">
        <f aca="false">IF(I28&gt;=Settings!$B$4,"High",IF(I28&gt;=Settings!$B$5,"Medium","Low"))</f>
        <v>Low</v>
      </c>
      <c r="K28" s="2" t="n">
        <f aca="false">COUNTIF(Map!$D:$D,$A28)</f>
        <v>2</v>
      </c>
    </row>
    <row r="29" customFormat="false" ht="15" hidden="false" customHeight="false" outlineLevel="0" collapsed="false">
      <c r="A29" s="2" t="n">
        <v>28</v>
      </c>
      <c r="B29" s="2" t="s">
        <v>43</v>
      </c>
      <c r="C29" s="2" t="s">
        <v>44</v>
      </c>
      <c r="D29" s="2" t="s">
        <v>13</v>
      </c>
      <c r="E29" s="2"/>
      <c r="F29" s="2" t="n">
        <v>28</v>
      </c>
      <c r="G29" s="2" t="n">
        <f aca="false">COUNTIFS(Map!$D:$D,$A29,Map!$F:$F,"Y")</f>
        <v>0</v>
      </c>
      <c r="H29" s="2" t="str">
        <f aca="false">IF(G29&gt;=Settings!$B$3,"High",IF(G29&gt;=Settings!$B$5,"Medium","Low"))</f>
        <v>Low</v>
      </c>
      <c r="I29" s="2" t="n">
        <f aca="false">COUNTIFS(Map!$D:$D,$A29,Map!$G:$G,"Y")</f>
        <v>0</v>
      </c>
      <c r="J29" s="2" t="str">
        <f aca="false">IF(I29&gt;=Settings!$B$4,"High",IF(I29&gt;=Settings!$B$5,"Medium","Low"))</f>
        <v>Low</v>
      </c>
      <c r="K29" s="2" t="n">
        <f aca="false">COUNTIF(Map!$D:$D,$A29)</f>
        <v>0</v>
      </c>
    </row>
    <row r="30" customFormat="false" ht="15" hidden="false" customHeight="false" outlineLevel="0" collapsed="false">
      <c r="A30" s="2" t="n">
        <v>29</v>
      </c>
      <c r="B30" s="2" t="s">
        <v>43</v>
      </c>
      <c r="C30" s="2" t="s">
        <v>45</v>
      </c>
      <c r="D30" s="2" t="s">
        <v>13</v>
      </c>
      <c r="E30" s="2"/>
      <c r="F30" s="2" t="n">
        <v>29</v>
      </c>
      <c r="G30" s="2" t="n">
        <f aca="false">COUNTIFS(Map!$D:$D,$A30,Map!$F:$F,"Y")</f>
        <v>0</v>
      </c>
      <c r="H30" s="2" t="str">
        <f aca="false">IF(G30&gt;=Settings!$B$3,"High",IF(G30&gt;=Settings!$B$5,"Medium","Low"))</f>
        <v>Low</v>
      </c>
      <c r="I30" s="2" t="n">
        <f aca="false">COUNTIFS(Map!$D:$D,$A30,Map!$G:$G,"Y")</f>
        <v>0</v>
      </c>
      <c r="J30" s="2" t="str">
        <f aca="false">IF(I30&gt;=Settings!$B$4,"High",IF(I30&gt;=Settings!$B$5,"Medium","Low"))</f>
        <v>Low</v>
      </c>
      <c r="K30" s="2" t="n">
        <f aca="false">COUNTIF(Map!$D:$D,$A30)</f>
        <v>0</v>
      </c>
    </row>
    <row r="31" customFormat="false" ht="15" hidden="false" customHeight="false" outlineLevel="0" collapsed="false">
      <c r="A31" s="2" t="n">
        <v>30</v>
      </c>
      <c r="B31" s="2" t="s">
        <v>46</v>
      </c>
      <c r="C31" s="2" t="s">
        <v>47</v>
      </c>
      <c r="D31" s="2" t="s">
        <v>13</v>
      </c>
      <c r="E31" s="2"/>
      <c r="F31" s="2" t="n">
        <v>30</v>
      </c>
      <c r="G31" s="2" t="n">
        <f aca="false">COUNTIFS(Map!$D:$D,$A31,Map!$F:$F,"Y")</f>
        <v>0</v>
      </c>
      <c r="H31" s="2" t="str">
        <f aca="false">IF(G31&gt;=Settings!$B$3,"High",IF(G31&gt;=Settings!$B$5,"Medium","Low"))</f>
        <v>Low</v>
      </c>
      <c r="I31" s="2" t="n">
        <f aca="false">COUNTIFS(Map!$D:$D,$A31,Map!$G:$G,"Y")</f>
        <v>0</v>
      </c>
      <c r="J31" s="2" t="str">
        <f aca="false">IF(I31&gt;=Settings!$B$4,"High",IF(I31&gt;=Settings!$B$5,"Medium","Low"))</f>
        <v>Low</v>
      </c>
      <c r="K31" s="2" t="n">
        <f aca="false">COUNTIF(Map!$D:$D,$A31)</f>
        <v>0</v>
      </c>
    </row>
    <row r="32" customFormat="false" ht="15" hidden="false" customHeight="false" outlineLevel="0" collapsed="false">
      <c r="A32" s="2" t="n">
        <v>31</v>
      </c>
      <c r="B32" s="2" t="s">
        <v>46</v>
      </c>
      <c r="C32" s="2" t="s">
        <v>48</v>
      </c>
      <c r="D32" s="2" t="s">
        <v>13</v>
      </c>
      <c r="E32" s="2"/>
      <c r="F32" s="2" t="n">
        <v>31</v>
      </c>
      <c r="G32" s="2" t="n">
        <f aca="false">COUNTIFS(Map!$D:$D,$A32,Map!$F:$F,"Y")</f>
        <v>2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0</v>
      </c>
      <c r="J32" s="2" t="str">
        <f aca="false">IF(I32&gt;=Settings!$B$4,"High",IF(I32&gt;=Settings!$B$5,"Medium","Low"))</f>
        <v>Low</v>
      </c>
      <c r="K32" s="2" t="n">
        <f aca="false">COUNTIF(Map!$D:$D,$A32)</f>
        <v>5</v>
      </c>
    </row>
    <row r="33" customFormat="false" ht="15" hidden="false" customHeight="false" outlineLevel="0" collapsed="false">
      <c r="A33" s="2" t="n">
        <v>32</v>
      </c>
      <c r="B33" s="2" t="s">
        <v>46</v>
      </c>
      <c r="C33" s="2" t="s">
        <v>49</v>
      </c>
      <c r="D33" s="2" t="s">
        <v>13</v>
      </c>
      <c r="E33" s="2"/>
      <c r="F33" s="2" t="n">
        <v>32</v>
      </c>
      <c r="G33" s="2" t="n">
        <f aca="false">COUNTIFS(Map!$D:$D,$A33,Map!$F:$F,"Y")</f>
        <v>1</v>
      </c>
      <c r="H33" s="2" t="str">
        <f aca="false">IF(G33&gt;=Settings!$B$3,"High",IF(G33&gt;=Settings!$B$5,"Medium","Low"))</f>
        <v>Medium</v>
      </c>
      <c r="I33" s="2" t="n">
        <f aca="false">COUNTIFS(Map!$D:$D,$A33,Map!$G:$G,"Y")</f>
        <v>0</v>
      </c>
      <c r="J33" s="2" t="str">
        <f aca="false">IF(I33&gt;=Settings!$B$4,"High",IF(I33&gt;=Settings!$B$5,"Medium","Low"))</f>
        <v>Low</v>
      </c>
      <c r="K33" s="2" t="n">
        <f aca="false">COUNTIF(Map!$D:$D,$A33)</f>
        <v>4</v>
      </c>
    </row>
    <row r="34" customFormat="false" ht="15" hidden="false" customHeight="false" outlineLevel="0" collapsed="false">
      <c r="A34" s="2" t="n">
        <v>33</v>
      </c>
      <c r="B34" s="2" t="s">
        <v>50</v>
      </c>
      <c r="C34" s="2" t="s">
        <v>51</v>
      </c>
      <c r="D34" s="2" t="s">
        <v>13</v>
      </c>
      <c r="E34" s="2"/>
      <c r="F34" s="2" t="n">
        <v>33</v>
      </c>
      <c r="G34" s="2" t="n">
        <f aca="false">COUNTIFS(Map!$D:$D,$A34,Map!$F:$F,"Y")</f>
        <v>0</v>
      </c>
      <c r="H34" s="2" t="str">
        <f aca="false">IF(G34&gt;=Settings!$B$3,"High",IF(G34&gt;=Settings!$B$5,"Medium","Low"))</f>
        <v>Low</v>
      </c>
      <c r="I34" s="2" t="n">
        <f aca="false">COUNTIFS(Map!$D:$D,$A34,Map!$G:$G,"Y")</f>
        <v>1</v>
      </c>
      <c r="J34" s="2" t="str">
        <f aca="false">IF(I34&gt;=Settings!$B$4,"High",IF(I34&gt;=Settings!$B$5,"Medium","Low"))</f>
        <v>Medium</v>
      </c>
      <c r="K34" s="2" t="n">
        <f aca="false">COUNTIF(Map!$D:$D,$A34)</f>
        <v>3</v>
      </c>
    </row>
    <row r="35" customFormat="false" ht="23.85" hidden="false" customHeight="false" outlineLevel="0" collapsed="false">
      <c r="A35" s="2" t="n">
        <v>34</v>
      </c>
      <c r="B35" s="2" t="s">
        <v>50</v>
      </c>
      <c r="C35" s="2" t="s">
        <v>52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0</v>
      </c>
    </row>
    <row r="36" customFormat="false" ht="15" hidden="false" customHeight="false" outlineLevel="0" collapsed="false">
      <c r="A36" s="2" t="n">
        <v>35</v>
      </c>
      <c r="B36" s="2" t="s">
        <v>53</v>
      </c>
      <c r="C36" s="2" t="s">
        <v>54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15" hidden="false" customHeight="false" outlineLevel="0" collapsed="false">
      <c r="A37" s="2" t="n">
        <v>36</v>
      </c>
      <c r="B37" s="2" t="s">
        <v>53</v>
      </c>
      <c r="C37" s="2" t="s">
        <v>55</v>
      </c>
      <c r="D37" s="2" t="s">
        <v>13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0</v>
      </c>
    </row>
    <row r="38" customFormat="false" ht="15" hidden="false" customHeight="false" outlineLevel="0" collapsed="false">
      <c r="A38" s="2" t="n">
        <v>37</v>
      </c>
      <c r="B38" s="2" t="s">
        <v>53</v>
      </c>
      <c r="C38" s="2" t="s">
        <v>56</v>
      </c>
      <c r="D38" s="2" t="s">
        <v>13</v>
      </c>
      <c r="E38" s="2"/>
      <c r="F38" s="2" t="n">
        <v>37</v>
      </c>
      <c r="G38" s="2" t="n">
        <f aca="false">COUNTIFS(Map!$D:$D,$A38,Map!$F:$F,"Y")</f>
        <v>0</v>
      </c>
      <c r="H38" s="2" t="str">
        <f aca="false">IF(G38&gt;=Settings!$B$3,"High",IF(G38&gt;=Settings!$B$5,"Medium","Low"))</f>
        <v>Low</v>
      </c>
      <c r="I38" s="2" t="n">
        <f aca="false">COUNTIFS(Map!$D:$D,$A38,Map!$G:$G,"Y")</f>
        <v>0</v>
      </c>
      <c r="J38" s="2" t="str">
        <f aca="false">IF(I38&gt;=Settings!$B$4,"High",IF(I38&gt;=Settings!$B$5,"Medium","Low"))</f>
        <v>Low</v>
      </c>
      <c r="K38" s="2" t="n">
        <f aca="false">COUNTIF(Map!$D:$D,$A38)</f>
        <v>0</v>
      </c>
    </row>
    <row r="39" customFormat="false" ht="15" hidden="false" customHeight="false" outlineLevel="0" collapsed="false">
      <c r="A39" s="2" t="n">
        <v>38</v>
      </c>
      <c r="B39" s="2" t="s">
        <v>57</v>
      </c>
      <c r="C39" s="2" t="s">
        <v>58</v>
      </c>
      <c r="D39" s="2" t="s">
        <v>13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2</v>
      </c>
    </row>
    <row r="40" customFormat="false" ht="15" hidden="false" customHeight="false" outlineLevel="0" collapsed="false">
      <c r="A40" s="2" t="n">
        <v>39</v>
      </c>
      <c r="B40" s="2" t="s">
        <v>59</v>
      </c>
      <c r="C40" s="2" t="s">
        <v>60</v>
      </c>
      <c r="D40" s="2" t="s">
        <v>13</v>
      </c>
      <c r="E40" s="2"/>
      <c r="F40" s="2" t="n">
        <v>39</v>
      </c>
      <c r="G40" s="2" t="n">
        <f aca="false">COUNTIFS(Map!$D:$D,$A40,Map!$F:$F,"Y")</f>
        <v>9</v>
      </c>
      <c r="H40" s="2" t="str">
        <f aca="false">IF(G40&gt;=Settings!$B$3,"High",IF(G40&gt;=Settings!$B$5,"Medium","Low"))</f>
        <v>High</v>
      </c>
      <c r="I40" s="2" t="n">
        <f aca="false">COUNTIFS(Map!$D:$D,$A40,Map!$G:$G,"Y")</f>
        <v>2</v>
      </c>
      <c r="J40" s="2" t="str">
        <f aca="false">IF(I40&gt;=Settings!$B$4,"High",IF(I40&gt;=Settings!$B$5,"Medium","Low"))</f>
        <v>Medium</v>
      </c>
      <c r="K40" s="2" t="n">
        <f aca="false">COUNTIF(Map!$D:$D,$A40)</f>
        <v>21</v>
      </c>
    </row>
    <row r="41" customFormat="false" ht="15" hidden="false" customHeight="false" outlineLevel="0" collapsed="false">
      <c r="A41" s="2" t="n">
        <v>40</v>
      </c>
      <c r="B41" s="2" t="s">
        <v>59</v>
      </c>
      <c r="C41" s="2" t="s">
        <v>61</v>
      </c>
      <c r="D41" s="2" t="s">
        <v>13</v>
      </c>
      <c r="E41" s="2"/>
      <c r="F41" s="2" t="n">
        <v>40</v>
      </c>
      <c r="G41" s="2" t="n">
        <f aca="false">COUNTIFS(Map!$D:$D,$A41,Map!$F:$F,"Y")</f>
        <v>1</v>
      </c>
      <c r="H41" s="2" t="str">
        <f aca="false">IF(G41&gt;=Settings!$B$3,"High",IF(G41&gt;=Settings!$B$5,"Medium","Low"))</f>
        <v>Medium</v>
      </c>
      <c r="I41" s="2" t="n">
        <f aca="false">COUNTIFS(Map!$D:$D,$A41,Map!$G:$G,"Y")</f>
        <v>1</v>
      </c>
      <c r="J41" s="2" t="str">
        <f aca="false">IF(I41&gt;=Settings!$B$4,"High",IF(I41&gt;=Settings!$B$5,"Medium","Low"))</f>
        <v>Medium</v>
      </c>
      <c r="K41" s="2" t="n">
        <f aca="false">COUNTIF(Map!$D:$D,$A41)</f>
        <v>2</v>
      </c>
    </row>
    <row r="42" customFormat="false" ht="15" hidden="false" customHeight="false" outlineLevel="0" collapsed="false">
      <c r="A42" s="2" t="n">
        <v>41</v>
      </c>
      <c r="B42" s="2" t="s">
        <v>62</v>
      </c>
      <c r="C42" s="2" t="s">
        <v>63</v>
      </c>
      <c r="D42" s="2" t="s">
        <v>13</v>
      </c>
      <c r="E42" s="2"/>
      <c r="F42" s="2" t="n">
        <v>41</v>
      </c>
      <c r="G42" s="2" t="n">
        <f aca="false">COUNTIFS(Map!$D:$D,$A42,Map!$F:$F,"Y")</f>
        <v>0</v>
      </c>
      <c r="H42" s="2" t="str">
        <f aca="false">IF(G42&gt;=Settings!$B$3,"High",IF(G42&gt;=Settings!$B$5,"Medium","Low"))</f>
        <v>Low</v>
      </c>
      <c r="I42" s="2" t="n">
        <f aca="false">COUNTIFS(Map!$D:$D,$A42,Map!$G:$G,"Y")</f>
        <v>0</v>
      </c>
      <c r="J42" s="2" t="str">
        <f aca="false">IF(I42&gt;=Settings!$B$4,"High",IF(I42&gt;=Settings!$B$5,"Medium","Low"))</f>
        <v>Low</v>
      </c>
      <c r="K42" s="2" t="n">
        <f aca="false">COUNTIF(Map!$D:$D,$A42)</f>
        <v>4</v>
      </c>
    </row>
    <row r="43" customFormat="false" ht="15" hidden="false" customHeight="false" outlineLevel="0" collapsed="false">
      <c r="A43" s="2" t="n">
        <v>42</v>
      </c>
      <c r="B43" s="2" t="s">
        <v>62</v>
      </c>
      <c r="C43" s="2" t="s">
        <v>64</v>
      </c>
      <c r="D43" s="2" t="s">
        <v>13</v>
      </c>
      <c r="E43" s="2"/>
      <c r="F43" s="2" t="n">
        <v>42</v>
      </c>
      <c r="G43" s="2" t="n">
        <f aca="false">COUNTIFS(Map!$D:$D,$A43,Map!$F:$F,"Y")</f>
        <v>0</v>
      </c>
      <c r="H43" s="2" t="str">
        <f aca="false">IF(G43&gt;=Settings!$B$3,"High",IF(G43&gt;=Settings!$B$5,"Medium","Low"))</f>
        <v>Low</v>
      </c>
      <c r="I43" s="2" t="n">
        <f aca="false">COUNTIFS(Map!$D:$D,$A43,Map!$G:$G,"Y")</f>
        <v>0</v>
      </c>
      <c r="J43" s="2" t="str">
        <f aca="false">IF(I43&gt;=Settings!$B$4,"High",IF(I43&gt;=Settings!$B$5,"Medium","Low"))</f>
        <v>Low</v>
      </c>
      <c r="K43" s="2" t="n">
        <f aca="false">COUNTIF(Map!$D:$D,$A43)</f>
        <v>0</v>
      </c>
    </row>
    <row r="44" customFormat="false" ht="23.85" hidden="false" customHeight="false" outlineLevel="0" collapsed="false">
      <c r="A44" s="2" t="n">
        <v>43</v>
      </c>
      <c r="B44" s="2" t="s">
        <v>62</v>
      </c>
      <c r="C44" s="2" t="s">
        <v>65</v>
      </c>
      <c r="D44" s="2" t="s">
        <v>13</v>
      </c>
      <c r="E44" s="2"/>
      <c r="F44" s="2" t="n">
        <v>43</v>
      </c>
      <c r="G44" s="2" t="n">
        <f aca="false">COUNTIFS(Map!$D:$D,$A44,Map!$F:$F,"Y")</f>
        <v>0</v>
      </c>
      <c r="H44" s="2" t="str">
        <f aca="false">IF(G44&gt;=Settings!$B$3,"High",IF(G44&gt;=Settings!$B$5,"Medium","Low"))</f>
        <v>Low</v>
      </c>
      <c r="I44" s="2" t="n">
        <f aca="false">COUNTIFS(Map!$D:$D,$A44,Map!$G:$G,"Y")</f>
        <v>1</v>
      </c>
      <c r="J44" s="2" t="str">
        <f aca="false">IF(I44&gt;=Settings!$B$4,"High",IF(I44&gt;=Settings!$B$5,"Medium","Low"))</f>
        <v>Medium</v>
      </c>
      <c r="K44" s="2" t="n">
        <f aca="false">COUNTIF(Map!$D:$D,$A44)</f>
        <v>2</v>
      </c>
    </row>
    <row r="45" customFormat="false" ht="15" hidden="false" customHeight="false" outlineLevel="0" collapsed="false">
      <c r="A45" s="2" t="n">
        <v>44</v>
      </c>
      <c r="B45" s="2" t="s">
        <v>66</v>
      </c>
      <c r="C45" s="2" t="s">
        <v>67</v>
      </c>
      <c r="D45" s="2" t="s">
        <v>13</v>
      </c>
      <c r="E45" s="2"/>
      <c r="F45" s="2" t="n">
        <v>44</v>
      </c>
      <c r="G45" s="2" t="n">
        <f aca="false">COUNTIFS(Map!$D:$D,$A45,Map!$F:$F,"Y")</f>
        <v>3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2</v>
      </c>
      <c r="J45" s="2" t="str">
        <f aca="false">IF(I45&gt;=Settings!$B$4,"High",IF(I45&gt;=Settings!$B$5,"Medium","Low"))</f>
        <v>Medium</v>
      </c>
      <c r="K45" s="2" t="n">
        <f aca="false">COUNTIF(Map!$D:$D,$A45)</f>
        <v>8</v>
      </c>
    </row>
    <row r="46" customFormat="false" ht="23.85" hidden="false" customHeight="false" outlineLevel="0" collapsed="false">
      <c r="A46" s="2" t="n">
        <v>45</v>
      </c>
      <c r="B46" s="2" t="s">
        <v>66</v>
      </c>
      <c r="C46" s="2" t="s">
        <v>68</v>
      </c>
      <c r="D46" s="2" t="s">
        <v>13</v>
      </c>
      <c r="E46" s="2"/>
      <c r="F46" s="2" t="n">
        <v>45</v>
      </c>
      <c r="G46" s="2" t="n">
        <f aca="false">COUNTIFS(Map!$D:$D,$A46,Map!$F:$F,"Y")</f>
        <v>2</v>
      </c>
      <c r="H46" s="2" t="str">
        <f aca="false">IF(G46&gt;=Settings!$B$3,"High",IF(G46&gt;=Settings!$B$5,"Medium","Low"))</f>
        <v>Medium</v>
      </c>
      <c r="I46" s="2" t="n">
        <f aca="false">COUNTIFS(Map!$D:$D,$A46,Map!$G:$G,"Y")</f>
        <v>2</v>
      </c>
      <c r="J46" s="2" t="str">
        <f aca="false">IF(I46&gt;=Settings!$B$4,"High",IF(I46&gt;=Settings!$B$5,"Medium","Low"))</f>
        <v>Medium</v>
      </c>
      <c r="K46" s="2" t="n">
        <f aca="false">COUNTIF(Map!$D:$D,$A46)</f>
        <v>6</v>
      </c>
    </row>
    <row r="47" customFormat="false" ht="23.85" hidden="false" customHeight="false" outlineLevel="0" collapsed="false">
      <c r="A47" s="2" t="n">
        <v>46</v>
      </c>
      <c r="B47" s="2" t="s">
        <v>66</v>
      </c>
      <c r="C47" s="2" t="s">
        <v>69</v>
      </c>
      <c r="D47" s="2" t="s">
        <v>13</v>
      </c>
      <c r="E47" s="2"/>
      <c r="F47" s="2" t="n">
        <v>46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4</v>
      </c>
    </row>
    <row r="48" customFormat="false" ht="23.85" hidden="false" customHeight="false" outlineLevel="0" collapsed="false">
      <c r="A48" s="2" t="n">
        <v>47</v>
      </c>
      <c r="B48" s="2" t="s">
        <v>66</v>
      </c>
      <c r="C48" s="2" t="s">
        <v>70</v>
      </c>
      <c r="D48" s="2" t="s">
        <v>13</v>
      </c>
      <c r="E48" s="2"/>
      <c r="F48" s="2" t="n">
        <v>47</v>
      </c>
      <c r="G48" s="2" t="n">
        <f aca="false">COUNTIFS(Map!$D:$D,$A48,Map!$F:$F,"Y")</f>
        <v>1</v>
      </c>
      <c r="H48" s="2" t="str">
        <f aca="false">IF(G48&gt;=Settings!$B$3,"High",IF(G48&gt;=Settings!$B$5,"Medium","Low"))</f>
        <v>Medium</v>
      </c>
      <c r="I48" s="2" t="n">
        <f aca="false">COUNTIFS(Map!$D:$D,$A48,Map!$G:$G,"Y")</f>
        <v>0</v>
      </c>
      <c r="J48" s="2" t="str">
        <f aca="false">IF(I48&gt;=Settings!$B$4,"High",IF(I48&gt;=Settings!$B$5,"Medium","Low"))</f>
        <v>Low</v>
      </c>
      <c r="K48" s="2" t="n">
        <f aca="false">COUNTIF(Map!$D:$D,$A48)</f>
        <v>6</v>
      </c>
    </row>
    <row r="49" customFormat="false" ht="15" hidden="false" customHeight="false" outlineLevel="0" collapsed="false">
      <c r="A49" s="2" t="n">
        <v>48</v>
      </c>
      <c r="B49" s="2" t="s">
        <v>66</v>
      </c>
      <c r="C49" s="2" t="s">
        <v>71</v>
      </c>
      <c r="D49" s="2" t="s">
        <v>13</v>
      </c>
      <c r="E49" s="2"/>
      <c r="F49" s="2" t="n">
        <v>48</v>
      </c>
      <c r="G49" s="2" t="n">
        <f aca="false">COUNTIFS(Map!$D:$D,$A49,Map!$F:$F,"Y")</f>
        <v>2</v>
      </c>
      <c r="H49" s="2" t="str">
        <f aca="false">IF(G49&gt;=Settings!$B$3,"High",IF(G49&gt;=Settings!$B$5,"Medium","Low"))</f>
        <v>Medium</v>
      </c>
      <c r="I49" s="2" t="n">
        <f aca="false">COUNTIFS(Map!$D:$D,$A49,Map!$G:$G,"Y")</f>
        <v>3</v>
      </c>
      <c r="J49" s="2" t="str">
        <f aca="false">IF(I49&gt;=Settings!$B$4,"High",IF(I49&gt;=Settings!$B$5,"Medium","Low"))</f>
        <v>High</v>
      </c>
      <c r="K49" s="2" t="n">
        <f aca="false">COUNTIF(Map!$D:$D,$A49)</f>
        <v>6</v>
      </c>
    </row>
    <row r="50" customFormat="false" ht="15" hidden="false" customHeight="false" outlineLevel="0" collapsed="false">
      <c r="A50" s="2" t="n">
        <v>49</v>
      </c>
      <c r="B50" s="2" t="s">
        <v>66</v>
      </c>
      <c r="C50" s="2" t="s">
        <v>72</v>
      </c>
      <c r="D50" s="2" t="s">
        <v>13</v>
      </c>
      <c r="E50" s="2"/>
      <c r="F50" s="2" t="n">
        <v>49</v>
      </c>
      <c r="G50" s="2" t="n">
        <f aca="false">COUNTIFS(Map!$D:$D,$A50,Map!$F:$F,"Y")</f>
        <v>6</v>
      </c>
      <c r="H50" s="2" t="str">
        <f aca="false">IF(G50&gt;=Settings!$B$3,"High",IF(G50&gt;=Settings!$B$5,"Medium","Low"))</f>
        <v>High</v>
      </c>
      <c r="I50" s="2" t="n">
        <f aca="false">COUNTIFS(Map!$D:$D,$A50,Map!$G:$G,"Y")</f>
        <v>3</v>
      </c>
      <c r="J50" s="2" t="str">
        <f aca="false">IF(I50&gt;=Settings!$B$4,"High",IF(I50&gt;=Settings!$B$5,"Medium","Low"))</f>
        <v>High</v>
      </c>
      <c r="K50" s="2" t="n">
        <f aca="false">COUNTIF(Map!$D:$D,$A50)</f>
        <v>10</v>
      </c>
    </row>
    <row r="51" customFormat="false" ht="23.85" hidden="false" customHeight="false" outlineLevel="0" collapsed="false">
      <c r="A51" s="2" t="n">
        <v>50</v>
      </c>
      <c r="B51" s="2" t="s">
        <v>66</v>
      </c>
      <c r="C51" s="2" t="s">
        <v>73</v>
      </c>
      <c r="D51" s="2" t="s">
        <v>13</v>
      </c>
      <c r="E51" s="2"/>
      <c r="F51" s="2" t="n">
        <v>50</v>
      </c>
      <c r="G51" s="2" t="n">
        <f aca="false">COUNTIFS(Map!$D:$D,$A51,Map!$F:$F,"Y")</f>
        <v>0</v>
      </c>
      <c r="H51" s="2" t="str">
        <f aca="false">IF(G51&gt;=Settings!$B$3,"High",IF(G51&gt;=Settings!$B$5,"Medium","Low"))</f>
        <v>Low</v>
      </c>
      <c r="I51" s="2" t="n">
        <f aca="false">COUNTIFS(Map!$D:$D,$A51,Map!$G:$G,"Y")</f>
        <v>1</v>
      </c>
      <c r="J51" s="2" t="str">
        <f aca="false">IF(I51&gt;=Settings!$B$4,"High",IF(I51&gt;=Settings!$B$5,"Medium","Low"))</f>
        <v>Medium</v>
      </c>
      <c r="K51" s="2" t="n">
        <f aca="false">COUNTIF(Map!$D:$D,$A51)</f>
        <v>5</v>
      </c>
    </row>
    <row r="52" customFormat="false" ht="15" hidden="false" customHeight="false" outlineLevel="0" collapsed="false">
      <c r="A52" s="2" t="n">
        <v>51</v>
      </c>
      <c r="B52" s="2" t="s">
        <v>66</v>
      </c>
      <c r="C52" s="2" t="s">
        <v>74</v>
      </c>
      <c r="D52" s="2" t="s">
        <v>13</v>
      </c>
      <c r="E52" s="2"/>
      <c r="F52" s="2" t="n">
        <v>51</v>
      </c>
      <c r="G52" s="2" t="n">
        <f aca="false">COUNTIFS(Map!$D:$D,$A52,Map!$F:$F,"Y")</f>
        <v>0</v>
      </c>
      <c r="H52" s="2" t="str">
        <f aca="false">IF(G52&gt;=Settings!$B$3,"High",IF(G52&gt;=Settings!$B$5,"Medium","Low"))</f>
        <v>Low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3</v>
      </c>
    </row>
    <row r="53" customFormat="false" ht="23.85" hidden="false" customHeight="false" outlineLevel="0" collapsed="false">
      <c r="A53" s="2" t="n">
        <v>52</v>
      </c>
      <c r="B53" s="2" t="s">
        <v>66</v>
      </c>
      <c r="C53" s="2" t="s">
        <v>75</v>
      </c>
      <c r="D53" s="2" t="s">
        <v>13</v>
      </c>
      <c r="E53" s="2"/>
      <c r="F53" s="2" t="n">
        <v>52</v>
      </c>
      <c r="G53" s="2" t="n">
        <f aca="false">COUNTIFS(Map!$D:$D,$A53,Map!$F:$F,"Y")</f>
        <v>0</v>
      </c>
      <c r="H53" s="2" t="str">
        <f aca="false">IF(G53&gt;=Settings!$B$3,"High",IF(G53&gt;=Settings!$B$5,"Medium","Low"))</f>
        <v>Low</v>
      </c>
      <c r="I53" s="2" t="n">
        <f aca="false">COUNTIFS(Map!$D:$D,$A53,Map!$G:$G,"Y")</f>
        <v>0</v>
      </c>
      <c r="J53" s="2" t="str">
        <f aca="false">IF(I53&gt;=Settings!$B$4,"High",IF(I53&gt;=Settings!$B$5,"Medium","Low"))</f>
        <v>Low</v>
      </c>
      <c r="K53" s="2" t="n">
        <f aca="false">COUNTIF(Map!$D:$D,$A53)</f>
        <v>1</v>
      </c>
    </row>
    <row r="54" customFormat="false" ht="15" hidden="false" customHeight="false" outlineLevel="0" collapsed="false">
      <c r="A54" s="2" t="n">
        <v>53</v>
      </c>
      <c r="B54" s="2" t="s">
        <v>66</v>
      </c>
      <c r="C54" s="2" t="s">
        <v>76</v>
      </c>
      <c r="D54" s="2" t="s">
        <v>13</v>
      </c>
      <c r="E54" s="2"/>
      <c r="F54" s="2" t="n">
        <v>53</v>
      </c>
      <c r="G54" s="2" t="n">
        <f aca="false">COUNTIFS(Map!$D:$D,$A54,Map!$F:$F,"Y")</f>
        <v>0</v>
      </c>
      <c r="H54" s="2" t="str">
        <f aca="false">IF(G54&gt;=Settings!$B$3,"High",IF(G54&gt;=Settings!$B$5,"Medium","Low"))</f>
        <v>Low</v>
      </c>
      <c r="I54" s="2" t="n">
        <f aca="false">COUNTIFS(Map!$D:$D,$A54,Map!$G:$G,"Y")</f>
        <v>0</v>
      </c>
      <c r="J54" s="2" t="str">
        <f aca="false">IF(I54&gt;=Settings!$B$4,"High",IF(I54&gt;=Settings!$B$5,"Medium","Low"))</f>
        <v>Low</v>
      </c>
      <c r="K54" s="2" t="n">
        <f aca="false">COUNTIF(Map!$D:$D,$A54)</f>
        <v>1</v>
      </c>
    </row>
    <row r="55" customFormat="false" ht="15" hidden="false" customHeight="false" outlineLevel="0" collapsed="false">
      <c r="A55" s="2" t="n">
        <v>54</v>
      </c>
      <c r="B55" s="2" t="s">
        <v>66</v>
      </c>
      <c r="C55" s="2" t="s">
        <v>77</v>
      </c>
      <c r="D55" s="2" t="s">
        <v>13</v>
      </c>
      <c r="E55" s="2"/>
      <c r="F55" s="2" t="n">
        <v>54</v>
      </c>
      <c r="G55" s="2" t="n">
        <f aca="false">COUNTIFS(Map!$D:$D,$A55,Map!$F:$F,"Y")</f>
        <v>0</v>
      </c>
      <c r="H55" s="2" t="str">
        <f aca="false">IF(G55&gt;=Settings!$B$3,"High",IF(G55&gt;=Settings!$B$5,"Medium","Low"))</f>
        <v>Low</v>
      </c>
      <c r="I55" s="2" t="n">
        <f aca="false">COUNTIFS(Map!$D:$D,$A55,Map!$G:$G,"Y")</f>
        <v>1</v>
      </c>
      <c r="J55" s="2" t="str">
        <f aca="false">IF(I55&gt;=Settings!$B$4,"High",IF(I55&gt;=Settings!$B$5,"Medium","Low"))</f>
        <v>Medium</v>
      </c>
      <c r="K55" s="2" t="n">
        <f aca="false">COUNTIF(Map!$D:$D,$A55)</f>
        <v>1</v>
      </c>
    </row>
    <row r="56" customFormat="false" ht="23.85" hidden="false" customHeight="false" outlineLevel="0" collapsed="false">
      <c r="A56" s="2" t="n">
        <v>55</v>
      </c>
      <c r="B56" s="2" t="s">
        <v>78</v>
      </c>
      <c r="C56" s="2" t="s">
        <v>79</v>
      </c>
      <c r="D56" s="2" t="s">
        <v>13</v>
      </c>
      <c r="E56" s="2"/>
      <c r="F56" s="2" t="n">
        <v>55</v>
      </c>
      <c r="G56" s="2" t="n">
        <f aca="false">COUNTIFS(Map!$D:$D,$A56,Map!$F:$F,"Y")</f>
        <v>1</v>
      </c>
      <c r="H56" s="2" t="str">
        <f aca="false">IF(G56&gt;=Settings!$B$3,"High",IF(G56&gt;=Settings!$B$5,"Medium","Low"))</f>
        <v>Medium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2</v>
      </c>
    </row>
    <row r="57" customFormat="false" ht="15" hidden="false" customHeight="false" outlineLevel="0" collapsed="false">
      <c r="A57" s="2" t="n">
        <v>56</v>
      </c>
      <c r="B57" s="2" t="s">
        <v>78</v>
      </c>
      <c r="C57" s="2" t="s">
        <v>80</v>
      </c>
      <c r="D57" s="2" t="s">
        <v>13</v>
      </c>
      <c r="E57" s="2"/>
      <c r="F57" s="2" t="n">
        <v>56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4</v>
      </c>
    </row>
    <row r="58" customFormat="false" ht="15" hidden="false" customHeight="false" outlineLevel="0" collapsed="false">
      <c r="A58" s="2" t="n">
        <v>57</v>
      </c>
      <c r="B58" s="2" t="s">
        <v>78</v>
      </c>
      <c r="C58" s="2" t="s">
        <v>81</v>
      </c>
      <c r="D58" s="2" t="s">
        <v>13</v>
      </c>
      <c r="E58" s="2"/>
      <c r="F58" s="2" t="n">
        <v>57</v>
      </c>
      <c r="G58" s="2" t="n">
        <f aca="false">COUNTIFS(Map!$D:$D,$A58,Map!$F:$F,"Y")</f>
        <v>0</v>
      </c>
      <c r="H58" s="2" t="str">
        <f aca="false">IF(G58&gt;=Settings!$B$3,"High",IF(G58&gt;=Settings!$B$5,"Medium","Low"))</f>
        <v>Low</v>
      </c>
      <c r="I58" s="2" t="n">
        <f aca="false">COUNTIFS(Map!$D:$D,$A58,Map!$G:$G,"Y")</f>
        <v>0</v>
      </c>
      <c r="J58" s="2" t="str">
        <f aca="false">IF(I58&gt;=Settings!$B$4,"High",IF(I58&gt;=Settings!$B$5,"Medium","Low"))</f>
        <v>Low</v>
      </c>
      <c r="K58" s="2" t="n">
        <f aca="false">COUNTIF(Map!$D:$D,$A58)</f>
        <v>0</v>
      </c>
    </row>
    <row r="59" customFormat="false" ht="23.85" hidden="false" customHeight="false" outlineLevel="0" collapsed="false">
      <c r="A59" s="2" t="n">
        <v>58</v>
      </c>
      <c r="B59" s="2" t="s">
        <v>78</v>
      </c>
      <c r="C59" s="2" t="s">
        <v>82</v>
      </c>
      <c r="D59" s="2" t="s">
        <v>13</v>
      </c>
      <c r="E59" s="2"/>
      <c r="F59" s="2" t="n">
        <v>58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1</v>
      </c>
    </row>
    <row r="60" customFormat="false" ht="15" hidden="false" customHeight="false" outlineLevel="0" collapsed="false">
      <c r="A60" s="2" t="n">
        <v>59</v>
      </c>
      <c r="B60" s="2" t="s">
        <v>78</v>
      </c>
      <c r="C60" s="2" t="s">
        <v>83</v>
      </c>
      <c r="D60" s="2" t="s">
        <v>13</v>
      </c>
      <c r="E60" s="2"/>
      <c r="F60" s="2" t="n">
        <v>59</v>
      </c>
      <c r="G60" s="2" t="n">
        <f aca="false">COUNTIFS(Map!$D:$D,$A60,Map!$F:$F,"Y")</f>
        <v>0</v>
      </c>
      <c r="H60" s="2" t="str">
        <f aca="false">IF(G60&gt;=Settings!$B$3,"High",IF(G60&gt;=Settings!$B$5,"Medium","Low"))</f>
        <v>Low</v>
      </c>
      <c r="I60" s="2" t="n">
        <f aca="false">COUNTIFS(Map!$D:$D,$A60,Map!$G:$G,"Y")</f>
        <v>0</v>
      </c>
      <c r="J60" s="2" t="str">
        <f aca="false">IF(I60&gt;=Settings!$B$4,"High",IF(I60&gt;=Settings!$B$5,"Medium","Low"))</f>
        <v>Low</v>
      </c>
      <c r="K60" s="2" t="n">
        <f aca="false">COUNTIF(Map!$D:$D,$A60)</f>
        <v>0</v>
      </c>
    </row>
    <row r="61" customFormat="false" ht="15" hidden="false" customHeight="false" outlineLevel="0" collapsed="false">
      <c r="A61" s="2" t="n">
        <v>60</v>
      </c>
      <c r="B61" s="2" t="s">
        <v>78</v>
      </c>
      <c r="C61" s="2" t="s">
        <v>84</v>
      </c>
      <c r="D61" s="2" t="s">
        <v>13</v>
      </c>
      <c r="E61" s="2"/>
      <c r="F61" s="2" t="n">
        <v>60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1</v>
      </c>
    </row>
    <row r="62" customFormat="false" ht="15" hidden="false" customHeight="false" outlineLevel="0" collapsed="false">
      <c r="A62" s="2" t="n">
        <v>61</v>
      </c>
      <c r="B62" s="2" t="s">
        <v>78</v>
      </c>
      <c r="C62" s="2" t="s">
        <v>85</v>
      </c>
      <c r="D62" s="2" t="s">
        <v>13</v>
      </c>
      <c r="E62" s="2"/>
      <c r="F62" s="2" t="n">
        <v>61</v>
      </c>
      <c r="G62" s="2" t="n">
        <f aca="false">COUNTIFS(Map!$D:$D,$A62,Map!$F:$F,"Y")</f>
        <v>0</v>
      </c>
      <c r="H62" s="2" t="str">
        <f aca="false">IF(G62&gt;=Settings!$B$3,"High",IF(G62&gt;=Settings!$B$5,"Medium","Low"))</f>
        <v>Low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0</v>
      </c>
    </row>
    <row r="63" customFormat="false" ht="15" hidden="false" customHeight="false" outlineLevel="0" collapsed="false">
      <c r="A63" s="2" t="n">
        <v>62</v>
      </c>
      <c r="B63" s="2" t="s">
        <v>78</v>
      </c>
      <c r="C63" s="2" t="s">
        <v>86</v>
      </c>
      <c r="D63" s="2" t="s">
        <v>13</v>
      </c>
      <c r="E63" s="2"/>
      <c r="F63" s="2" t="n">
        <v>62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1</v>
      </c>
    </row>
    <row r="64" customFormat="false" ht="23.85" hidden="false" customHeight="false" outlineLevel="0" collapsed="false">
      <c r="A64" s="2" t="n">
        <v>63</v>
      </c>
      <c r="B64" s="2" t="s">
        <v>78</v>
      </c>
      <c r="C64" s="2" t="s">
        <v>87</v>
      </c>
      <c r="D64" s="2" t="s">
        <v>13</v>
      </c>
      <c r="E64" s="2"/>
      <c r="F64" s="2" t="n">
        <v>63</v>
      </c>
      <c r="G64" s="2" t="n">
        <f aca="false">COUNTIFS(Map!$D:$D,$A64,Map!$F:$F,"Y")</f>
        <v>0</v>
      </c>
      <c r="H64" s="2" t="str">
        <f aca="false">IF(G64&gt;=Settings!$B$3,"High",IF(G64&gt;=Settings!$B$5,"Medium","Low"))</f>
        <v>Low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1</v>
      </c>
    </row>
    <row r="65" customFormat="false" ht="15" hidden="false" customHeight="false" outlineLevel="0" collapsed="false">
      <c r="A65" s="2" t="n">
        <v>64</v>
      </c>
      <c r="B65" s="2" t="s">
        <v>78</v>
      </c>
      <c r="C65" s="2" t="s">
        <v>88</v>
      </c>
      <c r="D65" s="2" t="s">
        <v>13</v>
      </c>
      <c r="E65" s="2"/>
      <c r="F65" s="2" t="n">
        <v>64</v>
      </c>
      <c r="G65" s="2" t="n">
        <f aca="false">COUNTIFS(Map!$D:$D,$A65,Map!$F:$F,"Y")</f>
        <v>0</v>
      </c>
      <c r="H65" s="2" t="str">
        <f aca="false">IF(G65&gt;=Settings!$B$3,"High",IF(G65&gt;=Settings!$B$5,"Medium","Low"))</f>
        <v>Low</v>
      </c>
      <c r="I65" s="2" t="n">
        <f aca="false">COUNTIFS(Map!$D:$D,$A65,Map!$G:$G,"Y")</f>
        <v>0</v>
      </c>
      <c r="J65" s="2" t="str">
        <f aca="false">IF(I65&gt;=Settings!$B$4,"High",IF(I65&gt;=Settings!$B$5,"Medium","Low"))</f>
        <v>Low</v>
      </c>
      <c r="K65" s="2" t="n">
        <f aca="false">COUNTIF(Map!$D:$D,$A65)</f>
        <v>1</v>
      </c>
    </row>
    <row r="66" customFormat="false" ht="15" hidden="false" customHeight="false" outlineLevel="0" collapsed="false">
      <c r="A66" s="2" t="n">
        <v>65</v>
      </c>
      <c r="B66" s="2" t="s">
        <v>89</v>
      </c>
      <c r="C66" s="2" t="s">
        <v>90</v>
      </c>
      <c r="D66" s="2" t="s">
        <v>13</v>
      </c>
      <c r="E66" s="2"/>
      <c r="F66" s="2" t="n">
        <v>65</v>
      </c>
      <c r="G66" s="2" t="n">
        <f aca="false">COUNTIFS(Map!$D:$D,$A66,Map!$F:$F,"Y")</f>
        <v>1</v>
      </c>
      <c r="H66" s="2" t="str">
        <f aca="false">IF(G66&gt;=Settings!$B$3,"High",IF(G66&gt;=Settings!$B$5,"Medium","Low"))</f>
        <v>Medium</v>
      </c>
      <c r="I66" s="2" t="n">
        <f aca="false">COUNTIFS(Map!$D:$D,$A66,Map!$G:$G,"Y")</f>
        <v>1</v>
      </c>
      <c r="J66" s="2" t="str">
        <f aca="false">IF(I66&gt;=Settings!$B$4,"High",IF(I66&gt;=Settings!$B$5,"Medium","Low"))</f>
        <v>Medium</v>
      </c>
      <c r="K66" s="2" t="n">
        <f aca="false">COUNTIF(Map!$D:$D,$A66)</f>
        <v>3</v>
      </c>
    </row>
    <row r="67" customFormat="false" ht="23.85" hidden="false" customHeight="false" outlineLevel="0" collapsed="false">
      <c r="A67" s="2" t="n">
        <v>66</v>
      </c>
      <c r="B67" s="2" t="s">
        <v>89</v>
      </c>
      <c r="C67" s="2" t="s">
        <v>91</v>
      </c>
      <c r="D67" s="2" t="s">
        <v>13</v>
      </c>
      <c r="E67" s="2"/>
      <c r="F67" s="2" t="n">
        <v>66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1</v>
      </c>
    </row>
    <row r="68" customFormat="false" ht="23.85" hidden="false" customHeight="false" outlineLevel="0" collapsed="false">
      <c r="A68" s="2" t="n">
        <v>67</v>
      </c>
      <c r="B68" s="2" t="s">
        <v>89</v>
      </c>
      <c r="C68" s="2" t="s">
        <v>92</v>
      </c>
      <c r="D68" s="2" t="s">
        <v>13</v>
      </c>
      <c r="E68" s="2"/>
      <c r="F68" s="2" t="n">
        <v>67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0</v>
      </c>
    </row>
    <row r="69" customFormat="false" ht="23.85" hidden="false" customHeight="false" outlineLevel="0" collapsed="false">
      <c r="A69" s="2" t="n">
        <v>68</v>
      </c>
      <c r="B69" s="2" t="s">
        <v>89</v>
      </c>
      <c r="C69" s="2" t="s">
        <v>93</v>
      </c>
      <c r="D69" s="2" t="s">
        <v>13</v>
      </c>
      <c r="E69" s="2"/>
      <c r="F69" s="2" t="n">
        <v>68</v>
      </c>
      <c r="G69" s="2" t="n">
        <f aca="false">COUNTIFS(Map!$D:$D,$A69,Map!$F:$F,"Y")</f>
        <v>0</v>
      </c>
      <c r="H69" s="2" t="str">
        <f aca="false">IF(G69&gt;=Settings!$B$3,"High",IF(G69&gt;=Settings!$B$5,"Medium","Low"))</f>
        <v>Low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0</v>
      </c>
    </row>
    <row r="70" customFormat="false" ht="15" hidden="false" customHeight="false" outlineLevel="0" collapsed="false">
      <c r="A70" s="2" t="n">
        <v>69</v>
      </c>
      <c r="B70" s="2" t="s">
        <v>89</v>
      </c>
      <c r="C70" s="2" t="s">
        <v>94</v>
      </c>
      <c r="D70" s="2" t="s">
        <v>13</v>
      </c>
      <c r="E70" s="2"/>
      <c r="F70" s="2" t="n">
        <v>69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1</v>
      </c>
    </row>
    <row r="71" customFormat="false" ht="15" hidden="false" customHeight="false" outlineLevel="0" collapsed="false">
      <c r="A71" s="2" t="n">
        <v>70</v>
      </c>
      <c r="B71" s="2" t="s">
        <v>89</v>
      </c>
      <c r="C71" s="2" t="s">
        <v>95</v>
      </c>
      <c r="D71" s="2" t="s">
        <v>13</v>
      </c>
      <c r="E71" s="2"/>
      <c r="F71" s="2" t="n">
        <v>70</v>
      </c>
      <c r="G71" s="2" t="n">
        <f aca="false">COUNTIFS(Map!$D:$D,$A71,Map!$F:$F,"Y")</f>
        <v>1</v>
      </c>
      <c r="H71" s="2" t="str">
        <f aca="false">IF(G71&gt;=Settings!$B$3,"High",IF(G71&gt;=Settings!$B$5,"Medium","Low"))</f>
        <v>Medium</v>
      </c>
      <c r="I71" s="2" t="n">
        <f aca="false">COUNTIFS(Map!$D:$D,$A71,Map!$G:$G,"Y")</f>
        <v>1</v>
      </c>
      <c r="J71" s="2" t="str">
        <f aca="false">IF(I71&gt;=Settings!$B$4,"High",IF(I71&gt;=Settings!$B$5,"Medium","Low"))</f>
        <v>Medium</v>
      </c>
      <c r="K71" s="2" t="n">
        <f aca="false">COUNTIF(Map!$D:$D,$A71)</f>
        <v>1</v>
      </c>
    </row>
    <row r="72" customFormat="false" ht="15" hidden="false" customHeight="false" outlineLevel="0" collapsed="false">
      <c r="A72" s="2" t="n">
        <v>71</v>
      </c>
      <c r="B72" s="2" t="s">
        <v>89</v>
      </c>
      <c r="C72" s="2" t="s">
        <v>96</v>
      </c>
      <c r="D72" s="2" t="s">
        <v>13</v>
      </c>
      <c r="E72" s="2"/>
      <c r="F72" s="2" t="n">
        <v>71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1</v>
      </c>
      <c r="J72" s="2" t="str">
        <f aca="false">IF(I72&gt;=Settings!$B$4,"High",IF(I72&gt;=Settings!$B$5,"Medium","Low"))</f>
        <v>Medium</v>
      </c>
      <c r="K72" s="2" t="n">
        <f aca="false">COUNTIF(Map!$D:$D,$A72)</f>
        <v>2</v>
      </c>
    </row>
    <row r="73" customFormat="false" ht="15" hidden="false" customHeight="false" outlineLevel="0" collapsed="false">
      <c r="A73" s="2" t="n">
        <v>72</v>
      </c>
      <c r="B73" s="2" t="s">
        <v>97</v>
      </c>
      <c r="C73" s="2" t="s">
        <v>98</v>
      </c>
      <c r="D73" s="2" t="s">
        <v>13</v>
      </c>
      <c r="E73" s="2"/>
      <c r="F73" s="2" t="n">
        <v>72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1</v>
      </c>
    </row>
    <row r="74" customFormat="false" ht="15" hidden="false" customHeight="false" outlineLevel="0" collapsed="false">
      <c r="A74" s="2" t="n">
        <v>73</v>
      </c>
      <c r="B74" s="2" t="s">
        <v>97</v>
      </c>
      <c r="C74" s="2" t="s">
        <v>99</v>
      </c>
      <c r="D74" s="2" t="s">
        <v>13</v>
      </c>
      <c r="E74" s="2"/>
      <c r="F74" s="2" t="n">
        <v>73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5</v>
      </c>
    </row>
    <row r="75" customFormat="false" ht="23.85" hidden="false" customHeight="false" outlineLevel="0" collapsed="false">
      <c r="A75" s="2" t="n">
        <v>74</v>
      </c>
      <c r="B75" s="2" t="s">
        <v>97</v>
      </c>
      <c r="C75" s="2" t="s">
        <v>100</v>
      </c>
      <c r="D75" s="2" t="s">
        <v>13</v>
      </c>
      <c r="E75" s="2"/>
      <c r="F75" s="2" t="n">
        <v>74</v>
      </c>
      <c r="G75" s="2" t="n">
        <f aca="false">COUNTIFS(Map!$D:$D,$A75,Map!$F:$F,"Y")</f>
        <v>0</v>
      </c>
      <c r="H75" s="2" t="str">
        <f aca="false">IF(G75&gt;=Settings!$B$3,"High",IF(G75&gt;=Settings!$B$5,"Medium","Low"))</f>
        <v>Low</v>
      </c>
      <c r="I75" s="2" t="n">
        <f aca="false">COUNTIFS(Map!$D:$D,$A75,Map!$G:$G,"Y")</f>
        <v>0</v>
      </c>
      <c r="J75" s="2" t="str">
        <f aca="false">IF(I75&gt;=Settings!$B$4,"High",IF(I75&gt;=Settings!$B$5,"Medium","Low"))</f>
        <v>Low</v>
      </c>
      <c r="K75" s="2" t="n">
        <f aca="false">COUNTIF(Map!$D:$D,$A75)</f>
        <v>2</v>
      </c>
    </row>
    <row r="76" customFormat="false" ht="15" hidden="false" customHeight="false" outlineLevel="0" collapsed="false">
      <c r="A76" s="2" t="n">
        <v>75</v>
      </c>
      <c r="B76" s="2" t="s">
        <v>97</v>
      </c>
      <c r="C76" s="2" t="s">
        <v>101</v>
      </c>
      <c r="D76" s="2" t="s">
        <v>13</v>
      </c>
      <c r="E76" s="2"/>
      <c r="F76" s="2" t="n">
        <v>75</v>
      </c>
      <c r="G76" s="2" t="n">
        <f aca="false">COUNTIFS(Map!$D:$D,$A76,Map!$F:$F,"Y")</f>
        <v>0</v>
      </c>
      <c r="H76" s="2" t="str">
        <f aca="false">IF(G76&gt;=Settings!$B$3,"High",IF(G76&gt;=Settings!$B$5,"Medium","Low"))</f>
        <v>Low</v>
      </c>
      <c r="I76" s="2" t="n">
        <f aca="false">COUNTIFS(Map!$D:$D,$A76,Map!$G:$G,"Y")</f>
        <v>0</v>
      </c>
      <c r="J76" s="2" t="str">
        <f aca="false">IF(I76&gt;=Settings!$B$4,"High",IF(I76&gt;=Settings!$B$5,"Medium","Low"))</f>
        <v>Low</v>
      </c>
      <c r="K76" s="2" t="n">
        <f aca="false">COUNTIF(Map!$D:$D,$A76)</f>
        <v>2</v>
      </c>
    </row>
    <row r="77" customFormat="false" ht="23.85" hidden="false" customHeight="false" outlineLevel="0" collapsed="false">
      <c r="A77" s="2" t="n">
        <v>76</v>
      </c>
      <c r="B77" s="2" t="s">
        <v>97</v>
      </c>
      <c r="C77" s="2" t="s">
        <v>102</v>
      </c>
      <c r="D77" s="2" t="s">
        <v>13</v>
      </c>
      <c r="E77" s="2"/>
      <c r="F77" s="2" t="n">
        <v>76</v>
      </c>
      <c r="G77" s="2" t="n">
        <f aca="false">COUNTIFS(Map!$D:$D,$A77,Map!$F:$F,"Y")</f>
        <v>0</v>
      </c>
      <c r="H77" s="2" t="str">
        <f aca="false">IF(G77&gt;=Settings!$B$3,"High",IF(G77&gt;=Settings!$B$5,"Medium","Low"))</f>
        <v>Low</v>
      </c>
      <c r="I77" s="2" t="n">
        <f aca="false">COUNTIFS(Map!$D:$D,$A77,Map!$G:$G,"Y")</f>
        <v>0</v>
      </c>
      <c r="J77" s="2" t="str">
        <f aca="false">IF(I77&gt;=Settings!$B$4,"High",IF(I77&gt;=Settings!$B$5,"Medium","Low"))</f>
        <v>Low</v>
      </c>
      <c r="K77" s="2" t="n">
        <f aca="false">COUNTIF(Map!$D:$D,$A77)</f>
        <v>1</v>
      </c>
    </row>
    <row r="78" customFormat="false" ht="15" hidden="false" customHeight="false" outlineLevel="0" collapsed="false">
      <c r="A78" s="2" t="n">
        <v>77</v>
      </c>
      <c r="B78" s="2" t="s">
        <v>97</v>
      </c>
      <c r="C78" s="2" t="s">
        <v>103</v>
      </c>
      <c r="D78" s="2" t="s">
        <v>13</v>
      </c>
      <c r="E78" s="2"/>
      <c r="F78" s="2" t="n">
        <v>77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1</v>
      </c>
    </row>
    <row r="79" customFormat="false" ht="15" hidden="false" customHeight="false" outlineLevel="0" collapsed="false">
      <c r="A79" s="2" t="n">
        <v>78</v>
      </c>
      <c r="B79" s="2" t="s">
        <v>97</v>
      </c>
      <c r="C79" s="2" t="s">
        <v>104</v>
      </c>
      <c r="D79" s="2" t="s">
        <v>13</v>
      </c>
      <c r="E79" s="2"/>
      <c r="F79" s="2" t="n">
        <v>78</v>
      </c>
      <c r="G79" s="2" t="n">
        <f aca="false">COUNTIFS(Map!$D:$D,$A79,Map!$F:$F,"Y")</f>
        <v>0</v>
      </c>
      <c r="H79" s="2" t="str">
        <f aca="false">IF(G79&gt;=Settings!$B$3,"High",IF(G79&gt;=Settings!$B$5,"Medium","Low"))</f>
        <v>Low</v>
      </c>
      <c r="I79" s="2" t="n">
        <f aca="false">COUNTIFS(Map!$D:$D,$A79,Map!$G:$G,"Y")</f>
        <v>0</v>
      </c>
      <c r="J79" s="2" t="str">
        <f aca="false">IF(I79&gt;=Settings!$B$4,"High",IF(I79&gt;=Settings!$B$5,"Medium","Low"))</f>
        <v>Low</v>
      </c>
      <c r="K79" s="2" t="n">
        <f aca="false">COUNTIF(Map!$D:$D,$A79)</f>
        <v>1</v>
      </c>
    </row>
    <row r="80" customFormat="false" ht="23.85" hidden="false" customHeight="false" outlineLevel="0" collapsed="false">
      <c r="A80" s="2" t="n">
        <v>79</v>
      </c>
      <c r="B80" s="2" t="s">
        <v>97</v>
      </c>
      <c r="C80" s="2" t="s">
        <v>105</v>
      </c>
      <c r="D80" s="2" t="s">
        <v>13</v>
      </c>
      <c r="E80" s="2"/>
      <c r="F80" s="2" t="n">
        <v>79</v>
      </c>
      <c r="G80" s="2" t="n">
        <f aca="false">COUNTIFS(Map!$D:$D,$A80,Map!$F:$F,"Y")</f>
        <v>0</v>
      </c>
      <c r="H80" s="2" t="str">
        <f aca="false">IF(G80&gt;=Settings!$B$3,"High",IF(G80&gt;=Settings!$B$5,"Medium","Low"))</f>
        <v>Low</v>
      </c>
      <c r="I80" s="2" t="n">
        <f aca="false">COUNTIFS(Map!$D:$D,$A80,Map!$G:$G,"Y")</f>
        <v>0</v>
      </c>
      <c r="J80" s="2" t="str">
        <f aca="false">IF(I80&gt;=Settings!$B$4,"High",IF(I80&gt;=Settings!$B$5,"Medium","Low"))</f>
        <v>Low</v>
      </c>
      <c r="K80" s="2" t="n">
        <f aca="false">COUNTIF(Map!$D:$D,$A80)</f>
        <v>1</v>
      </c>
    </row>
    <row r="81" customFormat="false" ht="23.85" hidden="false" customHeight="false" outlineLevel="0" collapsed="false">
      <c r="A81" s="2" t="n">
        <v>80</v>
      </c>
      <c r="B81" s="2" t="s">
        <v>97</v>
      </c>
      <c r="C81" s="2" t="s">
        <v>106</v>
      </c>
      <c r="D81" s="2" t="s">
        <v>107</v>
      </c>
      <c r="E81" s="2" t="s">
        <v>108</v>
      </c>
      <c r="F81" s="2"/>
      <c r="G81" s="2" t="n">
        <f aca="false">COUNTIFS(Map!$D:$D,$A81,Map!$F:$F,"Y")</f>
        <v>0</v>
      </c>
      <c r="H81" s="2" t="str">
        <f aca="false">IF(G81&gt;=Settings!$B$3,"High",IF(G81&gt;=Settings!$B$5,"Medium","Low"))</f>
        <v>Low</v>
      </c>
      <c r="I81" s="2" t="n">
        <f aca="false">COUNTIFS(Map!$D:$D,$A81,Map!$G:$G,"Y")</f>
        <v>0</v>
      </c>
      <c r="J81" s="2" t="str">
        <f aca="false">IF(I81&gt;=Settings!$B$4,"High",IF(I81&gt;=Settings!$B$5,"Medium","Low"))</f>
        <v>Low</v>
      </c>
      <c r="K81" s="2" t="n">
        <f aca="false">COUNTIF(Map!$D:$D,$A81)</f>
        <v>4</v>
      </c>
    </row>
    <row r="82" customFormat="false" ht="15" hidden="false" customHeight="false" outlineLevel="0" collapsed="false">
      <c r="A82" s="2" t="n">
        <v>81</v>
      </c>
      <c r="B82" s="2" t="s">
        <v>109</v>
      </c>
      <c r="C82" s="2" t="s">
        <v>110</v>
      </c>
      <c r="D82" s="2" t="s">
        <v>13</v>
      </c>
      <c r="E82" s="2"/>
      <c r="F82" s="2" t="n">
        <v>80</v>
      </c>
      <c r="G82" s="2" t="n">
        <f aca="false">COUNTIFS(Map!$D:$D,$A82,Map!$F:$F,"Y")</f>
        <v>1</v>
      </c>
      <c r="H82" s="2" t="str">
        <f aca="false">IF(G82&gt;=Settings!$B$3,"High",IF(G82&gt;=Settings!$B$5,"Medium","Low"))</f>
        <v>Medium</v>
      </c>
      <c r="I82" s="2" t="n">
        <f aca="false">COUNTIFS(Map!$D:$D,$A82,Map!$G:$G,"Y")</f>
        <v>1</v>
      </c>
      <c r="J82" s="2" t="str">
        <f aca="false">IF(I82&gt;=Settings!$B$4,"High",IF(I82&gt;=Settings!$B$5,"Medium","Low"))</f>
        <v>Medium</v>
      </c>
      <c r="K82" s="2" t="n">
        <f aca="false">COUNTIF(Map!$D:$D,$A82)</f>
        <v>5</v>
      </c>
    </row>
    <row r="83" customFormat="false" ht="35.05" hidden="false" customHeight="false" outlineLevel="0" collapsed="false">
      <c r="A83" s="2" t="n">
        <v>82</v>
      </c>
      <c r="B83" s="2" t="s">
        <v>109</v>
      </c>
      <c r="C83" s="2" t="s">
        <v>111</v>
      </c>
      <c r="D83" s="2" t="s">
        <v>107</v>
      </c>
      <c r="E83" s="2" t="s">
        <v>112</v>
      </c>
      <c r="F83" s="2"/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8</v>
      </c>
    </row>
    <row r="84" customFormat="false" ht="23.85" hidden="false" customHeight="false" outlineLevel="0" collapsed="false">
      <c r="A84" s="2" t="n">
        <v>83</v>
      </c>
      <c r="B84" s="2" t="s">
        <v>109</v>
      </c>
      <c r="C84" s="2" t="s">
        <v>113</v>
      </c>
      <c r="D84" s="2" t="s">
        <v>107</v>
      </c>
      <c r="E84" s="2" t="s">
        <v>114</v>
      </c>
      <c r="F84" s="2"/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1</v>
      </c>
      <c r="J84" s="2" t="str">
        <f aca="false">IF(I84&gt;=Settings!$B$4,"High",IF(I84&gt;=Settings!$B$5,"Medium","Low"))</f>
        <v>Medium</v>
      </c>
      <c r="K84" s="2" t="n">
        <f aca="false">COUNTIF(Map!$D:$D,$A84)</f>
        <v>5</v>
      </c>
    </row>
    <row r="85" customFormat="false" ht="15" hidden="false" customHeight="false" outlineLevel="0" collapsed="false">
      <c r="A85" s="2" t="n">
        <v>84</v>
      </c>
      <c r="B85" s="2" t="s">
        <v>109</v>
      </c>
      <c r="C85" s="2" t="s">
        <v>115</v>
      </c>
      <c r="D85" s="2" t="s">
        <v>107</v>
      </c>
      <c r="E85" s="2" t="s">
        <v>116</v>
      </c>
      <c r="F85" s="2"/>
      <c r="G85" s="2" t="n">
        <f aca="false">COUNTIFS(Map!$D:$D,$A85,Map!$F:$F,"Y")</f>
        <v>0</v>
      </c>
      <c r="H85" s="2" t="str">
        <f aca="false">IF(G85&gt;=Settings!$B$3,"High",IF(G85&gt;=Settings!$B$5,"Medium","Low"))</f>
        <v>Low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1</v>
      </c>
    </row>
  </sheetData>
  <autoFilter ref="A1:K85"/>
  <conditionalFormatting sqref="H2:H85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85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</row>
    <row r="2" customFormat="false" ht="15" hidden="false" customHeight="false" outlineLevel="0" collapsed="false">
      <c r="A2" s="3" t="s">
        <v>125</v>
      </c>
      <c r="B2" s="3" t="n">
        <v>11</v>
      </c>
      <c r="C2" s="3" t="s">
        <v>126</v>
      </c>
      <c r="D2" s="3" t="n">
        <v>18</v>
      </c>
      <c r="E2" s="3" t="s">
        <v>127</v>
      </c>
      <c r="F2" s="3" t="s">
        <v>128</v>
      </c>
      <c r="G2" s="3" t="s">
        <v>128</v>
      </c>
      <c r="H2" s="3" t="s">
        <v>129</v>
      </c>
    </row>
    <row r="3" customFormat="false" ht="15" hidden="false" customHeight="false" outlineLevel="0" collapsed="false">
      <c r="A3" s="3" t="s">
        <v>125</v>
      </c>
      <c r="B3" s="3" t="n">
        <v>11</v>
      </c>
      <c r="C3" s="3" t="s">
        <v>126</v>
      </c>
      <c r="D3" s="3" t="n">
        <v>6</v>
      </c>
      <c r="E3" s="3" t="s">
        <v>130</v>
      </c>
      <c r="F3" s="3" t="s">
        <v>128</v>
      </c>
      <c r="G3" s="3" t="s">
        <v>128</v>
      </c>
      <c r="H3" s="3" t="s">
        <v>129</v>
      </c>
    </row>
    <row r="4" customFormat="false" ht="15" hidden="false" customHeight="false" outlineLevel="0" collapsed="false">
      <c r="A4" s="3" t="s">
        <v>125</v>
      </c>
      <c r="B4" s="3" t="n">
        <v>12</v>
      </c>
      <c r="C4" s="3" t="s">
        <v>126</v>
      </c>
      <c r="D4" s="3" t="n">
        <v>18</v>
      </c>
      <c r="E4" s="3" t="s">
        <v>127</v>
      </c>
      <c r="F4" s="3" t="s">
        <v>128</v>
      </c>
      <c r="G4" s="3" t="s">
        <v>128</v>
      </c>
      <c r="H4" s="3" t="s">
        <v>131</v>
      </c>
    </row>
    <row r="5" customFormat="false" ht="15" hidden="false" customHeight="false" outlineLevel="0" collapsed="false">
      <c r="A5" s="3" t="s">
        <v>125</v>
      </c>
      <c r="B5" s="3" t="n">
        <v>12</v>
      </c>
      <c r="C5" s="3" t="s">
        <v>126</v>
      </c>
      <c r="D5" s="3" t="n">
        <v>6</v>
      </c>
      <c r="E5" s="3" t="s">
        <v>130</v>
      </c>
      <c r="F5" s="3" t="s">
        <v>128</v>
      </c>
      <c r="G5" s="3" t="s">
        <v>128</v>
      </c>
      <c r="H5" s="3" t="s">
        <v>131</v>
      </c>
    </row>
    <row r="6" customFormat="false" ht="15" hidden="false" customHeight="false" outlineLevel="0" collapsed="false">
      <c r="A6" s="3" t="s">
        <v>125</v>
      </c>
      <c r="B6" s="3" t="n">
        <v>13</v>
      </c>
      <c r="C6" s="3" t="s">
        <v>126</v>
      </c>
      <c r="D6" s="3" t="n">
        <v>27</v>
      </c>
      <c r="E6" s="3" t="s">
        <v>127</v>
      </c>
      <c r="F6" s="3" t="s">
        <v>128</v>
      </c>
      <c r="G6" s="3" t="s">
        <v>128</v>
      </c>
      <c r="H6" s="3" t="s">
        <v>132</v>
      </c>
    </row>
    <row r="7" customFormat="false" ht="15" hidden="false" customHeight="false" outlineLevel="0" collapsed="false">
      <c r="A7" s="3" t="s">
        <v>125</v>
      </c>
      <c r="B7" s="3" t="n">
        <v>13</v>
      </c>
      <c r="C7" s="3" t="s">
        <v>126</v>
      </c>
      <c r="D7" s="3" t="n">
        <v>32</v>
      </c>
      <c r="E7" s="3" t="s">
        <v>130</v>
      </c>
      <c r="F7" s="3" t="s">
        <v>128</v>
      </c>
      <c r="G7" s="3" t="s">
        <v>128</v>
      </c>
      <c r="H7" s="3" t="s">
        <v>132</v>
      </c>
    </row>
    <row r="8" customFormat="false" ht="15" hidden="false" customHeight="false" outlineLevel="0" collapsed="false">
      <c r="A8" s="3" t="s">
        <v>125</v>
      </c>
      <c r="B8" s="3" t="n">
        <v>14</v>
      </c>
      <c r="C8" s="3" t="s">
        <v>126</v>
      </c>
      <c r="D8" s="3" t="n">
        <v>18</v>
      </c>
      <c r="E8" s="3" t="s">
        <v>127</v>
      </c>
      <c r="F8" s="3" t="s">
        <v>128</v>
      </c>
      <c r="G8" s="3" t="s">
        <v>128</v>
      </c>
      <c r="H8" s="3" t="s">
        <v>133</v>
      </c>
    </row>
    <row r="9" customFormat="false" ht="15" hidden="false" customHeight="false" outlineLevel="0" collapsed="false">
      <c r="A9" s="3" t="s">
        <v>125</v>
      </c>
      <c r="B9" s="3" t="n">
        <v>14</v>
      </c>
      <c r="C9" s="3" t="s">
        <v>126</v>
      </c>
      <c r="D9" s="3" t="n">
        <v>6</v>
      </c>
      <c r="E9" s="3" t="s">
        <v>130</v>
      </c>
      <c r="F9" s="3" t="s">
        <v>128</v>
      </c>
      <c r="G9" s="3" t="s">
        <v>128</v>
      </c>
      <c r="H9" s="3" t="s">
        <v>133</v>
      </c>
    </row>
    <row r="10" customFormat="false" ht="15" hidden="false" customHeight="false" outlineLevel="0" collapsed="false">
      <c r="A10" s="3" t="s">
        <v>125</v>
      </c>
      <c r="B10" s="3" t="n">
        <v>15</v>
      </c>
      <c r="C10" s="3" t="s">
        <v>126</v>
      </c>
      <c r="D10" s="3" t="n">
        <v>1</v>
      </c>
      <c r="E10" s="3" t="s">
        <v>127</v>
      </c>
      <c r="F10" s="3" t="s">
        <v>128</v>
      </c>
      <c r="G10" s="3" t="s">
        <v>128</v>
      </c>
      <c r="H10" s="3" t="s">
        <v>134</v>
      </c>
    </row>
    <row r="11" customFormat="false" ht="15" hidden="false" customHeight="false" outlineLevel="0" collapsed="false">
      <c r="A11" s="3" t="s">
        <v>125</v>
      </c>
      <c r="B11" s="3" t="n">
        <v>15</v>
      </c>
      <c r="C11" s="3" t="s">
        <v>126</v>
      </c>
      <c r="D11" s="3" t="n">
        <v>3</v>
      </c>
      <c r="E11" s="3" t="s">
        <v>130</v>
      </c>
      <c r="F11" s="3" t="s">
        <v>128</v>
      </c>
      <c r="G11" s="3" t="s">
        <v>128</v>
      </c>
      <c r="H11" s="3" t="s">
        <v>134</v>
      </c>
    </row>
    <row r="12" customFormat="false" ht="15" hidden="false" customHeight="false" outlineLevel="0" collapsed="false">
      <c r="A12" s="3" t="s">
        <v>125</v>
      </c>
      <c r="B12" s="3" t="n">
        <v>16</v>
      </c>
      <c r="C12" s="3" t="s">
        <v>126</v>
      </c>
      <c r="D12" s="3" t="n">
        <v>24</v>
      </c>
      <c r="E12" s="3" t="s">
        <v>127</v>
      </c>
      <c r="F12" s="3" t="s">
        <v>128</v>
      </c>
      <c r="G12" s="3" t="s">
        <v>128</v>
      </c>
      <c r="H12" s="3" t="s">
        <v>135</v>
      </c>
    </row>
    <row r="13" customFormat="false" ht="15" hidden="false" customHeight="false" outlineLevel="0" collapsed="false">
      <c r="A13" s="3" t="s">
        <v>125</v>
      </c>
      <c r="B13" s="3" t="n">
        <v>16</v>
      </c>
      <c r="C13" s="3" t="s">
        <v>126</v>
      </c>
      <c r="D13" s="3" t="n">
        <v>8</v>
      </c>
      <c r="E13" s="3" t="s">
        <v>130</v>
      </c>
      <c r="F13" s="3" t="s">
        <v>128</v>
      </c>
      <c r="G13" s="3" t="s">
        <v>128</v>
      </c>
      <c r="H13" s="3" t="s">
        <v>135</v>
      </c>
    </row>
    <row r="14" customFormat="false" ht="15" hidden="false" customHeight="false" outlineLevel="0" collapsed="false">
      <c r="A14" s="3" t="s">
        <v>125</v>
      </c>
      <c r="B14" s="3" t="n">
        <v>29</v>
      </c>
      <c r="C14" s="3" t="s">
        <v>126</v>
      </c>
      <c r="D14" s="3" t="n">
        <v>39</v>
      </c>
      <c r="E14" s="3" t="s">
        <v>127</v>
      </c>
      <c r="F14" s="3" t="s">
        <v>128</v>
      </c>
      <c r="G14" s="3" t="s">
        <v>128</v>
      </c>
      <c r="H14" s="3" t="s">
        <v>136</v>
      </c>
    </row>
    <row r="15" customFormat="false" ht="15" hidden="false" customHeight="false" outlineLevel="0" collapsed="false">
      <c r="A15" s="3" t="s">
        <v>125</v>
      </c>
      <c r="B15" s="3" t="n">
        <v>30</v>
      </c>
      <c r="C15" s="3" t="s">
        <v>126</v>
      </c>
      <c r="D15" s="3" t="n">
        <v>56</v>
      </c>
      <c r="E15" s="3" t="s">
        <v>127</v>
      </c>
      <c r="F15" s="3" t="s">
        <v>128</v>
      </c>
      <c r="G15" s="3" t="s">
        <v>128</v>
      </c>
      <c r="H15" s="3" t="s">
        <v>137</v>
      </c>
    </row>
    <row r="16" customFormat="false" ht="15" hidden="false" customHeight="false" outlineLevel="0" collapsed="false">
      <c r="A16" s="3" t="s">
        <v>125</v>
      </c>
      <c r="B16" s="3" t="n">
        <v>30</v>
      </c>
      <c r="C16" s="3" t="s">
        <v>126</v>
      </c>
      <c r="D16" s="3" t="n">
        <v>47</v>
      </c>
      <c r="E16" s="3" t="s">
        <v>130</v>
      </c>
      <c r="F16" s="3" t="s">
        <v>128</v>
      </c>
      <c r="G16" s="3" t="s">
        <v>128</v>
      </c>
      <c r="H16" s="3" t="s">
        <v>137</v>
      </c>
    </row>
    <row r="17" customFormat="false" ht="15" hidden="false" customHeight="false" outlineLevel="0" collapsed="false">
      <c r="A17" s="3" t="s">
        <v>125</v>
      </c>
      <c r="B17" s="3" t="n">
        <v>31</v>
      </c>
      <c r="C17" s="3" t="s">
        <v>126</v>
      </c>
      <c r="D17" s="3" t="n">
        <v>49</v>
      </c>
      <c r="E17" s="3" t="s">
        <v>127</v>
      </c>
      <c r="F17" s="3" t="s">
        <v>128</v>
      </c>
      <c r="G17" s="3" t="s">
        <v>128</v>
      </c>
      <c r="H17" s="3" t="s">
        <v>138</v>
      </c>
    </row>
    <row r="18" customFormat="false" ht="15" hidden="false" customHeight="false" outlineLevel="0" collapsed="false">
      <c r="A18" s="3" t="s">
        <v>125</v>
      </c>
      <c r="B18" s="3" t="n">
        <v>31</v>
      </c>
      <c r="C18" s="3" t="s">
        <v>126</v>
      </c>
      <c r="D18" s="3" t="n">
        <v>6</v>
      </c>
      <c r="E18" s="3" t="s">
        <v>130</v>
      </c>
      <c r="F18" s="3" t="s">
        <v>128</v>
      </c>
      <c r="G18" s="3" t="s">
        <v>128</v>
      </c>
      <c r="H18" s="3" t="s">
        <v>138</v>
      </c>
    </row>
    <row r="19" customFormat="false" ht="15" hidden="false" customHeight="false" outlineLevel="0" collapsed="false">
      <c r="A19" s="3" t="s">
        <v>125</v>
      </c>
      <c r="B19" s="3" t="n">
        <v>43</v>
      </c>
      <c r="C19" s="3" t="s">
        <v>126</v>
      </c>
      <c r="D19" s="3" t="n">
        <v>83</v>
      </c>
      <c r="E19" s="3" t="s">
        <v>127</v>
      </c>
      <c r="F19" s="3" t="s">
        <v>128</v>
      </c>
      <c r="G19" s="3" t="s">
        <v>128</v>
      </c>
      <c r="H19" s="3" t="s">
        <v>139</v>
      </c>
    </row>
    <row r="20" customFormat="false" ht="15" hidden="false" customHeight="false" outlineLevel="0" collapsed="false">
      <c r="A20" s="3" t="s">
        <v>125</v>
      </c>
      <c r="B20" s="3" t="n">
        <v>43</v>
      </c>
      <c r="C20" s="3" t="s">
        <v>126</v>
      </c>
      <c r="D20" s="3" t="n">
        <v>64</v>
      </c>
      <c r="E20" s="3" t="s">
        <v>130</v>
      </c>
      <c r="F20" s="3" t="s">
        <v>128</v>
      </c>
      <c r="G20" s="3" t="s">
        <v>128</v>
      </c>
      <c r="H20" s="3" t="s">
        <v>139</v>
      </c>
    </row>
    <row r="21" customFormat="false" ht="15" hidden="false" customHeight="false" outlineLevel="0" collapsed="false">
      <c r="A21" s="3" t="s">
        <v>125</v>
      </c>
      <c r="B21" s="3" t="n">
        <v>44</v>
      </c>
      <c r="C21" s="3" t="s">
        <v>126</v>
      </c>
      <c r="D21" s="3" t="n">
        <v>82</v>
      </c>
      <c r="E21" s="3" t="s">
        <v>127</v>
      </c>
      <c r="F21" s="3" t="s">
        <v>128</v>
      </c>
      <c r="G21" s="3" t="s">
        <v>128</v>
      </c>
      <c r="H21" s="3" t="s">
        <v>140</v>
      </c>
    </row>
    <row r="22" customFormat="false" ht="15" hidden="false" customHeight="false" outlineLevel="0" collapsed="false">
      <c r="A22" s="3" t="s">
        <v>125</v>
      </c>
      <c r="B22" s="3" t="n">
        <v>45</v>
      </c>
      <c r="C22" s="3" t="s">
        <v>126</v>
      </c>
      <c r="D22" s="3" t="n">
        <v>82</v>
      </c>
      <c r="E22" s="3" t="s">
        <v>127</v>
      </c>
      <c r="F22" s="3" t="s">
        <v>128</v>
      </c>
      <c r="G22" s="3" t="s">
        <v>128</v>
      </c>
      <c r="H22" s="3" t="s">
        <v>141</v>
      </c>
    </row>
    <row r="23" customFormat="false" ht="15" hidden="false" customHeight="false" outlineLevel="0" collapsed="false">
      <c r="A23" s="3" t="s">
        <v>125</v>
      </c>
      <c r="B23" s="3" t="n">
        <v>46</v>
      </c>
      <c r="C23" s="3" t="s">
        <v>126</v>
      </c>
      <c r="D23" s="3" t="n">
        <v>82</v>
      </c>
      <c r="E23" s="3" t="s">
        <v>127</v>
      </c>
      <c r="F23" s="3" t="s">
        <v>128</v>
      </c>
      <c r="G23" s="3" t="s">
        <v>128</v>
      </c>
      <c r="H23" s="3" t="s">
        <v>142</v>
      </c>
    </row>
    <row r="24" customFormat="false" ht="15" hidden="false" customHeight="false" outlineLevel="0" collapsed="false">
      <c r="A24" s="3" t="s">
        <v>143</v>
      </c>
      <c r="B24" s="3" t="n">
        <v>4</v>
      </c>
      <c r="C24" s="3" t="s">
        <v>126</v>
      </c>
      <c r="D24" s="3" t="n">
        <v>21</v>
      </c>
      <c r="E24" s="3" t="s">
        <v>127</v>
      </c>
      <c r="F24" s="3" t="s">
        <v>128</v>
      </c>
      <c r="G24" s="3" t="s">
        <v>128</v>
      </c>
      <c r="H24" s="3" t="s">
        <v>144</v>
      </c>
    </row>
    <row r="25" customFormat="false" ht="15" hidden="false" customHeight="false" outlineLevel="0" collapsed="false">
      <c r="A25" s="3" t="s">
        <v>143</v>
      </c>
      <c r="B25" s="3" t="n">
        <v>4</v>
      </c>
      <c r="C25" s="3" t="s">
        <v>126</v>
      </c>
      <c r="D25" s="3" t="n">
        <v>9</v>
      </c>
      <c r="E25" s="3" t="s">
        <v>130</v>
      </c>
      <c r="F25" s="3" t="s">
        <v>128</v>
      </c>
      <c r="G25" s="3" t="s">
        <v>128</v>
      </c>
      <c r="H25" s="3" t="s">
        <v>144</v>
      </c>
    </row>
    <row r="26" customFormat="false" ht="15" hidden="false" customHeight="false" outlineLevel="0" collapsed="false">
      <c r="A26" s="3" t="s">
        <v>143</v>
      </c>
      <c r="B26" s="3" t="n">
        <v>5</v>
      </c>
      <c r="C26" s="3" t="s">
        <v>126</v>
      </c>
      <c r="D26" s="3" t="n">
        <v>8</v>
      </c>
      <c r="E26" s="3" t="s">
        <v>127</v>
      </c>
      <c r="F26" s="3" t="s">
        <v>128</v>
      </c>
      <c r="G26" s="3" t="s">
        <v>128</v>
      </c>
      <c r="H26" s="3" t="s">
        <v>145</v>
      </c>
    </row>
    <row r="27" customFormat="false" ht="15" hidden="false" customHeight="false" outlineLevel="0" collapsed="false">
      <c r="A27" s="3" t="s">
        <v>143</v>
      </c>
      <c r="B27" s="3" t="n">
        <v>5</v>
      </c>
      <c r="C27" s="3" t="s">
        <v>126</v>
      </c>
      <c r="D27" s="3" t="n">
        <v>3</v>
      </c>
      <c r="E27" s="3" t="s">
        <v>130</v>
      </c>
      <c r="F27" s="3" t="s">
        <v>128</v>
      </c>
      <c r="G27" s="3" t="s">
        <v>128</v>
      </c>
      <c r="H27" s="3" t="s">
        <v>145</v>
      </c>
    </row>
    <row r="28" customFormat="false" ht="15" hidden="false" customHeight="false" outlineLevel="0" collapsed="false">
      <c r="A28" s="3" t="s">
        <v>143</v>
      </c>
      <c r="B28" s="3" t="n">
        <v>6</v>
      </c>
      <c r="C28" s="3" t="s">
        <v>126</v>
      </c>
      <c r="D28" s="3" t="n">
        <v>18</v>
      </c>
      <c r="E28" s="3" t="s">
        <v>127</v>
      </c>
      <c r="F28" s="3" t="s">
        <v>128</v>
      </c>
      <c r="G28" s="3" t="s">
        <v>128</v>
      </c>
      <c r="H28" s="3" t="s">
        <v>146</v>
      </c>
    </row>
    <row r="29" customFormat="false" ht="15" hidden="false" customHeight="false" outlineLevel="0" collapsed="false">
      <c r="A29" s="3" t="s">
        <v>143</v>
      </c>
      <c r="B29" s="3" t="n">
        <v>6</v>
      </c>
      <c r="C29" s="3" t="s">
        <v>126</v>
      </c>
      <c r="D29" s="3" t="n">
        <v>6</v>
      </c>
      <c r="E29" s="3" t="s">
        <v>130</v>
      </c>
      <c r="F29" s="3" t="s">
        <v>128</v>
      </c>
      <c r="G29" s="3" t="s">
        <v>128</v>
      </c>
      <c r="H29" s="3" t="s">
        <v>146</v>
      </c>
    </row>
    <row r="30" customFormat="false" ht="15" hidden="false" customHeight="false" outlineLevel="0" collapsed="false">
      <c r="A30" s="3" t="s">
        <v>143</v>
      </c>
      <c r="B30" s="3" t="n">
        <v>7</v>
      </c>
      <c r="C30" s="3" t="s">
        <v>126</v>
      </c>
      <c r="D30" s="3" t="n">
        <v>24</v>
      </c>
      <c r="E30" s="3" t="s">
        <v>127</v>
      </c>
      <c r="F30" s="3" t="s">
        <v>128</v>
      </c>
      <c r="G30" s="3" t="s">
        <v>128</v>
      </c>
      <c r="H30" s="3" t="s">
        <v>147</v>
      </c>
    </row>
    <row r="31" customFormat="false" ht="15" hidden="false" customHeight="false" outlineLevel="0" collapsed="false">
      <c r="A31" s="3" t="s">
        <v>143</v>
      </c>
      <c r="B31" s="3" t="n">
        <v>11</v>
      </c>
      <c r="C31" s="3" t="s">
        <v>126</v>
      </c>
      <c r="D31" s="3" t="n">
        <v>3</v>
      </c>
      <c r="E31" s="3" t="s">
        <v>127</v>
      </c>
      <c r="F31" s="3" t="s">
        <v>128</v>
      </c>
      <c r="G31" s="3" t="s">
        <v>128</v>
      </c>
      <c r="H31" s="3" t="s">
        <v>148</v>
      </c>
    </row>
    <row r="32" customFormat="false" ht="15" hidden="false" customHeight="false" outlineLevel="0" collapsed="false">
      <c r="A32" s="3" t="s">
        <v>143</v>
      </c>
      <c r="B32" s="3" t="n">
        <v>13</v>
      </c>
      <c r="C32" s="3" t="s">
        <v>126</v>
      </c>
      <c r="D32" s="3" t="n">
        <v>38</v>
      </c>
      <c r="E32" s="3" t="s">
        <v>127</v>
      </c>
      <c r="F32" s="3" t="s">
        <v>128</v>
      </c>
      <c r="G32" s="3" t="s">
        <v>128</v>
      </c>
      <c r="H32" s="3" t="s">
        <v>149</v>
      </c>
    </row>
    <row r="33" customFormat="false" ht="15" hidden="false" customHeight="false" outlineLevel="0" collapsed="false">
      <c r="A33" s="3" t="s">
        <v>143</v>
      </c>
      <c r="B33" s="3" t="n">
        <v>13</v>
      </c>
      <c r="C33" s="3" t="s">
        <v>126</v>
      </c>
      <c r="D33" s="3" t="n">
        <v>5</v>
      </c>
      <c r="E33" s="3" t="s">
        <v>130</v>
      </c>
      <c r="F33" s="3" t="s">
        <v>128</v>
      </c>
      <c r="G33" s="3" t="s">
        <v>128</v>
      </c>
      <c r="H33" s="3" t="s">
        <v>149</v>
      </c>
    </row>
    <row r="34" customFormat="false" ht="15" hidden="false" customHeight="false" outlineLevel="0" collapsed="false">
      <c r="A34" s="3" t="s">
        <v>143</v>
      </c>
      <c r="B34" s="3" t="n">
        <v>16</v>
      </c>
      <c r="C34" s="3" t="s">
        <v>126</v>
      </c>
      <c r="D34" s="3" t="n">
        <v>43</v>
      </c>
      <c r="E34" s="3" t="s">
        <v>127</v>
      </c>
      <c r="F34" s="3" t="s">
        <v>128</v>
      </c>
      <c r="G34" s="3" t="s">
        <v>128</v>
      </c>
      <c r="H34" s="3" t="s">
        <v>150</v>
      </c>
    </row>
    <row r="35" customFormat="false" ht="15" hidden="false" customHeight="false" outlineLevel="0" collapsed="false">
      <c r="A35" s="3" t="s">
        <v>143</v>
      </c>
      <c r="B35" s="3" t="n">
        <v>16</v>
      </c>
      <c r="C35" s="3" t="s">
        <v>126</v>
      </c>
      <c r="D35" s="3" t="n">
        <v>39</v>
      </c>
      <c r="E35" s="3" t="s">
        <v>130</v>
      </c>
      <c r="F35" s="3" t="s">
        <v>128</v>
      </c>
      <c r="G35" s="3" t="s">
        <v>128</v>
      </c>
      <c r="H35" s="3" t="s">
        <v>150</v>
      </c>
    </row>
    <row r="36" customFormat="false" ht="15" hidden="false" customHeight="false" outlineLevel="0" collapsed="false">
      <c r="A36" s="3" t="s">
        <v>143</v>
      </c>
      <c r="B36" s="3" t="n">
        <v>34</v>
      </c>
      <c r="C36" s="3" t="s">
        <v>126</v>
      </c>
      <c r="D36" s="3" t="n">
        <v>45</v>
      </c>
      <c r="E36" s="3" t="s">
        <v>127</v>
      </c>
      <c r="F36" s="3" t="s">
        <v>128</v>
      </c>
      <c r="G36" s="3" t="s">
        <v>128</v>
      </c>
      <c r="H36" s="3" t="s">
        <v>151</v>
      </c>
    </row>
    <row r="37" customFormat="false" ht="15" hidden="false" customHeight="false" outlineLevel="0" collapsed="false">
      <c r="A37" s="3" t="s">
        <v>143</v>
      </c>
      <c r="B37" s="3" t="n">
        <v>34</v>
      </c>
      <c r="C37" s="3" t="s">
        <v>126</v>
      </c>
      <c r="D37" s="3" t="n">
        <v>39</v>
      </c>
      <c r="E37" s="3" t="s">
        <v>130</v>
      </c>
      <c r="F37" s="3" t="s">
        <v>128</v>
      </c>
      <c r="G37" s="3" t="s">
        <v>128</v>
      </c>
      <c r="H37" s="3" t="s">
        <v>151</v>
      </c>
    </row>
    <row r="38" customFormat="false" ht="15" hidden="false" customHeight="false" outlineLevel="0" collapsed="false">
      <c r="A38" s="3" t="s">
        <v>143</v>
      </c>
      <c r="B38" s="3" t="n">
        <v>35</v>
      </c>
      <c r="C38" s="3" t="s">
        <v>126</v>
      </c>
      <c r="D38" s="3" t="n">
        <v>47</v>
      </c>
      <c r="E38" s="3" t="s">
        <v>127</v>
      </c>
      <c r="F38" s="3" t="s">
        <v>128</v>
      </c>
      <c r="G38" s="3" t="s">
        <v>128</v>
      </c>
      <c r="H38" s="3" t="s">
        <v>152</v>
      </c>
    </row>
    <row r="39" customFormat="false" ht="15" hidden="false" customHeight="false" outlineLevel="0" collapsed="false">
      <c r="A39" s="3" t="s">
        <v>143</v>
      </c>
      <c r="B39" s="3" t="n">
        <v>35</v>
      </c>
      <c r="C39" s="3" t="s">
        <v>126</v>
      </c>
      <c r="D39" s="3" t="n">
        <v>39</v>
      </c>
      <c r="E39" s="3" t="s">
        <v>130</v>
      </c>
      <c r="F39" s="3" t="s">
        <v>128</v>
      </c>
      <c r="G39" s="3" t="s">
        <v>128</v>
      </c>
      <c r="H39" s="3" t="s">
        <v>152</v>
      </c>
    </row>
    <row r="40" customFormat="false" ht="15" hidden="false" customHeight="false" outlineLevel="0" collapsed="false">
      <c r="A40" s="3" t="s">
        <v>143</v>
      </c>
      <c r="B40" s="3" t="n">
        <v>36</v>
      </c>
      <c r="C40" s="3" t="s">
        <v>126</v>
      </c>
      <c r="D40" s="3" t="n">
        <v>50</v>
      </c>
      <c r="E40" s="3" t="s">
        <v>127</v>
      </c>
      <c r="F40" s="3" t="s">
        <v>128</v>
      </c>
      <c r="G40" s="3" t="s">
        <v>128</v>
      </c>
      <c r="H40" s="3" t="s">
        <v>153</v>
      </c>
    </row>
    <row r="41" customFormat="false" ht="15" hidden="false" customHeight="false" outlineLevel="0" collapsed="false">
      <c r="A41" s="3" t="s">
        <v>143</v>
      </c>
      <c r="B41" s="3" t="n">
        <v>36</v>
      </c>
      <c r="C41" s="3" t="s">
        <v>126</v>
      </c>
      <c r="D41" s="3" t="n">
        <v>51</v>
      </c>
      <c r="E41" s="3" t="s">
        <v>130</v>
      </c>
      <c r="F41" s="3" t="s">
        <v>128</v>
      </c>
      <c r="G41" s="3" t="s">
        <v>128</v>
      </c>
      <c r="H41" s="3" t="s">
        <v>153</v>
      </c>
    </row>
    <row r="42" customFormat="false" ht="15" hidden="false" customHeight="false" outlineLevel="0" collapsed="false">
      <c r="A42" s="3" t="s">
        <v>143</v>
      </c>
      <c r="B42" s="3" t="n">
        <v>37</v>
      </c>
      <c r="C42" s="3" t="s">
        <v>126</v>
      </c>
      <c r="D42" s="3" t="n">
        <v>50</v>
      </c>
      <c r="E42" s="3" t="s">
        <v>127</v>
      </c>
      <c r="F42" s="3" t="s">
        <v>128</v>
      </c>
      <c r="G42" s="3" t="s">
        <v>128</v>
      </c>
      <c r="H42" s="3" t="s">
        <v>154</v>
      </c>
    </row>
    <row r="43" customFormat="false" ht="15" hidden="false" customHeight="false" outlineLevel="0" collapsed="false">
      <c r="A43" s="3" t="s">
        <v>143</v>
      </c>
      <c r="B43" s="3" t="n">
        <v>38</v>
      </c>
      <c r="C43" s="3" t="s">
        <v>126</v>
      </c>
      <c r="D43" s="3" t="n">
        <v>39</v>
      </c>
      <c r="E43" s="3" t="s">
        <v>127</v>
      </c>
      <c r="F43" s="3" t="s">
        <v>128</v>
      </c>
      <c r="G43" s="3" t="s">
        <v>128</v>
      </c>
      <c r="H43" s="3" t="s">
        <v>155</v>
      </c>
    </row>
    <row r="44" customFormat="false" ht="15" hidden="false" customHeight="false" outlineLevel="0" collapsed="false">
      <c r="A44" s="3" t="s">
        <v>143</v>
      </c>
      <c r="B44" s="3" t="n">
        <v>38</v>
      </c>
      <c r="C44" s="3" t="s">
        <v>126</v>
      </c>
      <c r="D44" s="3" t="n">
        <v>18</v>
      </c>
      <c r="E44" s="3" t="s">
        <v>130</v>
      </c>
      <c r="F44" s="3" t="s">
        <v>128</v>
      </c>
      <c r="G44" s="3" t="s">
        <v>128</v>
      </c>
      <c r="H44" s="3" t="s">
        <v>155</v>
      </c>
    </row>
    <row r="45" customFormat="false" ht="15" hidden="false" customHeight="false" outlineLevel="0" collapsed="false">
      <c r="A45" s="3" t="s">
        <v>143</v>
      </c>
      <c r="B45" s="3" t="n">
        <v>47</v>
      </c>
      <c r="C45" s="3" t="s">
        <v>126</v>
      </c>
      <c r="D45" s="3" t="n">
        <v>62</v>
      </c>
      <c r="E45" s="3" t="s">
        <v>127</v>
      </c>
      <c r="F45" s="3" t="s">
        <v>128</v>
      </c>
      <c r="G45" s="3" t="s">
        <v>128</v>
      </c>
      <c r="H45" s="3" t="s">
        <v>156</v>
      </c>
    </row>
    <row r="46" customFormat="false" ht="15" hidden="false" customHeight="false" outlineLevel="0" collapsed="false">
      <c r="A46" s="3" t="s">
        <v>143</v>
      </c>
      <c r="B46" s="3" t="n">
        <v>47</v>
      </c>
      <c r="C46" s="3" t="s">
        <v>126</v>
      </c>
      <c r="D46" s="3" t="n">
        <v>56</v>
      </c>
      <c r="E46" s="3" t="s">
        <v>130</v>
      </c>
      <c r="F46" s="3" t="s">
        <v>128</v>
      </c>
      <c r="G46" s="3" t="s">
        <v>128</v>
      </c>
      <c r="H46" s="3" t="s">
        <v>156</v>
      </c>
    </row>
    <row r="47" customFormat="false" ht="15" hidden="false" customHeight="false" outlineLevel="0" collapsed="false">
      <c r="A47" s="3" t="s">
        <v>143</v>
      </c>
      <c r="B47" s="3" t="n">
        <v>48</v>
      </c>
      <c r="C47" s="3" t="s">
        <v>126</v>
      </c>
      <c r="D47" s="3" t="n">
        <v>14</v>
      </c>
      <c r="E47" s="3" t="s">
        <v>127</v>
      </c>
      <c r="F47" s="3" t="s">
        <v>128</v>
      </c>
      <c r="G47" s="3" t="s">
        <v>128</v>
      </c>
      <c r="H47" s="3" t="s">
        <v>157</v>
      </c>
    </row>
    <row r="48" customFormat="false" ht="15" hidden="false" customHeight="false" outlineLevel="0" collapsed="false">
      <c r="A48" s="3" t="s">
        <v>143</v>
      </c>
      <c r="B48" s="3" t="n">
        <v>56</v>
      </c>
      <c r="C48" s="3" t="s">
        <v>126</v>
      </c>
      <c r="D48" s="3" t="n">
        <v>10</v>
      </c>
      <c r="E48" s="3" t="s">
        <v>127</v>
      </c>
      <c r="F48" s="3" t="s">
        <v>128</v>
      </c>
      <c r="G48" s="3" t="s">
        <v>128</v>
      </c>
      <c r="H48" s="3" t="s">
        <v>158</v>
      </c>
    </row>
    <row r="49" customFormat="false" ht="15" hidden="false" customHeight="false" outlineLevel="0" collapsed="false">
      <c r="A49" s="3" t="s">
        <v>143</v>
      </c>
      <c r="B49" s="3" t="n">
        <v>56</v>
      </c>
      <c r="C49" s="3" t="s">
        <v>126</v>
      </c>
      <c r="D49" s="3" t="n">
        <v>65</v>
      </c>
      <c r="E49" s="3" t="s">
        <v>130</v>
      </c>
      <c r="F49" s="3" t="s">
        <v>128</v>
      </c>
      <c r="G49" s="3" t="s">
        <v>128</v>
      </c>
      <c r="H49" s="3" t="s">
        <v>158</v>
      </c>
    </row>
    <row r="50" customFormat="false" ht="15" hidden="false" customHeight="false" outlineLevel="0" collapsed="false">
      <c r="A50" s="3" t="s">
        <v>143</v>
      </c>
      <c r="B50" s="3" t="n">
        <v>57</v>
      </c>
      <c r="C50" s="3" t="s">
        <v>126</v>
      </c>
      <c r="D50" s="3" t="n">
        <v>8</v>
      </c>
      <c r="E50" s="3" t="s">
        <v>127</v>
      </c>
      <c r="F50" s="3" t="s">
        <v>128</v>
      </c>
      <c r="G50" s="3" t="s">
        <v>128</v>
      </c>
      <c r="H50" s="3" t="s">
        <v>159</v>
      </c>
    </row>
    <row r="51" customFormat="false" ht="15" hidden="false" customHeight="false" outlineLevel="0" collapsed="false">
      <c r="A51" s="3" t="s">
        <v>143</v>
      </c>
      <c r="B51" s="3" t="n">
        <v>57</v>
      </c>
      <c r="C51" s="3" t="s">
        <v>126</v>
      </c>
      <c r="D51" s="3" t="n">
        <v>18</v>
      </c>
      <c r="E51" s="3" t="s">
        <v>130</v>
      </c>
      <c r="F51" s="3" t="s">
        <v>128</v>
      </c>
      <c r="G51" s="3" t="s">
        <v>128</v>
      </c>
      <c r="H51" s="3" t="s">
        <v>159</v>
      </c>
    </row>
    <row r="52" customFormat="false" ht="15" hidden="false" customHeight="false" outlineLevel="0" collapsed="false">
      <c r="A52" s="3" t="s">
        <v>143</v>
      </c>
      <c r="B52" s="3" t="n">
        <v>58</v>
      </c>
      <c r="C52" s="3" t="s">
        <v>126</v>
      </c>
      <c r="D52" s="3" t="n">
        <v>46</v>
      </c>
      <c r="E52" s="3" t="s">
        <v>127</v>
      </c>
      <c r="F52" s="3" t="s">
        <v>128</v>
      </c>
      <c r="G52" s="3" t="s">
        <v>128</v>
      </c>
      <c r="H52" s="3" t="s">
        <v>160</v>
      </c>
    </row>
    <row r="53" customFormat="false" ht="15" hidden="false" customHeight="false" outlineLevel="0" collapsed="false">
      <c r="A53" s="3" t="s">
        <v>143</v>
      </c>
      <c r="B53" s="3" t="n">
        <v>58</v>
      </c>
      <c r="C53" s="3" t="s">
        <v>126</v>
      </c>
      <c r="D53" s="3" t="n">
        <v>10</v>
      </c>
      <c r="E53" s="3" t="s">
        <v>130</v>
      </c>
      <c r="F53" s="3" t="s">
        <v>128</v>
      </c>
      <c r="G53" s="3" t="s">
        <v>128</v>
      </c>
      <c r="H53" s="3" t="s">
        <v>160</v>
      </c>
    </row>
    <row r="54" customFormat="false" ht="15" hidden="false" customHeight="false" outlineLevel="0" collapsed="false">
      <c r="A54" s="3" t="s">
        <v>143</v>
      </c>
      <c r="B54" s="3" t="n">
        <v>62</v>
      </c>
      <c r="C54" s="3" t="s">
        <v>126</v>
      </c>
      <c r="D54" s="3" t="n">
        <v>39</v>
      </c>
      <c r="E54" s="3" t="s">
        <v>127</v>
      </c>
      <c r="F54" s="3" t="s">
        <v>128</v>
      </c>
      <c r="G54" s="3" t="s">
        <v>128</v>
      </c>
      <c r="H54" s="3" t="s">
        <v>161</v>
      </c>
    </row>
    <row r="55" customFormat="false" ht="15" hidden="false" customHeight="false" outlineLevel="0" collapsed="false">
      <c r="A55" s="3" t="s">
        <v>143</v>
      </c>
      <c r="B55" s="3" t="n">
        <v>62</v>
      </c>
      <c r="C55" s="3" t="s">
        <v>126</v>
      </c>
      <c r="D55" s="3" t="n">
        <v>45</v>
      </c>
      <c r="E55" s="3" t="s">
        <v>130</v>
      </c>
      <c r="F55" s="3" t="s">
        <v>128</v>
      </c>
      <c r="G55" s="3" t="s">
        <v>128</v>
      </c>
      <c r="H55" s="3" t="s">
        <v>161</v>
      </c>
    </row>
    <row r="56" customFormat="false" ht="15" hidden="false" customHeight="false" outlineLevel="0" collapsed="false">
      <c r="A56" s="3" t="s">
        <v>143</v>
      </c>
      <c r="B56" s="3" t="n">
        <v>63</v>
      </c>
      <c r="C56" s="3" t="s">
        <v>126</v>
      </c>
      <c r="D56" s="3" t="n">
        <v>3</v>
      </c>
      <c r="E56" s="3" t="s">
        <v>127</v>
      </c>
      <c r="F56" s="3" t="s">
        <v>128</v>
      </c>
      <c r="G56" s="3" t="s">
        <v>128</v>
      </c>
      <c r="H56" s="3" t="s">
        <v>162</v>
      </c>
    </row>
    <row r="57" customFormat="false" ht="15" hidden="false" customHeight="false" outlineLevel="0" collapsed="false">
      <c r="A57" s="3" t="s">
        <v>143</v>
      </c>
      <c r="B57" s="3" t="n">
        <v>74</v>
      </c>
      <c r="C57" s="3" t="s">
        <v>126</v>
      </c>
      <c r="D57" s="3" t="n">
        <v>14</v>
      </c>
      <c r="E57" s="3" t="s">
        <v>127</v>
      </c>
      <c r="F57" s="3" t="s">
        <v>128</v>
      </c>
      <c r="G57" s="3" t="s">
        <v>128</v>
      </c>
      <c r="H57" s="3" t="s">
        <v>163</v>
      </c>
    </row>
    <row r="58" customFormat="false" ht="15" hidden="false" customHeight="false" outlineLevel="0" collapsed="false">
      <c r="A58" s="3" t="s">
        <v>143</v>
      </c>
      <c r="B58" s="3" t="n">
        <v>75</v>
      </c>
      <c r="C58" s="3" t="s">
        <v>126</v>
      </c>
      <c r="D58" s="3" t="n">
        <v>1</v>
      </c>
      <c r="E58" s="3" t="s">
        <v>127</v>
      </c>
      <c r="F58" s="3" t="s">
        <v>128</v>
      </c>
      <c r="G58" s="3" t="s">
        <v>128</v>
      </c>
      <c r="H58" s="3" t="s">
        <v>164</v>
      </c>
    </row>
    <row r="59" customFormat="false" ht="15" hidden="false" customHeight="false" outlineLevel="0" collapsed="false">
      <c r="A59" s="3" t="s">
        <v>143</v>
      </c>
      <c r="B59" s="3" t="n">
        <v>75</v>
      </c>
      <c r="C59" s="3" t="s">
        <v>126</v>
      </c>
      <c r="D59" s="3" t="n">
        <v>3</v>
      </c>
      <c r="E59" s="3" t="s">
        <v>130</v>
      </c>
      <c r="F59" s="3" t="s">
        <v>128</v>
      </c>
      <c r="G59" s="3" t="s">
        <v>128</v>
      </c>
      <c r="H59" s="3" t="s">
        <v>164</v>
      </c>
    </row>
    <row r="60" customFormat="false" ht="15" hidden="false" customHeight="false" outlineLevel="0" collapsed="false">
      <c r="A60" s="3" t="s">
        <v>143</v>
      </c>
      <c r="B60" s="3" t="n">
        <v>76</v>
      </c>
      <c r="C60" s="3" t="s">
        <v>126</v>
      </c>
      <c r="D60" s="3" t="n">
        <v>84</v>
      </c>
      <c r="E60" s="3" t="s">
        <v>127</v>
      </c>
      <c r="F60" s="3" t="s">
        <v>128</v>
      </c>
      <c r="G60" s="3" t="s">
        <v>128</v>
      </c>
      <c r="H60" s="3" t="s">
        <v>165</v>
      </c>
    </row>
    <row r="61" customFormat="false" ht="15" hidden="false" customHeight="false" outlineLevel="0" collapsed="false">
      <c r="A61" s="3" t="s">
        <v>143</v>
      </c>
      <c r="B61" s="3" t="n">
        <v>77</v>
      </c>
      <c r="C61" s="3" t="s">
        <v>126</v>
      </c>
      <c r="D61" s="3" t="n">
        <v>80</v>
      </c>
      <c r="E61" s="3" t="s">
        <v>127</v>
      </c>
      <c r="F61" s="3" t="s">
        <v>128</v>
      </c>
      <c r="G61" s="3" t="s">
        <v>128</v>
      </c>
      <c r="H61" s="3" t="s">
        <v>166</v>
      </c>
    </row>
    <row r="62" customFormat="false" ht="15" hidden="false" customHeight="false" outlineLevel="0" collapsed="false">
      <c r="A62" s="3" t="s">
        <v>143</v>
      </c>
      <c r="B62" s="3" t="n">
        <v>77</v>
      </c>
      <c r="C62" s="3" t="s">
        <v>126</v>
      </c>
      <c r="D62" s="3" t="n">
        <v>73</v>
      </c>
      <c r="E62" s="3" t="s">
        <v>130</v>
      </c>
      <c r="F62" s="3" t="s">
        <v>128</v>
      </c>
      <c r="G62" s="3" t="s">
        <v>128</v>
      </c>
      <c r="H62" s="3" t="s">
        <v>166</v>
      </c>
    </row>
    <row r="63" customFormat="false" ht="15" hidden="false" customHeight="false" outlineLevel="0" collapsed="false">
      <c r="A63" s="3" t="s">
        <v>143</v>
      </c>
      <c r="B63" s="3" t="n">
        <v>81</v>
      </c>
      <c r="C63" s="3" t="s">
        <v>126</v>
      </c>
      <c r="D63" s="3" t="n">
        <v>71</v>
      </c>
      <c r="E63" s="3" t="s">
        <v>127</v>
      </c>
      <c r="F63" s="3" t="s">
        <v>128</v>
      </c>
      <c r="G63" s="3" t="s">
        <v>128</v>
      </c>
      <c r="H63" s="3" t="s">
        <v>167</v>
      </c>
    </row>
    <row r="64" customFormat="false" ht="15" hidden="false" customHeight="false" outlineLevel="0" collapsed="false">
      <c r="A64" s="3" t="s">
        <v>143</v>
      </c>
      <c r="B64" s="3" t="n">
        <v>81</v>
      </c>
      <c r="C64" s="3" t="s">
        <v>126</v>
      </c>
      <c r="D64" s="3" t="n">
        <v>33</v>
      </c>
      <c r="E64" s="3" t="s">
        <v>130</v>
      </c>
      <c r="F64" s="3" t="s">
        <v>128</v>
      </c>
      <c r="G64" s="3" t="s">
        <v>128</v>
      </c>
      <c r="H64" s="3" t="s">
        <v>167</v>
      </c>
    </row>
    <row r="65" customFormat="false" ht="15" hidden="false" customHeight="false" outlineLevel="0" collapsed="false">
      <c r="A65" s="3" t="s">
        <v>143</v>
      </c>
      <c r="B65" s="3" t="n">
        <v>82</v>
      </c>
      <c r="C65" s="3" t="s">
        <v>126</v>
      </c>
      <c r="D65" s="3" t="n">
        <v>6</v>
      </c>
      <c r="E65" s="3" t="s">
        <v>127</v>
      </c>
      <c r="F65" s="3" t="s">
        <v>128</v>
      </c>
      <c r="G65" s="3" t="s">
        <v>128</v>
      </c>
      <c r="H65" s="3" t="s">
        <v>168</v>
      </c>
    </row>
    <row r="66" customFormat="false" ht="15" hidden="false" customHeight="false" outlineLevel="0" collapsed="false">
      <c r="A66" s="3" t="s">
        <v>143</v>
      </c>
      <c r="B66" s="3" t="n">
        <v>82</v>
      </c>
      <c r="C66" s="3" t="s">
        <v>126</v>
      </c>
      <c r="D66" s="3" t="n">
        <v>18</v>
      </c>
      <c r="E66" s="3" t="s">
        <v>130</v>
      </c>
      <c r="F66" s="3" t="s">
        <v>128</v>
      </c>
      <c r="G66" s="3" t="s">
        <v>128</v>
      </c>
      <c r="H66" s="3" t="s">
        <v>168</v>
      </c>
    </row>
    <row r="67" customFormat="false" ht="15" hidden="false" customHeight="false" outlineLevel="0" collapsed="false">
      <c r="A67" s="3" t="s">
        <v>143</v>
      </c>
      <c r="B67" s="3" t="n">
        <v>90</v>
      </c>
      <c r="C67" s="3" t="s">
        <v>126</v>
      </c>
      <c r="D67" s="3" t="n">
        <v>41</v>
      </c>
      <c r="E67" s="3" t="s">
        <v>127</v>
      </c>
      <c r="F67" s="3" t="s">
        <v>128</v>
      </c>
      <c r="G67" s="3" t="s">
        <v>128</v>
      </c>
      <c r="H67" s="3" t="s">
        <v>169</v>
      </c>
    </row>
    <row r="68" customFormat="false" ht="15" hidden="false" customHeight="false" outlineLevel="0" collapsed="false">
      <c r="A68" s="3" t="s">
        <v>143</v>
      </c>
      <c r="B68" s="3" t="n">
        <v>91</v>
      </c>
      <c r="C68" s="3" t="s">
        <v>126</v>
      </c>
      <c r="D68" s="3" t="n">
        <v>6</v>
      </c>
      <c r="E68" s="3" t="s">
        <v>127</v>
      </c>
      <c r="F68" s="3" t="s">
        <v>128</v>
      </c>
      <c r="G68" s="3" t="s">
        <v>128</v>
      </c>
      <c r="H68" s="3" t="s">
        <v>170</v>
      </c>
    </row>
    <row r="69" customFormat="false" ht="15" hidden="false" customHeight="false" outlineLevel="0" collapsed="false">
      <c r="A69" s="3" t="s">
        <v>143</v>
      </c>
      <c r="B69" s="3" t="n">
        <v>91</v>
      </c>
      <c r="C69" s="3" t="s">
        <v>126</v>
      </c>
      <c r="D69" s="3" t="n">
        <v>19</v>
      </c>
      <c r="E69" s="3" t="s">
        <v>130</v>
      </c>
      <c r="F69" s="3" t="s">
        <v>128</v>
      </c>
      <c r="G69" s="3" t="s">
        <v>128</v>
      </c>
      <c r="H69" s="3" t="s">
        <v>170</v>
      </c>
    </row>
    <row r="70" customFormat="false" ht="15" hidden="false" customHeight="false" outlineLevel="0" collapsed="false">
      <c r="A70" s="3" t="s">
        <v>143</v>
      </c>
      <c r="B70" s="3" t="n">
        <v>94</v>
      </c>
      <c r="C70" s="3" t="s">
        <v>126</v>
      </c>
      <c r="D70" s="3" t="n">
        <v>39</v>
      </c>
      <c r="E70" s="3" t="s">
        <v>127</v>
      </c>
      <c r="F70" s="3" t="s">
        <v>128</v>
      </c>
      <c r="G70" s="3" t="s">
        <v>128</v>
      </c>
      <c r="H70" s="3" t="s">
        <v>171</v>
      </c>
    </row>
    <row r="71" customFormat="false" ht="15" hidden="false" customHeight="false" outlineLevel="0" collapsed="false">
      <c r="A71" s="3" t="s">
        <v>143</v>
      </c>
      <c r="B71" s="3" t="n">
        <v>95</v>
      </c>
      <c r="C71" s="3" t="s">
        <v>126</v>
      </c>
      <c r="D71" s="3" t="n">
        <v>1</v>
      </c>
      <c r="E71" s="3" t="s">
        <v>127</v>
      </c>
      <c r="F71" s="3" t="s">
        <v>128</v>
      </c>
      <c r="G71" s="3" t="s">
        <v>128</v>
      </c>
      <c r="H71" s="3" t="s">
        <v>172</v>
      </c>
    </row>
    <row r="72" customFormat="false" ht="15" hidden="false" customHeight="false" outlineLevel="0" collapsed="false">
      <c r="A72" s="3" t="s">
        <v>143</v>
      </c>
      <c r="B72" s="3" t="n">
        <v>98</v>
      </c>
      <c r="C72" s="3" t="s">
        <v>126</v>
      </c>
      <c r="D72" s="3" t="n">
        <v>73</v>
      </c>
      <c r="E72" s="3" t="s">
        <v>127</v>
      </c>
      <c r="F72" s="3" t="s">
        <v>128</v>
      </c>
      <c r="G72" s="3" t="s">
        <v>128</v>
      </c>
      <c r="H72" s="3" t="s">
        <v>173</v>
      </c>
    </row>
    <row r="73" customFormat="false" ht="15" hidden="false" customHeight="false" outlineLevel="0" collapsed="false">
      <c r="A73" s="3" t="s">
        <v>143</v>
      </c>
      <c r="B73" s="3" t="n">
        <v>98</v>
      </c>
      <c r="C73" s="3" t="s">
        <v>126</v>
      </c>
      <c r="D73" s="3" t="n">
        <v>66</v>
      </c>
      <c r="E73" s="3" t="s">
        <v>130</v>
      </c>
      <c r="F73" s="3" t="s">
        <v>128</v>
      </c>
      <c r="G73" s="3" t="s">
        <v>128</v>
      </c>
      <c r="H73" s="3" t="s">
        <v>173</v>
      </c>
    </row>
    <row r="74" customFormat="false" ht="15" hidden="false" customHeight="false" outlineLevel="0" collapsed="false">
      <c r="A74" s="3" t="s">
        <v>143</v>
      </c>
      <c r="B74" s="3" t="n">
        <v>100</v>
      </c>
      <c r="C74" s="3" t="s">
        <v>126</v>
      </c>
      <c r="D74" s="3" t="n">
        <v>79</v>
      </c>
      <c r="E74" s="3" t="s">
        <v>127</v>
      </c>
      <c r="F74" s="3" t="s">
        <v>128</v>
      </c>
      <c r="G74" s="3" t="s">
        <v>128</v>
      </c>
      <c r="H74" s="3" t="s">
        <v>174</v>
      </c>
    </row>
    <row r="75" customFormat="false" ht="15" hidden="false" customHeight="false" outlineLevel="0" collapsed="false">
      <c r="A75" s="3" t="s">
        <v>175</v>
      </c>
      <c r="B75" s="3" t="n">
        <v>3</v>
      </c>
      <c r="C75" s="3" t="s">
        <v>126</v>
      </c>
      <c r="D75" s="3" t="n">
        <v>48</v>
      </c>
      <c r="E75" s="3" t="s">
        <v>127</v>
      </c>
      <c r="F75" s="3" t="s">
        <v>176</v>
      </c>
      <c r="G75" s="3" t="s">
        <v>176</v>
      </c>
      <c r="H75" s="3" t="s">
        <v>177</v>
      </c>
    </row>
    <row r="76" customFormat="false" ht="15" hidden="false" customHeight="false" outlineLevel="0" collapsed="false">
      <c r="A76" s="3" t="s">
        <v>175</v>
      </c>
      <c r="B76" s="3" t="n">
        <v>3</v>
      </c>
      <c r="C76" s="3" t="s">
        <v>126</v>
      </c>
      <c r="D76" s="3" t="n">
        <v>45</v>
      </c>
      <c r="E76" s="3" t="s">
        <v>130</v>
      </c>
      <c r="F76" s="3" t="s">
        <v>176</v>
      </c>
      <c r="G76" s="3" t="s">
        <v>176</v>
      </c>
      <c r="H76" s="3" t="s">
        <v>177</v>
      </c>
    </row>
    <row r="77" customFormat="false" ht="15" hidden="false" customHeight="false" outlineLevel="0" collapsed="false">
      <c r="A77" s="3" t="s">
        <v>175</v>
      </c>
      <c r="B77" s="3" t="n">
        <v>16</v>
      </c>
      <c r="C77" s="3" t="s">
        <v>126</v>
      </c>
      <c r="D77" s="3" t="n">
        <v>44</v>
      </c>
      <c r="E77" s="3" t="s">
        <v>127</v>
      </c>
      <c r="F77" s="3" t="s">
        <v>176</v>
      </c>
      <c r="G77" s="3" t="s">
        <v>176</v>
      </c>
      <c r="H77" s="3" t="s">
        <v>178</v>
      </c>
    </row>
    <row r="78" customFormat="false" ht="15" hidden="false" customHeight="false" outlineLevel="0" collapsed="false">
      <c r="A78" s="3" t="s">
        <v>175</v>
      </c>
      <c r="B78" s="3" t="n">
        <v>16</v>
      </c>
      <c r="C78" s="3" t="s">
        <v>126</v>
      </c>
      <c r="D78" s="3" t="n">
        <v>49</v>
      </c>
      <c r="E78" s="3" t="s">
        <v>130</v>
      </c>
      <c r="F78" s="3" t="s">
        <v>176</v>
      </c>
      <c r="G78" s="3" t="s">
        <v>176</v>
      </c>
      <c r="H78" s="3" t="s">
        <v>178</v>
      </c>
    </row>
    <row r="79" customFormat="false" ht="15" hidden="false" customHeight="false" outlineLevel="0" collapsed="false">
      <c r="A79" s="3" t="s">
        <v>175</v>
      </c>
      <c r="B79" s="3" t="n">
        <v>22</v>
      </c>
      <c r="C79" s="3" t="s">
        <v>126</v>
      </c>
      <c r="D79" s="3" t="n">
        <v>39</v>
      </c>
      <c r="E79" s="3" t="s">
        <v>127</v>
      </c>
      <c r="F79" s="3" t="s">
        <v>176</v>
      </c>
      <c r="G79" s="3" t="s">
        <v>176</v>
      </c>
      <c r="H79" s="3" t="s">
        <v>179</v>
      </c>
    </row>
    <row r="80" customFormat="false" ht="15" hidden="false" customHeight="false" outlineLevel="0" collapsed="false">
      <c r="A80" s="3" t="s">
        <v>175</v>
      </c>
      <c r="B80" s="3" t="n">
        <v>27</v>
      </c>
      <c r="C80" s="3" t="s">
        <v>126</v>
      </c>
      <c r="D80" s="3" t="n">
        <v>18</v>
      </c>
      <c r="E80" s="3" t="s">
        <v>127</v>
      </c>
      <c r="F80" s="3" t="s">
        <v>176</v>
      </c>
      <c r="G80" s="3" t="s">
        <v>176</v>
      </c>
      <c r="H80" s="3" t="s">
        <v>180</v>
      </c>
    </row>
    <row r="81" customFormat="false" ht="15" hidden="false" customHeight="false" outlineLevel="0" collapsed="false">
      <c r="A81" s="3" t="s">
        <v>175</v>
      </c>
      <c r="B81" s="3" t="n">
        <v>27</v>
      </c>
      <c r="C81" s="3" t="s">
        <v>126</v>
      </c>
      <c r="D81" s="3" t="n">
        <v>8</v>
      </c>
      <c r="E81" s="3" t="s">
        <v>130</v>
      </c>
      <c r="F81" s="3" t="s">
        <v>176</v>
      </c>
      <c r="G81" s="3" t="s">
        <v>176</v>
      </c>
      <c r="H81" s="3" t="s">
        <v>180</v>
      </c>
    </row>
    <row r="82" customFormat="false" ht="15" hidden="false" customHeight="false" outlineLevel="0" collapsed="false">
      <c r="A82" s="3" t="s">
        <v>175</v>
      </c>
      <c r="B82" s="3" t="n">
        <v>27</v>
      </c>
      <c r="C82" s="3" t="s">
        <v>126</v>
      </c>
      <c r="D82" s="3" t="n">
        <v>6</v>
      </c>
      <c r="E82" s="3" t="s">
        <v>130</v>
      </c>
      <c r="F82" s="3" t="s">
        <v>176</v>
      </c>
      <c r="G82" s="3" t="s">
        <v>176</v>
      </c>
      <c r="H82" s="3" t="s">
        <v>180</v>
      </c>
    </row>
    <row r="83" customFormat="false" ht="15" hidden="false" customHeight="false" outlineLevel="0" collapsed="false">
      <c r="A83" s="3" t="s">
        <v>175</v>
      </c>
      <c r="B83" s="3" t="n">
        <v>32</v>
      </c>
      <c r="C83" s="3" t="s">
        <v>126</v>
      </c>
      <c r="D83" s="3" t="n">
        <v>44</v>
      </c>
      <c r="E83" s="3" t="s">
        <v>127</v>
      </c>
      <c r="F83" s="3" t="s">
        <v>176</v>
      </c>
      <c r="G83" s="3" t="s">
        <v>176</v>
      </c>
      <c r="H83" s="3" t="s">
        <v>181</v>
      </c>
    </row>
    <row r="84" customFormat="false" ht="15" hidden="false" customHeight="false" outlineLevel="0" collapsed="false">
      <c r="A84" s="3" t="s">
        <v>175</v>
      </c>
      <c r="B84" s="3" t="n">
        <v>32</v>
      </c>
      <c r="C84" s="3" t="s">
        <v>126</v>
      </c>
      <c r="D84" s="3" t="n">
        <v>49</v>
      </c>
      <c r="E84" s="3" t="s">
        <v>130</v>
      </c>
      <c r="F84" s="3" t="s">
        <v>176</v>
      </c>
      <c r="G84" s="3" t="s">
        <v>176</v>
      </c>
      <c r="H84" s="3" t="s">
        <v>181</v>
      </c>
    </row>
    <row r="85" customFormat="false" ht="15" hidden="false" customHeight="false" outlineLevel="0" collapsed="false">
      <c r="A85" s="3" t="s">
        <v>175</v>
      </c>
      <c r="B85" s="3" t="n">
        <v>32</v>
      </c>
      <c r="C85" s="3" t="s">
        <v>126</v>
      </c>
      <c r="D85" s="3" t="n">
        <v>6</v>
      </c>
      <c r="E85" s="3" t="s">
        <v>130</v>
      </c>
      <c r="F85" s="3" t="s">
        <v>176</v>
      </c>
      <c r="G85" s="3" t="s">
        <v>176</v>
      </c>
      <c r="H85" s="3" t="s">
        <v>181</v>
      </c>
    </row>
    <row r="86" customFormat="false" ht="15" hidden="false" customHeight="false" outlineLevel="0" collapsed="false">
      <c r="A86" s="3" t="s">
        <v>175</v>
      </c>
      <c r="B86" s="3" t="n">
        <v>39</v>
      </c>
      <c r="C86" s="3" t="s">
        <v>126</v>
      </c>
      <c r="D86" s="3" t="n">
        <v>70</v>
      </c>
      <c r="E86" s="3" t="s">
        <v>127</v>
      </c>
      <c r="F86" s="3" t="s">
        <v>176</v>
      </c>
      <c r="G86" s="3" t="s">
        <v>176</v>
      </c>
      <c r="H86" s="3" t="s">
        <v>182</v>
      </c>
    </row>
    <row r="87" customFormat="false" ht="15" hidden="false" customHeight="false" outlineLevel="0" collapsed="false">
      <c r="A87" s="3" t="s">
        <v>175</v>
      </c>
      <c r="B87" s="3" t="n">
        <v>39</v>
      </c>
      <c r="C87" s="3" t="s">
        <v>126</v>
      </c>
      <c r="D87" s="3" t="n">
        <v>65</v>
      </c>
      <c r="E87" s="3" t="s">
        <v>130</v>
      </c>
      <c r="F87" s="3" t="s">
        <v>176</v>
      </c>
      <c r="G87" s="3" t="s">
        <v>176</v>
      </c>
      <c r="H87" s="3" t="s">
        <v>182</v>
      </c>
    </row>
    <row r="88" customFormat="false" ht="15" hidden="false" customHeight="false" outlineLevel="0" collapsed="false">
      <c r="A88" s="3" t="s">
        <v>183</v>
      </c>
      <c r="B88" s="3" t="n">
        <v>4</v>
      </c>
      <c r="C88" s="3" t="s">
        <v>126</v>
      </c>
      <c r="D88" s="3" t="n">
        <v>81</v>
      </c>
      <c r="E88" s="3" t="s">
        <v>127</v>
      </c>
      <c r="F88" s="3" t="s">
        <v>128</v>
      </c>
      <c r="G88" s="3" t="s">
        <v>128</v>
      </c>
      <c r="H88" s="3" t="s">
        <v>184</v>
      </c>
    </row>
    <row r="89" customFormat="false" ht="15" hidden="false" customHeight="false" outlineLevel="0" collapsed="false">
      <c r="A89" s="3" t="s">
        <v>183</v>
      </c>
      <c r="B89" s="3" t="n">
        <v>4</v>
      </c>
      <c r="C89" s="3" t="s">
        <v>126</v>
      </c>
      <c r="D89" s="3" t="n">
        <v>33</v>
      </c>
      <c r="E89" s="3" t="s">
        <v>130</v>
      </c>
      <c r="F89" s="3" t="s">
        <v>128</v>
      </c>
      <c r="G89" s="3" t="s">
        <v>128</v>
      </c>
      <c r="H89" s="3" t="s">
        <v>184</v>
      </c>
    </row>
    <row r="90" customFormat="false" ht="15" hidden="false" customHeight="false" outlineLevel="0" collapsed="false">
      <c r="A90" s="3" t="s">
        <v>183</v>
      </c>
      <c r="B90" s="3" t="n">
        <v>5</v>
      </c>
      <c r="C90" s="3" t="s">
        <v>126</v>
      </c>
      <c r="D90" s="3" t="n">
        <v>72</v>
      </c>
      <c r="E90" s="3" t="s">
        <v>127</v>
      </c>
      <c r="F90" s="3" t="s">
        <v>128</v>
      </c>
      <c r="G90" s="3" t="s">
        <v>128</v>
      </c>
      <c r="H90" s="3" t="s">
        <v>185</v>
      </c>
    </row>
    <row r="91" customFormat="false" ht="15" hidden="false" customHeight="false" outlineLevel="0" collapsed="false">
      <c r="A91" s="3" t="s">
        <v>183</v>
      </c>
      <c r="B91" s="3" t="n">
        <v>5</v>
      </c>
      <c r="C91" s="3" t="s">
        <v>126</v>
      </c>
      <c r="D91" s="3" t="n">
        <v>19</v>
      </c>
      <c r="E91" s="3" t="s">
        <v>130</v>
      </c>
      <c r="F91" s="3" t="s">
        <v>128</v>
      </c>
      <c r="G91" s="3" t="s">
        <v>128</v>
      </c>
      <c r="H91" s="3" t="s">
        <v>185</v>
      </c>
    </row>
    <row r="92" customFormat="false" ht="15" hidden="false" customHeight="false" outlineLevel="0" collapsed="false">
      <c r="A92" s="3" t="s">
        <v>183</v>
      </c>
      <c r="B92" s="3" t="n">
        <v>7</v>
      </c>
      <c r="C92" s="3" t="s">
        <v>126</v>
      </c>
      <c r="D92" s="3" t="n">
        <v>82</v>
      </c>
      <c r="E92" s="3" t="s">
        <v>127</v>
      </c>
      <c r="F92" s="3" t="s">
        <v>128</v>
      </c>
      <c r="G92" s="3" t="s">
        <v>128</v>
      </c>
      <c r="H92" s="3" t="s">
        <v>186</v>
      </c>
    </row>
    <row r="93" customFormat="false" ht="15" hidden="false" customHeight="false" outlineLevel="0" collapsed="false">
      <c r="A93" s="3" t="s">
        <v>183</v>
      </c>
      <c r="B93" s="3" t="n">
        <v>20</v>
      </c>
      <c r="C93" s="3" t="s">
        <v>126</v>
      </c>
      <c r="D93" s="3" t="n">
        <v>3</v>
      </c>
      <c r="E93" s="3" t="s">
        <v>127</v>
      </c>
      <c r="F93" s="3" t="s">
        <v>128</v>
      </c>
      <c r="G93" s="3" t="s">
        <v>128</v>
      </c>
      <c r="H93" s="3"/>
    </row>
    <row r="94" customFormat="false" ht="15" hidden="false" customHeight="false" outlineLevel="0" collapsed="false">
      <c r="A94" s="3" t="s">
        <v>187</v>
      </c>
      <c r="B94" s="3" t="n">
        <v>39</v>
      </c>
      <c r="C94" s="3" t="s">
        <v>126</v>
      </c>
      <c r="D94" s="3" t="n">
        <v>44</v>
      </c>
      <c r="E94" s="3" t="s">
        <v>127</v>
      </c>
      <c r="F94" s="3" t="s">
        <v>128</v>
      </c>
      <c r="G94" s="3" t="s">
        <v>128</v>
      </c>
      <c r="H94" s="3" t="s">
        <v>188</v>
      </c>
    </row>
    <row r="95" customFormat="false" ht="15" hidden="false" customHeight="false" outlineLevel="0" collapsed="false">
      <c r="A95" s="3" t="s">
        <v>187</v>
      </c>
      <c r="B95" s="3" t="n">
        <v>39</v>
      </c>
      <c r="C95" s="3" t="s">
        <v>126</v>
      </c>
      <c r="D95" s="3" t="n">
        <v>49</v>
      </c>
      <c r="E95" s="3" t="s">
        <v>130</v>
      </c>
      <c r="F95" s="3" t="s">
        <v>128</v>
      </c>
      <c r="G95" s="3" t="s">
        <v>128</v>
      </c>
      <c r="H95" s="3" t="s">
        <v>188</v>
      </c>
    </row>
    <row r="96" customFormat="false" ht="15" hidden="false" customHeight="false" outlineLevel="0" collapsed="false">
      <c r="A96" s="3" t="s">
        <v>187</v>
      </c>
      <c r="B96" s="3" t="n">
        <v>39</v>
      </c>
      <c r="C96" s="3" t="s">
        <v>126</v>
      </c>
      <c r="D96" s="3" t="n">
        <v>8</v>
      </c>
      <c r="E96" s="3" t="s">
        <v>130</v>
      </c>
      <c r="F96" s="3" t="s">
        <v>128</v>
      </c>
      <c r="G96" s="3" t="s">
        <v>128</v>
      </c>
      <c r="H96" s="3" t="s">
        <v>188</v>
      </c>
    </row>
    <row r="97" customFormat="false" ht="15" hidden="false" customHeight="false" outlineLevel="0" collapsed="false">
      <c r="A97" s="3" t="s">
        <v>187</v>
      </c>
      <c r="B97" s="3" t="n">
        <v>40</v>
      </c>
      <c r="C97" s="3" t="s">
        <v>126</v>
      </c>
      <c r="D97" s="3" t="n">
        <v>47</v>
      </c>
      <c r="E97" s="3" t="s">
        <v>127</v>
      </c>
      <c r="F97" s="3" t="s">
        <v>128</v>
      </c>
      <c r="G97" s="3" t="s">
        <v>128</v>
      </c>
      <c r="H97" s="3" t="s">
        <v>189</v>
      </c>
    </row>
    <row r="98" customFormat="false" ht="15" hidden="false" customHeight="false" outlineLevel="0" collapsed="false">
      <c r="A98" s="3" t="s">
        <v>187</v>
      </c>
      <c r="B98" s="3" t="n">
        <v>40</v>
      </c>
      <c r="C98" s="3" t="s">
        <v>126</v>
      </c>
      <c r="D98" s="3" t="n">
        <v>56</v>
      </c>
      <c r="E98" s="3" t="s">
        <v>130</v>
      </c>
      <c r="F98" s="3" t="s">
        <v>128</v>
      </c>
      <c r="G98" s="3" t="s">
        <v>128</v>
      </c>
      <c r="H98" s="3" t="s">
        <v>189</v>
      </c>
    </row>
    <row r="99" customFormat="false" ht="15" hidden="false" customHeight="false" outlineLevel="0" collapsed="false">
      <c r="A99" s="3" t="s">
        <v>187</v>
      </c>
      <c r="B99" s="3" t="n">
        <v>41</v>
      </c>
      <c r="C99" s="3" t="s">
        <v>126</v>
      </c>
      <c r="D99" s="3" t="n">
        <v>49</v>
      </c>
      <c r="E99" s="3" t="s">
        <v>127</v>
      </c>
      <c r="F99" s="3" t="s">
        <v>128</v>
      </c>
      <c r="G99" s="3" t="s">
        <v>128</v>
      </c>
      <c r="H99" s="3" t="s">
        <v>190</v>
      </c>
    </row>
    <row r="100" customFormat="false" ht="15" hidden="false" customHeight="false" outlineLevel="0" collapsed="false">
      <c r="A100" s="3" t="s">
        <v>187</v>
      </c>
      <c r="B100" s="3" t="n">
        <v>41</v>
      </c>
      <c r="C100" s="3" t="s">
        <v>126</v>
      </c>
      <c r="D100" s="3" t="n">
        <v>73</v>
      </c>
      <c r="E100" s="3" t="s">
        <v>130</v>
      </c>
      <c r="F100" s="3" t="s">
        <v>128</v>
      </c>
      <c r="G100" s="3" t="s">
        <v>128</v>
      </c>
      <c r="H100" s="3" t="s">
        <v>190</v>
      </c>
    </row>
    <row r="101" customFormat="false" ht="15" hidden="false" customHeight="false" outlineLevel="0" collapsed="false">
      <c r="A101" s="3" t="s">
        <v>187</v>
      </c>
      <c r="B101" s="3" t="n">
        <v>41</v>
      </c>
      <c r="C101" s="3" t="s">
        <v>126</v>
      </c>
      <c r="D101" s="3" t="n">
        <v>8</v>
      </c>
      <c r="E101" s="3" t="s">
        <v>130</v>
      </c>
      <c r="F101" s="3" t="s">
        <v>128</v>
      </c>
      <c r="G101" s="3" t="s">
        <v>128</v>
      </c>
      <c r="H101" s="3" t="s">
        <v>190</v>
      </c>
    </row>
    <row r="102" customFormat="false" ht="15" hidden="false" customHeight="false" outlineLevel="0" collapsed="false">
      <c r="A102" s="3" t="s">
        <v>187</v>
      </c>
      <c r="B102" s="3" t="n">
        <v>42</v>
      </c>
      <c r="C102" s="3" t="s">
        <v>126</v>
      </c>
      <c r="D102" s="3" t="n">
        <v>46</v>
      </c>
      <c r="E102" s="3" t="s">
        <v>127</v>
      </c>
      <c r="F102" s="3" t="s">
        <v>128</v>
      </c>
      <c r="G102" s="3" t="s">
        <v>128</v>
      </c>
      <c r="H102" s="3" t="s">
        <v>191</v>
      </c>
    </row>
    <row r="103" customFormat="false" ht="15" hidden="false" customHeight="false" outlineLevel="0" collapsed="false">
      <c r="A103" s="3" t="s">
        <v>187</v>
      </c>
      <c r="B103" s="3" t="n">
        <v>42</v>
      </c>
      <c r="C103" s="3" t="s">
        <v>126</v>
      </c>
      <c r="D103" s="3" t="n">
        <v>44</v>
      </c>
      <c r="E103" s="3" t="s">
        <v>130</v>
      </c>
      <c r="F103" s="3" t="s">
        <v>128</v>
      </c>
      <c r="G103" s="3" t="s">
        <v>128</v>
      </c>
      <c r="H103" s="3" t="s">
        <v>191</v>
      </c>
    </row>
    <row r="104" customFormat="false" ht="15" hidden="false" customHeight="false" outlineLevel="0" collapsed="false">
      <c r="A104" s="3" t="s">
        <v>187</v>
      </c>
      <c r="B104" s="3" t="n">
        <v>43</v>
      </c>
      <c r="C104" s="3" t="s">
        <v>126</v>
      </c>
      <c r="D104" s="3" t="n">
        <v>24</v>
      </c>
      <c r="E104" s="3" t="s">
        <v>127</v>
      </c>
      <c r="F104" s="3" t="s">
        <v>128</v>
      </c>
      <c r="G104" s="3" t="s">
        <v>128</v>
      </c>
      <c r="H104" s="3" t="s">
        <v>192</v>
      </c>
    </row>
    <row r="105" customFormat="false" ht="15" hidden="false" customHeight="false" outlineLevel="0" collapsed="false">
      <c r="A105" s="3" t="s">
        <v>187</v>
      </c>
      <c r="B105" s="3" t="n">
        <v>43</v>
      </c>
      <c r="C105" s="3" t="s">
        <v>126</v>
      </c>
      <c r="D105" s="3" t="n">
        <v>65</v>
      </c>
      <c r="E105" s="3" t="s">
        <v>130</v>
      </c>
      <c r="F105" s="3" t="s">
        <v>128</v>
      </c>
      <c r="G105" s="3" t="s">
        <v>128</v>
      </c>
      <c r="H105" s="3" t="s">
        <v>192</v>
      </c>
    </row>
    <row r="106" customFormat="false" ht="15" hidden="false" customHeight="false" outlineLevel="0" collapsed="false">
      <c r="A106" s="3" t="s">
        <v>187</v>
      </c>
      <c r="B106" s="3" t="n">
        <v>44</v>
      </c>
      <c r="C106" s="3" t="s">
        <v>126</v>
      </c>
      <c r="D106" s="3" t="n">
        <v>6</v>
      </c>
      <c r="E106" s="3" t="s">
        <v>127</v>
      </c>
      <c r="F106" s="3" t="s">
        <v>128</v>
      </c>
      <c r="G106" s="3" t="s">
        <v>128</v>
      </c>
      <c r="H106" s="3" t="s">
        <v>193</v>
      </c>
    </row>
    <row r="107" customFormat="false" ht="15" hidden="false" customHeight="false" outlineLevel="0" collapsed="false">
      <c r="A107" s="3" t="s">
        <v>187</v>
      </c>
      <c r="B107" s="3" t="n">
        <v>44</v>
      </c>
      <c r="C107" s="3" t="s">
        <v>126</v>
      </c>
      <c r="D107" s="3" t="n">
        <v>18</v>
      </c>
      <c r="E107" s="3" t="s">
        <v>130</v>
      </c>
      <c r="F107" s="3" t="s">
        <v>128</v>
      </c>
      <c r="G107" s="3" t="s">
        <v>128</v>
      </c>
      <c r="H107" s="3" t="s">
        <v>193</v>
      </c>
    </row>
    <row r="108" customFormat="false" ht="15" hidden="false" customHeight="false" outlineLevel="0" collapsed="false">
      <c r="A108" s="3" t="s">
        <v>187</v>
      </c>
      <c r="B108" s="3" t="n">
        <v>45</v>
      </c>
      <c r="C108" s="3" t="s">
        <v>126</v>
      </c>
      <c r="D108" s="3" t="n">
        <v>46</v>
      </c>
      <c r="E108" s="3" t="s">
        <v>127</v>
      </c>
      <c r="F108" s="3" t="s">
        <v>128</v>
      </c>
      <c r="G108" s="3" t="s">
        <v>128</v>
      </c>
      <c r="H108" s="3" t="s">
        <v>194</v>
      </c>
    </row>
    <row r="109" customFormat="false" ht="15" hidden="false" customHeight="false" outlineLevel="0" collapsed="false">
      <c r="A109" s="3" t="s">
        <v>187</v>
      </c>
      <c r="B109" s="3" t="n">
        <v>45</v>
      </c>
      <c r="C109" s="3" t="s">
        <v>126</v>
      </c>
      <c r="D109" s="3" t="n">
        <v>14</v>
      </c>
      <c r="E109" s="3" t="s">
        <v>130</v>
      </c>
      <c r="F109" s="3" t="s">
        <v>128</v>
      </c>
      <c r="G109" s="3" t="s">
        <v>128</v>
      </c>
      <c r="H109" s="3" t="s">
        <v>194</v>
      </c>
    </row>
    <row r="110" customFormat="false" ht="15" hidden="false" customHeight="false" outlineLevel="0" collapsed="false">
      <c r="A110" s="3" t="s">
        <v>187</v>
      </c>
      <c r="B110" s="3" t="n">
        <v>46</v>
      </c>
      <c r="C110" s="3" t="s">
        <v>126</v>
      </c>
      <c r="D110" s="3" t="n">
        <v>21</v>
      </c>
      <c r="E110" s="3" t="s">
        <v>127</v>
      </c>
      <c r="F110" s="3" t="s">
        <v>128</v>
      </c>
      <c r="G110" s="3" t="s">
        <v>128</v>
      </c>
      <c r="H110" s="3" t="s">
        <v>195</v>
      </c>
    </row>
    <row r="111" customFormat="false" ht="15" hidden="false" customHeight="false" outlineLevel="0" collapsed="false">
      <c r="A111" s="3" t="s">
        <v>187</v>
      </c>
      <c r="B111" s="3" t="n">
        <v>46</v>
      </c>
      <c r="C111" s="3" t="s">
        <v>126</v>
      </c>
      <c r="D111" s="3" t="n">
        <v>75</v>
      </c>
      <c r="E111" s="3" t="s">
        <v>130</v>
      </c>
      <c r="F111" s="3" t="s">
        <v>128</v>
      </c>
      <c r="G111" s="3" t="s">
        <v>128</v>
      </c>
      <c r="H111" s="3" t="s">
        <v>195</v>
      </c>
    </row>
    <row r="112" customFormat="false" ht="15" hidden="false" customHeight="false" outlineLevel="0" collapsed="false">
      <c r="A112" s="3" t="s">
        <v>187</v>
      </c>
      <c r="B112" s="3" t="n">
        <v>47</v>
      </c>
      <c r="C112" s="3" t="s">
        <v>126</v>
      </c>
      <c r="D112" s="3" t="n">
        <v>83</v>
      </c>
      <c r="E112" s="3" t="s">
        <v>127</v>
      </c>
      <c r="F112" s="3" t="s">
        <v>128</v>
      </c>
      <c r="G112" s="3" t="s">
        <v>128</v>
      </c>
      <c r="H112" s="3" t="s">
        <v>196</v>
      </c>
    </row>
    <row r="113" customFormat="false" ht="15" hidden="false" customHeight="false" outlineLevel="0" collapsed="false">
      <c r="A113" s="3" t="s">
        <v>187</v>
      </c>
      <c r="B113" s="3" t="n">
        <v>48</v>
      </c>
      <c r="C113" s="3" t="s">
        <v>126</v>
      </c>
      <c r="D113" s="3" t="n">
        <v>50</v>
      </c>
      <c r="E113" s="3" t="s">
        <v>127</v>
      </c>
      <c r="F113" s="3" t="s">
        <v>128</v>
      </c>
      <c r="G113" s="3" t="s">
        <v>128</v>
      </c>
      <c r="H113" s="3" t="s">
        <v>197</v>
      </c>
    </row>
    <row r="114" customFormat="false" ht="15" hidden="false" customHeight="false" outlineLevel="0" collapsed="false">
      <c r="A114" s="3" t="s">
        <v>187</v>
      </c>
      <c r="B114" s="3" t="n">
        <v>48</v>
      </c>
      <c r="C114" s="3" t="s">
        <v>126</v>
      </c>
      <c r="D114" s="3" t="n">
        <v>38</v>
      </c>
      <c r="E114" s="3" t="s">
        <v>130</v>
      </c>
      <c r="F114" s="3" t="s">
        <v>128</v>
      </c>
      <c r="G114" s="3" t="s">
        <v>128</v>
      </c>
      <c r="H114" s="3" t="s">
        <v>197</v>
      </c>
    </row>
    <row r="115" customFormat="false" ht="15" hidden="false" customHeight="false" outlineLevel="0" collapsed="false">
      <c r="A115" s="3" t="s">
        <v>187</v>
      </c>
      <c r="B115" s="3" t="n">
        <v>49</v>
      </c>
      <c r="C115" s="3" t="s">
        <v>126</v>
      </c>
      <c r="D115" s="3" t="n">
        <v>50</v>
      </c>
      <c r="E115" s="3" t="s">
        <v>127</v>
      </c>
      <c r="F115" s="3" t="s">
        <v>128</v>
      </c>
      <c r="G115" s="3" t="s">
        <v>128</v>
      </c>
      <c r="H115" s="3" t="s">
        <v>198</v>
      </c>
    </row>
    <row r="116" customFormat="false" ht="15" hidden="false" customHeight="false" outlineLevel="0" collapsed="false">
      <c r="A116" s="3" t="s">
        <v>187</v>
      </c>
      <c r="B116" s="3" t="n">
        <v>49</v>
      </c>
      <c r="C116" s="3" t="s">
        <v>126</v>
      </c>
      <c r="D116" s="3" t="n">
        <v>44</v>
      </c>
      <c r="E116" s="3" t="s">
        <v>130</v>
      </c>
      <c r="F116" s="3" t="s">
        <v>128</v>
      </c>
      <c r="G116" s="3" t="s">
        <v>128</v>
      </c>
      <c r="H116" s="3" t="s">
        <v>198</v>
      </c>
    </row>
    <row r="117" customFormat="false" ht="15" hidden="false" customHeight="false" outlineLevel="0" collapsed="false">
      <c r="A117" s="3" t="s">
        <v>187</v>
      </c>
      <c r="B117" s="3" t="n">
        <v>50</v>
      </c>
      <c r="C117" s="3" t="s">
        <v>126</v>
      </c>
      <c r="D117" s="3" t="n">
        <v>80</v>
      </c>
      <c r="E117" s="3" t="s">
        <v>127</v>
      </c>
      <c r="F117" s="3" t="s">
        <v>128</v>
      </c>
      <c r="G117" s="3" t="s">
        <v>128</v>
      </c>
      <c r="H117" s="3" t="s">
        <v>199</v>
      </c>
    </row>
    <row r="118" customFormat="false" ht="15" hidden="false" customHeight="false" outlineLevel="0" collapsed="false">
      <c r="A118" s="3" t="s">
        <v>187</v>
      </c>
      <c r="B118" s="3" t="n">
        <v>50</v>
      </c>
      <c r="C118" s="3" t="s">
        <v>126</v>
      </c>
      <c r="D118" s="3" t="n">
        <v>73</v>
      </c>
      <c r="E118" s="3" t="s">
        <v>130</v>
      </c>
      <c r="F118" s="3" t="s">
        <v>128</v>
      </c>
      <c r="G118" s="3" t="s">
        <v>128</v>
      </c>
      <c r="H118" s="3" t="s">
        <v>199</v>
      </c>
    </row>
    <row r="119" customFormat="false" ht="15" hidden="false" customHeight="false" outlineLevel="0" collapsed="false">
      <c r="A119" s="3" t="s">
        <v>187</v>
      </c>
      <c r="B119" s="3" t="n">
        <v>51</v>
      </c>
      <c r="C119" s="3" t="s">
        <v>126</v>
      </c>
      <c r="D119" s="3" t="n">
        <v>80</v>
      </c>
      <c r="E119" s="3" t="s">
        <v>127</v>
      </c>
      <c r="F119" s="3" t="s">
        <v>128</v>
      </c>
      <c r="G119" s="3" t="s">
        <v>128</v>
      </c>
      <c r="H119" s="3" t="s">
        <v>200</v>
      </c>
    </row>
    <row r="120" customFormat="false" ht="15" hidden="false" customHeight="false" outlineLevel="0" collapsed="false">
      <c r="A120" s="3" t="s">
        <v>187</v>
      </c>
      <c r="B120" s="3" t="n">
        <v>51</v>
      </c>
      <c r="C120" s="3" t="s">
        <v>126</v>
      </c>
      <c r="D120" s="3" t="n">
        <v>46</v>
      </c>
      <c r="E120" s="3" t="s">
        <v>130</v>
      </c>
      <c r="F120" s="3" t="s">
        <v>128</v>
      </c>
      <c r="G120" s="3" t="s">
        <v>128</v>
      </c>
      <c r="H120" s="3" t="s">
        <v>200</v>
      </c>
    </row>
    <row r="121" customFormat="false" ht="15" hidden="false" customHeight="false" outlineLevel="0" collapsed="false">
      <c r="A121" s="3" t="s">
        <v>187</v>
      </c>
      <c r="B121" s="3" t="n">
        <v>52</v>
      </c>
      <c r="C121" s="3" t="s">
        <v>126</v>
      </c>
      <c r="D121" s="3" t="n">
        <v>75</v>
      </c>
      <c r="E121" s="3" t="s">
        <v>127</v>
      </c>
      <c r="F121" s="3" t="s">
        <v>128</v>
      </c>
      <c r="G121" s="3" t="s">
        <v>128</v>
      </c>
      <c r="H121" s="3" t="s">
        <v>201</v>
      </c>
    </row>
    <row r="122" customFormat="false" ht="15" hidden="false" customHeight="false" outlineLevel="0" collapsed="false">
      <c r="A122" s="3" t="s">
        <v>187</v>
      </c>
      <c r="B122" s="3" t="n">
        <v>52</v>
      </c>
      <c r="C122" s="3" t="s">
        <v>126</v>
      </c>
      <c r="D122" s="3" t="n">
        <v>74</v>
      </c>
      <c r="E122" s="3" t="s">
        <v>130</v>
      </c>
      <c r="F122" s="3" t="s">
        <v>128</v>
      </c>
      <c r="G122" s="3" t="s">
        <v>128</v>
      </c>
      <c r="H122" s="3" t="s">
        <v>201</v>
      </c>
    </row>
    <row r="123" customFormat="false" ht="15" hidden="false" customHeight="false" outlineLevel="0" collapsed="false">
      <c r="A123" s="3" t="s">
        <v>187</v>
      </c>
      <c r="B123" s="3" t="n">
        <v>53</v>
      </c>
      <c r="C123" s="3" t="s">
        <v>126</v>
      </c>
      <c r="D123" s="3" t="n">
        <v>73</v>
      </c>
      <c r="E123" s="3" t="s">
        <v>127</v>
      </c>
      <c r="F123" s="3" t="s">
        <v>128</v>
      </c>
      <c r="G123" s="3" t="s">
        <v>128</v>
      </c>
      <c r="H123" s="3" t="s">
        <v>202</v>
      </c>
    </row>
    <row r="124" customFormat="false" ht="15" hidden="false" customHeight="false" outlineLevel="0" collapsed="false">
      <c r="A124" s="3" t="s">
        <v>187</v>
      </c>
      <c r="B124" s="3" t="n">
        <v>53</v>
      </c>
      <c r="C124" s="3" t="s">
        <v>126</v>
      </c>
      <c r="D124" s="3" t="n">
        <v>14</v>
      </c>
      <c r="E124" s="3" t="s">
        <v>130</v>
      </c>
      <c r="F124" s="3" t="s">
        <v>128</v>
      </c>
      <c r="G124" s="3" t="s">
        <v>128</v>
      </c>
      <c r="H124" s="3" t="s">
        <v>202</v>
      </c>
    </row>
    <row r="125" customFormat="false" ht="15" hidden="false" customHeight="false" outlineLevel="0" collapsed="false">
      <c r="A125" s="3" t="s">
        <v>187</v>
      </c>
      <c r="B125" s="3" t="n">
        <v>58</v>
      </c>
      <c r="C125" s="3" t="s">
        <v>126</v>
      </c>
      <c r="D125" s="3" t="n">
        <v>77</v>
      </c>
      <c r="E125" s="3" t="s">
        <v>127</v>
      </c>
      <c r="F125" s="3" t="s">
        <v>128</v>
      </c>
      <c r="G125" s="3" t="s">
        <v>128</v>
      </c>
      <c r="H125" s="3" t="s">
        <v>203</v>
      </c>
    </row>
    <row r="126" customFormat="false" ht="15" hidden="false" customHeight="false" outlineLevel="0" collapsed="false">
      <c r="A126" s="3" t="s">
        <v>187</v>
      </c>
      <c r="B126" s="3" t="n">
        <v>58</v>
      </c>
      <c r="C126" s="3" t="s">
        <v>126</v>
      </c>
      <c r="D126" s="3" t="n">
        <v>78</v>
      </c>
      <c r="E126" s="3" t="s">
        <v>130</v>
      </c>
      <c r="F126" s="3" t="s">
        <v>128</v>
      </c>
      <c r="G126" s="3" t="s">
        <v>128</v>
      </c>
      <c r="H126" s="3" t="s">
        <v>203</v>
      </c>
    </row>
    <row r="127" customFormat="false" ht="15" hidden="false" customHeight="false" outlineLevel="0" collapsed="false">
      <c r="A127" s="3" t="s">
        <v>187</v>
      </c>
      <c r="B127" s="3" t="n">
        <v>59</v>
      </c>
      <c r="C127" s="3" t="s">
        <v>126</v>
      </c>
      <c r="D127" s="3" t="n">
        <v>81</v>
      </c>
      <c r="E127" s="3" t="s">
        <v>127</v>
      </c>
      <c r="F127" s="3" t="s">
        <v>128</v>
      </c>
      <c r="G127" s="3" t="s">
        <v>128</v>
      </c>
      <c r="H127" s="3" t="s">
        <v>204</v>
      </c>
    </row>
    <row r="128" customFormat="false" ht="15" hidden="false" customHeight="false" outlineLevel="0" collapsed="false">
      <c r="A128" s="3" t="s">
        <v>187</v>
      </c>
      <c r="B128" s="3" t="n">
        <v>60</v>
      </c>
      <c r="C128" s="3" t="s">
        <v>126</v>
      </c>
      <c r="D128" s="3" t="n">
        <v>41</v>
      </c>
      <c r="E128" s="3" t="s">
        <v>127</v>
      </c>
      <c r="F128" s="3" t="s">
        <v>128</v>
      </c>
      <c r="G128" s="3" t="s">
        <v>128</v>
      </c>
      <c r="H128" s="3" t="s">
        <v>205</v>
      </c>
    </row>
    <row r="129" customFormat="false" ht="15" hidden="false" customHeight="false" outlineLevel="0" collapsed="false">
      <c r="A129" s="3" t="s">
        <v>187</v>
      </c>
      <c r="B129" s="3" t="n">
        <v>60</v>
      </c>
      <c r="C129" s="3" t="s">
        <v>126</v>
      </c>
      <c r="D129" s="3" t="n">
        <v>81</v>
      </c>
      <c r="E129" s="3" t="s">
        <v>130</v>
      </c>
      <c r="F129" s="3" t="s">
        <v>128</v>
      </c>
      <c r="G129" s="3" t="s">
        <v>128</v>
      </c>
      <c r="H129" s="3" t="s">
        <v>205</v>
      </c>
    </row>
    <row r="130" customFormat="false" ht="15" hidden="false" customHeight="false" outlineLevel="0" collapsed="false">
      <c r="A130" s="3" t="s">
        <v>187</v>
      </c>
      <c r="B130" s="3" t="n">
        <v>61</v>
      </c>
      <c r="C130" s="3" t="s">
        <v>126</v>
      </c>
      <c r="D130" s="3" t="n">
        <v>81</v>
      </c>
      <c r="E130" s="3" t="s">
        <v>127</v>
      </c>
      <c r="F130" s="3" t="s">
        <v>128</v>
      </c>
      <c r="G130" s="3" t="s">
        <v>128</v>
      </c>
      <c r="H130" s="3" t="s">
        <v>206</v>
      </c>
    </row>
    <row r="131" customFormat="false" ht="15" hidden="false" customHeight="false" outlineLevel="0" collapsed="false">
      <c r="A131" s="3" t="s">
        <v>187</v>
      </c>
      <c r="B131" s="3" t="n">
        <v>63</v>
      </c>
      <c r="C131" s="3" t="s">
        <v>126</v>
      </c>
      <c r="D131" s="3" t="n">
        <v>2</v>
      </c>
      <c r="E131" s="3" t="s">
        <v>127</v>
      </c>
      <c r="F131" s="3" t="s">
        <v>128</v>
      </c>
      <c r="G131" s="3" t="s">
        <v>128</v>
      </c>
      <c r="H131" s="3" t="s">
        <v>207</v>
      </c>
    </row>
    <row r="132" customFormat="false" ht="15" hidden="false" customHeight="false" outlineLevel="0" collapsed="false">
      <c r="A132" s="3" t="s">
        <v>187</v>
      </c>
      <c r="B132" s="3" t="n">
        <v>65</v>
      </c>
      <c r="C132" s="3" t="s">
        <v>126</v>
      </c>
      <c r="D132" s="3" t="n">
        <v>27</v>
      </c>
      <c r="E132" s="3" t="s">
        <v>127</v>
      </c>
      <c r="F132" s="3" t="s">
        <v>128</v>
      </c>
      <c r="G132" s="3" t="s">
        <v>128</v>
      </c>
      <c r="H132" s="3" t="s">
        <v>208</v>
      </c>
    </row>
    <row r="133" customFormat="false" ht="15" hidden="false" customHeight="false" outlineLevel="0" collapsed="false">
      <c r="A133" s="3" t="s">
        <v>209</v>
      </c>
      <c r="B133" s="3" t="n">
        <v>10</v>
      </c>
      <c r="C133" s="3" t="s">
        <v>126</v>
      </c>
      <c r="D133" s="3" t="n">
        <v>39</v>
      </c>
      <c r="E133" s="3" t="s">
        <v>127</v>
      </c>
      <c r="F133" s="3" t="s">
        <v>176</v>
      </c>
      <c r="G133" s="3" t="s">
        <v>128</v>
      </c>
      <c r="H133" s="3" t="s">
        <v>210</v>
      </c>
    </row>
    <row r="134" customFormat="false" ht="15" hidden="false" customHeight="false" outlineLevel="0" collapsed="false">
      <c r="A134" s="3" t="s">
        <v>209</v>
      </c>
      <c r="B134" s="3" t="n">
        <v>11</v>
      </c>
      <c r="C134" s="3" t="s">
        <v>126</v>
      </c>
      <c r="D134" s="3" t="n">
        <v>24</v>
      </c>
      <c r="E134" s="3" t="s">
        <v>127</v>
      </c>
      <c r="F134" s="3" t="s">
        <v>176</v>
      </c>
      <c r="G134" s="3" t="s">
        <v>128</v>
      </c>
      <c r="H134" s="3" t="s">
        <v>211</v>
      </c>
    </row>
    <row r="135" customFormat="false" ht="15" hidden="false" customHeight="false" outlineLevel="0" collapsed="false">
      <c r="A135" s="3" t="s">
        <v>209</v>
      </c>
      <c r="B135" s="3" t="n">
        <v>11</v>
      </c>
      <c r="C135" s="3" t="s">
        <v>126</v>
      </c>
      <c r="D135" s="3" t="n">
        <v>14</v>
      </c>
      <c r="E135" s="3" t="s">
        <v>130</v>
      </c>
      <c r="F135" s="3" t="s">
        <v>176</v>
      </c>
      <c r="G135" s="3" t="s">
        <v>128</v>
      </c>
      <c r="H135" s="3" t="s">
        <v>211</v>
      </c>
    </row>
    <row r="136" customFormat="false" ht="15" hidden="false" customHeight="false" outlineLevel="0" collapsed="false">
      <c r="A136" s="3" t="s">
        <v>209</v>
      </c>
      <c r="B136" s="3" t="n">
        <v>21</v>
      </c>
      <c r="C136" s="3" t="s">
        <v>126</v>
      </c>
      <c r="D136" s="3" t="n">
        <v>55</v>
      </c>
      <c r="E136" s="3" t="s">
        <v>127</v>
      </c>
      <c r="F136" s="3" t="s">
        <v>176</v>
      </c>
      <c r="G136" s="3" t="s">
        <v>128</v>
      </c>
      <c r="H136" s="3" t="s">
        <v>212</v>
      </c>
    </row>
    <row r="137" customFormat="false" ht="15" hidden="false" customHeight="false" outlineLevel="0" collapsed="false">
      <c r="A137" s="3" t="s">
        <v>209</v>
      </c>
      <c r="B137" s="3" t="n">
        <v>22</v>
      </c>
      <c r="C137" s="3" t="s">
        <v>126</v>
      </c>
      <c r="D137" s="3" t="n">
        <v>44</v>
      </c>
      <c r="E137" s="3" t="s">
        <v>127</v>
      </c>
      <c r="F137" s="3" t="s">
        <v>176</v>
      </c>
      <c r="G137" s="3" t="s">
        <v>128</v>
      </c>
      <c r="H137" s="3" t="s">
        <v>213</v>
      </c>
    </row>
    <row r="138" customFormat="false" ht="15" hidden="false" customHeight="false" outlineLevel="0" collapsed="false">
      <c r="A138" s="3" t="s">
        <v>209</v>
      </c>
      <c r="B138" s="3" t="n">
        <v>22</v>
      </c>
      <c r="C138" s="3" t="s">
        <v>126</v>
      </c>
      <c r="D138" s="3" t="n">
        <v>49</v>
      </c>
      <c r="E138" s="3" t="s">
        <v>130</v>
      </c>
      <c r="F138" s="3" t="s">
        <v>176</v>
      </c>
      <c r="G138" s="3" t="s">
        <v>128</v>
      </c>
      <c r="H138" s="3" t="s">
        <v>213</v>
      </c>
    </row>
    <row r="139" customFormat="false" ht="15" hidden="false" customHeight="false" outlineLevel="0" collapsed="false">
      <c r="A139" s="3" t="s">
        <v>209</v>
      </c>
      <c r="B139" s="3" t="n">
        <v>40</v>
      </c>
      <c r="C139" s="3" t="s">
        <v>126</v>
      </c>
      <c r="D139" s="3" t="n">
        <v>39</v>
      </c>
      <c r="E139" s="3" t="s">
        <v>127</v>
      </c>
      <c r="F139" s="3" t="s">
        <v>176</v>
      </c>
      <c r="G139" s="3" t="s">
        <v>128</v>
      </c>
      <c r="H139" s="3" t="s">
        <v>214</v>
      </c>
    </row>
    <row r="140" customFormat="false" ht="15" hidden="false" customHeight="false" outlineLevel="0" collapsed="false">
      <c r="A140" s="3" t="s">
        <v>209</v>
      </c>
      <c r="B140" s="3" t="n">
        <v>40</v>
      </c>
      <c r="C140" s="3" t="s">
        <v>126</v>
      </c>
      <c r="D140" s="3" t="n">
        <v>40</v>
      </c>
      <c r="E140" s="3" t="s">
        <v>130</v>
      </c>
      <c r="F140" s="3" t="s">
        <v>176</v>
      </c>
      <c r="G140" s="3" t="s">
        <v>128</v>
      </c>
      <c r="H140" s="3" t="s">
        <v>214</v>
      </c>
    </row>
    <row r="141" customFormat="false" ht="15" hidden="false" customHeight="false" outlineLevel="0" collapsed="false">
      <c r="A141" s="3" t="s">
        <v>209</v>
      </c>
      <c r="B141" s="3" t="n">
        <v>41</v>
      </c>
      <c r="C141" s="3" t="s">
        <v>126</v>
      </c>
      <c r="D141" s="3" t="n">
        <v>49</v>
      </c>
      <c r="E141" s="3" t="s">
        <v>127</v>
      </c>
      <c r="F141" s="3" t="s">
        <v>176</v>
      </c>
      <c r="G141" s="3" t="s">
        <v>128</v>
      </c>
      <c r="H141" s="3" t="s">
        <v>215</v>
      </c>
    </row>
    <row r="142" customFormat="false" ht="15" hidden="false" customHeight="false" outlineLevel="0" collapsed="false">
      <c r="A142" s="3" t="s">
        <v>209</v>
      </c>
      <c r="B142" s="3" t="n">
        <v>42</v>
      </c>
      <c r="C142" s="3" t="s">
        <v>126</v>
      </c>
      <c r="D142" s="3" t="n">
        <v>39</v>
      </c>
      <c r="E142" s="3" t="s">
        <v>127</v>
      </c>
      <c r="F142" s="3" t="s">
        <v>176</v>
      </c>
      <c r="G142" s="3" t="s">
        <v>128</v>
      </c>
      <c r="H142" s="3" t="s">
        <v>216</v>
      </c>
    </row>
    <row r="143" customFormat="false" ht="15" hidden="false" customHeight="false" outlineLevel="0" collapsed="false">
      <c r="A143" s="3" t="s">
        <v>209</v>
      </c>
      <c r="B143" s="3" t="n">
        <v>42</v>
      </c>
      <c r="C143" s="3" t="s">
        <v>126</v>
      </c>
      <c r="D143" s="3" t="n">
        <v>8</v>
      </c>
      <c r="E143" s="3" t="s">
        <v>130</v>
      </c>
      <c r="F143" s="3" t="s">
        <v>176</v>
      </c>
      <c r="G143" s="3" t="s">
        <v>128</v>
      </c>
      <c r="H143" s="3" t="s">
        <v>216</v>
      </c>
    </row>
    <row r="144" customFormat="false" ht="15" hidden="false" customHeight="false" outlineLevel="0" collapsed="false">
      <c r="A144" s="3" t="s">
        <v>209</v>
      </c>
      <c r="B144" s="3" t="n">
        <v>42</v>
      </c>
      <c r="C144" s="3" t="s">
        <v>126</v>
      </c>
      <c r="D144" s="3" t="n">
        <v>6</v>
      </c>
      <c r="E144" s="3" t="s">
        <v>130</v>
      </c>
      <c r="F144" s="3" t="s">
        <v>176</v>
      </c>
      <c r="G144" s="3" t="s">
        <v>128</v>
      </c>
      <c r="H144" s="3" t="s">
        <v>216</v>
      </c>
    </row>
    <row r="145" customFormat="false" ht="15" hidden="false" customHeight="false" outlineLevel="0" collapsed="false">
      <c r="A145" s="3" t="s">
        <v>209</v>
      </c>
      <c r="B145" s="3" t="n">
        <v>43</v>
      </c>
      <c r="C145" s="3" t="s">
        <v>126</v>
      </c>
      <c r="D145" s="3" t="n">
        <v>32</v>
      </c>
      <c r="E145" s="3" t="s">
        <v>127</v>
      </c>
      <c r="F145" s="3" t="s">
        <v>176</v>
      </c>
      <c r="G145" s="3" t="s">
        <v>128</v>
      </c>
      <c r="H145" s="3" t="s">
        <v>217</v>
      </c>
    </row>
    <row r="146" customFormat="false" ht="15" hidden="false" customHeight="false" outlineLevel="0" collapsed="false">
      <c r="A146" s="3" t="s">
        <v>209</v>
      </c>
      <c r="B146" s="3" t="n">
        <v>43</v>
      </c>
      <c r="C146" s="3" t="s">
        <v>126</v>
      </c>
      <c r="D146" s="3" t="n">
        <v>8</v>
      </c>
      <c r="E146" s="3" t="s">
        <v>130</v>
      </c>
      <c r="F146" s="3" t="s">
        <v>176</v>
      </c>
      <c r="G146" s="3" t="s">
        <v>128</v>
      </c>
      <c r="H146" s="3" t="s">
        <v>217</v>
      </c>
    </row>
    <row r="147" customFormat="false" ht="15" hidden="false" customHeight="false" outlineLevel="0" collapsed="false">
      <c r="A147" s="3" t="s">
        <v>209</v>
      </c>
      <c r="B147" s="3" t="n">
        <v>43</v>
      </c>
      <c r="C147" s="3" t="s">
        <v>126</v>
      </c>
      <c r="D147" s="3" t="n">
        <v>31</v>
      </c>
      <c r="E147" s="3" t="s">
        <v>130</v>
      </c>
      <c r="F147" s="3" t="s">
        <v>176</v>
      </c>
      <c r="G147" s="3" t="s">
        <v>128</v>
      </c>
      <c r="H147" s="3" t="s">
        <v>217</v>
      </c>
    </row>
    <row r="148" customFormat="false" ht="15" hidden="false" customHeight="false" outlineLevel="0" collapsed="false">
      <c r="A148" s="3" t="s">
        <v>209</v>
      </c>
      <c r="B148" s="3" t="n">
        <v>44</v>
      </c>
      <c r="C148" s="3" t="s">
        <v>126</v>
      </c>
      <c r="D148" s="3" t="n">
        <v>8</v>
      </c>
      <c r="E148" s="3" t="s">
        <v>127</v>
      </c>
      <c r="F148" s="3" t="s">
        <v>176</v>
      </c>
      <c r="G148" s="3" t="s">
        <v>128</v>
      </c>
      <c r="H148" s="3" t="s">
        <v>218</v>
      </c>
    </row>
    <row r="149" customFormat="false" ht="15" hidden="false" customHeight="false" outlineLevel="0" collapsed="false">
      <c r="A149" s="3" t="s">
        <v>209</v>
      </c>
      <c r="B149" s="3" t="n">
        <v>44</v>
      </c>
      <c r="C149" s="3" t="s">
        <v>126</v>
      </c>
      <c r="D149" s="3" t="n">
        <v>6</v>
      </c>
      <c r="E149" s="3" t="s">
        <v>130</v>
      </c>
      <c r="F149" s="3" t="s">
        <v>176</v>
      </c>
      <c r="G149" s="3" t="s">
        <v>128</v>
      </c>
      <c r="H149" s="3" t="s">
        <v>218</v>
      </c>
    </row>
    <row r="150" customFormat="false" ht="15" hidden="false" customHeight="false" outlineLevel="0" collapsed="false">
      <c r="A150" s="3" t="s">
        <v>209</v>
      </c>
      <c r="B150" s="3" t="n">
        <v>45</v>
      </c>
      <c r="C150" s="3" t="s">
        <v>126</v>
      </c>
      <c r="D150" s="3" t="n">
        <v>49</v>
      </c>
      <c r="E150" s="3" t="s">
        <v>127</v>
      </c>
      <c r="F150" s="3" t="s">
        <v>176</v>
      </c>
      <c r="G150" s="3" t="s">
        <v>128</v>
      </c>
      <c r="H150" s="3" t="s">
        <v>219</v>
      </c>
    </row>
    <row r="151" customFormat="false" ht="15" hidden="false" customHeight="false" outlineLevel="0" collapsed="false">
      <c r="A151" s="3" t="s">
        <v>209</v>
      </c>
      <c r="B151" s="3" t="n">
        <v>45</v>
      </c>
      <c r="C151" s="3" t="s">
        <v>126</v>
      </c>
      <c r="D151" s="3" t="n">
        <v>6</v>
      </c>
      <c r="E151" s="3" t="s">
        <v>130</v>
      </c>
      <c r="F151" s="3" t="s">
        <v>176</v>
      </c>
      <c r="G151" s="3" t="s">
        <v>128</v>
      </c>
      <c r="H151" s="3" t="s">
        <v>219</v>
      </c>
    </row>
    <row r="152" customFormat="false" ht="15" hidden="false" customHeight="false" outlineLevel="0" collapsed="false">
      <c r="A152" s="3" t="s">
        <v>209</v>
      </c>
      <c r="B152" s="3" t="n">
        <v>46</v>
      </c>
      <c r="C152" s="3" t="s">
        <v>126</v>
      </c>
      <c r="D152" s="3" t="n">
        <v>39</v>
      </c>
      <c r="E152" s="3" t="s">
        <v>127</v>
      </c>
      <c r="F152" s="3" t="s">
        <v>176</v>
      </c>
      <c r="G152" s="3" t="s">
        <v>128</v>
      </c>
      <c r="H152" s="3" t="s">
        <v>220</v>
      </c>
    </row>
    <row r="153" customFormat="false" ht="15" hidden="false" customHeight="false" outlineLevel="0" collapsed="false">
      <c r="A153" s="3" t="s">
        <v>209</v>
      </c>
      <c r="B153" s="3" t="n">
        <v>46</v>
      </c>
      <c r="C153" s="3" t="s">
        <v>126</v>
      </c>
      <c r="D153" s="3" t="n">
        <v>45</v>
      </c>
      <c r="E153" s="3" t="s">
        <v>130</v>
      </c>
      <c r="F153" s="3" t="s">
        <v>176</v>
      </c>
      <c r="G153" s="3" t="s">
        <v>128</v>
      </c>
      <c r="H153" s="3" t="s">
        <v>220</v>
      </c>
    </row>
    <row r="154" customFormat="false" ht="15" hidden="false" customHeight="false" outlineLevel="0" collapsed="false">
      <c r="A154" s="3" t="s">
        <v>209</v>
      </c>
      <c r="B154" s="3" t="n">
        <v>47</v>
      </c>
      <c r="C154" s="3" t="s">
        <v>126</v>
      </c>
      <c r="D154" s="3" t="n">
        <v>6</v>
      </c>
      <c r="E154" s="3" t="s">
        <v>127</v>
      </c>
      <c r="F154" s="3" t="s">
        <v>176</v>
      </c>
      <c r="G154" s="3" t="s">
        <v>128</v>
      </c>
      <c r="H154" s="3" t="s">
        <v>221</v>
      </c>
    </row>
    <row r="155" customFormat="false" ht="15" hidden="false" customHeight="false" outlineLevel="0" collapsed="false">
      <c r="A155" s="3" t="s">
        <v>209</v>
      </c>
      <c r="B155" s="3" t="n">
        <v>47</v>
      </c>
      <c r="C155" s="3" t="s">
        <v>126</v>
      </c>
      <c r="D155" s="3" t="n">
        <v>4</v>
      </c>
      <c r="E155" s="3" t="s">
        <v>130</v>
      </c>
      <c r="F155" s="3" t="s">
        <v>176</v>
      </c>
      <c r="G155" s="3" t="s">
        <v>128</v>
      </c>
      <c r="H155" s="3" t="s">
        <v>221</v>
      </c>
    </row>
    <row r="156" customFormat="false" ht="15" hidden="false" customHeight="false" outlineLevel="0" collapsed="false">
      <c r="A156" s="3" t="s">
        <v>209</v>
      </c>
      <c r="B156" s="3" t="n">
        <v>59</v>
      </c>
      <c r="C156" s="3" t="s">
        <v>126</v>
      </c>
      <c r="D156" s="3" t="n">
        <v>8</v>
      </c>
      <c r="E156" s="3" t="s">
        <v>127</v>
      </c>
      <c r="F156" s="3" t="s">
        <v>176</v>
      </c>
      <c r="G156" s="3" t="s">
        <v>128</v>
      </c>
      <c r="H156" s="3" t="s">
        <v>222</v>
      </c>
    </row>
    <row r="157" customFormat="false" ht="15" hidden="false" customHeight="false" outlineLevel="0" collapsed="false">
      <c r="A157" s="3" t="s">
        <v>209</v>
      </c>
      <c r="B157" s="3" t="n">
        <v>59</v>
      </c>
      <c r="C157" s="3" t="s">
        <v>126</v>
      </c>
      <c r="D157" s="3" t="n">
        <v>18</v>
      </c>
      <c r="E157" s="3" t="s">
        <v>130</v>
      </c>
      <c r="F157" s="3" t="s">
        <v>176</v>
      </c>
      <c r="G157" s="3" t="s">
        <v>128</v>
      </c>
      <c r="H157" s="3" t="s">
        <v>222</v>
      </c>
    </row>
    <row r="158" customFormat="false" ht="15" hidden="false" customHeight="false" outlineLevel="0" collapsed="false">
      <c r="A158" s="3" t="s">
        <v>209</v>
      </c>
      <c r="B158" s="3" t="n">
        <v>60</v>
      </c>
      <c r="C158" s="3" t="s">
        <v>126</v>
      </c>
      <c r="D158" s="3" t="n">
        <v>49</v>
      </c>
      <c r="E158" s="3" t="s">
        <v>127</v>
      </c>
      <c r="F158" s="3" t="s">
        <v>176</v>
      </c>
      <c r="G158" s="3" t="s">
        <v>128</v>
      </c>
      <c r="H158" s="3" t="s">
        <v>223</v>
      </c>
    </row>
    <row r="159" customFormat="false" ht="15" hidden="false" customHeight="false" outlineLevel="0" collapsed="false">
      <c r="A159" s="3" t="s">
        <v>209</v>
      </c>
      <c r="B159" s="3" t="n">
        <v>61</v>
      </c>
      <c r="C159" s="3" t="s">
        <v>126</v>
      </c>
      <c r="D159" s="3" t="n">
        <v>18</v>
      </c>
      <c r="E159" s="3" t="s">
        <v>127</v>
      </c>
      <c r="F159" s="3" t="s">
        <v>176</v>
      </c>
      <c r="G159" s="3" t="s">
        <v>128</v>
      </c>
      <c r="H159" s="3" t="s">
        <v>224</v>
      </c>
    </row>
    <row r="160" customFormat="false" ht="15" hidden="false" customHeight="false" outlineLevel="0" collapsed="false">
      <c r="A160" s="3" t="s">
        <v>209</v>
      </c>
      <c r="B160" s="3" t="n">
        <v>61</v>
      </c>
      <c r="C160" s="3" t="s">
        <v>126</v>
      </c>
      <c r="D160" s="3" t="n">
        <v>6</v>
      </c>
      <c r="E160" s="3" t="s">
        <v>130</v>
      </c>
      <c r="F160" s="3" t="s">
        <v>176</v>
      </c>
      <c r="G160" s="3" t="s">
        <v>128</v>
      </c>
      <c r="H160" s="3" t="s">
        <v>224</v>
      </c>
    </row>
    <row r="161" customFormat="false" ht="15" hidden="false" customHeight="false" outlineLevel="0" collapsed="false">
      <c r="A161" s="3" t="s">
        <v>209</v>
      </c>
      <c r="B161" s="3" t="n">
        <v>62</v>
      </c>
      <c r="C161" s="3" t="s">
        <v>126</v>
      </c>
      <c r="D161" s="3" t="n">
        <v>18</v>
      </c>
      <c r="E161" s="3" t="s">
        <v>127</v>
      </c>
      <c r="F161" s="3" t="s">
        <v>176</v>
      </c>
      <c r="G161" s="3" t="s">
        <v>128</v>
      </c>
      <c r="H161" s="3" t="s">
        <v>225</v>
      </c>
    </row>
    <row r="162" customFormat="false" ht="15" hidden="false" customHeight="false" outlineLevel="0" collapsed="false">
      <c r="A162" s="3" t="s">
        <v>209</v>
      </c>
      <c r="B162" s="3" t="n">
        <v>62</v>
      </c>
      <c r="C162" s="3" t="s">
        <v>126</v>
      </c>
      <c r="D162" s="3" t="n">
        <v>8</v>
      </c>
      <c r="E162" s="3" t="s">
        <v>130</v>
      </c>
      <c r="F162" s="3" t="s">
        <v>176</v>
      </c>
      <c r="G162" s="3" t="s">
        <v>128</v>
      </c>
      <c r="H162" s="3" t="s">
        <v>225</v>
      </c>
    </row>
    <row r="163" customFormat="false" ht="15" hidden="false" customHeight="false" outlineLevel="0" collapsed="false">
      <c r="A163" s="3" t="s">
        <v>209</v>
      </c>
      <c r="B163" s="3" t="n">
        <v>62</v>
      </c>
      <c r="C163" s="3" t="s">
        <v>126</v>
      </c>
      <c r="D163" s="3" t="n">
        <v>6</v>
      </c>
      <c r="E163" s="3" t="s">
        <v>130</v>
      </c>
      <c r="F163" s="3" t="s">
        <v>176</v>
      </c>
      <c r="G163" s="3" t="s">
        <v>128</v>
      </c>
      <c r="H163" s="3" t="s">
        <v>225</v>
      </c>
    </row>
    <row r="164" customFormat="false" ht="15" hidden="false" customHeight="false" outlineLevel="0" collapsed="false">
      <c r="A164" s="3" t="s">
        <v>209</v>
      </c>
      <c r="B164" s="3" t="n">
        <v>63</v>
      </c>
      <c r="C164" s="3" t="s">
        <v>126</v>
      </c>
      <c r="D164" s="3" t="n">
        <v>39</v>
      </c>
      <c r="E164" s="3" t="s">
        <v>127</v>
      </c>
      <c r="F164" s="3" t="s">
        <v>176</v>
      </c>
      <c r="G164" s="3" t="s">
        <v>128</v>
      </c>
      <c r="H164" s="3" t="s">
        <v>226</v>
      </c>
    </row>
    <row r="165" customFormat="false" ht="15" hidden="false" customHeight="false" outlineLevel="0" collapsed="false">
      <c r="A165" s="3" t="s">
        <v>209</v>
      </c>
      <c r="B165" s="3" t="n">
        <v>63</v>
      </c>
      <c r="C165" s="3" t="s">
        <v>126</v>
      </c>
      <c r="D165" s="3" t="n">
        <v>18</v>
      </c>
      <c r="E165" s="3" t="s">
        <v>130</v>
      </c>
      <c r="F165" s="3" t="s">
        <v>176</v>
      </c>
      <c r="G165" s="3" t="s">
        <v>128</v>
      </c>
      <c r="H165" s="3" t="s">
        <v>226</v>
      </c>
    </row>
    <row r="166" customFormat="false" ht="15" hidden="false" customHeight="false" outlineLevel="0" collapsed="false">
      <c r="A166" s="3" t="s">
        <v>209</v>
      </c>
      <c r="B166" s="3" t="n">
        <v>64</v>
      </c>
      <c r="C166" s="3" t="s">
        <v>126</v>
      </c>
      <c r="D166" s="3" t="n">
        <v>47</v>
      </c>
      <c r="E166" s="3" t="s">
        <v>127</v>
      </c>
      <c r="F166" s="3" t="s">
        <v>176</v>
      </c>
      <c r="G166" s="3" t="s">
        <v>128</v>
      </c>
      <c r="H166" s="3" t="s">
        <v>227</v>
      </c>
    </row>
    <row r="167" customFormat="false" ht="15" hidden="false" customHeight="false" outlineLevel="0" collapsed="false">
      <c r="A167" s="3" t="s">
        <v>209</v>
      </c>
      <c r="B167" s="3" t="n">
        <v>64</v>
      </c>
      <c r="C167" s="3" t="s">
        <v>126</v>
      </c>
      <c r="D167" s="3" t="n">
        <v>39</v>
      </c>
      <c r="E167" s="3" t="s">
        <v>130</v>
      </c>
      <c r="F167" s="3" t="s">
        <v>176</v>
      </c>
      <c r="G167" s="3" t="s">
        <v>128</v>
      </c>
      <c r="H167" s="3" t="s">
        <v>227</v>
      </c>
    </row>
    <row r="168" customFormat="false" ht="15" hidden="false" customHeight="false" outlineLevel="0" collapsed="false">
      <c r="A168" s="3" t="s">
        <v>209</v>
      </c>
      <c r="B168" s="3" t="n">
        <v>65</v>
      </c>
      <c r="C168" s="3" t="s">
        <v>126</v>
      </c>
      <c r="D168" s="3" t="n">
        <v>19</v>
      </c>
      <c r="E168" s="3" t="s">
        <v>127</v>
      </c>
      <c r="F168" s="3" t="s">
        <v>176</v>
      </c>
      <c r="G168" s="3" t="s">
        <v>128</v>
      </c>
      <c r="H168" s="3" t="s">
        <v>228</v>
      </c>
    </row>
    <row r="169" customFormat="false" ht="15" hidden="false" customHeight="false" outlineLevel="0" collapsed="false">
      <c r="A169" s="3" t="s">
        <v>209</v>
      </c>
      <c r="B169" s="3" t="n">
        <v>65</v>
      </c>
      <c r="C169" s="3" t="s">
        <v>126</v>
      </c>
      <c r="D169" s="3" t="n">
        <v>31</v>
      </c>
      <c r="E169" s="3" t="s">
        <v>130</v>
      </c>
      <c r="F169" s="3" t="s">
        <v>176</v>
      </c>
      <c r="G169" s="3" t="s">
        <v>128</v>
      </c>
      <c r="H169" s="3" t="s">
        <v>228</v>
      </c>
    </row>
    <row r="170" customFormat="false" ht="15" hidden="false" customHeight="false" outlineLevel="0" collapsed="false">
      <c r="A170" s="3" t="s">
        <v>209</v>
      </c>
      <c r="B170" s="3" t="n">
        <v>65</v>
      </c>
      <c r="C170" s="3" t="s">
        <v>126</v>
      </c>
      <c r="D170" s="3" t="n">
        <v>6</v>
      </c>
      <c r="E170" s="3" t="s">
        <v>130</v>
      </c>
      <c r="F170" s="3" t="s">
        <v>176</v>
      </c>
      <c r="G170" s="3" t="s">
        <v>128</v>
      </c>
      <c r="H170" s="3" t="s">
        <v>228</v>
      </c>
    </row>
    <row r="171" customFormat="false" ht="15" hidden="false" customHeight="false" outlineLevel="0" collapsed="false">
      <c r="A171" s="3" t="s">
        <v>209</v>
      </c>
      <c r="B171" s="3" t="n">
        <v>67</v>
      </c>
      <c r="C171" s="3" t="s">
        <v>126</v>
      </c>
      <c r="D171" s="3" t="n">
        <v>39</v>
      </c>
      <c r="E171" s="3" t="s">
        <v>127</v>
      </c>
      <c r="F171" s="3" t="s">
        <v>176</v>
      </c>
      <c r="G171" s="3" t="s">
        <v>128</v>
      </c>
      <c r="H171" s="3" t="s">
        <v>229</v>
      </c>
    </row>
    <row r="172" customFormat="false" ht="15" hidden="false" customHeight="false" outlineLevel="0" collapsed="false">
      <c r="A172" s="3" t="s">
        <v>209</v>
      </c>
      <c r="B172" s="3" t="n">
        <v>67</v>
      </c>
      <c r="C172" s="3" t="s">
        <v>126</v>
      </c>
      <c r="D172" s="3" t="n">
        <v>6</v>
      </c>
      <c r="E172" s="3" t="s">
        <v>130</v>
      </c>
      <c r="F172" s="3" t="s">
        <v>176</v>
      </c>
      <c r="G172" s="3" t="s">
        <v>128</v>
      </c>
      <c r="H172" s="3" t="s">
        <v>229</v>
      </c>
    </row>
    <row r="173" customFormat="false" ht="15" hidden="false" customHeight="false" outlineLevel="0" collapsed="false">
      <c r="A173" s="3" t="s">
        <v>230</v>
      </c>
      <c r="B173" s="3" t="n">
        <v>12</v>
      </c>
      <c r="C173" s="3" t="s">
        <v>126</v>
      </c>
      <c r="D173" s="3" t="n">
        <v>83</v>
      </c>
      <c r="E173" s="3" t="s">
        <v>127</v>
      </c>
      <c r="F173" s="3" t="s">
        <v>128</v>
      </c>
      <c r="G173" s="3" t="s">
        <v>176</v>
      </c>
      <c r="H173" s="3" t="s">
        <v>231</v>
      </c>
    </row>
    <row r="174" customFormat="false" ht="15" hidden="false" customHeight="false" outlineLevel="0" collapsed="false">
      <c r="A174" s="3" t="s">
        <v>230</v>
      </c>
      <c r="B174" s="3" t="n">
        <v>13</v>
      </c>
      <c r="C174" s="3" t="s">
        <v>126</v>
      </c>
      <c r="D174" s="3" t="n">
        <v>54</v>
      </c>
      <c r="E174" s="3" t="s">
        <v>127</v>
      </c>
      <c r="F174" s="3" t="s">
        <v>128</v>
      </c>
      <c r="G174" s="3" t="s">
        <v>176</v>
      </c>
      <c r="H174" s="3" t="s">
        <v>232</v>
      </c>
    </row>
    <row r="175" customFormat="false" ht="15" hidden="false" customHeight="false" outlineLevel="0" collapsed="false">
      <c r="A175" s="3" t="s">
        <v>230</v>
      </c>
      <c r="B175" s="3" t="n">
        <v>13</v>
      </c>
      <c r="C175" s="3" t="s">
        <v>126</v>
      </c>
      <c r="D175" s="3" t="n">
        <v>48</v>
      </c>
      <c r="E175" s="3" t="s">
        <v>130</v>
      </c>
      <c r="F175" s="3" t="s">
        <v>128</v>
      </c>
      <c r="G175" s="3" t="s">
        <v>176</v>
      </c>
      <c r="H175" s="3" t="s">
        <v>232</v>
      </c>
    </row>
    <row r="176" customFormat="false" ht="15" hidden="false" customHeight="false" outlineLevel="0" collapsed="false">
      <c r="A176" s="3" t="s">
        <v>230</v>
      </c>
      <c r="B176" s="3" t="n">
        <v>14</v>
      </c>
      <c r="C176" s="3" t="s">
        <v>126</v>
      </c>
      <c r="D176" s="3" t="n">
        <v>8</v>
      </c>
      <c r="E176" s="3" t="s">
        <v>127</v>
      </c>
      <c r="F176" s="3" t="s">
        <v>128</v>
      </c>
      <c r="G176" s="3" t="s">
        <v>176</v>
      </c>
      <c r="H176" s="3" t="s">
        <v>233</v>
      </c>
    </row>
    <row r="177" customFormat="false" ht="15" hidden="false" customHeight="false" outlineLevel="0" collapsed="false">
      <c r="A177" s="3" t="s">
        <v>230</v>
      </c>
      <c r="B177" s="3" t="n">
        <v>14</v>
      </c>
      <c r="C177" s="3" t="s">
        <v>126</v>
      </c>
      <c r="D177" s="3" t="n">
        <v>6</v>
      </c>
      <c r="E177" s="3" t="s">
        <v>130</v>
      </c>
      <c r="F177" s="3" t="s">
        <v>128</v>
      </c>
      <c r="G177" s="3" t="s">
        <v>176</v>
      </c>
      <c r="H177" s="3" t="s">
        <v>233</v>
      </c>
    </row>
    <row r="178" customFormat="false" ht="15" hidden="false" customHeight="false" outlineLevel="0" collapsed="false">
      <c r="A178" s="3" t="s">
        <v>230</v>
      </c>
      <c r="B178" s="3" t="n">
        <v>15</v>
      </c>
      <c r="C178" s="3" t="s">
        <v>126</v>
      </c>
      <c r="D178" s="3" t="n">
        <v>51</v>
      </c>
      <c r="E178" s="3" t="s">
        <v>127</v>
      </c>
      <c r="F178" s="3" t="s">
        <v>128</v>
      </c>
      <c r="G178" s="3" t="s">
        <v>176</v>
      </c>
      <c r="H178" s="3" t="s">
        <v>234</v>
      </c>
    </row>
    <row r="179" customFormat="false" ht="15" hidden="false" customHeight="false" outlineLevel="0" collapsed="false">
      <c r="A179" s="3" t="s">
        <v>230</v>
      </c>
      <c r="B179" s="3" t="n">
        <v>15</v>
      </c>
      <c r="C179" s="3" t="s">
        <v>126</v>
      </c>
      <c r="D179" s="3" t="n">
        <v>50</v>
      </c>
      <c r="E179" s="3" t="s">
        <v>130</v>
      </c>
      <c r="F179" s="3" t="s">
        <v>128</v>
      </c>
      <c r="G179" s="3" t="s">
        <v>176</v>
      </c>
      <c r="H179" s="3" t="s">
        <v>234</v>
      </c>
    </row>
    <row r="180" customFormat="false" ht="15" hidden="false" customHeight="false" outlineLevel="0" collapsed="false">
      <c r="A180" s="3" t="s">
        <v>230</v>
      </c>
      <c r="B180" s="3" t="n">
        <v>30</v>
      </c>
      <c r="C180" s="3" t="s">
        <v>126</v>
      </c>
      <c r="D180" s="3" t="n">
        <v>71</v>
      </c>
      <c r="E180" s="3" t="s">
        <v>127</v>
      </c>
      <c r="F180" s="3" t="s">
        <v>128</v>
      </c>
      <c r="G180" s="3" t="s">
        <v>176</v>
      </c>
      <c r="H180" s="3" t="s">
        <v>235</v>
      </c>
    </row>
    <row r="181" customFormat="false" ht="15" hidden="false" customHeight="false" outlineLevel="0" collapsed="false">
      <c r="A181" s="3" t="s">
        <v>230</v>
      </c>
      <c r="B181" s="3" t="n">
        <v>30</v>
      </c>
      <c r="C181" s="3" t="s">
        <v>126</v>
      </c>
      <c r="D181" s="3" t="n">
        <v>33</v>
      </c>
      <c r="E181" s="3" t="s">
        <v>130</v>
      </c>
      <c r="F181" s="3" t="s">
        <v>128</v>
      </c>
      <c r="G181" s="3" t="s">
        <v>176</v>
      </c>
      <c r="H181" s="3" t="s">
        <v>235</v>
      </c>
    </row>
    <row r="182" customFormat="false" ht="15" hidden="false" customHeight="false" outlineLevel="0" collapsed="false">
      <c r="A182" s="3" t="s">
        <v>230</v>
      </c>
      <c r="B182" s="3" t="n">
        <v>31</v>
      </c>
      <c r="C182" s="3" t="s">
        <v>126</v>
      </c>
      <c r="D182" s="3" t="n">
        <v>6</v>
      </c>
      <c r="E182" s="3" t="s">
        <v>127</v>
      </c>
      <c r="F182" s="3" t="s">
        <v>128</v>
      </c>
      <c r="G182" s="3" t="s">
        <v>176</v>
      </c>
      <c r="H182" s="3" t="s">
        <v>236</v>
      </c>
    </row>
    <row r="183" customFormat="false" ht="15" hidden="false" customHeight="false" outlineLevel="0" collapsed="false">
      <c r="A183" s="3" t="s">
        <v>230</v>
      </c>
      <c r="B183" s="3" t="n">
        <v>31</v>
      </c>
      <c r="C183" s="3" t="s">
        <v>126</v>
      </c>
      <c r="D183" s="3" t="n">
        <v>8</v>
      </c>
      <c r="E183" s="3" t="s">
        <v>130</v>
      </c>
      <c r="F183" s="3" t="s">
        <v>128</v>
      </c>
      <c r="G183" s="3" t="s">
        <v>176</v>
      </c>
      <c r="H183" s="3" t="s">
        <v>236</v>
      </c>
    </row>
    <row r="184" customFormat="false" ht="15" hidden="false" customHeight="false" outlineLevel="0" collapsed="false">
      <c r="A184" s="3" t="s">
        <v>230</v>
      </c>
      <c r="B184" s="3" t="n">
        <v>32</v>
      </c>
      <c r="C184" s="3" t="s">
        <v>126</v>
      </c>
      <c r="D184" s="3" t="n">
        <v>49</v>
      </c>
      <c r="E184" s="3" t="s">
        <v>127</v>
      </c>
      <c r="F184" s="3" t="s">
        <v>128</v>
      </c>
      <c r="G184" s="3" t="s">
        <v>176</v>
      </c>
      <c r="H184" s="3" t="s">
        <v>237</v>
      </c>
    </row>
    <row r="185" customFormat="false" ht="15" hidden="false" customHeight="false" outlineLevel="0" collapsed="false">
      <c r="A185" s="3" t="s">
        <v>230</v>
      </c>
      <c r="B185" s="3" t="n">
        <v>33</v>
      </c>
      <c r="C185" s="3" t="s">
        <v>126</v>
      </c>
      <c r="D185" s="3" t="n">
        <v>43</v>
      </c>
      <c r="E185" s="3" t="s">
        <v>127</v>
      </c>
      <c r="F185" s="3" t="s">
        <v>128</v>
      </c>
      <c r="G185" s="3" t="s">
        <v>176</v>
      </c>
      <c r="H185" s="3" t="s">
        <v>238</v>
      </c>
    </row>
    <row r="186" customFormat="false" ht="15" hidden="false" customHeight="false" outlineLevel="0" collapsed="false">
      <c r="A186" s="3" t="s">
        <v>230</v>
      </c>
      <c r="B186" s="3" t="n">
        <v>33</v>
      </c>
      <c r="C186" s="3" t="s">
        <v>126</v>
      </c>
      <c r="D186" s="3" t="n">
        <v>40</v>
      </c>
      <c r="E186" s="3" t="s">
        <v>130</v>
      </c>
      <c r="F186" s="3" t="s">
        <v>128</v>
      </c>
      <c r="G186" s="3" t="s">
        <v>176</v>
      </c>
      <c r="H186" s="3" t="s">
        <v>238</v>
      </c>
    </row>
    <row r="187" customFormat="false" ht="15" hidden="false" customHeight="false" outlineLevel="0" collapsed="false">
      <c r="A187" s="3" t="s">
        <v>230</v>
      </c>
      <c r="B187" s="3" t="n">
        <v>34</v>
      </c>
      <c r="C187" s="3" t="s">
        <v>126</v>
      </c>
      <c r="D187" s="3" t="n">
        <v>45</v>
      </c>
      <c r="E187" s="3" t="s">
        <v>127</v>
      </c>
      <c r="F187" s="3" t="s">
        <v>128</v>
      </c>
      <c r="G187" s="3" t="s">
        <v>176</v>
      </c>
      <c r="H187" s="3" t="s">
        <v>239</v>
      </c>
    </row>
    <row r="188" customFormat="false" ht="15" hidden="false" customHeight="false" outlineLevel="0" collapsed="false">
      <c r="A188" s="3" t="s">
        <v>230</v>
      </c>
      <c r="B188" s="3" t="n">
        <v>34</v>
      </c>
      <c r="C188" s="3" t="s">
        <v>126</v>
      </c>
      <c r="D188" s="3" t="n">
        <v>6</v>
      </c>
      <c r="E188" s="3" t="s">
        <v>130</v>
      </c>
      <c r="F188" s="3" t="s">
        <v>128</v>
      </c>
      <c r="G188" s="3" t="s">
        <v>176</v>
      </c>
      <c r="H188" s="3" t="s">
        <v>239</v>
      </c>
    </row>
    <row r="189" customFormat="false" ht="15" hidden="false" customHeight="false" outlineLevel="0" collapsed="false">
      <c r="A189" s="3" t="s">
        <v>230</v>
      </c>
      <c r="B189" s="3" t="n">
        <v>44</v>
      </c>
      <c r="C189" s="3" t="s">
        <v>126</v>
      </c>
      <c r="D189" s="3" t="n">
        <v>6</v>
      </c>
      <c r="E189" s="3" t="s">
        <v>127</v>
      </c>
      <c r="F189" s="3" t="s">
        <v>128</v>
      </c>
      <c r="G189" s="3" t="s">
        <v>176</v>
      </c>
      <c r="H189" s="3" t="s">
        <v>240</v>
      </c>
    </row>
    <row r="190" customFormat="false" ht="15" hidden="false" customHeight="false" outlineLevel="0" collapsed="false">
      <c r="A190" s="3" t="s">
        <v>230</v>
      </c>
      <c r="B190" s="3" t="n">
        <v>44</v>
      </c>
      <c r="C190" s="3" t="s">
        <v>126</v>
      </c>
      <c r="D190" s="3" t="n">
        <v>18</v>
      </c>
      <c r="E190" s="3" t="s">
        <v>130</v>
      </c>
      <c r="F190" s="3" t="s">
        <v>128</v>
      </c>
      <c r="G190" s="3" t="s">
        <v>176</v>
      </c>
      <c r="H190" s="3" t="s">
        <v>240</v>
      </c>
    </row>
    <row r="191" customFormat="false" ht="15" hidden="false" customHeight="false" outlineLevel="0" collapsed="false">
      <c r="A191" s="3" t="s">
        <v>230</v>
      </c>
      <c r="B191" s="3" t="n">
        <v>45</v>
      </c>
      <c r="C191" s="3" t="s">
        <v>126</v>
      </c>
      <c r="D191" s="3" t="n">
        <v>18</v>
      </c>
      <c r="E191" s="3" t="s">
        <v>127</v>
      </c>
      <c r="F191" s="3" t="s">
        <v>128</v>
      </c>
      <c r="G191" s="3" t="s">
        <v>176</v>
      </c>
      <c r="H191" s="3" t="s">
        <v>241</v>
      </c>
    </row>
    <row r="192" customFormat="false" ht="15" hidden="false" customHeight="false" outlineLevel="0" collapsed="false">
      <c r="A192" s="3" t="s">
        <v>230</v>
      </c>
      <c r="B192" s="3" t="n">
        <v>45</v>
      </c>
      <c r="C192" s="3" t="s">
        <v>126</v>
      </c>
      <c r="D192" s="3" t="n">
        <v>14</v>
      </c>
      <c r="E192" s="3" t="s">
        <v>130</v>
      </c>
      <c r="F192" s="3" t="s">
        <v>128</v>
      </c>
      <c r="G192" s="3" t="s">
        <v>176</v>
      </c>
      <c r="H192" s="3" t="s">
        <v>241</v>
      </c>
    </row>
    <row r="193" customFormat="false" ht="15" hidden="false" customHeight="false" outlineLevel="0" collapsed="false">
      <c r="A193" s="3" t="s">
        <v>230</v>
      </c>
      <c r="B193" s="3" t="n">
        <v>46</v>
      </c>
      <c r="C193" s="3" t="s">
        <v>126</v>
      </c>
      <c r="D193" s="3" t="n">
        <v>10</v>
      </c>
      <c r="E193" s="3" t="s">
        <v>127</v>
      </c>
      <c r="F193" s="3" t="s">
        <v>128</v>
      </c>
      <c r="G193" s="3" t="s">
        <v>176</v>
      </c>
      <c r="H193" s="3" t="s">
        <v>242</v>
      </c>
    </row>
    <row r="194" customFormat="false" ht="15" hidden="false" customHeight="false" outlineLevel="0" collapsed="false">
      <c r="A194" s="3" t="s">
        <v>230</v>
      </c>
      <c r="B194" s="3" t="n">
        <v>46</v>
      </c>
      <c r="C194" s="3" t="s">
        <v>126</v>
      </c>
      <c r="D194" s="3" t="n">
        <v>19</v>
      </c>
      <c r="E194" s="3" t="s">
        <v>130</v>
      </c>
      <c r="F194" s="3" t="s">
        <v>128</v>
      </c>
      <c r="G194" s="3" t="s">
        <v>176</v>
      </c>
      <c r="H194" s="3" t="s">
        <v>242</v>
      </c>
    </row>
    <row r="195" customFormat="false" ht="15" hidden="false" customHeight="false" outlineLevel="0" collapsed="false">
      <c r="A195" s="3" t="s">
        <v>230</v>
      </c>
      <c r="B195" s="3" t="n">
        <v>46</v>
      </c>
      <c r="C195" s="3" t="s">
        <v>126</v>
      </c>
      <c r="D195" s="3" t="n">
        <v>6</v>
      </c>
      <c r="E195" s="3" t="s">
        <v>130</v>
      </c>
      <c r="F195" s="3" t="s">
        <v>128</v>
      </c>
      <c r="G195" s="3" t="s">
        <v>176</v>
      </c>
      <c r="H195" s="3" t="s">
        <v>242</v>
      </c>
    </row>
    <row r="196" customFormat="false" ht="15" hidden="false" customHeight="false" outlineLevel="0" collapsed="false">
      <c r="A196" s="3" t="s">
        <v>230</v>
      </c>
      <c r="B196" s="3" t="n">
        <v>47</v>
      </c>
      <c r="C196" s="3" t="s">
        <v>126</v>
      </c>
      <c r="D196" s="3" t="n">
        <v>6</v>
      </c>
      <c r="E196" s="3" t="s">
        <v>127</v>
      </c>
      <c r="F196" s="3" t="s">
        <v>128</v>
      </c>
      <c r="G196" s="3" t="s">
        <v>176</v>
      </c>
      <c r="H196" s="3" t="s">
        <v>243</v>
      </c>
    </row>
    <row r="197" customFormat="false" ht="15" hidden="false" customHeight="false" outlineLevel="0" collapsed="false">
      <c r="A197" s="3" t="s">
        <v>230</v>
      </c>
      <c r="B197" s="3" t="n">
        <v>48</v>
      </c>
      <c r="C197" s="3" t="s">
        <v>126</v>
      </c>
      <c r="D197" s="3" t="n">
        <v>6</v>
      </c>
      <c r="E197" s="3" t="s">
        <v>127</v>
      </c>
      <c r="F197" s="3" t="s">
        <v>128</v>
      </c>
      <c r="G197" s="3" t="s">
        <v>176</v>
      </c>
      <c r="H197" s="3" t="s">
        <v>244</v>
      </c>
    </row>
    <row r="198" customFormat="false" ht="15" hidden="false" customHeight="false" outlineLevel="0" collapsed="false">
      <c r="A198" s="3" t="s">
        <v>230</v>
      </c>
      <c r="B198" s="3" t="n">
        <v>49</v>
      </c>
      <c r="C198" s="3" t="s">
        <v>126</v>
      </c>
      <c r="D198" s="3" t="n">
        <v>8</v>
      </c>
      <c r="E198" s="3" t="s">
        <v>127</v>
      </c>
      <c r="F198" s="3" t="s">
        <v>128</v>
      </c>
      <c r="G198" s="3" t="s">
        <v>176</v>
      </c>
      <c r="H198" s="3" t="s">
        <v>245</v>
      </c>
    </row>
    <row r="199" customFormat="false" ht="15" hidden="false" customHeight="false" outlineLevel="0" collapsed="false">
      <c r="A199" s="3" t="s">
        <v>230</v>
      </c>
      <c r="B199" s="3" t="n">
        <v>49</v>
      </c>
      <c r="C199" s="3" t="s">
        <v>126</v>
      </c>
      <c r="D199" s="3" t="n">
        <v>6</v>
      </c>
      <c r="E199" s="3" t="s">
        <v>130</v>
      </c>
      <c r="F199" s="3" t="s">
        <v>128</v>
      </c>
      <c r="G199" s="3" t="s">
        <v>176</v>
      </c>
      <c r="H199" s="3" t="s">
        <v>245</v>
      </c>
    </row>
    <row r="200" customFormat="false" ht="15" hidden="false" customHeight="false" outlineLevel="0" collapsed="false">
      <c r="A200" s="3" t="s">
        <v>230</v>
      </c>
      <c r="B200" s="3" t="n">
        <v>50</v>
      </c>
      <c r="C200" s="3" t="s">
        <v>126</v>
      </c>
      <c r="D200" s="3" t="n">
        <v>6</v>
      </c>
      <c r="E200" s="3" t="s">
        <v>127</v>
      </c>
      <c r="F200" s="3" t="s">
        <v>128</v>
      </c>
      <c r="G200" s="3" t="s">
        <v>176</v>
      </c>
      <c r="H200" s="3" t="s">
        <v>246</v>
      </c>
    </row>
    <row r="201" customFormat="false" ht="15" hidden="false" customHeight="false" outlineLevel="0" collapsed="false">
      <c r="A201" s="3" t="s">
        <v>230</v>
      </c>
      <c r="B201" s="3" t="n">
        <v>60</v>
      </c>
      <c r="C201" s="3" t="s">
        <v>126</v>
      </c>
      <c r="D201" s="3" t="n">
        <v>18</v>
      </c>
      <c r="E201" s="3" t="s">
        <v>127</v>
      </c>
      <c r="F201" s="3" t="s">
        <v>128</v>
      </c>
      <c r="G201" s="3" t="s">
        <v>176</v>
      </c>
      <c r="H201" s="3" t="s">
        <v>247</v>
      </c>
    </row>
    <row r="202" customFormat="false" ht="15" hidden="false" customHeight="false" outlineLevel="0" collapsed="false">
      <c r="A202" s="3" t="s">
        <v>230</v>
      </c>
      <c r="B202" s="3" t="n">
        <v>60</v>
      </c>
      <c r="C202" s="3" t="s">
        <v>126</v>
      </c>
      <c r="D202" s="3" t="n">
        <v>13</v>
      </c>
      <c r="E202" s="3" t="s">
        <v>130</v>
      </c>
      <c r="F202" s="3" t="s">
        <v>128</v>
      </c>
      <c r="G202" s="3" t="s">
        <v>176</v>
      </c>
      <c r="H202" s="3" t="s">
        <v>247</v>
      </c>
    </row>
    <row r="203" customFormat="false" ht="15" hidden="false" customHeight="false" outlineLevel="0" collapsed="false">
      <c r="A203" s="3" t="s">
        <v>230</v>
      </c>
      <c r="B203" s="3" t="n">
        <v>61</v>
      </c>
      <c r="C203" s="3" t="s">
        <v>126</v>
      </c>
      <c r="D203" s="3" t="n">
        <v>10</v>
      </c>
      <c r="E203" s="3" t="s">
        <v>127</v>
      </c>
      <c r="F203" s="3" t="s">
        <v>128</v>
      </c>
      <c r="G203" s="3" t="s">
        <v>176</v>
      </c>
      <c r="H203" s="3" t="s">
        <v>248</v>
      </c>
    </row>
    <row r="204" customFormat="false" ht="15" hidden="false" customHeight="false" outlineLevel="0" collapsed="false">
      <c r="A204" s="3" t="s">
        <v>230</v>
      </c>
      <c r="B204" s="3" t="n">
        <v>61</v>
      </c>
      <c r="C204" s="3" t="s">
        <v>126</v>
      </c>
      <c r="D204" s="3" t="n">
        <v>8</v>
      </c>
      <c r="E204" s="3" t="s">
        <v>130</v>
      </c>
      <c r="F204" s="3" t="s">
        <v>128</v>
      </c>
      <c r="G204" s="3" t="s">
        <v>176</v>
      </c>
      <c r="H204" s="3" t="s">
        <v>248</v>
      </c>
    </row>
    <row r="205" customFormat="false" ht="15" hidden="false" customHeight="false" outlineLevel="0" collapsed="false">
      <c r="A205" s="3" t="s">
        <v>230</v>
      </c>
      <c r="B205" s="3" t="n">
        <v>62</v>
      </c>
      <c r="C205" s="3" t="s">
        <v>126</v>
      </c>
      <c r="D205" s="3" t="n">
        <v>6</v>
      </c>
      <c r="E205" s="3" t="s">
        <v>127</v>
      </c>
      <c r="F205" s="3" t="s">
        <v>128</v>
      </c>
      <c r="G205" s="3" t="s">
        <v>176</v>
      </c>
      <c r="H205" s="3" t="s">
        <v>249</v>
      </c>
    </row>
    <row r="206" customFormat="false" ht="15" hidden="false" customHeight="false" outlineLevel="0" collapsed="false">
      <c r="A206" s="3" t="s">
        <v>230</v>
      </c>
      <c r="B206" s="3" t="n">
        <v>62</v>
      </c>
      <c r="C206" s="3" t="s">
        <v>126</v>
      </c>
      <c r="D206" s="3" t="n">
        <v>25</v>
      </c>
      <c r="E206" s="3" t="s">
        <v>130</v>
      </c>
      <c r="F206" s="3" t="s">
        <v>128</v>
      </c>
      <c r="G206" s="3" t="s">
        <v>176</v>
      </c>
      <c r="H206" s="3" t="s">
        <v>249</v>
      </c>
    </row>
    <row r="207" customFormat="false" ht="15" hidden="false" customHeight="false" outlineLevel="0" collapsed="false">
      <c r="A207" s="3" t="s">
        <v>230</v>
      </c>
      <c r="B207" s="3" t="n">
        <v>63</v>
      </c>
      <c r="C207" s="3" t="s">
        <v>126</v>
      </c>
      <c r="D207" s="3" t="n">
        <v>10</v>
      </c>
      <c r="E207" s="3" t="s">
        <v>127</v>
      </c>
      <c r="F207" s="3" t="s">
        <v>128</v>
      </c>
      <c r="G207" s="3" t="s">
        <v>176</v>
      </c>
      <c r="H207" s="3" t="s">
        <v>250</v>
      </c>
    </row>
    <row r="208" customFormat="false" ht="15" hidden="false" customHeight="false" outlineLevel="0" collapsed="false">
      <c r="A208" s="3" t="s">
        <v>230</v>
      </c>
      <c r="B208" s="3" t="n">
        <v>63</v>
      </c>
      <c r="C208" s="3" t="s">
        <v>126</v>
      </c>
      <c r="D208" s="3" t="n">
        <v>39</v>
      </c>
      <c r="E208" s="3" t="s">
        <v>130</v>
      </c>
      <c r="F208" s="3" t="s">
        <v>128</v>
      </c>
      <c r="G208" s="3" t="s">
        <v>176</v>
      </c>
      <c r="H208" s="3" t="s">
        <v>250</v>
      </c>
    </row>
    <row r="209" customFormat="false" ht="15" hidden="false" customHeight="false" outlineLevel="0" collapsed="false">
      <c r="A209" s="3" t="s">
        <v>230</v>
      </c>
      <c r="B209" s="3" t="n">
        <v>63</v>
      </c>
      <c r="C209" s="3" t="s">
        <v>126</v>
      </c>
      <c r="D209" s="3" t="n">
        <v>48</v>
      </c>
      <c r="E209" s="3" t="s">
        <v>130</v>
      </c>
      <c r="F209" s="3" t="s">
        <v>128</v>
      </c>
      <c r="G209" s="3" t="s">
        <v>176</v>
      </c>
      <c r="H209" s="3" t="s">
        <v>250</v>
      </c>
    </row>
    <row r="210" customFormat="false" ht="15" hidden="false" customHeight="false" outlineLevel="0" collapsed="false">
      <c r="A210" s="3" t="s">
        <v>230</v>
      </c>
      <c r="B210" s="3" t="n">
        <v>64</v>
      </c>
      <c r="C210" s="3" t="s">
        <v>126</v>
      </c>
      <c r="D210" s="3" t="n">
        <v>18</v>
      </c>
      <c r="E210" s="3" t="s">
        <v>127</v>
      </c>
      <c r="F210" s="3" t="s">
        <v>128</v>
      </c>
      <c r="G210" s="3" t="s">
        <v>176</v>
      </c>
      <c r="H210" s="3" t="s">
        <v>251</v>
      </c>
    </row>
    <row r="211" customFormat="false" ht="15" hidden="false" customHeight="false" outlineLevel="0" collapsed="false">
      <c r="A211" s="3" t="s">
        <v>252</v>
      </c>
      <c r="B211" s="3" t="n">
        <v>1</v>
      </c>
      <c r="C211" s="3" t="s">
        <v>253</v>
      </c>
      <c r="D211" s="3" t="n">
        <v>24</v>
      </c>
      <c r="E211" s="3" t="s">
        <v>127</v>
      </c>
      <c r="F211" s="3" t="s">
        <v>128</v>
      </c>
      <c r="G211" s="3" t="s">
        <v>128</v>
      </c>
      <c r="H211" s="3" t="s">
        <v>254</v>
      </c>
    </row>
    <row r="212" customFormat="false" ht="15" hidden="false" customHeight="false" outlineLevel="0" collapsed="false">
      <c r="A212" s="3" t="s">
        <v>252</v>
      </c>
      <c r="B212" s="3" t="n">
        <v>2</v>
      </c>
      <c r="C212" s="3" t="s">
        <v>253</v>
      </c>
      <c r="D212" s="3" t="n">
        <v>32</v>
      </c>
      <c r="E212" s="3" t="s">
        <v>127</v>
      </c>
      <c r="F212" s="3" t="s">
        <v>128</v>
      </c>
      <c r="G212" s="3" t="s">
        <v>128</v>
      </c>
      <c r="H212" s="3" t="s">
        <v>255</v>
      </c>
    </row>
    <row r="213" customFormat="false" ht="15" hidden="false" customHeight="false" outlineLevel="0" collapsed="false">
      <c r="A213" s="3" t="s">
        <v>252</v>
      </c>
      <c r="B213" s="3" t="n">
        <v>2</v>
      </c>
      <c r="C213" s="3" t="s">
        <v>253</v>
      </c>
      <c r="D213" s="3" t="n">
        <v>31</v>
      </c>
      <c r="E213" s="3" t="s">
        <v>130</v>
      </c>
      <c r="F213" s="3" t="s">
        <v>128</v>
      </c>
      <c r="G213" s="3" t="s">
        <v>128</v>
      </c>
      <c r="H213" s="3" t="s">
        <v>255</v>
      </c>
    </row>
    <row r="214" customFormat="false" ht="15" hidden="false" customHeight="false" outlineLevel="0" collapsed="false">
      <c r="A214" s="3" t="s">
        <v>252</v>
      </c>
      <c r="B214" s="3" t="n">
        <v>3</v>
      </c>
      <c r="C214" s="3" t="s">
        <v>253</v>
      </c>
      <c r="D214" s="3" t="n">
        <v>14</v>
      </c>
      <c r="E214" s="3" t="s">
        <v>127</v>
      </c>
      <c r="F214" s="3" t="s">
        <v>128</v>
      </c>
      <c r="G214" s="3" t="s">
        <v>128</v>
      </c>
      <c r="H214" s="3" t="s">
        <v>256</v>
      </c>
    </row>
    <row r="215" customFormat="false" ht="15" hidden="false" customHeight="false" outlineLevel="0" collapsed="false">
      <c r="A215" s="3" t="s">
        <v>252</v>
      </c>
      <c r="B215" s="3" t="n">
        <v>3</v>
      </c>
      <c r="C215" s="3" t="s">
        <v>253</v>
      </c>
      <c r="D215" s="3" t="n">
        <v>6</v>
      </c>
      <c r="E215" s="3" t="s">
        <v>130</v>
      </c>
      <c r="F215" s="3" t="s">
        <v>128</v>
      </c>
      <c r="G215" s="3" t="s">
        <v>128</v>
      </c>
      <c r="H215" s="3" t="s">
        <v>256</v>
      </c>
    </row>
    <row r="216" customFormat="false" ht="15" hidden="false" customHeight="false" outlineLevel="0" collapsed="false">
      <c r="A216" s="3" t="s">
        <v>252</v>
      </c>
      <c r="B216" s="3" t="n">
        <v>4</v>
      </c>
      <c r="C216" s="3" t="s">
        <v>253</v>
      </c>
      <c r="D216" s="3" t="n">
        <v>6</v>
      </c>
      <c r="E216" s="3" t="s">
        <v>127</v>
      </c>
      <c r="F216" s="3" t="s">
        <v>128</v>
      </c>
      <c r="G216" s="3" t="s">
        <v>128</v>
      </c>
      <c r="H216" s="3" t="s">
        <v>257</v>
      </c>
    </row>
    <row r="217" customFormat="false" ht="15" hidden="false" customHeight="false" outlineLevel="0" collapsed="false">
      <c r="A217" s="3" t="s">
        <v>252</v>
      </c>
      <c r="B217" s="3" t="n">
        <v>5</v>
      </c>
      <c r="C217" s="3" t="s">
        <v>253</v>
      </c>
      <c r="D217" s="3" t="n">
        <v>18</v>
      </c>
      <c r="E217" s="3" t="s">
        <v>127</v>
      </c>
      <c r="F217" s="3" t="s">
        <v>128</v>
      </c>
      <c r="G217" s="3" t="s">
        <v>128</v>
      </c>
      <c r="H217" s="3" t="s">
        <v>258</v>
      </c>
    </row>
    <row r="218" customFormat="false" ht="15" hidden="false" customHeight="false" outlineLevel="0" collapsed="false">
      <c r="A218" s="3" t="s">
        <v>252</v>
      </c>
      <c r="B218" s="3" t="n">
        <v>6</v>
      </c>
      <c r="C218" s="3" t="s">
        <v>253</v>
      </c>
      <c r="D218" s="3" t="n">
        <v>24</v>
      </c>
      <c r="E218" s="3" t="s">
        <v>127</v>
      </c>
      <c r="F218" s="3" t="s">
        <v>128</v>
      </c>
      <c r="G218" s="3" t="s">
        <v>128</v>
      </c>
      <c r="H218" s="3" t="s">
        <v>259</v>
      </c>
    </row>
    <row r="219" customFormat="false" ht="15" hidden="false" customHeight="false" outlineLevel="0" collapsed="false">
      <c r="A219" s="3" t="s">
        <v>252</v>
      </c>
      <c r="B219" s="3" t="n">
        <v>7</v>
      </c>
      <c r="C219" s="3" t="s">
        <v>253</v>
      </c>
      <c r="D219" s="3" t="n">
        <v>3</v>
      </c>
      <c r="E219" s="3" t="s">
        <v>127</v>
      </c>
      <c r="F219" s="3" t="s">
        <v>128</v>
      </c>
      <c r="G219" s="3" t="s">
        <v>128</v>
      </c>
      <c r="H219" s="3" t="s">
        <v>260</v>
      </c>
    </row>
    <row r="220" customFormat="false" ht="15" hidden="false" customHeight="false" outlineLevel="0" collapsed="false">
      <c r="A220" s="3" t="s">
        <v>252</v>
      </c>
      <c r="B220" s="3" t="n">
        <v>7</v>
      </c>
      <c r="C220" s="3" t="s">
        <v>253</v>
      </c>
      <c r="D220" s="3" t="n">
        <v>18</v>
      </c>
      <c r="E220" s="3" t="s">
        <v>130</v>
      </c>
      <c r="F220" s="3" t="s">
        <v>128</v>
      </c>
      <c r="G220" s="3" t="s">
        <v>128</v>
      </c>
      <c r="H220" s="3" t="s">
        <v>260</v>
      </c>
    </row>
    <row r="221" customFormat="false" ht="15" hidden="false" customHeight="false" outlineLevel="0" collapsed="false">
      <c r="A221" s="3" t="s">
        <v>252</v>
      </c>
      <c r="B221" s="3" t="n">
        <v>8</v>
      </c>
      <c r="C221" s="3" t="s">
        <v>253</v>
      </c>
      <c r="D221" s="3" t="n">
        <v>25</v>
      </c>
      <c r="E221" s="3" t="s">
        <v>127</v>
      </c>
      <c r="F221" s="3" t="s">
        <v>128</v>
      </c>
      <c r="G221" s="3" t="s">
        <v>128</v>
      </c>
      <c r="H221" s="3" t="s">
        <v>261</v>
      </c>
    </row>
    <row r="222" customFormat="false" ht="15" hidden="false" customHeight="false" outlineLevel="0" collapsed="false">
      <c r="A222" s="3" t="s">
        <v>252</v>
      </c>
      <c r="B222" s="3" t="n">
        <v>9</v>
      </c>
      <c r="C222" s="3" t="s">
        <v>253</v>
      </c>
      <c r="D222" s="3" t="n">
        <v>8</v>
      </c>
      <c r="E222" s="3" t="s">
        <v>127</v>
      </c>
      <c r="F222" s="3" t="s">
        <v>128</v>
      </c>
      <c r="G222" s="3" t="s">
        <v>128</v>
      </c>
      <c r="H222" s="3" t="s">
        <v>262</v>
      </c>
    </row>
    <row r="223" customFormat="false" ht="15" hidden="false" customHeight="false" outlineLevel="0" collapsed="false">
      <c r="A223" s="3" t="s">
        <v>252</v>
      </c>
      <c r="B223" s="3" t="n">
        <v>9</v>
      </c>
      <c r="C223" s="3" t="s">
        <v>253</v>
      </c>
      <c r="D223" s="3" t="n">
        <v>6</v>
      </c>
      <c r="E223" s="3" t="s">
        <v>130</v>
      </c>
      <c r="F223" s="3" t="s">
        <v>128</v>
      </c>
      <c r="G223" s="3" t="s">
        <v>128</v>
      </c>
      <c r="H223" s="3" t="s">
        <v>262</v>
      </c>
    </row>
    <row r="224" customFormat="false" ht="15" hidden="false" customHeight="false" outlineLevel="0" collapsed="false">
      <c r="A224" s="3" t="s">
        <v>252</v>
      </c>
      <c r="B224" s="3" t="n">
        <v>10</v>
      </c>
      <c r="C224" s="3" t="s">
        <v>253</v>
      </c>
      <c r="D224" s="3" t="n">
        <v>14</v>
      </c>
      <c r="E224" s="3" t="s">
        <v>127</v>
      </c>
      <c r="F224" s="3" t="s">
        <v>128</v>
      </c>
      <c r="G224" s="3" t="s">
        <v>128</v>
      </c>
      <c r="H224" s="3" t="s">
        <v>263</v>
      </c>
    </row>
    <row r="225" customFormat="false" ht="15" hidden="false" customHeight="false" outlineLevel="0" collapsed="false">
      <c r="A225" s="3" t="s">
        <v>252</v>
      </c>
      <c r="B225" s="3" t="n">
        <v>11</v>
      </c>
      <c r="C225" s="3" t="s">
        <v>253</v>
      </c>
      <c r="D225" s="3" t="n">
        <v>21</v>
      </c>
      <c r="E225" s="3" t="s">
        <v>127</v>
      </c>
      <c r="F225" s="3" t="s">
        <v>128</v>
      </c>
      <c r="G225" s="3" t="s">
        <v>128</v>
      </c>
      <c r="H225" s="3" t="s">
        <v>264</v>
      </c>
    </row>
    <row r="226" customFormat="false" ht="15" hidden="false" customHeight="false" outlineLevel="0" collapsed="false">
      <c r="A226" s="3" t="s">
        <v>252</v>
      </c>
      <c r="B226" s="3" t="n">
        <v>12</v>
      </c>
      <c r="C226" s="3" t="s">
        <v>253</v>
      </c>
      <c r="D226" s="3" t="n">
        <v>24</v>
      </c>
      <c r="E226" s="3" t="s">
        <v>127</v>
      </c>
      <c r="F226" s="3" t="s">
        <v>128</v>
      </c>
      <c r="G226" s="3" t="s">
        <v>128</v>
      </c>
      <c r="H226" s="3" t="s">
        <v>265</v>
      </c>
    </row>
    <row r="227" customFormat="false" ht="15" hidden="false" customHeight="false" outlineLevel="0" collapsed="false">
      <c r="A227" s="3" t="s">
        <v>252</v>
      </c>
      <c r="B227" s="3" t="n">
        <v>13</v>
      </c>
      <c r="C227" s="3" t="s">
        <v>253</v>
      </c>
      <c r="D227" s="3" t="n">
        <v>8</v>
      </c>
      <c r="E227" s="3" t="s">
        <v>127</v>
      </c>
      <c r="F227" s="3" t="s">
        <v>128</v>
      </c>
      <c r="G227" s="3" t="s">
        <v>128</v>
      </c>
      <c r="H227" s="3" t="s">
        <v>266</v>
      </c>
    </row>
    <row r="228" customFormat="false" ht="15" hidden="false" customHeight="false" outlineLevel="0" collapsed="false">
      <c r="A228" s="3" t="s">
        <v>252</v>
      </c>
      <c r="B228" s="3" t="n">
        <v>13</v>
      </c>
      <c r="C228" s="3" t="s">
        <v>253</v>
      </c>
      <c r="D228" s="3" t="n">
        <v>6</v>
      </c>
      <c r="E228" s="3" t="s">
        <v>130</v>
      </c>
      <c r="F228" s="3" t="s">
        <v>128</v>
      </c>
      <c r="G228" s="3" t="s">
        <v>128</v>
      </c>
      <c r="H228" s="3" t="s">
        <v>266</v>
      </c>
    </row>
    <row r="229" customFormat="false" ht="15" hidden="false" customHeight="false" outlineLevel="0" collapsed="false">
      <c r="A229" s="3" t="s">
        <v>252</v>
      </c>
      <c r="B229" s="3" t="n">
        <v>14</v>
      </c>
      <c r="C229" s="3" t="s">
        <v>253</v>
      </c>
      <c r="D229" s="3" t="n">
        <v>14</v>
      </c>
      <c r="E229" s="3" t="s">
        <v>127</v>
      </c>
      <c r="F229" s="3" t="s">
        <v>128</v>
      </c>
      <c r="G229" s="3" t="s">
        <v>128</v>
      </c>
      <c r="H229" s="3" t="s">
        <v>267</v>
      </c>
    </row>
    <row r="230" customFormat="false" ht="15" hidden="false" customHeight="false" outlineLevel="0" collapsed="false">
      <c r="A230" s="3" t="s">
        <v>252</v>
      </c>
      <c r="B230" s="3" t="n">
        <v>15</v>
      </c>
      <c r="C230" s="3" t="s">
        <v>253</v>
      </c>
      <c r="D230" s="3" t="n">
        <v>18</v>
      </c>
      <c r="E230" s="3" t="s">
        <v>127</v>
      </c>
      <c r="F230" s="3" t="s">
        <v>128</v>
      </c>
      <c r="G230" s="3" t="s">
        <v>128</v>
      </c>
      <c r="H230" s="3" t="s">
        <v>268</v>
      </c>
    </row>
    <row r="231" customFormat="false" ht="15" hidden="false" customHeight="false" outlineLevel="0" collapsed="false">
      <c r="A231" s="3" t="s">
        <v>252</v>
      </c>
      <c r="B231" s="3" t="n">
        <v>16</v>
      </c>
      <c r="C231" s="3" t="s">
        <v>253</v>
      </c>
      <c r="D231" s="3" t="n">
        <v>18</v>
      </c>
      <c r="E231" s="3" t="s">
        <v>127</v>
      </c>
      <c r="F231" s="3" t="s">
        <v>128</v>
      </c>
      <c r="G231" s="3" t="s">
        <v>128</v>
      </c>
      <c r="H231" s="3" t="s">
        <v>269</v>
      </c>
    </row>
    <row r="232" customFormat="false" ht="15" hidden="false" customHeight="false" outlineLevel="0" collapsed="false">
      <c r="A232" s="3" t="s">
        <v>252</v>
      </c>
      <c r="B232" s="3" t="n">
        <v>17</v>
      </c>
      <c r="C232" s="3" t="s">
        <v>253</v>
      </c>
      <c r="D232" s="3" t="n">
        <v>8</v>
      </c>
      <c r="E232" s="3" t="s">
        <v>127</v>
      </c>
      <c r="F232" s="3" t="s">
        <v>128</v>
      </c>
      <c r="G232" s="3" t="s">
        <v>128</v>
      </c>
      <c r="H232" s="3" t="s">
        <v>270</v>
      </c>
    </row>
    <row r="233" customFormat="false" ht="15" hidden="false" customHeight="false" outlineLevel="0" collapsed="false">
      <c r="A233" s="3" t="s">
        <v>252</v>
      </c>
      <c r="B233" s="3" t="n">
        <v>17</v>
      </c>
      <c r="C233" s="3" t="s">
        <v>253</v>
      </c>
      <c r="D233" s="3" t="n">
        <v>6</v>
      </c>
      <c r="E233" s="3" t="s">
        <v>130</v>
      </c>
      <c r="F233" s="3" t="s">
        <v>128</v>
      </c>
      <c r="G233" s="3" t="s">
        <v>128</v>
      </c>
      <c r="H233" s="3" t="s">
        <v>270</v>
      </c>
    </row>
    <row r="234" customFormat="false" ht="15" hidden="false" customHeight="false" outlineLevel="0" collapsed="false">
      <c r="A234" s="3" t="s">
        <v>252</v>
      </c>
      <c r="B234" s="3" t="n">
        <v>18</v>
      </c>
      <c r="C234" s="3" t="s">
        <v>253</v>
      </c>
      <c r="D234" s="3" t="n">
        <v>18</v>
      </c>
      <c r="E234" s="3" t="s">
        <v>127</v>
      </c>
      <c r="F234" s="3" t="s">
        <v>128</v>
      </c>
      <c r="G234" s="3" t="s">
        <v>128</v>
      </c>
      <c r="H234" s="3" t="s">
        <v>271</v>
      </c>
    </row>
    <row r="235" customFormat="false" ht="15" hidden="false" customHeight="false" outlineLevel="0" collapsed="false">
      <c r="A235" s="3" t="s">
        <v>252</v>
      </c>
      <c r="B235" s="3" t="n">
        <v>18</v>
      </c>
      <c r="C235" s="3" t="s">
        <v>253</v>
      </c>
      <c r="D235" s="3" t="n">
        <v>6</v>
      </c>
      <c r="E235" s="3" t="s">
        <v>130</v>
      </c>
      <c r="F235" s="3" t="s">
        <v>128</v>
      </c>
      <c r="G235" s="3" t="s">
        <v>128</v>
      </c>
      <c r="H235" s="3" t="s">
        <v>271</v>
      </c>
    </row>
    <row r="236" customFormat="false" ht="15" hidden="false" customHeight="false" outlineLevel="0" collapsed="false">
      <c r="A236" s="3" t="s">
        <v>252</v>
      </c>
      <c r="B236" s="3" t="n">
        <v>19</v>
      </c>
      <c r="C236" s="3" t="s">
        <v>253</v>
      </c>
      <c r="D236" s="3" t="n">
        <v>5</v>
      </c>
      <c r="E236" s="3" t="s">
        <v>127</v>
      </c>
      <c r="F236" s="3" t="s">
        <v>128</v>
      </c>
      <c r="G236" s="3" t="s">
        <v>128</v>
      </c>
      <c r="H236" s="3" t="s">
        <v>272</v>
      </c>
    </row>
    <row r="237" customFormat="false" ht="15" hidden="false" customHeight="false" outlineLevel="0" collapsed="false">
      <c r="A237" s="3" t="s">
        <v>252</v>
      </c>
      <c r="B237" s="3" t="n">
        <v>19</v>
      </c>
      <c r="C237" s="3" t="s">
        <v>253</v>
      </c>
      <c r="D237" s="3" t="n">
        <v>6</v>
      </c>
      <c r="E237" s="3" t="s">
        <v>130</v>
      </c>
      <c r="F237" s="3" t="s">
        <v>128</v>
      </c>
      <c r="G237" s="3" t="s">
        <v>128</v>
      </c>
      <c r="H237" s="3" t="s">
        <v>272</v>
      </c>
    </row>
    <row r="238" customFormat="false" ht="15" hidden="false" customHeight="false" outlineLevel="0" collapsed="false">
      <c r="A238" s="3" t="s">
        <v>252</v>
      </c>
      <c r="B238" s="3" t="n">
        <v>20</v>
      </c>
      <c r="C238" s="3" t="s">
        <v>253</v>
      </c>
      <c r="D238" s="3" t="n">
        <v>24</v>
      </c>
      <c r="E238" s="3" t="s">
        <v>127</v>
      </c>
      <c r="F238" s="3" t="s">
        <v>128</v>
      </c>
      <c r="G238" s="3" t="s">
        <v>128</v>
      </c>
      <c r="H238" s="3" t="s">
        <v>273</v>
      </c>
    </row>
    <row r="239" customFormat="false" ht="15" hidden="false" customHeight="false" outlineLevel="0" collapsed="false">
      <c r="A239" s="3" t="s">
        <v>252</v>
      </c>
      <c r="B239" s="3" t="n">
        <v>20</v>
      </c>
      <c r="C239" s="3" t="s">
        <v>253</v>
      </c>
      <c r="D239" s="3" t="n">
        <v>41</v>
      </c>
      <c r="E239" s="3" t="s">
        <v>130</v>
      </c>
      <c r="F239" s="3" t="s">
        <v>128</v>
      </c>
      <c r="G239" s="3" t="s">
        <v>128</v>
      </c>
      <c r="H239" s="3" t="s">
        <v>273</v>
      </c>
    </row>
    <row r="240" customFormat="false" ht="15" hidden="false" customHeight="false" outlineLevel="0" collapsed="false">
      <c r="A240" s="3" t="s">
        <v>274</v>
      </c>
      <c r="B240" s="3" t="n">
        <v>1</v>
      </c>
      <c r="C240" s="3" t="s">
        <v>253</v>
      </c>
      <c r="D240" s="3" t="n">
        <v>44</v>
      </c>
      <c r="E240" s="3" t="s">
        <v>127</v>
      </c>
      <c r="F240" s="3" t="s">
        <v>128</v>
      </c>
      <c r="G240" s="3" t="s">
        <v>128</v>
      </c>
      <c r="H240" s="3" t="s">
        <v>275</v>
      </c>
    </row>
    <row r="241" customFormat="false" ht="15" hidden="false" customHeight="false" outlineLevel="0" collapsed="false">
      <c r="A241" s="3" t="s">
        <v>274</v>
      </c>
      <c r="B241" s="3" t="n">
        <v>2</v>
      </c>
      <c r="C241" s="3" t="s">
        <v>253</v>
      </c>
      <c r="D241" s="3" t="n">
        <v>31</v>
      </c>
      <c r="E241" s="3" t="s">
        <v>127</v>
      </c>
      <c r="F241" s="3" t="s">
        <v>128</v>
      </c>
      <c r="G241" s="3" t="s">
        <v>128</v>
      </c>
      <c r="H241" s="3" t="s">
        <v>276</v>
      </c>
    </row>
    <row r="242" customFormat="false" ht="15" hidden="false" customHeight="false" outlineLevel="0" collapsed="false">
      <c r="A242" s="3" t="s">
        <v>274</v>
      </c>
      <c r="B242" s="3" t="n">
        <v>2</v>
      </c>
      <c r="C242" s="3" t="s">
        <v>253</v>
      </c>
      <c r="D242" s="3" t="n">
        <v>32</v>
      </c>
      <c r="E242" s="3" t="s">
        <v>130</v>
      </c>
      <c r="F242" s="3" t="s">
        <v>128</v>
      </c>
      <c r="G242" s="3" t="s">
        <v>128</v>
      </c>
      <c r="H242" s="3" t="s">
        <v>276</v>
      </c>
    </row>
    <row r="243" customFormat="false" ht="15" hidden="false" customHeight="false" outlineLevel="0" collapsed="false">
      <c r="A243" s="3" t="s">
        <v>274</v>
      </c>
      <c r="B243" s="3" t="n">
        <v>2</v>
      </c>
      <c r="C243" s="3" t="s">
        <v>253</v>
      </c>
      <c r="D243" s="3" t="n">
        <v>74</v>
      </c>
      <c r="E243" s="3" t="s">
        <v>130</v>
      </c>
      <c r="F243" s="3" t="s">
        <v>128</v>
      </c>
      <c r="G243" s="3" t="s">
        <v>128</v>
      </c>
      <c r="H243" s="3" t="s">
        <v>276</v>
      </c>
    </row>
    <row r="244" customFormat="false" ht="15" hidden="false" customHeight="false" outlineLevel="0" collapsed="false">
      <c r="A244" s="3" t="s">
        <v>274</v>
      </c>
      <c r="B244" s="3" t="n">
        <v>3</v>
      </c>
      <c r="C244" s="3" t="s">
        <v>253</v>
      </c>
      <c r="D244" s="3" t="n">
        <v>41</v>
      </c>
      <c r="E244" s="3" t="s">
        <v>127</v>
      </c>
      <c r="F244" s="3" t="s">
        <v>128</v>
      </c>
      <c r="G244" s="3" t="s">
        <v>128</v>
      </c>
      <c r="H244" s="3" t="s">
        <v>277</v>
      </c>
    </row>
    <row r="245" customFormat="false" ht="15" hidden="false" customHeight="false" outlineLevel="0" collapsed="false">
      <c r="A245" s="3" t="s">
        <v>274</v>
      </c>
      <c r="B245" s="3" t="n">
        <v>3</v>
      </c>
      <c r="C245" s="3" t="s">
        <v>253</v>
      </c>
      <c r="D245" s="3" t="n">
        <v>6</v>
      </c>
      <c r="E245" s="3" t="s">
        <v>130</v>
      </c>
      <c r="F245" s="3" t="s">
        <v>128</v>
      </c>
      <c r="G245" s="3" t="s">
        <v>128</v>
      </c>
      <c r="H245" s="3" t="s">
        <v>277</v>
      </c>
    </row>
    <row r="246" customFormat="false" ht="15" hidden="false" customHeight="false" outlineLevel="0" collapsed="false">
      <c r="A246" s="3" t="s">
        <v>274</v>
      </c>
      <c r="B246" s="3" t="n">
        <v>4</v>
      </c>
      <c r="C246" s="3" t="s">
        <v>253</v>
      </c>
      <c r="D246" s="3" t="n">
        <v>44</v>
      </c>
      <c r="E246" s="3" t="s">
        <v>127</v>
      </c>
      <c r="F246" s="3" t="s">
        <v>128</v>
      </c>
      <c r="G246" s="3" t="s">
        <v>128</v>
      </c>
      <c r="H246" s="3" t="s">
        <v>278</v>
      </c>
    </row>
    <row r="247" customFormat="false" ht="15" hidden="false" customHeight="false" outlineLevel="0" collapsed="false">
      <c r="A247" s="3" t="s">
        <v>274</v>
      </c>
      <c r="B247" s="3" t="n">
        <v>4</v>
      </c>
      <c r="C247" s="3" t="s">
        <v>253</v>
      </c>
      <c r="D247" s="3" t="n">
        <v>8</v>
      </c>
      <c r="E247" s="3" t="s">
        <v>130</v>
      </c>
      <c r="F247" s="3" t="s">
        <v>128</v>
      </c>
      <c r="G247" s="3" t="s">
        <v>128</v>
      </c>
      <c r="H247" s="3" t="s">
        <v>278</v>
      </c>
    </row>
    <row r="248" customFormat="false" ht="15" hidden="false" customHeight="false" outlineLevel="0" collapsed="false">
      <c r="A248" s="3" t="s">
        <v>274</v>
      </c>
      <c r="B248" s="3" t="n">
        <v>5</v>
      </c>
      <c r="C248" s="3" t="s">
        <v>253</v>
      </c>
      <c r="D248" s="3" t="n">
        <v>39</v>
      </c>
      <c r="E248" s="3" t="s">
        <v>127</v>
      </c>
      <c r="F248" s="3" t="s">
        <v>128</v>
      </c>
      <c r="G248" s="3" t="s">
        <v>128</v>
      </c>
      <c r="H248" s="3" t="s">
        <v>279</v>
      </c>
    </row>
    <row r="249" customFormat="false" ht="15" hidden="false" customHeight="false" outlineLevel="0" collapsed="false">
      <c r="A249" s="3" t="s">
        <v>274</v>
      </c>
      <c r="B249" s="3" t="n">
        <v>5</v>
      </c>
      <c r="C249" s="3" t="s">
        <v>253</v>
      </c>
      <c r="D249" s="3" t="n">
        <v>76</v>
      </c>
      <c r="E249" s="3" t="s">
        <v>130</v>
      </c>
      <c r="F249" s="3" t="s">
        <v>128</v>
      </c>
      <c r="G249" s="3" t="s">
        <v>128</v>
      </c>
      <c r="H249" s="3" t="s">
        <v>279</v>
      </c>
    </row>
    <row r="250" customFormat="false" ht="15" hidden="false" customHeight="false" outlineLevel="0" collapsed="false">
      <c r="A250" s="3" t="s">
        <v>274</v>
      </c>
      <c r="B250" s="3" t="n">
        <v>6</v>
      </c>
      <c r="C250" s="3" t="s">
        <v>253</v>
      </c>
      <c r="D250" s="3" t="n">
        <v>52</v>
      </c>
      <c r="E250" s="3" t="s">
        <v>127</v>
      </c>
      <c r="F250" s="3" t="s">
        <v>128</v>
      </c>
      <c r="G250" s="3" t="s">
        <v>128</v>
      </c>
      <c r="H250" s="3" t="s">
        <v>280</v>
      </c>
    </row>
    <row r="251" customFormat="false" ht="15" hidden="false" customHeight="false" outlineLevel="0" collapsed="false">
      <c r="A251" s="3" t="s">
        <v>274</v>
      </c>
      <c r="B251" s="3" t="n">
        <v>7</v>
      </c>
      <c r="C251" s="3" t="s">
        <v>253</v>
      </c>
      <c r="D251" s="3" t="n">
        <v>45</v>
      </c>
      <c r="E251" s="3" t="s">
        <v>127</v>
      </c>
      <c r="F251" s="3" t="s">
        <v>128</v>
      </c>
      <c r="G251" s="3" t="s">
        <v>128</v>
      </c>
      <c r="H251" s="3" t="s">
        <v>281</v>
      </c>
    </row>
    <row r="252" customFormat="false" ht="15" hidden="false" customHeight="false" outlineLevel="0" collapsed="false">
      <c r="A252" s="3" t="s">
        <v>274</v>
      </c>
      <c r="B252" s="3" t="n">
        <v>7</v>
      </c>
      <c r="C252" s="3" t="s">
        <v>253</v>
      </c>
      <c r="D252" s="3" t="n">
        <v>39</v>
      </c>
      <c r="E252" s="3" t="s">
        <v>130</v>
      </c>
      <c r="F252" s="3" t="s">
        <v>128</v>
      </c>
      <c r="G252" s="3" t="s">
        <v>128</v>
      </c>
      <c r="H252" s="3" t="s">
        <v>281</v>
      </c>
    </row>
    <row r="253" customFormat="false" ht="15" hidden="false" customHeight="false" outlineLevel="0" collapsed="false">
      <c r="A253" s="3" t="s">
        <v>274</v>
      </c>
      <c r="B253" s="3" t="n">
        <v>8</v>
      </c>
      <c r="C253" s="3" t="s">
        <v>253</v>
      </c>
      <c r="D253" s="3" t="n">
        <v>48</v>
      </c>
      <c r="E253" s="3" t="s">
        <v>127</v>
      </c>
      <c r="F253" s="3" t="s">
        <v>128</v>
      </c>
      <c r="G253" s="3" t="s">
        <v>128</v>
      </c>
      <c r="H253" s="3" t="s">
        <v>282</v>
      </c>
    </row>
    <row r="254" customFormat="false" ht="15" hidden="false" customHeight="false" outlineLevel="0" collapsed="false">
      <c r="A254" s="3" t="s">
        <v>274</v>
      </c>
      <c r="B254" s="3" t="n">
        <v>9</v>
      </c>
      <c r="C254" s="3" t="s">
        <v>253</v>
      </c>
      <c r="D254" s="3" t="n">
        <v>48</v>
      </c>
      <c r="E254" s="3" t="s">
        <v>127</v>
      </c>
      <c r="F254" s="3" t="s">
        <v>128</v>
      </c>
      <c r="G254" s="3" t="s">
        <v>128</v>
      </c>
      <c r="H254" s="3" t="s">
        <v>283</v>
      </c>
    </row>
    <row r="255" customFormat="false" ht="15" hidden="false" customHeight="false" outlineLevel="0" collapsed="false">
      <c r="A255" s="3" t="s">
        <v>274</v>
      </c>
      <c r="B255" s="3" t="n">
        <v>10</v>
      </c>
      <c r="C255" s="3" t="s">
        <v>253</v>
      </c>
      <c r="D255" s="3" t="n">
        <v>53</v>
      </c>
      <c r="E255" s="3" t="s">
        <v>127</v>
      </c>
      <c r="F255" s="3" t="s">
        <v>128</v>
      </c>
      <c r="G255" s="3" t="s">
        <v>128</v>
      </c>
      <c r="H255" s="3" t="s">
        <v>284</v>
      </c>
    </row>
    <row r="256" customFormat="false" ht="15" hidden="false" customHeight="false" outlineLevel="0" collapsed="false">
      <c r="A256" s="3" t="s">
        <v>274</v>
      </c>
      <c r="B256" s="3" t="n">
        <v>10</v>
      </c>
      <c r="C256" s="3" t="s">
        <v>253</v>
      </c>
      <c r="D256" s="3" t="n">
        <v>18</v>
      </c>
      <c r="E256" s="3" t="s">
        <v>130</v>
      </c>
      <c r="F256" s="3" t="s">
        <v>128</v>
      </c>
      <c r="G256" s="3" t="s">
        <v>128</v>
      </c>
      <c r="H256" s="3" t="s">
        <v>284</v>
      </c>
    </row>
    <row r="257" customFormat="false" ht="15" hidden="false" customHeight="false" outlineLevel="0" collapsed="false">
      <c r="A257" s="3" t="s">
        <v>274</v>
      </c>
      <c r="B257" s="3" t="n">
        <v>11</v>
      </c>
      <c r="C257" s="3" t="s">
        <v>253</v>
      </c>
      <c r="D257" s="3" t="n">
        <v>51</v>
      </c>
      <c r="E257" s="3" t="s">
        <v>127</v>
      </c>
      <c r="F257" s="3" t="s">
        <v>128</v>
      </c>
      <c r="G257" s="3" t="s">
        <v>128</v>
      </c>
      <c r="H257" s="3" t="s">
        <v>285</v>
      </c>
    </row>
    <row r="258" customFormat="false" ht="15" hidden="false" customHeight="false" outlineLevel="0" collapsed="false">
      <c r="A258" s="3" t="s">
        <v>274</v>
      </c>
      <c r="B258" s="3" t="n">
        <v>12</v>
      </c>
      <c r="C258" s="3" t="s">
        <v>253</v>
      </c>
      <c r="D258" s="3" t="n">
        <v>39</v>
      </c>
      <c r="E258" s="3" t="s">
        <v>127</v>
      </c>
      <c r="F258" s="3" t="s">
        <v>128</v>
      </c>
      <c r="G258" s="3" t="s">
        <v>128</v>
      </c>
      <c r="H258" s="3" t="s">
        <v>286</v>
      </c>
    </row>
    <row r="259" customFormat="false" ht="15" hidden="false" customHeight="false" outlineLevel="0" collapsed="false">
      <c r="A259" s="3" t="s">
        <v>274</v>
      </c>
      <c r="B259" s="3" t="n">
        <v>13</v>
      </c>
      <c r="C259" s="3" t="s">
        <v>253</v>
      </c>
      <c r="D259" s="3" t="n">
        <v>47</v>
      </c>
      <c r="E259" s="3" t="s">
        <v>127</v>
      </c>
      <c r="F259" s="3" t="s">
        <v>128</v>
      </c>
      <c r="G259" s="3" t="s">
        <v>128</v>
      </c>
      <c r="H259" s="3" t="s">
        <v>287</v>
      </c>
    </row>
    <row r="260" customFormat="false" ht="15" hidden="false" customHeight="false" outlineLevel="0" collapsed="false">
      <c r="A260" s="3" t="s">
        <v>274</v>
      </c>
      <c r="B260" s="3" t="n">
        <v>13</v>
      </c>
      <c r="C260" s="3" t="s">
        <v>253</v>
      </c>
      <c r="D260" s="3" t="n">
        <v>24</v>
      </c>
      <c r="E260" s="3" t="s">
        <v>130</v>
      </c>
      <c r="F260" s="3" t="s">
        <v>128</v>
      </c>
      <c r="G260" s="3" t="s">
        <v>128</v>
      </c>
      <c r="H260" s="3" t="s">
        <v>287</v>
      </c>
    </row>
    <row r="261" customFormat="false" ht="15" hidden="false" customHeight="false" outlineLevel="0" collapsed="false">
      <c r="A261" s="3" t="s">
        <v>274</v>
      </c>
      <c r="B261" s="3" t="n">
        <v>14</v>
      </c>
      <c r="C261" s="3" t="s">
        <v>253</v>
      </c>
      <c r="D261" s="3" t="n">
        <v>24</v>
      </c>
      <c r="E261" s="3" t="s">
        <v>127</v>
      </c>
      <c r="F261" s="3" t="s">
        <v>128</v>
      </c>
      <c r="G261" s="3" t="s">
        <v>128</v>
      </c>
      <c r="H261" s="3" t="s">
        <v>288</v>
      </c>
    </row>
    <row r="262" customFormat="false" ht="15" hidden="false" customHeight="false" outlineLevel="0" collapsed="false">
      <c r="A262" s="3" t="s">
        <v>274</v>
      </c>
      <c r="B262" s="3" t="n">
        <v>14</v>
      </c>
      <c r="C262" s="3" t="s">
        <v>253</v>
      </c>
      <c r="D262" s="3" t="n">
        <v>8</v>
      </c>
      <c r="E262" s="3" t="s">
        <v>130</v>
      </c>
      <c r="F262" s="3" t="s">
        <v>128</v>
      </c>
      <c r="G262" s="3" t="s">
        <v>128</v>
      </c>
      <c r="H262" s="3" t="s">
        <v>288</v>
      </c>
    </row>
    <row r="263" customFormat="false" ht="15" hidden="false" customHeight="false" outlineLevel="0" collapsed="false">
      <c r="A263" s="3" t="s">
        <v>274</v>
      </c>
      <c r="B263" s="3" t="n">
        <v>15</v>
      </c>
      <c r="C263" s="3" t="s">
        <v>253</v>
      </c>
      <c r="D263" s="3" t="n">
        <v>24</v>
      </c>
      <c r="E263" s="3" t="s">
        <v>127</v>
      </c>
      <c r="F263" s="3" t="s">
        <v>128</v>
      </c>
      <c r="G263" s="3" t="s">
        <v>128</v>
      </c>
      <c r="H263" s="3" t="s">
        <v>289</v>
      </c>
    </row>
    <row r="264" customFormat="false" ht="15" hidden="false" customHeight="false" outlineLevel="0" collapsed="false">
      <c r="A264" s="3" t="s">
        <v>274</v>
      </c>
      <c r="B264" s="3" t="n">
        <v>15</v>
      </c>
      <c r="C264" s="3" t="s">
        <v>253</v>
      </c>
      <c r="D264" s="3" t="n">
        <v>6</v>
      </c>
      <c r="E264" s="3" t="s">
        <v>130</v>
      </c>
      <c r="F264" s="3" t="s">
        <v>128</v>
      </c>
      <c r="G264" s="3" t="s">
        <v>128</v>
      </c>
      <c r="H264" s="3" t="s">
        <v>289</v>
      </c>
    </row>
    <row r="265" customFormat="false" ht="15" hidden="false" customHeight="false" outlineLevel="0" collapsed="false">
      <c r="A265" s="3" t="s">
        <v>274</v>
      </c>
      <c r="B265" s="3" t="n">
        <v>18</v>
      </c>
      <c r="C265" s="3" t="s">
        <v>253</v>
      </c>
      <c r="D265" s="3" t="n">
        <v>19</v>
      </c>
      <c r="E265" s="3" t="s">
        <v>127</v>
      </c>
      <c r="F265" s="3" t="s">
        <v>128</v>
      </c>
      <c r="G265" s="3" t="s">
        <v>128</v>
      </c>
      <c r="H265" s="3" t="s">
        <v>290</v>
      </c>
    </row>
    <row r="266" customFormat="false" ht="15" hidden="false" customHeight="false" outlineLevel="0" collapsed="false">
      <c r="A266" s="3" t="s">
        <v>274</v>
      </c>
      <c r="B266" s="3" t="n">
        <v>18</v>
      </c>
      <c r="C266" s="3" t="s">
        <v>253</v>
      </c>
      <c r="D266" s="3" t="n">
        <v>6</v>
      </c>
      <c r="E266" s="3" t="s">
        <v>130</v>
      </c>
      <c r="F266" s="3" t="s">
        <v>128</v>
      </c>
      <c r="G266" s="3" t="s">
        <v>128</v>
      </c>
      <c r="H266" s="3" t="s">
        <v>290</v>
      </c>
    </row>
    <row r="267" customFormat="false" ht="15" hidden="false" customHeight="false" outlineLevel="0" collapsed="false">
      <c r="A267" s="3" t="s">
        <v>274</v>
      </c>
      <c r="B267" s="3" t="n">
        <v>18</v>
      </c>
      <c r="C267" s="3" t="s">
        <v>253</v>
      </c>
      <c r="D267" s="3" t="n">
        <v>31</v>
      </c>
      <c r="E267" s="3" t="s">
        <v>130</v>
      </c>
      <c r="F267" s="3" t="s">
        <v>128</v>
      </c>
      <c r="G267" s="3" t="s">
        <v>128</v>
      </c>
      <c r="H267" s="3" t="s">
        <v>290</v>
      </c>
    </row>
    <row r="268" customFormat="false" ht="15" hidden="false" customHeight="false" outlineLevel="0" collapsed="false">
      <c r="A268" s="3" t="s">
        <v>291</v>
      </c>
      <c r="B268" s="3" t="n">
        <v>1</v>
      </c>
      <c r="C268" s="3" t="s">
        <v>253</v>
      </c>
      <c r="D268" s="3" t="n">
        <v>58</v>
      </c>
      <c r="E268" s="3" t="s">
        <v>127</v>
      </c>
      <c r="F268" s="3" t="s">
        <v>128</v>
      </c>
      <c r="G268" s="3" t="s">
        <v>128</v>
      </c>
      <c r="H268" s="3" t="s">
        <v>292</v>
      </c>
    </row>
    <row r="269" customFormat="false" ht="15" hidden="false" customHeight="false" outlineLevel="0" collapsed="false">
      <c r="A269" s="3" t="s">
        <v>291</v>
      </c>
      <c r="B269" s="3" t="n">
        <v>3</v>
      </c>
      <c r="C269" s="3" t="s">
        <v>253</v>
      </c>
      <c r="D269" s="3" t="n">
        <v>63</v>
      </c>
      <c r="E269" s="3" t="s">
        <v>127</v>
      </c>
      <c r="F269" s="3" t="s">
        <v>128</v>
      </c>
      <c r="G269" s="3" t="s">
        <v>128</v>
      </c>
      <c r="H269" s="3" t="s">
        <v>293</v>
      </c>
    </row>
    <row r="270" customFormat="false" ht="15" hidden="false" customHeight="false" outlineLevel="0" collapsed="false">
      <c r="A270" s="3" t="s">
        <v>291</v>
      </c>
      <c r="B270" s="3" t="n">
        <v>3</v>
      </c>
      <c r="C270" s="3" t="s">
        <v>253</v>
      </c>
      <c r="D270" s="3" t="n">
        <v>60</v>
      </c>
      <c r="E270" s="3" t="s">
        <v>130</v>
      </c>
      <c r="F270" s="3" t="s">
        <v>128</v>
      </c>
      <c r="G270" s="3" t="s">
        <v>128</v>
      </c>
      <c r="H270" s="3" t="s">
        <v>293</v>
      </c>
    </row>
    <row r="271" customFormat="false" ht="15" hidden="false" customHeight="false" outlineLevel="0" collapsed="false">
      <c r="A271" s="3" t="s">
        <v>291</v>
      </c>
      <c r="B271" s="3" t="n">
        <v>4</v>
      </c>
      <c r="C271" s="3" t="s">
        <v>253</v>
      </c>
      <c r="D271" s="3" t="n">
        <v>55</v>
      </c>
      <c r="E271" s="3" t="s">
        <v>127</v>
      </c>
      <c r="F271" s="3" t="s">
        <v>128</v>
      </c>
      <c r="G271" s="3" t="s">
        <v>128</v>
      </c>
      <c r="H271" s="3" t="s">
        <v>294</v>
      </c>
    </row>
    <row r="272" customFormat="false" ht="15" hidden="false" customHeight="false" outlineLevel="0" collapsed="false">
      <c r="A272" s="3" t="s">
        <v>291</v>
      </c>
      <c r="B272" s="3" t="n">
        <v>5</v>
      </c>
      <c r="C272" s="3" t="s">
        <v>253</v>
      </c>
      <c r="D272" s="3" t="n">
        <v>69</v>
      </c>
      <c r="E272" s="3" t="s">
        <v>127</v>
      </c>
      <c r="F272" s="3" t="s">
        <v>128</v>
      </c>
      <c r="G272" s="3" t="s">
        <v>128</v>
      </c>
      <c r="H272" s="3" t="s">
        <v>295</v>
      </c>
    </row>
    <row r="273" customFormat="false" ht="15" hidden="false" customHeight="false" outlineLevel="0" collapsed="false">
      <c r="A273" s="3" t="s">
        <v>291</v>
      </c>
      <c r="B273" s="3" t="n">
        <v>6</v>
      </c>
      <c r="C273" s="3" t="s">
        <v>253</v>
      </c>
      <c r="D273" s="3" t="n">
        <v>80</v>
      </c>
      <c r="E273" s="3" t="s">
        <v>127</v>
      </c>
      <c r="F273" s="3" t="s">
        <v>128</v>
      </c>
      <c r="G273" s="3" t="s">
        <v>128</v>
      </c>
      <c r="H273" s="3" t="s">
        <v>296</v>
      </c>
    </row>
    <row r="274" customFormat="false" ht="15" hidden="false" customHeight="false" outlineLevel="0" collapsed="false">
      <c r="A274" s="3" t="s">
        <v>291</v>
      </c>
      <c r="B274" s="3" t="n">
        <v>6</v>
      </c>
      <c r="C274" s="3" t="s">
        <v>253</v>
      </c>
      <c r="D274" s="3" t="n">
        <v>6</v>
      </c>
      <c r="E274" s="3" t="s">
        <v>130</v>
      </c>
      <c r="F274" s="3" t="s">
        <v>128</v>
      </c>
      <c r="G274" s="3" t="s">
        <v>128</v>
      </c>
      <c r="H274" s="3" t="s">
        <v>296</v>
      </c>
    </row>
    <row r="275" customFormat="false" ht="15" hidden="false" customHeight="false" outlineLevel="0" collapsed="false">
      <c r="A275" s="3" t="s">
        <v>291</v>
      </c>
      <c r="B275" s="3" t="n">
        <v>7</v>
      </c>
      <c r="C275" s="3" t="s">
        <v>253</v>
      </c>
      <c r="D275" s="3" t="n">
        <v>82</v>
      </c>
      <c r="E275" s="3" t="s">
        <v>127</v>
      </c>
      <c r="F275" s="3" t="s">
        <v>128</v>
      </c>
      <c r="G275" s="3" t="s">
        <v>128</v>
      </c>
      <c r="H275" s="3" t="s">
        <v>297</v>
      </c>
    </row>
    <row r="276" customFormat="false" ht="15" hidden="false" customHeight="false" outlineLevel="0" collapsed="false">
      <c r="A276" s="3" t="s">
        <v>291</v>
      </c>
      <c r="B276" s="3" t="n">
        <v>8</v>
      </c>
      <c r="C276" s="3" t="s">
        <v>253</v>
      </c>
      <c r="D276" s="3" t="n">
        <v>82</v>
      </c>
      <c r="E276" s="3" t="s">
        <v>127</v>
      </c>
      <c r="F276" s="3" t="s">
        <v>128</v>
      </c>
      <c r="G276" s="3" t="s">
        <v>128</v>
      </c>
      <c r="H276" s="3" t="s">
        <v>298</v>
      </c>
    </row>
    <row r="277" customFormat="false" ht="15" hidden="false" customHeight="false" outlineLevel="0" collapsed="false">
      <c r="A277" s="3" t="s">
        <v>291</v>
      </c>
      <c r="B277" s="3" t="n">
        <v>9</v>
      </c>
      <c r="C277" s="3" t="s">
        <v>253</v>
      </c>
      <c r="D277" s="3" t="n">
        <v>83</v>
      </c>
      <c r="E277" s="3" t="s">
        <v>127</v>
      </c>
      <c r="F277" s="3" t="s">
        <v>128</v>
      </c>
      <c r="G277" s="3" t="s">
        <v>128</v>
      </c>
      <c r="H277" s="3" t="s">
        <v>299</v>
      </c>
    </row>
    <row r="278" customFormat="false" ht="15" hidden="false" customHeight="false" outlineLevel="0" collapsed="false">
      <c r="A278" s="3" t="s">
        <v>291</v>
      </c>
      <c r="B278" s="3" t="n">
        <v>10</v>
      </c>
      <c r="C278" s="3" t="s">
        <v>253</v>
      </c>
      <c r="D278" s="3" t="n">
        <v>82</v>
      </c>
      <c r="E278" s="3" t="s">
        <v>127</v>
      </c>
      <c r="F278" s="3" t="s">
        <v>128</v>
      </c>
      <c r="G278" s="3" t="s">
        <v>128</v>
      </c>
      <c r="H278" s="3" t="s">
        <v>300</v>
      </c>
    </row>
    <row r="279" customFormat="false" ht="15" hidden="false" customHeight="false" outlineLevel="0" collapsed="false">
      <c r="A279" s="3" t="s">
        <v>291</v>
      </c>
      <c r="B279" s="3" t="n">
        <v>11</v>
      </c>
      <c r="C279" s="3" t="s">
        <v>253</v>
      </c>
      <c r="D279" s="3" t="n">
        <v>82</v>
      </c>
      <c r="E279" s="3" t="s">
        <v>127</v>
      </c>
      <c r="F279" s="3" t="s">
        <v>128</v>
      </c>
      <c r="G279" s="3" t="s">
        <v>128</v>
      </c>
      <c r="H279" s="3" t="s">
        <v>301</v>
      </c>
    </row>
    <row r="280" customFormat="false" ht="15" hidden="false" customHeight="false" outlineLevel="0" collapsed="false">
      <c r="A280" s="3" t="s">
        <v>291</v>
      </c>
      <c r="B280" s="3" t="n">
        <v>12</v>
      </c>
      <c r="C280" s="3" t="s">
        <v>253</v>
      </c>
      <c r="D280" s="3" t="n">
        <v>83</v>
      </c>
      <c r="E280" s="3" t="s">
        <v>127</v>
      </c>
      <c r="F280" s="3" t="s">
        <v>128</v>
      </c>
      <c r="G280" s="3" t="s">
        <v>128</v>
      </c>
      <c r="H280" s="3" t="s">
        <v>302</v>
      </c>
    </row>
    <row r="281" customFormat="false" ht="15" hidden="false" customHeight="false" outlineLevel="0" collapsed="false">
      <c r="A281" s="3" t="s">
        <v>291</v>
      </c>
      <c r="B281" s="3" t="n">
        <v>13</v>
      </c>
      <c r="C281" s="3" t="s">
        <v>253</v>
      </c>
      <c r="D281" s="3" t="n">
        <v>47</v>
      </c>
      <c r="E281" s="3" t="s">
        <v>127</v>
      </c>
      <c r="F281" s="3" t="s">
        <v>128</v>
      </c>
      <c r="G281" s="3" t="s">
        <v>128</v>
      </c>
      <c r="H281" s="3" t="s">
        <v>303</v>
      </c>
    </row>
    <row r="282" customFormat="false" ht="15" hidden="false" customHeight="false" outlineLevel="0" collapsed="false">
      <c r="A282" s="3" t="s">
        <v>291</v>
      </c>
      <c r="B282" s="3" t="n">
        <v>13</v>
      </c>
      <c r="C282" s="3" t="s">
        <v>253</v>
      </c>
      <c r="D282" s="3" t="n">
        <v>56</v>
      </c>
      <c r="E282" s="3" t="s">
        <v>130</v>
      </c>
      <c r="F282" s="3" t="s">
        <v>128</v>
      </c>
      <c r="G282" s="3" t="s">
        <v>128</v>
      </c>
      <c r="H282" s="3" t="s">
        <v>303</v>
      </c>
    </row>
    <row r="283" customFormat="false" ht="15" hidden="false" customHeight="false" outlineLevel="0" collapsed="false">
      <c r="A283" s="3" t="s">
        <v>291</v>
      </c>
      <c r="B283" s="3" t="n">
        <v>14</v>
      </c>
      <c r="C283" s="3" t="s">
        <v>253</v>
      </c>
      <c r="D283" s="3" t="n">
        <v>39</v>
      </c>
      <c r="E283" s="3" t="s">
        <v>127</v>
      </c>
      <c r="F283" s="3" t="s">
        <v>128</v>
      </c>
      <c r="G283" s="3" t="s">
        <v>128</v>
      </c>
      <c r="H283" s="3" t="s">
        <v>304</v>
      </c>
    </row>
    <row r="284" customFormat="false" ht="15" hidden="false" customHeight="false" outlineLevel="0" collapsed="false">
      <c r="A284" s="3" t="s">
        <v>305</v>
      </c>
      <c r="B284" s="3" t="n">
        <v>111</v>
      </c>
      <c r="C284" s="3" t="s">
        <v>306</v>
      </c>
      <c r="D284" s="3" t="n">
        <v>18</v>
      </c>
      <c r="E284" s="3" t="s">
        <v>127</v>
      </c>
      <c r="F284" s="3" t="s">
        <v>176</v>
      </c>
      <c r="G284" s="3" t="s">
        <v>176</v>
      </c>
      <c r="H284" s="3" t="s">
        <v>307</v>
      </c>
    </row>
    <row r="285" customFormat="false" ht="15" hidden="false" customHeight="false" outlineLevel="0" collapsed="false">
      <c r="A285" s="3" t="s">
        <v>305</v>
      </c>
      <c r="B285" s="3" t="n">
        <v>111</v>
      </c>
      <c r="C285" s="3" t="s">
        <v>306</v>
      </c>
      <c r="D285" s="3" t="n">
        <v>8</v>
      </c>
      <c r="E285" s="3" t="s">
        <v>130</v>
      </c>
      <c r="F285" s="3" t="s">
        <v>176</v>
      </c>
      <c r="G285" s="3" t="s">
        <v>176</v>
      </c>
      <c r="H285" s="3" t="s">
        <v>307</v>
      </c>
    </row>
    <row r="286" customFormat="false" ht="15" hidden="false" customHeight="false" outlineLevel="0" collapsed="false">
      <c r="A286" s="3" t="s">
        <v>305</v>
      </c>
      <c r="B286" s="3" t="n">
        <v>111</v>
      </c>
      <c r="C286" s="3" t="s">
        <v>306</v>
      </c>
      <c r="D286" s="3" t="n">
        <v>6</v>
      </c>
      <c r="E286" s="3" t="s">
        <v>130</v>
      </c>
      <c r="F286" s="3" t="s">
        <v>176</v>
      </c>
      <c r="G286" s="3" t="s">
        <v>176</v>
      </c>
      <c r="H286" s="3" t="s">
        <v>307</v>
      </c>
    </row>
    <row r="287" customFormat="false" ht="15" hidden="false" customHeight="false" outlineLevel="0" collapsed="false">
      <c r="A287" s="3" t="s">
        <v>305</v>
      </c>
      <c r="B287" s="3" t="n">
        <v>112</v>
      </c>
      <c r="C287" s="3" t="s">
        <v>306</v>
      </c>
      <c r="D287" s="3" t="n">
        <v>10</v>
      </c>
      <c r="E287" s="3" t="s">
        <v>127</v>
      </c>
      <c r="F287" s="3" t="s">
        <v>176</v>
      </c>
      <c r="G287" s="3" t="s">
        <v>176</v>
      </c>
      <c r="H287" s="3" t="s">
        <v>308</v>
      </c>
    </row>
    <row r="288" customFormat="false" ht="15" hidden="false" customHeight="false" outlineLevel="0" collapsed="false">
      <c r="A288" s="3" t="s">
        <v>305</v>
      </c>
      <c r="B288" s="3" t="n">
        <v>112</v>
      </c>
      <c r="C288" s="3" t="s">
        <v>306</v>
      </c>
      <c r="D288" s="3" t="n">
        <v>8</v>
      </c>
      <c r="E288" s="3" t="s">
        <v>130</v>
      </c>
      <c r="F288" s="3" t="s">
        <v>176</v>
      </c>
      <c r="G288" s="3" t="s">
        <v>176</v>
      </c>
      <c r="H288" s="3" t="s">
        <v>308</v>
      </c>
    </row>
    <row r="289" customFormat="false" ht="15" hidden="false" customHeight="false" outlineLevel="0" collapsed="false">
      <c r="A289" s="3" t="s">
        <v>305</v>
      </c>
      <c r="B289" s="3" t="n">
        <v>113</v>
      </c>
      <c r="C289" s="3" t="s">
        <v>306</v>
      </c>
      <c r="D289" s="3" t="n">
        <v>81</v>
      </c>
      <c r="E289" s="3" t="s">
        <v>127</v>
      </c>
      <c r="F289" s="3" t="s">
        <v>176</v>
      </c>
      <c r="G289" s="3" t="s">
        <v>176</v>
      </c>
      <c r="H289" s="3" t="s">
        <v>309</v>
      </c>
    </row>
    <row r="290" customFormat="false" ht="15" hidden="false" customHeight="false" outlineLevel="0" collapsed="false">
      <c r="A290" s="3" t="s">
        <v>305</v>
      </c>
      <c r="B290" s="3" t="n">
        <v>113</v>
      </c>
      <c r="C290" s="3" t="s">
        <v>306</v>
      </c>
      <c r="D290" s="3" t="n">
        <v>14</v>
      </c>
      <c r="E290" s="3" t="s">
        <v>130</v>
      </c>
      <c r="F290" s="3" t="s">
        <v>176</v>
      </c>
      <c r="G290" s="3" t="s">
        <v>176</v>
      </c>
      <c r="H290" s="3" t="s">
        <v>309</v>
      </c>
    </row>
    <row r="291" customFormat="false" ht="15" hidden="false" customHeight="false" outlineLevel="0" collapsed="false">
      <c r="A291" s="3" t="s">
        <v>305</v>
      </c>
      <c r="B291" s="3" t="n">
        <v>114</v>
      </c>
      <c r="C291" s="3" t="s">
        <v>306</v>
      </c>
      <c r="D291" s="3" t="n">
        <v>6</v>
      </c>
      <c r="E291" s="3" t="s">
        <v>127</v>
      </c>
      <c r="F291" s="3" t="s">
        <v>176</v>
      </c>
      <c r="G291" s="3" t="s">
        <v>176</v>
      </c>
      <c r="H291" s="3" t="s">
        <v>310</v>
      </c>
    </row>
    <row r="292" customFormat="false" ht="15" hidden="false" customHeight="false" outlineLevel="0" collapsed="false">
      <c r="A292" s="3" t="s">
        <v>305</v>
      </c>
      <c r="B292" s="3" t="n">
        <v>114</v>
      </c>
      <c r="C292" s="3" t="s">
        <v>306</v>
      </c>
      <c r="D292" s="3" t="n">
        <v>18</v>
      </c>
      <c r="E292" s="3" t="s">
        <v>130</v>
      </c>
      <c r="F292" s="3" t="s">
        <v>176</v>
      </c>
      <c r="G292" s="3" t="s">
        <v>176</v>
      </c>
      <c r="H292" s="3" t="s">
        <v>310</v>
      </c>
    </row>
    <row r="293" customFormat="false" ht="15" hidden="false" customHeight="false" outlineLevel="0" collapsed="false">
      <c r="A293" s="3" t="s">
        <v>305</v>
      </c>
      <c r="B293" s="3" t="n">
        <v>115</v>
      </c>
      <c r="C293" s="3" t="s">
        <v>306</v>
      </c>
      <c r="D293" s="3" t="n">
        <v>10</v>
      </c>
      <c r="E293" s="3" t="s">
        <v>127</v>
      </c>
      <c r="F293" s="3" t="s">
        <v>176</v>
      </c>
      <c r="G293" s="3" t="s">
        <v>176</v>
      </c>
      <c r="H293" s="3" t="s">
        <v>311</v>
      </c>
    </row>
    <row r="294" customFormat="false" ht="15" hidden="false" customHeight="false" outlineLevel="0" collapsed="false">
      <c r="A294" s="3" t="s">
        <v>305</v>
      </c>
      <c r="B294" s="3" t="n">
        <v>115</v>
      </c>
      <c r="C294" s="3" t="s">
        <v>306</v>
      </c>
      <c r="D294" s="3" t="n">
        <v>8</v>
      </c>
      <c r="E294" s="3" t="s">
        <v>130</v>
      </c>
      <c r="F294" s="3" t="s">
        <v>176</v>
      </c>
      <c r="G294" s="3" t="s">
        <v>176</v>
      </c>
      <c r="H294" s="3" t="s">
        <v>311</v>
      </c>
    </row>
    <row r="295" customFormat="false" ht="15" hidden="false" customHeight="false" outlineLevel="0" collapsed="false">
      <c r="A295" s="3" t="s">
        <v>305</v>
      </c>
      <c r="B295" s="3" t="n">
        <v>116</v>
      </c>
      <c r="C295" s="3" t="s">
        <v>306</v>
      </c>
      <c r="D295" s="3" t="n">
        <v>3</v>
      </c>
      <c r="E295" s="3" t="s">
        <v>127</v>
      </c>
      <c r="F295" s="3" t="s">
        <v>176</v>
      </c>
      <c r="G295" s="3" t="s">
        <v>176</v>
      </c>
      <c r="H295" s="3" t="s">
        <v>312</v>
      </c>
    </row>
    <row r="296" customFormat="false" ht="15" hidden="false" customHeight="false" outlineLevel="0" collapsed="false">
      <c r="A296" s="3" t="s">
        <v>305</v>
      </c>
      <c r="B296" s="3" t="n">
        <v>117</v>
      </c>
      <c r="C296" s="3" t="s">
        <v>306</v>
      </c>
      <c r="D296" s="3" t="n">
        <v>18</v>
      </c>
      <c r="E296" s="3" t="s">
        <v>127</v>
      </c>
      <c r="F296" s="3" t="s">
        <v>176</v>
      </c>
      <c r="G296" s="3" t="s">
        <v>128</v>
      </c>
      <c r="H296" s="3" t="s">
        <v>247</v>
      </c>
    </row>
    <row r="297" customFormat="false" ht="15" hidden="false" customHeight="false" outlineLevel="0" collapsed="false">
      <c r="A297" s="3" t="s">
        <v>305</v>
      </c>
      <c r="B297" s="3" t="n">
        <v>117</v>
      </c>
      <c r="C297" s="3" t="s">
        <v>306</v>
      </c>
      <c r="D297" s="3" t="n">
        <v>13</v>
      </c>
      <c r="E297" s="3" t="s">
        <v>130</v>
      </c>
      <c r="F297" s="3" t="s">
        <v>176</v>
      </c>
      <c r="G297" s="3" t="s">
        <v>128</v>
      </c>
      <c r="H297" s="3" t="s">
        <v>247</v>
      </c>
    </row>
    <row r="298" customFormat="false" ht="15" hidden="false" customHeight="false" outlineLevel="0" collapsed="false">
      <c r="A298" s="3" t="s">
        <v>305</v>
      </c>
      <c r="B298" s="3" t="n">
        <v>118</v>
      </c>
      <c r="C298" s="3" t="s">
        <v>306</v>
      </c>
      <c r="D298" s="3" t="n">
        <v>6</v>
      </c>
      <c r="E298" s="3" t="s">
        <v>127</v>
      </c>
      <c r="F298" s="3" t="s">
        <v>176</v>
      </c>
      <c r="G298" s="3" t="s">
        <v>128</v>
      </c>
      <c r="H298" s="3" t="s">
        <v>249</v>
      </c>
    </row>
    <row r="299" customFormat="false" ht="15" hidden="false" customHeight="false" outlineLevel="0" collapsed="false">
      <c r="A299" s="3" t="s">
        <v>305</v>
      </c>
      <c r="B299" s="3" t="n">
        <v>118</v>
      </c>
      <c r="C299" s="3" t="s">
        <v>306</v>
      </c>
      <c r="D299" s="3" t="n">
        <v>25</v>
      </c>
      <c r="E299" s="3" t="s">
        <v>130</v>
      </c>
      <c r="F299" s="3" t="s">
        <v>176</v>
      </c>
      <c r="G299" s="3" t="s">
        <v>128</v>
      </c>
      <c r="H299" s="3" t="s">
        <v>249</v>
      </c>
    </row>
    <row r="300" customFormat="false" ht="15" hidden="false" customHeight="false" outlineLevel="0" collapsed="false">
      <c r="A300" s="3" t="s">
        <v>305</v>
      </c>
      <c r="B300" s="3" t="n">
        <v>119</v>
      </c>
      <c r="C300" s="3" t="s">
        <v>306</v>
      </c>
      <c r="D300" s="3" t="n">
        <v>6</v>
      </c>
      <c r="E300" s="3" t="s">
        <v>127</v>
      </c>
      <c r="F300" s="3" t="s">
        <v>176</v>
      </c>
      <c r="G300" s="3" t="s">
        <v>128</v>
      </c>
      <c r="H300" s="3" t="s">
        <v>240</v>
      </c>
    </row>
    <row r="301" customFormat="false" ht="15" hidden="false" customHeight="false" outlineLevel="0" collapsed="false">
      <c r="A301" s="3" t="s">
        <v>305</v>
      </c>
      <c r="B301" s="3" t="n">
        <v>119</v>
      </c>
      <c r="C301" s="3" t="s">
        <v>306</v>
      </c>
      <c r="D301" s="3" t="n">
        <v>18</v>
      </c>
      <c r="E301" s="3" t="s">
        <v>130</v>
      </c>
      <c r="F301" s="3" t="s">
        <v>176</v>
      </c>
      <c r="G301" s="3" t="s">
        <v>128</v>
      </c>
      <c r="H301" s="3" t="s">
        <v>240</v>
      </c>
    </row>
    <row r="302" customFormat="false" ht="15" hidden="false" customHeight="false" outlineLevel="0" collapsed="false">
      <c r="A302" s="3" t="s">
        <v>305</v>
      </c>
      <c r="B302" s="3" t="n">
        <v>120</v>
      </c>
      <c r="C302" s="3" t="s">
        <v>306</v>
      </c>
      <c r="D302" s="3" t="n">
        <v>18</v>
      </c>
      <c r="E302" s="3" t="s">
        <v>127</v>
      </c>
      <c r="F302" s="3" t="s">
        <v>176</v>
      </c>
      <c r="G302" s="3" t="s">
        <v>128</v>
      </c>
      <c r="H302" s="3" t="s">
        <v>313</v>
      </c>
    </row>
    <row r="303" customFormat="false" ht="15" hidden="false" customHeight="false" outlineLevel="0" collapsed="false">
      <c r="A303" s="3" t="s">
        <v>305</v>
      </c>
      <c r="B303" s="3" t="n">
        <v>120</v>
      </c>
      <c r="C303" s="3" t="s">
        <v>306</v>
      </c>
      <c r="D303" s="3" t="n">
        <v>14</v>
      </c>
      <c r="E303" s="3" t="s">
        <v>130</v>
      </c>
      <c r="F303" s="3" t="s">
        <v>176</v>
      </c>
      <c r="G303" s="3" t="s">
        <v>128</v>
      </c>
      <c r="H303" s="3" t="s">
        <v>313</v>
      </c>
    </row>
    <row r="304" customFormat="false" ht="15" hidden="false" customHeight="false" outlineLevel="0" collapsed="false">
      <c r="A304" s="3" t="s">
        <v>305</v>
      </c>
      <c r="B304" s="3" t="n">
        <v>121</v>
      </c>
      <c r="C304" s="3" t="s">
        <v>306</v>
      </c>
      <c r="D304" s="3" t="n">
        <v>10</v>
      </c>
      <c r="E304" s="3" t="s">
        <v>127</v>
      </c>
      <c r="F304" s="3" t="s">
        <v>176</v>
      </c>
      <c r="G304" s="3" t="s">
        <v>128</v>
      </c>
      <c r="H304" s="3" t="s">
        <v>314</v>
      </c>
    </row>
    <row r="305" customFormat="false" ht="15" hidden="false" customHeight="false" outlineLevel="0" collapsed="false">
      <c r="A305" s="3" t="s">
        <v>305</v>
      </c>
      <c r="B305" s="3" t="n">
        <v>121</v>
      </c>
      <c r="C305" s="3" t="s">
        <v>306</v>
      </c>
      <c r="D305" s="3" t="n">
        <v>19</v>
      </c>
      <c r="E305" s="3" t="s">
        <v>130</v>
      </c>
      <c r="F305" s="3" t="s">
        <v>176</v>
      </c>
      <c r="G305" s="3" t="s">
        <v>128</v>
      </c>
      <c r="H305" s="3" t="s">
        <v>314</v>
      </c>
    </row>
    <row r="306" customFormat="false" ht="15" hidden="false" customHeight="false" outlineLevel="0" collapsed="false">
      <c r="A306" s="3" t="s">
        <v>305</v>
      </c>
      <c r="B306" s="3" t="n">
        <v>121</v>
      </c>
      <c r="C306" s="3" t="s">
        <v>306</v>
      </c>
      <c r="D306" s="3" t="n">
        <v>6</v>
      </c>
      <c r="E306" s="3" t="s">
        <v>130</v>
      </c>
      <c r="F306" s="3" t="s">
        <v>176</v>
      </c>
      <c r="G306" s="3" t="s">
        <v>128</v>
      </c>
      <c r="H306" s="3" t="s">
        <v>314</v>
      </c>
    </row>
    <row r="307" customFormat="false" ht="15" hidden="false" customHeight="false" outlineLevel="0" collapsed="false">
      <c r="A307" s="3" t="s">
        <v>305</v>
      </c>
      <c r="B307" s="3" t="n">
        <v>122</v>
      </c>
      <c r="C307" s="3" t="s">
        <v>306</v>
      </c>
      <c r="D307" s="3" t="n">
        <v>25</v>
      </c>
      <c r="E307" s="3" t="s">
        <v>127</v>
      </c>
      <c r="F307" s="3" t="s">
        <v>176</v>
      </c>
      <c r="G307" s="3" t="s">
        <v>176</v>
      </c>
      <c r="H307" s="3" t="s">
        <v>315</v>
      </c>
    </row>
    <row r="308" customFormat="false" ht="15" hidden="false" customHeight="false" outlineLevel="0" collapsed="false">
      <c r="A308" s="3" t="s">
        <v>305</v>
      </c>
      <c r="B308" s="3" t="n">
        <v>123</v>
      </c>
      <c r="C308" s="3" t="s">
        <v>306</v>
      </c>
      <c r="D308" s="3" t="n">
        <v>8</v>
      </c>
      <c r="E308" s="3" t="s">
        <v>127</v>
      </c>
      <c r="F308" s="3" t="s">
        <v>176</v>
      </c>
      <c r="G308" s="3" t="s">
        <v>176</v>
      </c>
      <c r="H308" s="3" t="s">
        <v>316</v>
      </c>
    </row>
    <row r="309" customFormat="false" ht="15" hidden="false" customHeight="false" outlineLevel="0" collapsed="false">
      <c r="A309" s="3" t="s">
        <v>305</v>
      </c>
      <c r="B309" s="3" t="n">
        <v>123</v>
      </c>
      <c r="C309" s="3" t="s">
        <v>306</v>
      </c>
      <c r="D309" s="3" t="n">
        <v>6</v>
      </c>
      <c r="E309" s="3" t="s">
        <v>130</v>
      </c>
      <c r="F309" s="3" t="s">
        <v>176</v>
      </c>
      <c r="G309" s="3" t="s">
        <v>176</v>
      </c>
      <c r="H309" s="3" t="s">
        <v>316</v>
      </c>
    </row>
    <row r="310" customFormat="false" ht="15" hidden="false" customHeight="false" outlineLevel="0" collapsed="false">
      <c r="A310" s="3" t="s">
        <v>305</v>
      </c>
      <c r="B310" s="3" t="n">
        <v>124</v>
      </c>
      <c r="C310" s="3" t="s">
        <v>306</v>
      </c>
      <c r="D310" s="3" t="n">
        <v>18</v>
      </c>
      <c r="E310" s="3" t="s">
        <v>127</v>
      </c>
      <c r="F310" s="3" t="s">
        <v>176</v>
      </c>
      <c r="G310" s="3" t="s">
        <v>176</v>
      </c>
      <c r="H310" s="3" t="s">
        <v>317</v>
      </c>
    </row>
    <row r="311" customFormat="false" ht="15" hidden="false" customHeight="false" outlineLevel="0" collapsed="false">
      <c r="A311" s="3" t="s">
        <v>305</v>
      </c>
      <c r="B311" s="3" t="n">
        <v>124</v>
      </c>
      <c r="C311" s="3" t="s">
        <v>306</v>
      </c>
      <c r="D311" s="3" t="n">
        <v>6</v>
      </c>
      <c r="E311" s="3" t="s">
        <v>130</v>
      </c>
      <c r="F311" s="3" t="s">
        <v>176</v>
      </c>
      <c r="G311" s="3" t="s">
        <v>176</v>
      </c>
      <c r="H311" s="3" t="s">
        <v>317</v>
      </c>
    </row>
    <row r="312" customFormat="false" ht="15" hidden="false" customHeight="false" outlineLevel="0" collapsed="false">
      <c r="A312" s="3" t="s">
        <v>305</v>
      </c>
      <c r="B312" s="3" t="n">
        <v>125</v>
      </c>
      <c r="C312" s="3" t="s">
        <v>306</v>
      </c>
      <c r="D312" s="3" t="n">
        <v>8</v>
      </c>
      <c r="E312" s="3" t="s">
        <v>127</v>
      </c>
      <c r="F312" s="3" t="s">
        <v>176</v>
      </c>
      <c r="G312" s="3" t="s">
        <v>176</v>
      </c>
      <c r="H312" s="3" t="s">
        <v>318</v>
      </c>
    </row>
    <row r="313" customFormat="false" ht="15" hidden="false" customHeight="false" outlineLevel="0" collapsed="false">
      <c r="A313" s="3" t="s">
        <v>305</v>
      </c>
      <c r="B313" s="3" t="n">
        <v>125</v>
      </c>
      <c r="C313" s="3" t="s">
        <v>306</v>
      </c>
      <c r="D313" s="3" t="n">
        <v>6</v>
      </c>
      <c r="E313" s="3" t="s">
        <v>130</v>
      </c>
      <c r="F313" s="3" t="s">
        <v>176</v>
      </c>
      <c r="G313" s="3" t="s">
        <v>176</v>
      </c>
      <c r="H313" s="3" t="s">
        <v>318</v>
      </c>
    </row>
    <row r="314" customFormat="false" ht="15" hidden="false" customHeight="false" outlineLevel="0" collapsed="false">
      <c r="A314" s="3" t="s">
        <v>305</v>
      </c>
      <c r="B314" s="3" t="n">
        <v>126</v>
      </c>
      <c r="C314" s="3" t="s">
        <v>306</v>
      </c>
      <c r="D314" s="3" t="n">
        <v>10</v>
      </c>
      <c r="E314" s="3" t="s">
        <v>127</v>
      </c>
      <c r="F314" s="3" t="s">
        <v>176</v>
      </c>
      <c r="G314" s="3" t="s">
        <v>128</v>
      </c>
      <c r="H314" s="3" t="s">
        <v>250</v>
      </c>
    </row>
    <row r="315" customFormat="false" ht="15" hidden="false" customHeight="false" outlineLevel="0" collapsed="false">
      <c r="A315" s="3" t="s">
        <v>305</v>
      </c>
      <c r="B315" s="3" t="n">
        <v>126</v>
      </c>
      <c r="C315" s="3" t="s">
        <v>306</v>
      </c>
      <c r="D315" s="3" t="n">
        <v>39</v>
      </c>
      <c r="E315" s="3" t="s">
        <v>130</v>
      </c>
      <c r="F315" s="3" t="s">
        <v>176</v>
      </c>
      <c r="G315" s="3" t="s">
        <v>128</v>
      </c>
      <c r="H315" s="3" t="s">
        <v>250</v>
      </c>
    </row>
    <row r="316" customFormat="false" ht="15" hidden="false" customHeight="false" outlineLevel="0" collapsed="false">
      <c r="A316" s="3" t="s">
        <v>305</v>
      </c>
      <c r="B316" s="3" t="n">
        <v>126</v>
      </c>
      <c r="C316" s="3" t="s">
        <v>306</v>
      </c>
      <c r="D316" s="3" t="n">
        <v>48</v>
      </c>
      <c r="E316" s="3" t="s">
        <v>130</v>
      </c>
      <c r="F316" s="3" t="s">
        <v>176</v>
      </c>
      <c r="G316" s="3" t="s">
        <v>128</v>
      </c>
      <c r="H316" s="3" t="s">
        <v>250</v>
      </c>
    </row>
    <row r="317" customFormat="false" ht="15" hidden="false" customHeight="false" outlineLevel="0" collapsed="false">
      <c r="A317" s="3" t="s">
        <v>305</v>
      </c>
      <c r="B317" s="3" t="n">
        <v>127</v>
      </c>
      <c r="C317" s="3" t="s">
        <v>306</v>
      </c>
      <c r="D317" s="3" t="n">
        <v>18</v>
      </c>
      <c r="E317" s="3" t="s">
        <v>127</v>
      </c>
      <c r="F317" s="3" t="s">
        <v>176</v>
      </c>
      <c r="G317" s="3" t="s">
        <v>128</v>
      </c>
      <c r="H317" s="3" t="s">
        <v>251</v>
      </c>
    </row>
    <row r="318" customFormat="false" ht="15" hidden="false" customHeight="false" outlineLevel="0" collapsed="false">
      <c r="A318" s="3" t="s">
        <v>305</v>
      </c>
      <c r="B318" s="3" t="n">
        <v>128</v>
      </c>
      <c r="C318" s="3" t="s">
        <v>306</v>
      </c>
      <c r="D318" s="3" t="n">
        <v>8</v>
      </c>
      <c r="E318" s="3" t="s">
        <v>127</v>
      </c>
      <c r="F318" s="3" t="s">
        <v>176</v>
      </c>
      <c r="G318" s="3" t="s">
        <v>128</v>
      </c>
      <c r="H318" s="3" t="s">
        <v>319</v>
      </c>
    </row>
    <row r="319" customFormat="false" ht="15" hidden="false" customHeight="false" outlineLevel="0" collapsed="false">
      <c r="A319" s="3" t="s">
        <v>305</v>
      </c>
      <c r="B319" s="3" t="n">
        <v>128</v>
      </c>
      <c r="C319" s="3" t="s">
        <v>306</v>
      </c>
      <c r="D319" s="3" t="n">
        <v>6</v>
      </c>
      <c r="E319" s="3" t="s">
        <v>130</v>
      </c>
      <c r="F319" s="3" t="s">
        <v>176</v>
      </c>
      <c r="G319" s="3" t="s">
        <v>128</v>
      </c>
      <c r="H319" s="3" t="s">
        <v>319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117</v>
      </c>
      <c r="B1" s="1" t="s">
        <v>118</v>
      </c>
      <c r="C1" s="1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320</v>
      </c>
    </row>
    <row r="3" customFormat="false" ht="15" hidden="false" customHeight="false" outlineLevel="0" collapsed="false">
      <c r="A3" s="5" t="s">
        <v>321</v>
      </c>
      <c r="B3" s="6" t="n">
        <v>4</v>
      </c>
    </row>
    <row r="4" customFormat="false" ht="15" hidden="false" customHeight="false" outlineLevel="0" collapsed="false">
      <c r="A4" s="5" t="s">
        <v>322</v>
      </c>
      <c r="B4" s="6" t="n">
        <v>3</v>
      </c>
    </row>
    <row r="5" customFormat="false" ht="15" hidden="false" customHeight="false" outlineLevel="0" collapsed="false">
      <c r="A5" s="5" t="s">
        <v>323</v>
      </c>
      <c r="B5" s="6" t="n">
        <v>1</v>
      </c>
    </row>
    <row r="7" customFormat="false" ht="15" hidden="false" customHeight="false" outlineLevel="0" collapsed="false">
      <c r="A7" s="7" t="s">
        <v>324</v>
      </c>
    </row>
    <row r="8" customFormat="false" ht="15" hidden="false" customHeight="false" outlineLevel="0" collapsed="false">
      <c r="A8" s="7" t="s">
        <v>325</v>
      </c>
    </row>
    <row r="9" customFormat="false" ht="15" hidden="false" customHeight="false" outlineLevel="0" collapsed="false">
      <c r="A9" s="7" t="s">
        <v>326</v>
      </c>
    </row>
    <row r="10" customFormat="false" ht="15" hidden="false" customHeight="false" outlineLevel="0" collapsed="false">
      <c r="A10" s="7" t="s">
        <v>327</v>
      </c>
    </row>
    <row r="11" customFormat="false" ht="15" hidden="false" customHeight="false" outlineLevel="0" collapsed="false">
      <c r="A11" s="7" t="s">
        <v>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2026-10-17T18:04:04Z</dcterms:created>
  <dc:creator>openpyxl</dc:creator>
  <dc:description/>
  <dc:language>en-US</dc:language>
  <cp:lastModifiedBy/>
  <dcterms:modified xsi:type="dcterms:W3CDTF">2026-10-17T18:04:04Z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