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s" sheetId="1" state="visible" r:id="rId3"/>
    <sheet name="Map" sheetId="2" state="visible" r:id="rId4"/>
    <sheet name="Unmapped" sheetId="3" state="visible" r:id="rId5"/>
    <sheet name="Settings" sheetId="4" state="visible" r:id="rId6"/>
  </sheets>
  <definedNames>
    <definedName function="false" hidden="true" localSheetId="0" name="_xlnm._FilterDatabase" vbProcedure="false">Items!$A$1:$K$100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<sst xmlns="http://schemas.openxmlformats.org/spreadsheetml/2006/main" count="3244" uniqueCount="457">
  <si>
    <t xml:space="preserve">No.</t>
  </si>
  <si>
    <t xml:space="preserve">Heading</t>
  </si>
  <si>
    <t xml:space="preserve">Quick Review prompt</t>
  </si>
  <si>
    <t xml:space="preserve">Status</t>
  </si>
  <si>
    <t xml:space="preserve">Added from</t>
  </si>
  <si>
    <t xml:space="preserve">Original no.</t>
  </si>
  <si>
    <t xml:space="preserve">XII graded count</t>
  </si>
  <si>
    <t xml:space="preserve">XII grade</t>
  </si>
  <si>
    <t xml:space="preserve">XIII graded count</t>
  </si>
  <si>
    <t xml:space="preserve">XIII grade</t>
  </si>
  <si>
    <t xml:space="preserve">All mapped questions</t>
  </si>
  <si>
    <t xml:space="preserve">Conic Section : Definition</t>
  </si>
  <si>
    <t xml:space="preserve">What is the definition of conic section?</t>
  </si>
  <si>
    <t xml:space="preserve">Original</t>
  </si>
  <si>
    <t xml:space="preserve">Define focus, directrix and eccentricity for a conic.</t>
  </si>
  <si>
    <t xml:space="preserve">Define axis, vertex and foot of directrix for a conic.</t>
  </si>
  <si>
    <t xml:space="preserve">General Equation of Conic</t>
  </si>
  <si>
    <t xml:space="preserve">What is the general form of equation of conic?</t>
  </si>
  <si>
    <t xml:space="preserve">How to determine nature of conic if equation of conic is given?</t>
  </si>
  <si>
    <t xml:space="preserve">How to determine nature of conic if focus, eccentricity and directrix is given?</t>
  </si>
  <si>
    <t xml:space="preserve">How to observe focus, e and directrix if equation is given in PS=e\,PM form?</t>
  </si>
  <si>
    <t xml:space="preserve">Parabola : Introduction</t>
  </si>
  <si>
    <t xml:space="preserve">What is the condition for general equation of 2nd degree curve to represent a parabola?</t>
  </si>
  <si>
    <t xml:space="preserve">What is the definition of parabola?</t>
  </si>
  <si>
    <t xml:space="preserve">Define focal distance/focal radius, focal chord, double ordinate, latus rectum for a parabola</t>
  </si>
  <si>
    <t xml:space="preserve">Everything means focus, directrix, vertex, axis, ends of latus rectum, length of latus rectum (LR).</t>
  </si>
  <si>
    <t xml:space="preserve">Find everything for standard parabola y^2=4ax.</t>
  </si>
  <si>
    <t xml:space="preserve">What is the relation between length of LR and distance between focus and corresponding directrix for a parabola?</t>
  </si>
  <si>
    <t xml:space="preserve">Find everything for parabola if equation is given in PS=e\,PM form.</t>
  </si>
  <si>
    <t xml:space="preserve">What is the locus of center of a variable circle which touches a fixed circle and a fixed line?</t>
  </si>
  <si>
    <t xml:space="preserve">How to find focal distance of a point on a parabola/conic?</t>
  </si>
  <si>
    <t xml:space="preserve">Other standard parabolas</t>
  </si>
  <si>
    <t xml:space="preserve">What are three other standard parabolas?</t>
  </si>
  <si>
    <t xml:space="preserve">Plot all 4 standard parabolas and mark everything for them.</t>
  </si>
  <si>
    <t xml:space="preserve">Shifted Parabola</t>
  </si>
  <si>
    <t xml:space="preserve">How is the equation of a shifted parabola represented?</t>
  </si>
  <si>
    <t xml:space="preserve">How to observe whether equation of a 2nd degree curve represents shifted parabola?</t>
  </si>
  <si>
    <t xml:space="preserve">Find everything for shifted parabola.</t>
  </si>
  <si>
    <t xml:space="preserve">How to find equation of shifted parabola if some details about it are given?</t>
  </si>
  <si>
    <t xml:space="preserve">Alternate definition of Parabola</t>
  </si>
  <si>
    <t xml:space="preserve">Derive alternate definition of parabola.</t>
  </si>
  <si>
    <t xml:space="preserve">Find everything for parabola if equation is given in alternate definition form.</t>
  </si>
  <si>
    <t xml:space="preserve">Parametric Coordinates</t>
  </si>
  <si>
    <t xml:space="preserve">Write parametric coordinates of a point on standard parabolas.</t>
  </si>
  <si>
    <t xml:space="preserve">What is the slope of radius vector of a point P in terms of t?</t>
  </si>
  <si>
    <t xml:space="preserve">How to assume parameters for ends of double ordinate?</t>
  </si>
  <si>
    <t xml:space="preserve">What is the parameter for ends of LR?</t>
  </si>
  <si>
    <t xml:space="preserve">What is the slope of line joining two points t_1 and t_2?</t>
  </si>
  <si>
    <t xml:space="preserve">What is the relation between parameters of ends of a chord subtending right angle at vertex?</t>
  </si>
  <si>
    <t xml:space="preserve">What is length of focal chord in terms of parameter?</t>
  </si>
  <si>
    <t xml:space="preserve">What is the relation between parameters of ends of a focal chord?</t>
  </si>
  <si>
    <t xml:space="preserve">What is length of focal chord whose inclination is \alpha?</t>
  </si>
  <si>
    <t xml:space="preserve">Write S, S_1 and T for parabola y^2=4ax.</t>
  </si>
  <si>
    <t xml:space="preserve">Position of a point wrt Parabola</t>
  </si>
  <si>
    <t xml:space="preserve">Which region is called inside/outside wrt a parabola?</t>
  </si>
  <si>
    <t xml:space="preserve">How to find relative position of a point wrt a parabola?</t>
  </si>
  <si>
    <t xml:space="preserve">Chord joining two points</t>
  </si>
  <si>
    <t xml:space="preserve">Write expression of equation of chord joining two points t_1 and t_2.</t>
  </si>
  <si>
    <t xml:space="preserve">What is the relation between parameters of end points of a chord if chord passes through (c,0)?</t>
  </si>
  <si>
    <t xml:space="preserve">What is the relation between parameters of end points of a chord if chord subtends right angle at vertex?</t>
  </si>
  <si>
    <t xml:space="preserve">The chord subtending right angle at vertex always passes through which fixed point?</t>
  </si>
  <si>
    <t xml:space="preserve">What is the formula for length of chord intercepted by y=mx+c on y^2=4ax?</t>
  </si>
  <si>
    <t xml:space="preserve">Line and Parabola</t>
  </si>
  <si>
    <t xml:space="preserve">How to find angle subtended by a line at the vertex of parabola? and how to check whether it is acute or obtuse?</t>
  </si>
  <si>
    <t xml:space="preserve">What is condition of tangency for parabola y^2=4ax? And how is it used?</t>
  </si>
  <si>
    <t xml:space="preserve">Director Circle</t>
  </si>
  <si>
    <t xml:space="preserve">What is director circle for a parabola?</t>
  </si>
  <si>
    <t xml:space="preserve">Derive equation of director circle of parabola y^2=4ax.</t>
  </si>
  <si>
    <t xml:space="preserve">How to find locus of a variable external point P for which condition on slope of tangents drawn from P to parabola/2nd degree curve is given?</t>
  </si>
  <si>
    <t xml:space="preserve">Tangent &amp; Normal</t>
  </si>
  <si>
    <t xml:space="preserve">How to find equation of tangent for a parabola if point of tangency is given?</t>
  </si>
  <si>
    <t xml:space="preserve">How to find equation of tangent for a parabola if any other condition other than point of tangency is given?</t>
  </si>
  <si>
    <t xml:space="preserve">What is the equation of tangent at a point, whose coordinates are given in parametric form, on y^2=4ax?</t>
  </si>
  <si>
    <t xml:space="preserve">How to find equation of tangent to a parabola y^2=4ax passing through an external point?</t>
  </si>
  <si>
    <t xml:space="preserve">What is the relation between slope of tangent and parameter of point of tangency?</t>
  </si>
  <si>
    <t xml:space="preserve">How to find point of tangency if equation of tangent is given?</t>
  </si>
  <si>
    <t xml:space="preserve">How to find equation of normal for a parabola if foot of normal is given?</t>
  </si>
  <si>
    <t xml:space="preserve">Write expression for equation of normal to parabola y^2=4ax in terms of parameter t.</t>
  </si>
  <si>
    <t xml:space="preserve">Write expression for equation of normal to parabola y^2=4ax in terms of slope m.</t>
  </si>
  <si>
    <t xml:space="preserve">What is the condition for a line to be a normal to parabola y^2=4ax?</t>
  </si>
  <si>
    <t xml:space="preserve">What is the relation between slope of normal and parameter of foot of normal?</t>
  </si>
  <si>
    <t xml:space="preserve">How to find foot of normal if equation of normal is given?</t>
  </si>
  <si>
    <t xml:space="preserve">What is point of intersection of tangents drawn at P(t_1) and Q(t_2) on parabola?</t>
  </si>
  <si>
    <t xml:space="preserve">What is point of intersection of normals drawn at P(t_1) and Q(t_2) on parabola?</t>
  </si>
  <si>
    <t xml:space="preserve">If normal to the parabola y^2=4ax at P(t_1) intersects parabola again at Q(t_2), then what is the relation between t_1 and t_2?</t>
  </si>
  <si>
    <t xml:space="preserve">If normals to the parabola y^2=4ax at P(t_1) and Q(t_2) intersect parabola again at R(t_3), then what is the relation between t_1, t_2 and t_3?</t>
  </si>
  <si>
    <t xml:space="preserve">What is the angle between tangents drawn at ends of focal chord?</t>
  </si>
  <si>
    <t xml:space="preserve">Where do tangents drawn at ends of focal chord meet?</t>
  </si>
  <si>
    <t xml:space="preserve">How to find minimum distance between a point and standard parabola</t>
  </si>
  <si>
    <t xml:space="preserve">How to find minimum distance between a line and standard parabola</t>
  </si>
  <si>
    <t xml:space="preserve">What is the position of a line wrt parabola corresponding to number of common points between them?</t>
  </si>
  <si>
    <t xml:space="preserve">Normal to Parabola from a point</t>
  </si>
  <si>
    <t xml:space="preserve">How many normals can be drawn from a point to a parabola?</t>
  </si>
  <si>
    <t xml:space="preserve">Define co-normal points for a parabola.</t>
  </si>
  <si>
    <t xml:space="preserve">Where does the centroid of triangle, formed by three co-normal points on parabola, lie?</t>
  </si>
  <si>
    <t xml:space="preserve">How to find locus of a point P if a condition on the slopes of the normals drawn from P to the parabola is given?</t>
  </si>
  <si>
    <t xml:space="preserve">Rephrased</t>
  </si>
  <si>
    <t xml:space="preserve">How to find equation of circumcircle of triangle formed by three co-normal points wrt a point (h,k) for parabola y^2=4ax?</t>
  </si>
  <si>
    <t xml:space="preserve">Rules for Transformation</t>
  </si>
  <si>
    <t xml:space="preserve">What are the rules for transformation to find results for other three standard parabolas and shifted parabolas?</t>
  </si>
  <si>
    <t xml:space="preserve">How to find condition of tangency for other three standard parabolas and shifted parabolas?</t>
  </si>
  <si>
    <t xml:space="preserve">How to find condition for a line to be normal for other three standard parabolas and shifted parabolas?</t>
  </si>
  <si>
    <t xml:space="preserve">Common Tangents</t>
  </si>
  <si>
    <t xml:space="preserve">How to find condition if a line is tangent/normal to one second degree curve and tangent/normal to another second degree curve?</t>
  </si>
  <si>
    <t xml:space="preserve">What to do to minimize calculations in questions where a line is tangent/normal to one second degree curve and tangent/normal to another second degree curve?</t>
  </si>
  <si>
    <t xml:space="preserve">Common Concepts</t>
  </si>
  <si>
    <t xml:space="preserve">Write expression for equation of chord whose mid point is given for y^2=4ax.</t>
  </si>
  <si>
    <t xml:space="preserve">Write expression for equation of chord of contact for y^2=4ax.</t>
  </si>
  <si>
    <t xml:space="preserve">How to find mid point of a chord of a standard parabola whose equation is given?</t>
  </si>
  <si>
    <t xml:space="preserve">How to find external point for a chord of contact if equation of chord of contact is given?</t>
  </si>
  <si>
    <t xml:space="preserve">What is formula for length of chord of contact, wrt (x_1,y_1), of standard parabola?</t>
  </si>
  <si>
    <t xml:space="preserve">What is formula for area formed by tangents drawn from (x_1,y_1) to standard parabola and corresponding chord of contact?</t>
  </si>
  <si>
    <t xml:space="preserve">Write expression for combined equation of pair of tangents for y^2=4ax.</t>
  </si>
  <si>
    <t xml:space="preserve">Write expression for equation of polar for y^2=4ax.</t>
  </si>
  <si>
    <t xml:space="preserve">What does T=0 represent for a point, according to its position relative to parabola?</t>
  </si>
  <si>
    <t xml:space="preserve">How to find coordinates of pole of a given line?</t>
  </si>
  <si>
    <t xml:space="preserve">From any variable point on a fixed line, tangents are drawn to the parabola then chord of contact will pass through which point?</t>
  </si>
  <si>
    <t xml:space="preserve">Diameter</t>
  </si>
  <si>
    <t xml:space="preserve">Define diameter for a second degree curve.</t>
  </si>
  <si>
    <t xml:space="preserve">Derive equation of diameter for standard parabola.</t>
  </si>
  <si>
    <t xml:space="preserve">Highlights</t>
  </si>
  <si>
    <t xml:space="preserve">What angle does portion of tangent intercepted between directrix and point of tangency subtend at focus?</t>
  </si>
  <si>
    <t xml:space="preserve">Where does foot of perpendicular from focus on any tangent to parabola lies?</t>
  </si>
  <si>
    <t xml:space="preserve">What is harmonic mean of segments of any focal chord of parabola?</t>
  </si>
  <si>
    <t xml:space="preserve">What is the relation between directrix and circle drawn on any focal chord as diameter?</t>
  </si>
  <si>
    <t xml:space="preserve">What is the relation between tangent at vertex and circle drawn on any focal distance as diameter?</t>
  </si>
  <si>
    <t xml:space="preserve">If tangent and normal drawn at P on parabola intersect the axis at T and G respectively, then what is the circumcentre of triangle TPG?</t>
  </si>
  <si>
    <t xml:space="preserve">Explain reflection property of parabola.</t>
  </si>
  <si>
    <t xml:space="preserve">What is the ratio of area of triangle formed by any 3 points on parabola to area of triangle formed by tangents at these 3 points?</t>
  </si>
  <si>
    <t xml:space="preserve">Where does image of focus wrt any tangent to the parabola lies?</t>
  </si>
  <si>
    <t xml:space="preserve">Source</t>
  </si>
  <si>
    <t xml:space="preserve">Q no.</t>
  </si>
  <si>
    <t xml:space="preserve">Group</t>
  </si>
  <si>
    <t xml:space="preserve">Item no.</t>
  </si>
  <si>
    <t xml:space="preserve">Role</t>
  </si>
  <si>
    <t xml:space="preserve">Graded in XII</t>
  </si>
  <si>
    <t xml:space="preserve">Graded in XIII</t>
  </si>
  <si>
    <t xml:space="preserve">Question (English, truncated)</t>
  </si>
  <si>
    <t xml:space="preserve">J-I</t>
  </si>
  <si>
    <t xml:space="preserve">Sheet</t>
  </si>
  <si>
    <t xml:space="preserve">Main</t>
  </si>
  <si>
    <t xml:space="preserve">N</t>
  </si>
  <si>
    <t xml:space="preserve">The equation of the circle drawn with the focus of the parabola (x  1)2  8 y = 0 as its centre and touching the parabola at its vertex is </t>
  </si>
  <si>
    <t xml:space="preserve">If a  0 and the line 2 bx + 3cy + 4d = 0 passes through the points of intersection of the parabola y2 = 4ax and x2 = 4ay, then :</t>
  </si>
  <si>
    <t xml:space="preserve">PN is an ordinate of the parabola y2 = 4ax (P on y2 = 4ax and N on x-axis). A straight line is drawn parallel to the axis to bisect NP and m</t>
  </si>
  <si>
    <t xml:space="preserve">Also</t>
  </si>
  <si>
    <t xml:space="preserve">ABCD and EFGC are squares and the curve y = k x passes through the origin D and the points B and F. The FG ratio is : BC FG BC 5 1 3 1 5 </t>
  </si>
  <si>
    <t xml:space="preserve">Let P be the point (1, 0) and Q a point on the locus y2 = 8x. The locus of mid point of PQ is :</t>
  </si>
  <si>
    <t xml:space="preserve">The vertex A of the parabola y2 = 4ax is joined to any point P on it and PQ is drawn at right angles to AP to meet the axis in Q. Projection</t>
  </si>
  <si>
    <t xml:space="preserve">The straight line joining any point P on the parabola y2 = 4ax to the vertex and perpendicular from the focus to the tangent at P, intersect</t>
  </si>
  <si>
    <t xml:space="preserve">The normal chord of a parabola y2 = 4ax at the point whose ordinate is equal to the abscissa, then angle subtended by normal chord at the fo</t>
  </si>
  <si>
    <t xml:space="preserve">PQ is a normal chord of the parabola y2 = 4ax at P, A being the vertex of the parabola. Through P a line is drawn parallel to AQ meeting the</t>
  </si>
  <si>
    <t xml:space="preserve">Let BC be the latus rectum of the parabola y2 = 4x with vertex A. Minimum length of the projection of BC on a tangent drawn in the portion B</t>
  </si>
  <si>
    <t xml:space="preserve">The normal at the point (bt12 , 2bt1 ) on a parabola meets the parabola again in the point  bt 22 , 2bt 2  , then : 2 2 2 2 1 1 1 1</t>
  </si>
  <si>
    <t xml:space="preserve">The tangent and normal at P(t), for all real positive t, to the parabola y2 = 4ax meet the axis of the parabola in T and G respectively, the</t>
  </si>
  <si>
    <t xml:space="preserve">Equation of the other normal to the parabola y2 = 4x which passes through the intersection of those at (4,  4) and (9a,  6a) is : gksxk:</t>
  </si>
  <si>
    <t xml:space="preserve">Let P be the point on the parabola, y2 = 8x which is at a minimum distance from the centre C of the circle, x2 + (y + 6)2 = 1. Then the equa</t>
  </si>
  <si>
    <t xml:space="preserve">If the tangent at (1, 7) to the curve x2 = y – 6 touches the circle x2 + y2 + 16x + 12y + c = 0 then the value of c is : [JEE(Main)2018] [JE</t>
  </si>
  <si>
    <t xml:space="preserve">Tangent and normal are drawn at P(16, 16) on the parabola y2 = 16x, which intersect the axis of the parabola at A </t>
  </si>
  <si>
    <t xml:space="preserve">Minimum distance between the curves y2 = x – 1 and x2 = y – 1 is equal to : 3 2 5 2 7 2 2 4 4 4 4</t>
  </si>
  <si>
    <t xml:space="preserve">Consider two curves C1: (y – 3 )2 = 4(x – 2 2 2 ) and C2: x + y = (6 + 2 2 )x + 2 3 y – 6(1 + 2 ), then :</t>
  </si>
  <si>
    <t xml:space="preserve">Two common tangents to the circle x2 + y2 = 2a2 and parabola y2 = 8ax are :</t>
  </si>
  <si>
    <t xml:space="preserve">J-II</t>
  </si>
  <si>
    <t xml:space="preserve">'O' is the vertex of the parabola y2 = 4ax &amp; L is the upper end of the latus rectum. If LH is drawn perpendicular to OL meeting OX in H, pro</t>
  </si>
  <si>
    <t xml:space="preserve">Find the equations of the chords of the parabola y2 = 4ax which pass through the point (–6a, 0) and which subtends an angle of 45° at the ve</t>
  </si>
  <si>
    <t xml:space="preserve">Show that the normals at the points (4a, 4a) &amp; at the upper end of the latus rectum of the parabola y2 = 4ax intersect on the same parabola.</t>
  </si>
  <si>
    <t xml:space="preserve">Prove that the locus of the middle point of portion of a normal to y2 = 4ax intercepted between the curve &amp; the axis is another parabola. Fi</t>
  </si>
  <si>
    <t xml:space="preserve">Find the equations of the tangents to the parabola y2 = 16x, which are parallel &amp; perpendicular respectively to the line 2x – y + 5 = 0. Fin</t>
  </si>
  <si>
    <t xml:space="preserve">Find the equations of the tangents of the parabola y2 = 12x, which passes through the point (2,5). Also find the point of contact. dhft,A</t>
  </si>
  <si>
    <t xml:space="preserve">Through the vertex O of the parabola y2 = 4ax, a perpendicular is drawn to any tangent meeting it at P &amp; the parabola at Q. Show that OP · O</t>
  </si>
  <si>
    <t xml:space="preserve">The normal at a point P to the parabola y2 = 4ax meets its axis at G. Q is another point on the parabola such that QG is perpendicular to th</t>
  </si>
  <si>
    <t xml:space="preserve">If the normal at P(18, 12) to the parabola y2= 8x cuts it again at Q, show that 9PQ = 80 10</t>
  </si>
  <si>
    <t xml:space="preserve">Prove that, the normal to y2 = 12x at (3, 6) meets the parabola again in (27, 18) &amp; circle on this normal chord as diameter is x2 + y2  30</t>
  </si>
  <si>
    <t xml:space="preserve">Find the equation of the circle which passes through the focus of the parabola x2 = 4y &amp; touches it at the point (6, 9).</t>
  </si>
  <si>
    <t xml:space="preserve">PQ, a variable chord of the parabola y2 = 4x subtends a right angle at the vertex. The tangents at P and Q meet at T and the normals at thos</t>
  </si>
  <si>
    <t xml:space="preserve">Let P be a point on the parabola y2 – 2y – 4x + 5 = 0, such that the tangent on the parabola at P intersects the  directrix at point Q. Let</t>
  </si>
  <si>
    <t xml:space="preserve">Three normals to y² = 4x pass through the point (15, 12). Show that if one of the normals is given by y = x  3 &amp; find the equations of the </t>
  </si>
  <si>
    <t xml:space="preserve">From the point P(h,k) three normals are drawn to the parabola x2 = 8y and m1,m2 and m3 are the slops of three normals (a) Find the algebaric</t>
  </si>
  <si>
    <t xml:space="preserve">Prove that the two parabolas y2 = 4ax &amp; y2 = 4c (x  b) cannot have a common normal, other than the axis, unless b &gt; 2. (a  c ) b rd &gt; 2 gS</t>
  </si>
  <si>
    <t xml:space="preserve">Find the condition on ‘a’ &amp; ‘b’ so that the two tangents drawn to the parabola y2 = 4ax from a point are normals to the parabola x2 = 4by.</t>
  </si>
  <si>
    <t xml:space="preserve">Through the vertex O of a parabola y2 = 4x , chords OP &amp; OQ are drawn at right angles to one another. Show that for all positions of P, PQ c</t>
  </si>
  <si>
    <t xml:space="preserve">From the point (1, 2) tangent lines are drawn to the parabola y2 = 4x. Find the equation of the chord of contact. Also find the area of the</t>
  </si>
  <si>
    <t xml:space="preserve">Find the number of integral values of parameter 'a' for which three chords of the ellipse + = 1 (other than 2a 2 a2  a2  its diameter) pas</t>
  </si>
  <si>
    <t xml:space="preserve">A variable circle passes through the point A (2, 1) and touches the x-axis. Locus of the other end of the diameter through A is a parabola. </t>
  </si>
  <si>
    <t xml:space="preserve">Show that the circle through three points the normals at which to the parabola y2 = 4ax are concurrent at the point (h, k) is 2(x2 + y2)  2</t>
  </si>
  <si>
    <t xml:space="preserve">Let L1 : x + y = 0 and L2 : x – y = 0 are tangent to a parabola whose focus is S(1, 2). If the length of latus-rectum m of the parabola can </t>
  </si>
  <si>
    <t xml:space="preserve">Consider the parabola y2 = 8x. Let 1 be the area of the triangle formed by the end points of its latus rectum and 1  the point P  , 2</t>
  </si>
  <si>
    <t xml:space="preserve">The equation of the locus of the point whose distances from the point P and the line AB are equal, is :</t>
  </si>
  <si>
    <t xml:space="preserve">Area of the PQR equals :</t>
  </si>
  <si>
    <t xml:space="preserve">Radius of the circle C2 is :</t>
  </si>
  <si>
    <t xml:space="preserve">The common chord of the circles C1 and C2 passes through the :</t>
  </si>
  <si>
    <t xml:space="preserve">A circle touches the line L and the circle C1 externally such that both the circles are on the same side of the line, then the locus of cent</t>
  </si>
  <si>
    <t xml:space="preserve">A line M through A is drawn parallel to BD. Point S moves such that its distances from the line BD and the vertex A are equal. If locus of S</t>
  </si>
  <si>
    <t xml:space="preserve">The ratio of the areas of the triangles PQS and PQR is :</t>
  </si>
  <si>
    <t xml:space="preserve">The radius of the circumcircle of the triangle PRS is :</t>
  </si>
  <si>
    <t xml:space="preserve">The radius of the incircle of the triangle PQR is :</t>
  </si>
  <si>
    <t xml:space="preserve">Let y2 = 4ax be a parabola and x2 + y2 + 2 bx = 0 be a circle. If parabola and circle touch each other externally then:</t>
  </si>
  <si>
    <t xml:space="preserve">The tangent PT and the normal PN to the parabola y2 = 4ax at a point P on it meet its axis at points T and N, respectively. The locus of the</t>
  </si>
  <si>
    <t xml:space="preserve">Let A and B be two distinct point on the parabola y2 = 4x. If the axis of the parabola touches a circle of radius r having AB as its diamete</t>
  </si>
  <si>
    <t xml:space="preserve">The locus of the mid point of the focal radii of a variable point moving on the parabola, y2 = 8x is a parabola whose:</t>
  </si>
  <si>
    <t xml:space="preserve">A variable circle is described to pass through the point (1, 0) and tangent to the curve y = tan (tan1 x). The locus of the centre of the c</t>
  </si>
  <si>
    <t xml:space="preserve">Consider a circle with its centre lying on the focus of the parabola, y2 = 2 px such that it touches the directrix of the parabola. Then a p</t>
  </si>
  <si>
    <t xml:space="preserve">If from the vertex of a parabola y2 = 4x a pair of chords be drawn at right angles to one another and with these chords as adjacent sides a </t>
  </si>
  <si>
    <t xml:space="preserve">The focus of the parabola is (1, 1) and the tangent at the vertex has the equation x + y = 1. Then :  1 1  2 2  1 1  2 2</t>
  </si>
  <si>
    <t xml:space="preserve">Consider the parabola whose equation is y = x2 – 4x and the line y = 2x – b. Then which of the following is/are correct?</t>
  </si>
  <si>
    <t xml:space="preserve">PQ is a double ordinate of the parabola y2 = 4ax. If the normal at P intersect the line passing through Q and parallel to axis of x at G, th</t>
  </si>
  <si>
    <t xml:space="preserve">The equations of common tangents to the parabola y = x2 and y = – (x – 2)2 is/are :</t>
  </si>
  <si>
    <t xml:space="preserve">Let P(x1, y1) and Q(x2, y2), y1 &lt; 0, y2 &lt; 0, be the end points of the latus rectum of the ellipse x2 + 4y2 = 4. The equations of parabolas w</t>
  </si>
  <si>
    <t xml:space="preserve">Match the following column : Column-I Column-II and the hyperbola 3x2 – y2 = 48, is circle (x – 1)2 + (y – 1)2 = 1, is x2 4 then the maximum</t>
  </si>
  <si>
    <t xml:space="preserve">Identify the conic whose equations are given in column-I : Column-I Column-II (Equation of a conic) (Nature of conic) (E) 4x2 – 4xy + y2 – 1</t>
  </si>
  <si>
    <t xml:space="preserve">Match the following column : Column-I Column-II 2 2 y = 4ax touches the parabola x = 4by, the locus of P is x2 + y2 – 2(t2 – 3t + 1)x – 2(t2</t>
  </si>
  <si>
    <t xml:space="preserve">Match the following Normals are drawn at points P, Q and R lying on the parabola y2 = 4x which intersect at (3, 0). Then : Column-I Column-I</t>
  </si>
  <si>
    <t xml:space="preserve">J-A</t>
  </si>
  <si>
    <t xml:space="preserve">Y</t>
  </si>
  <si>
    <t xml:space="preserve">Let S be the focus of the parabola y2 = 8x and let PQ be the common chord of the circle x2 + y2 – 2x – 4y = 0 and the given parabola. The ar</t>
  </si>
  <si>
    <t xml:space="preserve">Length of chord PQ is : [JEE-2013]</t>
  </si>
  <si>
    <t xml:space="preserve">If chord PQ subtends an angle  at the vertex of y2 = 4ax, then tan = : [JEE-2013] 2 2 2 2 3 3 3 3</t>
  </si>
  <si>
    <t xml:space="preserve">A line L : y = mx + 3 meets y–axis at E(0, 3) and the arc of the parabola y2 = 16x, 0  y  6 at the point F(x0, y0). The tangent to the par</t>
  </si>
  <si>
    <t xml:space="preserve">The common tangents to the circle x2 + y2 = 2 and the parabola y2 = 8x touch the circle at the points , Q and the parabola at the points R, </t>
  </si>
  <si>
    <t xml:space="preserve">The value of r is : [JEE(Adv.)2014] 1 t2 1 1 t 2 1 t t t t</t>
  </si>
  <si>
    <t xml:space="preserve">If st =1, then the tangent at P and the normal at S to the parabola meet at a point whose ordinate is : [JEE(Adv.)2014] [JEE(Adv.)2014] (t 2</t>
  </si>
  <si>
    <t xml:space="preserve">Let the curve C be the mirror image of the parabola y2 = 4x with respect to the line x + y + 4 = 0. If A and B are the points of intersectio</t>
  </si>
  <si>
    <t xml:space="preserve">If the normals of the parabola y2 = 4x drawn at the end point of its latus rectum are tangents to the circle (x–3)2+(y+2)2 = r2, then the va</t>
  </si>
  <si>
    <t xml:space="preserve">Let P and Q be distinct points on the parabola y2 = 2x such that a circle with PQ as diameter passes through the vertex O of the parabola. I</t>
  </si>
  <si>
    <t xml:space="preserve">Suppose that the foci of the ellipse   1 are (f1, 0) and (f2, 0) where f1 &gt; 0 and f2 &lt; 0. Let P1 and P2 be two 9 5 parabolas with a common</t>
  </si>
  <si>
    <t xml:space="preserve">Let P be the point on the parabola y2 = 4x which is at the shortest distance from the center S of the circle x2 + y2 – 4x – 16y + 64 = 0. Le</t>
  </si>
  <si>
    <t xml:space="preserve">The orthocentre of the triangle F1MN is : [JEE(Adv.)2016]  9  2  9  2   10  3   10  3 </t>
  </si>
  <si>
    <t xml:space="preserve">If the tangents to the ellipse at M and N meet at R and the normal to the parabola at M meets the x-axis at Q, then the ratio of area of the</t>
  </si>
  <si>
    <t xml:space="preserve">If a chord, which is not a tangent, of the parabola y2 = 16x has the quation 2x + y = p, and midpoint (h, k), then which of the following is</t>
  </si>
  <si>
    <t xml:space="preserve">For a = 2 , if a tangent is drawn to suitable conic (Column 1) at the point of contact (–1, 1), then which of the following options is the o</t>
  </si>
  <si>
    <t xml:space="preserve">If a tangent to a suitable conic (Column 1) is found to be y = x + 8 and its point of contact is (8, 16), then which of the following option</t>
  </si>
  <si>
    <t xml:space="preserve">Consider two straight lines, each of which is tangent to both the circle x  y  and the parabola 2 y2 = 4x. Let these lines intersect at th</t>
  </si>
  <si>
    <t xml:space="preserve">Which of the following is the only incorrect combination : [JEE(Adv.)2019]</t>
  </si>
  <si>
    <t xml:space="preserve">Which of the following is the only correct combination : [JEE(Adv.)2019]</t>
  </si>
  <si>
    <t xml:space="preserve">Let a, b and l be positive real numbers. Suppose P is an end point of the latus rectum of the parabola y2 = 4l x, x 2 y2 and suppose the ell</t>
  </si>
  <si>
    <t xml:space="preserve">Let E denote the parabola y2 = 8x. Let P = ( – 2, 4), and let Q and Q' be two distinct points on E such that the lines PQ and PQ' are tangen</t>
  </si>
  <si>
    <t xml:space="preserve">The radius of the circle C is ___ . [JEE(Adv.)2021]</t>
  </si>
  <si>
    <t xml:space="preserve">The value of  is ___ . [JEE(Adv.)2021]</t>
  </si>
  <si>
    <t xml:space="preserve">Consider the parabola y2 = 4x. Let S be the focus of the parabola. A pair of tangents drawn to the parabola from the point P = (– 2, 1) meet</t>
  </si>
  <si>
    <t xml:space="preserve">Let P be a point on the parabola y2 = 4ax, where a &gt; 0. The normal to the parabola at P meets the x-axis at a point Q. The area of the trian</t>
  </si>
  <si>
    <t xml:space="preserve">Let T1 and T2 be two distinct common tangents to the ellipse E :   1 and the parabola P : y 2  12x . 6 3 Suppose that the tangent T1 touc</t>
  </si>
  <si>
    <t xml:space="preserve">L et A, B1, C1 be three points in the xy-plane. Suppose that the lines A1C1 and B1C1 are tangents to the curve y2 1 = 8x at A1 and B1, respe</t>
  </si>
  <si>
    <t xml:space="preserve">A normal with slope is drawn from the point (0, –) to the parabola x2 = –4ay, where a &gt; 0. Let L be the line 6 passing through (0, –) and </t>
  </si>
  <si>
    <t xml:space="preserve">C-I</t>
  </si>
  <si>
    <t xml:space="preserve">If on a given base, a triangle be described such that the sum of the tangents of the base angles is a constant, then the locus of the vertex</t>
  </si>
  <si>
    <t xml:space="preserve">Through the vertex O of the parabola, y2 = 4ax two chords OP &amp; OQ are drawn and the circles on OP &amp; OQ as diameters intersect in R. If 1, </t>
  </si>
  <si>
    <t xml:space="preserve">If a normal to a parabola y2 = 4ax makes an angle  with its axis, then it will cut the curve again at an angle : 1  1  2  2 </t>
  </si>
  <si>
    <t xml:space="preserve">The locus of the mid-point of the line segment joining the focus to a moving point on the parabola y2 = 4ax is another parabola with directr</t>
  </si>
  <si>
    <t xml:space="preserve">The equation of the common tangent to the curves y2 = 8x and xy = –1 is :</t>
  </si>
  <si>
    <t xml:space="preserve">The slope of the focal chords of the parabola y2 = 16x which are tangents to the circle (x – 6)2 + y2 = 2 are :</t>
  </si>
  <si>
    <t xml:space="preserve">The angle between the tangents drawn from the point (1, 4) to the parabola y2 = 4x is :</t>
  </si>
  <si>
    <t xml:space="preserve">The axis of parabola is along the line y = x and the distance of vertex from origin is 2 and that of origin from its focus is 2 2 . If verte</t>
  </si>
  <si>
    <t xml:space="preserve">P is a point on the parabola y2 = 4ax (a &gt; 0) whose vertex is A. PA is produced to meet the directrix in D and M is the foot of the perpendi</t>
  </si>
  <si>
    <t xml:space="preserve">The parabola x = y2 + ay + b intersect the parabola x2 = y at (1, 1) at right angle. Which of the following is/are correct? 1 6 1 6</t>
  </si>
  <si>
    <t xml:space="preserve">A circle 'S' is described on the focal chord of the parabola y2 = 4x as diameter. If the focal chord is inclined at an angle of 45° with axi</t>
  </si>
  <si>
    <t xml:space="preserve">TP and TQ are tangents to parabola y2 = 4x and normals at P and Q intersect at a point R on the curve. The locus of the centre of the circle</t>
  </si>
  <si>
    <t xml:space="preserve">Through a point P (– 2, 0), tangents PQ and PR are drawn to the parabola y2 = 8x. Two circles each passing through the focus of the parabola</t>
  </si>
  <si>
    <t xml:space="preserve">The locus of the point of intersection of those normals to the parabola x2 = 8 y which are at right angles to each other, is a parabola. Whi</t>
  </si>
  <si>
    <t xml:space="preserve">C-II</t>
  </si>
  <si>
    <t xml:space="preserve">Tangents are drawn to the parabola y2 = 12x at the points A, B and C such that the three tangents form a triangle PQR. If 1, 2 and 3 be t</t>
  </si>
  <si>
    <t xml:space="preserve">In the parabola y2 = 4ax, the tangent at the point P, whose abscissa is equal to the latus ractum meets the axis in T &amp; the normal at P cuts</t>
  </si>
  <si>
    <t xml:space="preserve">Two tangents to the parabola y2= 8x meet the tangent at its vertex in the points P &amp; Q. If PQ = 4 units, prove that the locus of the point o</t>
  </si>
  <si>
    <t xml:space="preserve">Two straight lines one being a tangent to y2 = 4ax and the other to x2 = 4by are right angles. Find the locus of their point of intersection</t>
  </si>
  <si>
    <t xml:space="preserve">Let A(at12 , 2at1 ) ; B(at 22 , 2at 2 ) ; C(at 32 , 2at 3 ) be three points on the parabola y2 = 4ax. If the orthocentre of the triangle ABC</t>
  </si>
  <si>
    <t xml:space="preserve">A variable chords of the parabola y2 = 8x touches the parabola y2 = 2x. The the locus of the point of intersection of the tangent at the end</t>
  </si>
  <si>
    <t xml:space="preserve">Show that the normals at two suitable distinct real points on the parabola y2 = 4ax (a &gt; 0) intersect at a point on the parabola whose absci</t>
  </si>
  <si>
    <t xml:space="preserve">PC is the normal at P to the parabola y2 = 4ax, C being on the axis. CP is produced outwards to Q so that PQ = CP; show that the locus of Q </t>
  </si>
  <si>
    <t xml:space="preserve">A quadrilateral is inscribed in a parabola y2 = 4ax and three of its sides pass through fixed points on the axis. Show that the fourth side </t>
  </si>
  <si>
    <t xml:space="preserve">Let P (a, b) and Q (c, d) are the two points on the parabola y2 = 8x such that the normals at them meet in (18, 12). Find the product (abcd)</t>
  </si>
  <si>
    <t xml:space="preserve">A fixed parabola y2 = 4 ax touches a variable parabola. Find the equation to the locus of the vertex of the variable parabola. Assume that t</t>
  </si>
  <si>
    <t xml:space="preserve">Prove that the locus of the centre of the circle, which passes through the vertex of the parabola y2 = 4ax &amp; through its intersection with a</t>
  </si>
  <si>
    <t xml:space="preserve">The equation of two tangents to a parabola are L1 : y + 3 = (x + 1) and L2 : y – 4 = (x + 1) and one more 3 4  3 tangent at the vertex is </t>
  </si>
  <si>
    <t xml:space="preserve">TP and TQ are two tangents to the parabola y2 = 8x such that the normals at the points P and Q intersect the curve at R. (a) Find the locus </t>
  </si>
  <si>
    <t xml:space="preserve">Two equal parabolas P1 and P2 have their vertices at V1(0, 4) and V2(6, 0) respectively. P1 and P2 are tangent to each other and have vertic</t>
  </si>
  <si>
    <t xml:space="preserve">Find the locus of the points of intersection of tangents drawn at the ends of all normal chords of the parabola y2 = 8(x – 1).</t>
  </si>
  <si>
    <t xml:space="preserve">Normals are drawn from the point ‘P’ with slopes m1, m2, m3 to the parabola y2 = 4x. If locus of P with m1 m2 =  is a part of the parabola </t>
  </si>
  <si>
    <t xml:space="preserve">Given the equation of the ellipse   1 , a parabola is such that its vertex is the lowest point of the 16 49 ellipse and it passes through </t>
  </si>
  <si>
    <t xml:space="preserve">Consider the parabola y2 = 4x and the ellipse 2x2 + y2 = 6, intersecting at P and Q. (a) Prove that the two curves are orthogonal. (b) Find </t>
  </si>
  <si>
    <t xml:space="preserve">A point P on a parabola y2 = 4x, the foot of the perpendicular from it upon the directrix, and the focus are the vertices of an equilateral </t>
  </si>
  <si>
    <t xml:space="preserve">Consider two concentric circles S1 : | z | = 1 and S2 : | z | = 2 on the Argand plane. A variable parabola is drawn through the points where</t>
  </si>
  <si>
    <t xml:space="preserve">Locus of P is a :</t>
  </si>
  <si>
    <t xml:space="preserve">Radius of the circle S = 0 is :</t>
  </si>
  <si>
    <t xml:space="preserve">The angle   (0, /2) between the two asymptotes of the hyperbola lies in the interval :</t>
  </si>
  <si>
    <t xml:space="preserve">Consider the parabola y2 = 12x : Column-I Column-II the x axis at T and G respectively. The coordinates of the middle point of T and G are t</t>
  </si>
  <si>
    <t xml:space="preserve">Match the properties given in column-I with the corresponding curves given in the column-II. Column-I Column-II from two given points is con</t>
  </si>
  <si>
    <t xml:space="preserve">Match the conics in Column I with the statements/expressions in Column II : [JEE-2009] Column I Column II x2 + y2 = 4  1 t2  2t , y  1</t>
  </si>
  <si>
    <t xml:space="preserve">J-M(XII)</t>
  </si>
  <si>
    <t xml:space="preserve">Let the tangent to the parabola S : y2 = 2x at the point P(2, 2) meet the x-axis at Q and normal at it meet the parabola S at the point R. T</t>
  </si>
  <si>
    <t xml:space="preserve">Let a parabola P be such that its vertex and focus lie on the positive x-axis at a distance 2 and 4 units from the origin, respectively. If </t>
  </si>
  <si>
    <t xml:space="preserve">Let y = mx + c, m &gt; 0 be the focal chord y2 = – 64x, which is tangent to (x + 10)2 + y2 = 4. Then, the value of 4 2(m  c) is equal to _____</t>
  </si>
  <si>
    <t xml:space="preserve">Let a line L : 2x + y = k, k &gt; 0 be a tangent to the hyperbola x2 – y2 = 3. If L is also a tangent to the parabola y2 = x, then  is equal </t>
  </si>
  <si>
    <t xml:space="preserve">A tangent and a normal are drawn at the point P(2, –4) on the parabola y2 = 8x, which meet the directrix of the parabola at the points A and</t>
  </si>
  <si>
    <t xml:space="preserve">If two tangents drawn from a point P to the parabola y2 = 16(x–3) are at right angles, then the locus of point P is: [JEE(Main)Aug.2021] [JE</t>
  </si>
  <si>
    <t xml:space="preserve">The length of the latus rectum of a parabola, whose vertex and focus are on the positive x-axis at a distance R and S; (S &gt; R) respectively </t>
  </si>
  <si>
    <t xml:space="preserve">Consider the parabola with vertex  ,  and the directrix y  . Let P be the point where the parabola meets  2 4 2 1 the line x =  . If t</t>
  </si>
  <si>
    <t xml:space="preserve">A tangent line L is drawn at the point (2, –4) on the parabola y2 = 8x. If the line L is also tangent to the circle x2 + y2 = a, then 'a' is</t>
  </si>
  <si>
    <t xml:space="preserve">The locus of the mid points of the chord of the hyperbola x2 – y2 = 4, which touch the parabola y2 = 8x, is : [JEE(Main)Aug.2021] [JEE(Main)</t>
  </si>
  <si>
    <t xml:space="preserve">Let x2 + y2 + Ax + By + C = 0 be a circle passing through (0, 6) and touching the parabola y = x2 at (2, 4). Then A + C is equal to ________</t>
  </si>
  <si>
    <t xml:space="preserve">If y = m1x + c1 and y = m2x + c2, m1  m2 are two common tangents of circle x2 + y2 = 2 and parabola y2 = x, then the value of 8|m1m2| is eq</t>
  </si>
  <si>
    <t xml:space="preserve">Let x = 2t, y = be conic. Let S be the focus and B be the point on the axis of the conic such that SA  BA , 3 where A is any point on the c</t>
  </si>
  <si>
    <t xml:space="preserve">If the line y = 4 + kx, k &gt; 0, is the tangent to the parabola y = x – x2 at the point P and V is the vertex of the parabola, then the slope </t>
  </si>
  <si>
    <t xml:space="preserve">Let the normal at the point P on the parabola y2 = 6x pass through the point (5, –8). If the tangent at P to the parabola intersects its dir</t>
  </si>
  <si>
    <t xml:space="preserve">If the equation of the parabola, whose vertex is at (5, 4) and the directtrix is 3x + y – 29 = 0, is x2 + ay2 + bxy + cx + dy + k = 0, then </t>
  </si>
  <si>
    <t xml:space="preserve">If vertex of a parabola is (2, –1) and the equation of its directrix is 4x – 3y = 21, then the length of its latus rectum is : [JEE(Main)Jun</t>
  </si>
  <si>
    <t xml:space="preserve">Let P : y2 = 4ax, a &gt; 0 be a parabola with focus S. Let the tangents to the parabola P make an angle of with the 4 line y = 3x + 5 touch the</t>
  </si>
  <si>
    <t xml:space="preserve">Let P1 be a parabola with vertex (3, 2) and focus (4, 4) and P2 be its mirror image with respect to the line x + 2y = 6. Then the directrix </t>
  </si>
  <si>
    <t xml:space="preserve">Let the common tangents to the curves 4(x2 +y2) = 9 and y2 = 4x intersect at the point Q. Let an ellipse, centrered at the origin O, has len</t>
  </si>
  <si>
    <t xml:space="preserve">A circle of radius 2 unit passes through the vertex and the focus of the parabola y2 = 2x and touches the parabola 2  1 y   x   , w</t>
  </si>
  <si>
    <t xml:space="preserve">Let PQ be a focal chord of the parabola y2 = 4x such that it subtends an angle of at the point (3, 0). Let the line 2 x 2 y2 segment PQ be a</t>
  </si>
  <si>
    <t xml:space="preserve">If two tangents drawn from a point () lying on the ellipse 25x2 + 4y2 = 1 to the parabola y2 = 4x are such that the slope of one tangent</t>
  </si>
  <si>
    <t xml:space="preserve">The equation of a common tangent to the parabolas y = x2 and y = – (x – 2)2 is : [JEE(Main)July2022]</t>
  </si>
  <si>
    <t xml:space="preserve">Let P(a, b) be a point on the parabola y2 = 8x such that the tangent at P passes through the centre of the circle x2 + y2 – 10x – 14y + 65 =</t>
  </si>
  <si>
    <t xml:space="preserve">If the length of the latus rectum of a parabola, whose focus is (a, a) and the tangent at its vertex is x + y = a, is 16, then |a| is equal </t>
  </si>
  <si>
    <t xml:space="preserve">If the tangents drawn at the points P and Q on the parabola y2 = 2x – 3 intersect at the point R(0, 1), then the orthocentre of the triangle</t>
  </si>
  <si>
    <t xml:space="preserve">The sum of diameters of the circles that touch (i) the parabola 75x2 = 64(5y – 3) at the point  ,  and (ii) the 5 5 y-axis, is equal t</t>
  </si>
  <si>
    <t xml:space="preserve">Two tangent lines l1 and l2 are drawn from the point (2, 0) to the parabola 2y2 = –x. If the lines l1 and l2 are also tangent to the circle </t>
  </si>
  <si>
    <t xml:space="preserve">Let the tangent drawn to the parabola y2 = 24x at the point (, ) is perpendicular to the line x 2 y2 2x + 2y = 5. Then the normal to the h</t>
  </si>
  <si>
    <t xml:space="preserve">L et the hyperbola H :  a 2 b2    1 pass through the point 2 2, 2 2 . A parabola is drawn whose focus is same as the focus of H with po</t>
  </si>
  <si>
    <t xml:space="preserve">Let the focal chord of the parabola P : y2 = 4x along the line L : y = mx + c, m &gt; 0 meet the parabola at the points M and N. Let the line L</t>
  </si>
  <si>
    <t xml:space="preserve">J-M(XIII)</t>
  </si>
  <si>
    <t xml:space="preserve">  The distance of the point 6, 2 2 from the common tangent y = mx + c, m &gt; 0, of the curves x = 2y2 and x = 1 + y2 is : [JEE(Main)Jan.202</t>
  </si>
  <si>
    <t xml:space="preserve">The equations of two sides of a variable triangle are x = 0 and y = 3, and its third side is a tangent to the parabola y2 = 6x. The locus of</t>
  </si>
  <si>
    <t xml:space="preserve">If P(h,k) be a point on the parabola x = 4y2, which is nearest to the point Q(0,33), then the distance of P from the directrix of the parabo</t>
  </si>
  <si>
    <t xml:space="preserve">Let A be a point on the x-axis. Common tangents are drawn from A to the curves x2 + y2 = 8 and y2 = 16x. If one of these tangents touches th</t>
  </si>
  <si>
    <t xml:space="preserve">A triangle is formed by the tangents at the point (2,2) on the curves y2 = 2x and x2 + y2 = 4x, and the line x + y + 2 = 0. If r is the radi</t>
  </si>
  <si>
    <t xml:space="preserve">Let S be the set of all a  N such that the area of the triangle formed by the tangent at the point P(b, c), b, c  N, on the parabola y2 = </t>
  </si>
  <si>
    <t xml:space="preserve">If the x-intercept of a focal chord of the parabola y2 = 8x + 4y + 4 is 3, then the length of this chord is equal to __________ . [JEE(Main)</t>
  </si>
  <si>
    <t xml:space="preserve">If the tangent at a point P on the parabola y2 = 3x is parallel to the line x + 2y = 1 and the tangents at the points Q and x 2 y2 R on the </t>
  </si>
  <si>
    <t xml:space="preserve">Let a tangent to the curve y2 = 24x meet the curve xy = 2 at the points A and B. Then the mid points of such line segments AB lie on a parab</t>
  </si>
  <si>
    <t xml:space="preserve">Let R be the focus of the parabola y2 = 20x and the line y = mx + c intersect the parabola at two points P and Q. Let the point G(10, 10) be</t>
  </si>
  <si>
    <t xml:space="preserve">Let A(0, 1), B(1, 1) and C(1, 0) be the mid-points of the sides of a triangle with incentre at the point D. If the focus    of the parabo</t>
  </si>
  <si>
    <t xml:space="preserve">Let PQ be a focal chord of the parabola y2 = 36x of length 100 , making an acute angle with the positive x-axis. Let the ordinat e of P be p</t>
  </si>
  <si>
    <t xml:space="preserve">Let the tangent to the curve x2 + 2x – 4y + 9 = 0 at the point P(1, 3) on it meet the y-axis at A. Let the line passing through P and parall</t>
  </si>
  <si>
    <t xml:space="preserve">The ordinates of the points P and Q on the parabola with focus (3, 0) and directrix x = –3 are in the ratio 2 3 : 1. If R(, ) is the poin</t>
  </si>
  <si>
    <t xml:space="preserve">Let a common tangent to the curves y2 = 4x and (x – 4)2 + y2 = 16 touch the curves at the points P and Q. Then (PQ)2 is equal to _________. </t>
  </si>
  <si>
    <t xml:space="preserve">Let the tangent to the parabola y2 = 12x at the point (3, ) be perpendicular to the line 2x + 2y = 3. Then the square of distance of the po</t>
  </si>
  <si>
    <t xml:space="preserve">If the shortest distance of the parabola y2 = 4x from the centre of the circle x2 + y2 – 4x – 16y + 64 = 0 is d, then d2 is equal to : [JEE(</t>
  </si>
  <si>
    <t xml:space="preserve">Let P(, ) be a point on the parabola y2 = 4x. If P also lies on the chord of the parabola x2 = 8y whose mid point  5 is 1,  , then ( </t>
  </si>
  <si>
    <t xml:space="preserve">Let P be a parabola with vertex (2, 3) and directrix 2x + y = 6. Let an ellipse E :   1, a  b , of eccentricity a 2 b2 1 pass through the</t>
  </si>
  <si>
    <t xml:space="preserve">L et PQ be a chord of the parabola y2 = 12x and the midpoint of PQ be at (4, 1). Then, which of the following points lies on the line passin</t>
  </si>
  <si>
    <t xml:space="preserve">Let the length of the focal chord PQ of the parabola y2 = 12x be 15 units. If the distance of PQ from the origin is p, then 10p2 is equal to</t>
  </si>
  <si>
    <t xml:space="preserve">Suppose AB is a focal chord of the parabola y2 = 12x of length l and slope m  3 . If the distance of the chord AB from the origin is d, the</t>
  </si>
  <si>
    <t xml:space="preserve">Let a line perpendicular to the line 2x –y = 10 touch the parabola y2 = 4 (x –9) at the point P. The distance of the point P from the centre</t>
  </si>
  <si>
    <t xml:space="preserve">Let L1, L2 be the lines passing through the point P(0, 1) and touching the parabola 9x2 + 12x + 18y – 14 = 0. Let Q and R be the points on t</t>
  </si>
  <si>
    <t xml:space="preserve">Consider the circle C : x2 + y2 = 4 and the parabola P: y2 = 8x. If the set of all values of , for which three chords of the circle C on th</t>
  </si>
  <si>
    <t xml:space="preserve">Let A, B and C be three points on the parabola y2 = 6x and let the line segment AB meet the line L through C parallel to the x-axis at the p</t>
  </si>
  <si>
    <t xml:space="preserve">DPP-1</t>
  </si>
  <si>
    <t xml:space="preserve">DPP</t>
  </si>
  <si>
    <t xml:space="preserve">A variable circle is drawn to touch the line 3x – 4y = 10 and also the circle x2 + y2 = 4 externally then the locus of its centre is : y</t>
  </si>
  <si>
    <t xml:space="preserve">Which one of the following equations represented parametrically, represents equation to a parabolic profile : t 2 t t 2 2</t>
  </si>
  <si>
    <t xml:space="preserve">If the line x  1 = 0 is the directrix of the parabola y2  k x + 8 = 0, then one of the values of ' k ' is :</t>
  </si>
  <si>
    <t xml:space="preserve">Angle between the parabolas y2 = 4(x – 1) and x2 + 4(y – 3) = 0 at the common end of their latus rectum, is :</t>
  </si>
  <si>
    <t xml:space="preserve">Length of the latus rectum of the parabola 25 [(x  2)2 + (y  3)2] = (3x  4y + 7)2 is :</t>
  </si>
  <si>
    <t xml:space="preserve">The equation to the parabola whose focus is (0, –3) and directrix is y = 3 is :</t>
  </si>
  <si>
    <t xml:space="preserve">If (0, 0) be the vertex and 3x – 4y + 2 = 0 be the directrix of a parabola, then the length of its latus rectum is :</t>
  </si>
  <si>
    <t xml:space="preserve">For any parabola focus is (2,1) and directrix is 2x – 3y + 1 = 0, then equation of the latus rectum is :</t>
  </si>
  <si>
    <t xml:space="preserve">Which of the following is not the equation of parabola :</t>
  </si>
  <si>
    <t xml:space="preserve">Given the ends of latus rectum, the number of parabolas that can be drawn is :</t>
  </si>
  <si>
    <t xml:space="preserve">The equation of the directrix of the parabola, y2 + 4y + 4x + 2 = 0 is :</t>
  </si>
  <si>
    <t xml:space="preserve">The locus of the point of trisection of all the double ordinates of the parabola y2 = lx is a parabola whose latus rectum is : l 2l 4l l 9 9</t>
  </si>
  <si>
    <t xml:space="preserve">If a focal chord of y2 = 4x makes an angle ,   0,  with the positive direction of x-axis, then minimum length  4 of this focal chord</t>
  </si>
  <si>
    <t xml:space="preserve">If (2, – 8) is one end of a focal chord of the parabola y2 = 32x, then the other end of the focal chord, is :</t>
  </si>
  <si>
    <t xml:space="preserve">The length of a focal chord of the parabola y2 = 4ax at a distance b from the vertex is c, then :</t>
  </si>
  <si>
    <t xml:space="preserve">Locus of the feet of the perpendiculars drawn from vertex of the parabola y2 = 4ax upon all such chords of the parabola which subtend a righ</t>
  </si>
  <si>
    <t xml:space="preserve">If a focal chord of parabola y2 = 4ax makes an angle  with its axis, then the length of perpendicular from vertex to this chord is :</t>
  </si>
  <si>
    <t xml:space="preserve">DPP-2</t>
  </si>
  <si>
    <t xml:space="preserve">The length of the chord of the parabola y2 = 4x which passes through the vertex and makes 30º angle with x- axis is :</t>
  </si>
  <si>
    <t xml:space="preserve">Length of the chord intercepted by the parabola y=x2 + 3x on the line x+ y= 5 is :</t>
  </si>
  <si>
    <t xml:space="preserve">Through the focus of the parabola y2 = 2px (p &gt; 0) a line is drawn which intersects the curve at A(x1, y1) and y1 y 2 B(x2, y2). The ratio e</t>
  </si>
  <si>
    <t xml:space="preserve">The straight line y = m(x – a) will meet the parabola y2 = 4ax in two distinct real points if :</t>
  </si>
  <si>
    <t xml:space="preserve">The length of the intercept on y  axis cut off by the parabola, y2  5y = 3x  6 is :</t>
  </si>
  <si>
    <t xml:space="preserve">The straight line x + y = k touches the parabola y = x – x2, if k =</t>
  </si>
  <si>
    <t xml:space="preserve">From an external point P, pair of tangent lines are drawn to the parabola, y2 = 4x. If 1 &amp; 2 are the inclinations of  these tangents with</t>
  </si>
  <si>
    <t xml:space="preserve">The points of contact Q and R of tangent from the point P (2, 3) on the parabola y2 = 4x are : 1 4 1 4</t>
  </si>
  <si>
    <t xml:space="preserve">Length of the normal chord of the parabola, y2 = 4x, which makes an angle of with the axis of x is : 4  4</t>
  </si>
  <si>
    <t xml:space="preserve">If the lines (y – b) = m1(x + a) and (y – b) = m2(x + a) are the tangents to the parabola y2 = 4ax, then :</t>
  </si>
  <si>
    <t xml:space="preserve">If the normal to a parabola y2 = 4ax at P meets the curve again in Q and if PQ and the normal at Q makes angles  and  respectively with th</t>
  </si>
  <si>
    <t xml:space="preserve">Find the value of  for which point (, 2 + 1) doesn't lie outside the parabola y = x2 + x + 1.</t>
  </si>
  <si>
    <t xml:space="preserve">Find the set of values of  in the interval [/2, 3/2], for which the point (sin, cos) does not lie outside the parabola 2y2 + x – 2 = 0.</t>
  </si>
  <si>
    <t xml:space="preserve">If two tangents to the parabola y2 = 4ax from a point P make angles 1 and 2 with the axis of the parabola, then find the locus of P in eac</t>
  </si>
  <si>
    <t xml:space="preserve">DPP-3</t>
  </si>
  <si>
    <t xml:space="preserve">Suppose that three points on the parabola y = x2 have the property that their normal lines intersect at a common point (a, b). The sum of th</t>
  </si>
  <si>
    <t xml:space="preserve">If x + y = k is normal to y2 = 12 x, then ' k ' is :</t>
  </si>
  <si>
    <t xml:space="preserve">For what value of k, the line 2y – x + k = 0 touches the parabola x2 + 4y = 0 :</t>
  </si>
  <si>
    <t xml:space="preserve">The point of contact of the line 2x – y + 2 = 0 with the parabola y2 = 16 x is :</t>
  </si>
  <si>
    <t xml:space="preserve">The equation of the normal to the parabola y2 = 16 x with slope – 1/4 is :</t>
  </si>
  <si>
    <t xml:space="preserve">The line x + my + n = 0 is a normal to the parabola y2 = 4 ax if :</t>
  </si>
  <si>
    <t xml:space="preserve">The coordinates of the point where the normal to the parabola y2 = 8x drawn at its point (2, 4) meets it again are :</t>
  </si>
  <si>
    <t xml:space="preserve">If two normals to a parabola y2 = 4ax intersect at right angles then the chord joining their feet passes through a fixed point whose co-ordi</t>
  </si>
  <si>
    <t xml:space="preserve">The equation of a straight line passing through the point (3, 6) and cutting the curve y = x orthogonally is :</t>
  </si>
  <si>
    <t xml:space="preserve">A circle with radius unity has its centre on the positive y-axis. If this circle touches the parabola y = 2x2 tangentially at the points P a</t>
  </si>
  <si>
    <t xml:space="preserve">Normal to the parabola y2 = 8x at the point P (2, 4) meets the parabola again at the point Q. If C is the centre of the circle described on </t>
  </si>
  <si>
    <t xml:space="preserve">Normals are drawn at points A, B, and C on the parabola y2 = 4x which intersect at P(h, k). The locus of the point P if the slope of the lin</t>
  </si>
  <si>
    <t xml:space="preserve">Which one of the following lines cannot be the normals to x2 = 4y ?</t>
  </si>
  <si>
    <t xml:space="preserve">Area of the figure formed by the tangents and normals drawn at the extremities of its latus rectum is :</t>
  </si>
  <si>
    <t xml:space="preserve">Distance between the tangent to the parabola and a parallel normal inclined at 30° with the x-axis, is : 16 16 3 2 16 3 9 3 3</t>
  </si>
  <si>
    <t xml:space="preserve">DPP-4</t>
  </si>
  <si>
    <t xml:space="preserve">y-intercept of the common tangent to the parabola y2 = 32x and x2 = 108y is :</t>
  </si>
  <si>
    <t xml:space="preserve">C is the centre of the circle with centre (0, 1) and radius unity. P is the parabola y = ax2. The set of values of 'a' for which they meet a</t>
  </si>
  <si>
    <t xml:space="preserve">The equation of the common tangent touching the circle (x – 3)2 + y2 = 9 and the parabola y2 = 4x above the x–axis is :</t>
  </si>
  <si>
    <t xml:space="preserve">TP &amp; TQ are tangents to the parabola, y2 = 4ax at P &amp; Q. If the chord PQ passes through the fixed point ( a, b) then the locus of T is :</t>
  </si>
  <si>
    <t xml:space="preserve">Tangents are drawn from the points on the line x  y + 3 = 0 to parabola y2 = 8x. Then the variable chords of contact pass through a fixed p</t>
  </si>
  <si>
    <t xml:space="preserve">The length of the chord of the parabola y2 =x which is bisected at (2, 1) is :</t>
  </si>
  <si>
    <t xml:space="preserve">Tangents are drawn from the point ( 1, 2) on the parabola y2 = 4 x. The length , these tangents will intercept on the line x = 2 is :</t>
  </si>
  <si>
    <t xml:space="preserve">If the locus of the middle points of the chords of the parabola y2 = 2x which touches the circle x2 + y2 – 2x – 4 = 0 is given by (y2 + 1 – </t>
  </si>
  <si>
    <t xml:space="preserve">Locus of the middle points of all chords of the parabola y2 = 4x which are drawn through the vertex is :</t>
  </si>
  <si>
    <t xml:space="preserve">If length of the two segments of focal chord to the parabola y2 = 8ax are 2 and 4, then the value of a is :</t>
  </si>
  <si>
    <t xml:space="preserve">The coordinates of circumcentre of PQR, is :</t>
  </si>
  <si>
    <t xml:space="preserve">The area of quadrilateral TPRQ, is :</t>
  </si>
  <si>
    <t xml:space="preserve">Angle between a pair of tangents drawn at the end points of the chord y + 5t = tx + 2 of curve C  t  R , is :     6 4 3 2</t>
  </si>
  <si>
    <t xml:space="preserve">The normals to the parabola y2 = 4x at the points P, Q &amp; R are concurrent at the point (15, 12). Find (a) the equation of the circle circums</t>
  </si>
  <si>
    <t xml:space="preserve">DPP-5</t>
  </si>
  <si>
    <t xml:space="preserve">The latus rectum of a conic section is the width of the function through the focus. The positive difference between the lengths of the latus</t>
  </si>
  <si>
    <t xml:space="preserve">DPP-6</t>
  </si>
  <si>
    <t xml:space="preserve">x  2y + 4 = 0 is a common tangent to y = 4x and  2 = 1. Then the value of b and the other common 4 b tangent are given by : x2 y2 4 b</t>
  </si>
  <si>
    <t xml:space="preserve">The ratio of the areas of the triangles PQS and PQR, is :</t>
  </si>
  <si>
    <t xml:space="preserve">The area of quadrilateral PRQS, is : 3 15 15 3 5 3 5 15 2 2 2 2</t>
  </si>
  <si>
    <t xml:space="preserve">The equation of circle touching the parabola at upper end of its latus rectum and passing through its vertex, is : 9 2</t>
  </si>
  <si>
    <t xml:space="preserve">DPP-7</t>
  </si>
  <si>
    <t xml:space="preserve">Equation of a tangent common to both the parabola P and the ellipse E is :</t>
  </si>
  <si>
    <t xml:space="preserve">Point of contact of a common tangent to P and E on the ellipse is :  1 15   1 15   1 15   1 15  2 4   2 4 2 2  2 2</t>
  </si>
  <si>
    <t xml:space="preserve">DPP-9</t>
  </si>
  <si>
    <t xml:space="preserve">The equation of parabolas with same latus-rectum as conic C, is/are :</t>
  </si>
  <si>
    <t xml:space="preserve">DPP-10</t>
  </si>
  <si>
    <t xml:space="preserve">Number of common tangent with finite slope to the curves xy = c2 and y2 = 4ax is :</t>
  </si>
  <si>
    <t xml:space="preserve">QB</t>
  </si>
  <si>
    <t xml:space="preserve">Question Bank</t>
  </si>
  <si>
    <t xml:space="preserve">Let the focal chord PQ of the parabola y2 = 4x make an angle of 60° with the positive x axis, where P lies in the first quadrant. If the cir</t>
  </si>
  <si>
    <t xml:space="preserve">Let the point P of the focal chord PQ of the parabola y2 = 16x be (1, –4). If the focus of the parabola divides the chord PQ in the ratio m </t>
  </si>
  <si>
    <t xml:space="preserve">The axis of a parabola is the line y = x and its vertex and focus are in the first quadrant at distances 2 and 2 2 units from the origin, re</t>
  </si>
  <si>
    <t xml:space="preserve">Let P be the parabola, whose focus is (–2, 1) and directrix is 2x + y + 2 = 0. Then the sum of the ordinates of the points on P, whose absci</t>
  </si>
  <si>
    <t xml:space="preserve">  Let P 4, 4 3 be a point on the parabola y2 = 4ax and PQ be a focal chord of the parabola. If M and N are the foot of perpendiculars draw</t>
  </si>
  <si>
    <t xml:space="preserve">If the line 3x – 2y + 12 = 0 intersects the parabola 4y = 3x2 at the points A and B, then at the vertex of the parabola, the line segment AB</t>
  </si>
  <si>
    <t xml:space="preserve">Let the shortest distance from (a, 0), a &gt; 0, to the parabola y2 = 4x be 4. Then the equation of the circle passing 114 ASSIGNMENT BOOKLET (</t>
  </si>
  <si>
    <t xml:space="preserve">Let ABCD be a trapezium whose vertices lie on the parabola y2 = 4x. Let the sides AD and BC of the trapezium 25 be parallel to y-axis. If th</t>
  </si>
  <si>
    <t xml:space="preserve">Two parabolas have the same focus (4, 3) and their directrices are the x-axis and the y-axis, respectively. If these parabolas intersects at</t>
  </si>
  <si>
    <t xml:space="preserve">If the shortest distance of the parabola y2 = 4x from the centre of the circle x2 + y2 – 4x – 16y + 64 = 0 is d, then d2 is equal to :</t>
  </si>
  <si>
    <t xml:space="preserve">Let r be the radius of the circle, which touches x-axis at point (a, 0), a &lt; 0 and the parabola y2 = 9x at the point (4, 6). Then r is equal</t>
  </si>
  <si>
    <t xml:space="preserve">The focus of the parabola y2 = 4x + 16 is the centre of the circle C of radius 5. If the values of , for which C passes through the point o</t>
  </si>
  <si>
    <t xml:space="preserve">Let y2 = 12x be the parabola and S be its focus. Let PQ be a focal chord of the parabola such that  SP  (SQ)  . 4 118 ASSIGNMENT BOOKLET </t>
  </si>
  <si>
    <t xml:space="preserve">If P is a point on C1 and Q in another point on C2, then is equal to : QA 2  QB 2  QC 2  QD 2 PA 2  PB 2  PC 2  PD 2 QA 2  QB 2  QC </t>
  </si>
  <si>
    <t xml:space="preserve">The circle C1 : x2 + y2 = 3, with centre at O, intersects the parabola x2 = 2y at the point P in the first quadrant. Let t h e t a n g e n t</t>
  </si>
  <si>
    <t xml:space="preserve">The parabolas : ax2 + 2bx + cy = 0 and dx2 + 2ex + fy = 0 intersect on the line y = 1. If a, b, c, d, e, f are positive real numbers and a,b</t>
  </si>
  <si>
    <t xml:space="preserve">Let the line L : 2x  y   pass through the point of the intersection P (in the first quadrant) of the circle x2 + y2 = 3 and the parabola </t>
  </si>
  <si>
    <t xml:space="preserve">A parabola y = ax2 + bx + c crosses the x  axis at ( , 0) ( , 0) both to the right of the origin. A circle also passes through these two </t>
  </si>
  <si>
    <t xml:space="preserve">Maximum number of common chords of a parabola and a circle can be equal to :</t>
  </si>
  <si>
    <t xml:space="preserve">Consider the graphs of y = Ax2 and y2 + 3 = x2 + 4y, where A is a positive constant and x, y  R. Number of points in which the two graphs i</t>
  </si>
  <si>
    <t xml:space="preserve">Let the parabola y = x2 + px – 3, meet the coordinate axes at the points P, Q and R. If the circle C with centre at (–1, –1) passes through </t>
  </si>
  <si>
    <t xml:space="preserve">Grade thresholds (edit the blue cells; grades on the Items sheet recalculate)</t>
  </si>
  <si>
    <t xml:space="preserve">Batch XII: minimum graded questions for High</t>
  </si>
  <si>
    <t xml:space="preserve">Batch XIII: minimum graded questions for High</t>
  </si>
  <si>
    <t xml:space="preserve">Minimum graded questions for Medium (all batches)</t>
  </si>
  <si>
    <t xml:space="preserve">Graded questions = JM exercise of the batch + JA exercise + JEE Main Question Bank; a question present in two of these counts once.</t>
  </si>
  <si>
    <t xml:space="preserve">Batch XII: 84 graded questions; High threshold 8 (about 9.1%).</t>
  </si>
  <si>
    <t xml:space="preserve">Batch XIII: 71 graded questions; High threshold 6 (about 9.1%).</t>
  </si>
  <si>
    <t xml:space="preserve">Sheet exercises J-I, J-II, Challenger (C-I, C-II) and the DPPs are mapped but not graded; Challenger exercises are not used for the coverage check.</t>
  </si>
  <si>
    <t xml:space="preserve">A question counts for every item it needs (main concept and also-used items). Low = not tested in the graded questions; it does not mean unimportant.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</si>
</sst>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0A3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0A3"/>
        </patternFill>
      </fill>
    </dxf>
    <dxf>
      <fill>
        <patternFill>
          <bgColor rgb="FFE7E6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0A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/>
      <c r="F2" s="2" t="n">
        <v>1</v>
      </c>
      <c r="G2" s="2" t="n">
        <f aca="false">COUNTIFS(Map!$D:$D,$A2,Map!$F:$F,"Y")</f>
        <v>0</v>
      </c>
      <c r="H2" s="2" t="str">
        <f aca="false">IF(G2&gt;=Settings!$B$3,"High",IF(G2&gt;=Settings!$B$5,"Medium","Low"))</f>
        <v>Low</v>
      </c>
      <c r="I2" s="2" t="n">
        <f aca="false">COUNTIFS(Map!$D:$D,$A2,Map!$G:$G,"Y")</f>
        <v>0</v>
      </c>
      <c r="J2" s="2" t="str">
        <f aca="false">IF(I2&gt;=Settings!$B$4,"High",IF(I2&gt;=Settings!$B$5,"Medium","Low"))</f>
        <v>Low</v>
      </c>
      <c r="K2" s="2" t="n">
        <f aca="false">COUNTIF(Map!$D:$D,$A2)</f>
        <v>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14</v>
      </c>
      <c r="D3" s="2" t="s">
        <v>13</v>
      </c>
      <c r="E3" s="2"/>
      <c r="F3" s="2" t="n">
        <v>2</v>
      </c>
      <c r="G3" s="2" t="n">
        <f aca="false">COUNTIFS(Map!$D:$D,$A3,Map!$F:$F,"Y")</f>
        <v>0</v>
      </c>
      <c r="H3" s="2" t="str">
        <f aca="false">IF(G3&gt;=Settings!$B$3,"High",IF(G3&gt;=Settings!$B$5,"Medium","Low"))</f>
        <v>Low</v>
      </c>
      <c r="I3" s="2" t="n">
        <f aca="false">COUNTIFS(Map!$D:$D,$A3,Map!$G:$G,"Y")</f>
        <v>0</v>
      </c>
      <c r="J3" s="2" t="str">
        <f aca="false">IF(I3&gt;=Settings!$B$4,"High",IF(I3&gt;=Settings!$B$5,"Medium","Low"))</f>
        <v>Low</v>
      </c>
      <c r="K3" s="2" t="n">
        <f aca="false">COUNTIF(Map!$D:$D,$A3)</f>
        <v>0</v>
      </c>
    </row>
    <row r="4" customFormat="false" ht="15" hidden="false" customHeight="false" outlineLevel="0" collapsed="false">
      <c r="A4" s="2" t="n">
        <v>3</v>
      </c>
      <c r="B4" s="2" t="s">
        <v>11</v>
      </c>
      <c r="C4" s="2" t="s">
        <v>15</v>
      </c>
      <c r="D4" s="2" t="s">
        <v>13</v>
      </c>
      <c r="E4" s="2"/>
      <c r="F4" s="2" t="n">
        <v>3</v>
      </c>
      <c r="G4" s="2" t="n">
        <f aca="false">COUNTIFS(Map!$D:$D,$A4,Map!$F:$F,"Y")</f>
        <v>0</v>
      </c>
      <c r="H4" s="2" t="str">
        <f aca="false">IF(G4&gt;=Settings!$B$3,"High",IF(G4&gt;=Settings!$B$5,"Medium","Low"))</f>
        <v>Low</v>
      </c>
      <c r="I4" s="2" t="n">
        <f aca="false">COUNTIFS(Map!$D:$D,$A4,Map!$G:$G,"Y")</f>
        <v>0</v>
      </c>
      <c r="J4" s="2" t="str">
        <f aca="false">IF(I4&gt;=Settings!$B$4,"High",IF(I4&gt;=Settings!$B$5,"Medium","Low"))</f>
        <v>Low</v>
      </c>
      <c r="K4" s="2" t="n">
        <f aca="false">COUNTIF(Map!$D:$D,$A4)</f>
        <v>0</v>
      </c>
    </row>
    <row r="5" customFormat="false" ht="15" hidden="false" customHeight="false" outlineLevel="0" collapsed="false">
      <c r="A5" s="2" t="n">
        <v>4</v>
      </c>
      <c r="B5" s="2" t="s">
        <v>16</v>
      </c>
      <c r="C5" s="2" t="s">
        <v>17</v>
      </c>
      <c r="D5" s="2" t="s">
        <v>13</v>
      </c>
      <c r="E5" s="2"/>
      <c r="F5" s="2" t="n">
        <v>4</v>
      </c>
      <c r="G5" s="2" t="n">
        <f aca="false">COUNTIFS(Map!$D:$D,$A5,Map!$F:$F,"Y")</f>
        <v>0</v>
      </c>
      <c r="H5" s="2" t="str">
        <f aca="false">IF(G5&gt;=Settings!$B$3,"High",IF(G5&gt;=Settings!$B$5,"Medium","Low"))</f>
        <v>Low</v>
      </c>
      <c r="I5" s="2" t="n">
        <f aca="false">COUNTIFS(Map!$D:$D,$A5,Map!$G:$G,"Y")</f>
        <v>0</v>
      </c>
      <c r="J5" s="2" t="str">
        <f aca="false">IF(I5&gt;=Settings!$B$4,"High",IF(I5&gt;=Settings!$B$5,"Medium","Low"))</f>
        <v>Low</v>
      </c>
      <c r="K5" s="2" t="n">
        <f aca="false">COUNTIF(Map!$D:$D,$A5)</f>
        <v>0</v>
      </c>
    </row>
    <row r="6" customFormat="false" ht="15" hidden="false" customHeight="false" outlineLevel="0" collapsed="false">
      <c r="A6" s="2" t="n">
        <v>5</v>
      </c>
      <c r="B6" s="2" t="s">
        <v>16</v>
      </c>
      <c r="C6" s="2" t="s">
        <v>18</v>
      </c>
      <c r="D6" s="2" t="s">
        <v>13</v>
      </c>
      <c r="E6" s="2"/>
      <c r="F6" s="2" t="n">
        <v>5</v>
      </c>
      <c r="G6" s="2" t="n">
        <f aca="false">COUNTIFS(Map!$D:$D,$A6,Map!$F:$F,"Y")</f>
        <v>0</v>
      </c>
      <c r="H6" s="2" t="str">
        <f aca="false">IF(G6&gt;=Settings!$B$3,"High",IF(G6&gt;=Settings!$B$5,"Medium","Low"))</f>
        <v>Low</v>
      </c>
      <c r="I6" s="2" t="n">
        <f aca="false">COUNTIFS(Map!$D:$D,$A6,Map!$G:$G,"Y")</f>
        <v>0</v>
      </c>
      <c r="J6" s="2" t="str">
        <f aca="false">IF(I6&gt;=Settings!$B$4,"High",IF(I6&gt;=Settings!$B$5,"Medium","Low"))</f>
        <v>Low</v>
      </c>
      <c r="K6" s="2" t="n">
        <f aca="false">COUNTIF(Map!$D:$D,$A6)</f>
        <v>1</v>
      </c>
    </row>
    <row r="7" customFormat="false" ht="15" hidden="false" customHeight="false" outlineLevel="0" collapsed="false">
      <c r="A7" s="2" t="n">
        <v>6</v>
      </c>
      <c r="B7" s="2" t="s">
        <v>16</v>
      </c>
      <c r="C7" s="2" t="s">
        <v>19</v>
      </c>
      <c r="D7" s="2" t="s">
        <v>13</v>
      </c>
      <c r="E7" s="2"/>
      <c r="F7" s="2" t="n">
        <v>6</v>
      </c>
      <c r="G7" s="2" t="n">
        <f aca="false">COUNTIFS(Map!$D:$D,$A7,Map!$F:$F,"Y")</f>
        <v>0</v>
      </c>
      <c r="H7" s="2" t="str">
        <f aca="false">IF(G7&gt;=Settings!$B$3,"High",IF(G7&gt;=Settings!$B$5,"Medium","Low"))</f>
        <v>Low</v>
      </c>
      <c r="I7" s="2" t="n">
        <f aca="false">COUNTIFS(Map!$D:$D,$A7,Map!$G:$G,"Y")</f>
        <v>0</v>
      </c>
      <c r="J7" s="2" t="str">
        <f aca="false">IF(I7&gt;=Settings!$B$4,"High",IF(I7&gt;=Settings!$B$5,"Medium","Low"))</f>
        <v>Low</v>
      </c>
      <c r="K7" s="2" t="n">
        <f aca="false">COUNTIF(Map!$D:$D,$A7)</f>
        <v>0</v>
      </c>
    </row>
    <row r="8" customFormat="false" ht="15" hidden="false" customHeight="false" outlineLevel="0" collapsed="false">
      <c r="A8" s="2" t="n">
        <v>7</v>
      </c>
      <c r="B8" s="2" t="s">
        <v>16</v>
      </c>
      <c r="C8" s="2" t="s">
        <v>20</v>
      </c>
      <c r="D8" s="2" t="s">
        <v>13</v>
      </c>
      <c r="E8" s="2"/>
      <c r="F8" s="2" t="n">
        <v>7</v>
      </c>
      <c r="G8" s="2" t="n">
        <f aca="false">COUNTIFS(Map!$D:$D,$A8,Map!$F:$F,"Y")</f>
        <v>0</v>
      </c>
      <c r="H8" s="2" t="str">
        <f aca="false">IF(G8&gt;=Settings!$B$3,"High",IF(G8&gt;=Settings!$B$5,"Medium","Low"))</f>
        <v>Low</v>
      </c>
      <c r="I8" s="2" t="n">
        <f aca="false">COUNTIFS(Map!$D:$D,$A8,Map!$G:$G,"Y")</f>
        <v>0</v>
      </c>
      <c r="J8" s="2" t="str">
        <f aca="false">IF(I8&gt;=Settings!$B$4,"High",IF(I8&gt;=Settings!$B$5,"Medium","Low"))</f>
        <v>Low</v>
      </c>
      <c r="K8" s="2" t="n">
        <f aca="false">COUNTIF(Map!$D:$D,$A8)</f>
        <v>1</v>
      </c>
    </row>
    <row r="9" customFormat="false" ht="23.85" hidden="false" customHeight="false" outlineLevel="0" collapsed="false">
      <c r="A9" s="2" t="n">
        <v>8</v>
      </c>
      <c r="B9" s="2" t="s">
        <v>21</v>
      </c>
      <c r="C9" s="2" t="s">
        <v>22</v>
      </c>
      <c r="D9" s="2" t="s">
        <v>13</v>
      </c>
      <c r="E9" s="2"/>
      <c r="F9" s="2" t="n">
        <v>8</v>
      </c>
      <c r="G9" s="2" t="n">
        <f aca="false">COUNTIFS(Map!$D:$D,$A9,Map!$F:$F,"Y")</f>
        <v>0</v>
      </c>
      <c r="H9" s="2" t="str">
        <f aca="false">IF(G9&gt;=Settings!$B$3,"High",IF(G9&gt;=Settings!$B$5,"Medium","Low"))</f>
        <v>Low</v>
      </c>
      <c r="I9" s="2" t="n">
        <f aca="false">COUNTIFS(Map!$D:$D,$A9,Map!$G:$G,"Y")</f>
        <v>0</v>
      </c>
      <c r="J9" s="2" t="str">
        <f aca="false">IF(I9&gt;=Settings!$B$4,"High",IF(I9&gt;=Settings!$B$5,"Medium","Low"))</f>
        <v>Low</v>
      </c>
      <c r="K9" s="2" t="n">
        <f aca="false">COUNTIF(Map!$D:$D,$A9)</f>
        <v>2</v>
      </c>
    </row>
    <row r="10" customFormat="false" ht="15" hidden="false" customHeight="false" outlineLevel="0" collapsed="false">
      <c r="A10" s="2" t="n">
        <v>9</v>
      </c>
      <c r="B10" s="2" t="s">
        <v>21</v>
      </c>
      <c r="C10" s="2" t="s">
        <v>23</v>
      </c>
      <c r="D10" s="2" t="s">
        <v>13</v>
      </c>
      <c r="E10" s="2"/>
      <c r="F10" s="2" t="n">
        <v>9</v>
      </c>
      <c r="G10" s="2" t="n">
        <f aca="false">COUNTIFS(Map!$D:$D,$A10,Map!$F:$F,"Y")</f>
        <v>0</v>
      </c>
      <c r="H10" s="2" t="str">
        <f aca="false">IF(G10&gt;=Settings!$B$3,"High",IF(G10&gt;=Settings!$B$5,"Medium","Low"))</f>
        <v>Low</v>
      </c>
      <c r="I10" s="2" t="n">
        <f aca="false">COUNTIFS(Map!$D:$D,$A10,Map!$G:$G,"Y")</f>
        <v>0</v>
      </c>
      <c r="J10" s="2" t="str">
        <f aca="false">IF(I10&gt;=Settings!$B$4,"High",IF(I10&gt;=Settings!$B$5,"Medium","Low"))</f>
        <v>Low</v>
      </c>
      <c r="K10" s="2" t="n">
        <f aca="false">COUNTIF(Map!$D:$D,$A10)</f>
        <v>1</v>
      </c>
    </row>
    <row r="11" customFormat="false" ht="23.85" hidden="false" customHeight="false" outlineLevel="0" collapsed="false">
      <c r="A11" s="2" t="n">
        <v>10</v>
      </c>
      <c r="B11" s="2" t="s">
        <v>21</v>
      </c>
      <c r="C11" s="2" t="s">
        <v>24</v>
      </c>
      <c r="D11" s="2" t="s">
        <v>13</v>
      </c>
      <c r="E11" s="2"/>
      <c r="F11" s="2" t="n">
        <v>10</v>
      </c>
      <c r="G11" s="2" t="n">
        <f aca="false">COUNTIFS(Map!$D:$D,$A11,Map!$F:$F,"Y")</f>
        <v>0</v>
      </c>
      <c r="H11" s="2" t="str">
        <f aca="false">IF(G11&gt;=Settings!$B$3,"High",IF(G11&gt;=Settings!$B$5,"Medium","Low"))</f>
        <v>Low</v>
      </c>
      <c r="I11" s="2" t="n">
        <f aca="false">COUNTIFS(Map!$D:$D,$A11,Map!$G:$G,"Y")</f>
        <v>0</v>
      </c>
      <c r="J11" s="2" t="str">
        <f aca="false">IF(I11&gt;=Settings!$B$4,"High",IF(I11&gt;=Settings!$B$5,"Medium","Low"))</f>
        <v>Low</v>
      </c>
      <c r="K11" s="2" t="n">
        <f aca="false">COUNTIF(Map!$D:$D,$A11)</f>
        <v>3</v>
      </c>
    </row>
    <row r="12" customFormat="false" ht="23.85" hidden="false" customHeight="false" outlineLevel="0" collapsed="false">
      <c r="A12" s="2" t="n">
        <v>11</v>
      </c>
      <c r="B12" s="2" t="s">
        <v>21</v>
      </c>
      <c r="C12" s="2" t="s">
        <v>25</v>
      </c>
      <c r="D12" s="2" t="s">
        <v>13</v>
      </c>
      <c r="E12" s="2"/>
      <c r="F12" s="2" t="n">
        <v>11</v>
      </c>
      <c r="G12" s="2" t="n">
        <f aca="false">COUNTIFS(Map!$D:$D,$A12,Map!$F:$F,"Y")</f>
        <v>0</v>
      </c>
      <c r="H12" s="2" t="str">
        <f aca="false">IF(G12&gt;=Settings!$B$3,"High",IF(G12&gt;=Settings!$B$5,"Medium","Low"))</f>
        <v>Low</v>
      </c>
      <c r="I12" s="2" t="n">
        <f aca="false">COUNTIFS(Map!$D:$D,$A12,Map!$G:$G,"Y")</f>
        <v>0</v>
      </c>
      <c r="J12" s="2" t="str">
        <f aca="false">IF(I12&gt;=Settings!$B$4,"High",IF(I12&gt;=Settings!$B$5,"Medium","Low"))</f>
        <v>Low</v>
      </c>
      <c r="K12" s="2" t="n">
        <f aca="false">COUNTIF(Map!$D:$D,$A12)</f>
        <v>0</v>
      </c>
    </row>
    <row r="13" customFormat="false" ht="15" hidden="false" customHeight="false" outlineLevel="0" collapsed="false">
      <c r="A13" s="2" t="n">
        <v>12</v>
      </c>
      <c r="B13" s="2" t="s">
        <v>21</v>
      </c>
      <c r="C13" s="2" t="s">
        <v>26</v>
      </c>
      <c r="D13" s="2" t="s">
        <v>13</v>
      </c>
      <c r="E13" s="2"/>
      <c r="F13" s="2" t="n">
        <v>12</v>
      </c>
      <c r="G13" s="2" t="n">
        <f aca="false">COUNTIFS(Map!$D:$D,$A13,Map!$F:$F,"Y")</f>
        <v>4</v>
      </c>
      <c r="H13" s="2" t="str">
        <f aca="false">IF(G13&gt;=Settings!$B$3,"High",IF(G13&gt;=Settings!$B$5,"Medium","Low"))</f>
        <v>Medium</v>
      </c>
      <c r="I13" s="2" t="n">
        <f aca="false">COUNTIFS(Map!$D:$D,$A13,Map!$G:$G,"Y")</f>
        <v>4</v>
      </c>
      <c r="J13" s="2" t="str">
        <f aca="false">IF(I13&gt;=Settings!$B$4,"High",IF(I13&gt;=Settings!$B$5,"Medium","Low"))</f>
        <v>Medium</v>
      </c>
      <c r="K13" s="2" t="n">
        <f aca="false">COUNTIF(Map!$D:$D,$A13)</f>
        <v>8</v>
      </c>
    </row>
    <row r="14" customFormat="false" ht="23.85" hidden="false" customHeight="false" outlineLevel="0" collapsed="false">
      <c r="A14" s="2" t="n">
        <v>13</v>
      </c>
      <c r="B14" s="2" t="s">
        <v>21</v>
      </c>
      <c r="C14" s="2" t="s">
        <v>27</v>
      </c>
      <c r="D14" s="2" t="s">
        <v>13</v>
      </c>
      <c r="E14" s="2"/>
      <c r="F14" s="2" t="n">
        <v>13</v>
      </c>
      <c r="G14" s="2" t="n">
        <f aca="false">COUNTIFS(Map!$D:$D,$A14,Map!$F:$F,"Y")</f>
        <v>3</v>
      </c>
      <c r="H14" s="2" t="str">
        <f aca="false">IF(G14&gt;=Settings!$B$3,"High",IF(G14&gt;=Settings!$B$5,"Medium","Low"))</f>
        <v>Medium</v>
      </c>
      <c r="I14" s="2" t="n">
        <f aca="false">COUNTIFS(Map!$D:$D,$A14,Map!$G:$G,"Y")</f>
        <v>0</v>
      </c>
      <c r="J14" s="2" t="str">
        <f aca="false">IF(I14&gt;=Settings!$B$4,"High",IF(I14&gt;=Settings!$B$5,"Medium","Low"))</f>
        <v>Low</v>
      </c>
      <c r="K14" s="2" t="n">
        <f aca="false">COUNTIF(Map!$D:$D,$A14)</f>
        <v>5</v>
      </c>
    </row>
    <row r="15" customFormat="false" ht="15" hidden="false" customHeight="false" outlineLevel="0" collapsed="false">
      <c r="A15" s="2" t="n">
        <v>14</v>
      </c>
      <c r="B15" s="2" t="s">
        <v>21</v>
      </c>
      <c r="C15" s="2" t="s">
        <v>28</v>
      </c>
      <c r="D15" s="2" t="s">
        <v>13</v>
      </c>
      <c r="E15" s="2"/>
      <c r="F15" s="2" t="n">
        <v>14</v>
      </c>
      <c r="G15" s="2" t="n">
        <f aca="false">COUNTIFS(Map!$D:$D,$A15,Map!$F:$F,"Y")</f>
        <v>4</v>
      </c>
      <c r="H15" s="2" t="str">
        <f aca="false">IF(G15&gt;=Settings!$B$3,"High",IF(G15&gt;=Settings!$B$5,"Medium","Low"))</f>
        <v>Medium</v>
      </c>
      <c r="I15" s="2" t="n">
        <f aca="false">COUNTIFS(Map!$D:$D,$A15,Map!$G:$G,"Y")</f>
        <v>3</v>
      </c>
      <c r="J15" s="2" t="str">
        <f aca="false">IF(I15&gt;=Settings!$B$4,"High",IF(I15&gt;=Settings!$B$5,"Medium","Low"))</f>
        <v>Medium</v>
      </c>
      <c r="K15" s="2" t="n">
        <f aca="false">COUNTIF(Map!$D:$D,$A15)</f>
        <v>13</v>
      </c>
    </row>
    <row r="16" customFormat="false" ht="23.85" hidden="false" customHeight="false" outlineLevel="0" collapsed="false">
      <c r="A16" s="2" t="n">
        <v>15</v>
      </c>
      <c r="B16" s="2" t="s">
        <v>21</v>
      </c>
      <c r="C16" s="2" t="s">
        <v>29</v>
      </c>
      <c r="D16" s="2" t="s">
        <v>13</v>
      </c>
      <c r="E16" s="2"/>
      <c r="F16" s="2" t="n">
        <v>15</v>
      </c>
      <c r="G16" s="2" t="n">
        <f aca="false">COUNTIFS(Map!$D:$D,$A16,Map!$F:$F,"Y")</f>
        <v>0</v>
      </c>
      <c r="H16" s="2" t="str">
        <f aca="false">IF(G16&gt;=Settings!$B$3,"High",IF(G16&gt;=Settings!$B$5,"Medium","Low"))</f>
        <v>Low</v>
      </c>
      <c r="I16" s="2" t="n">
        <f aca="false">COUNTIFS(Map!$D:$D,$A16,Map!$G:$G,"Y")</f>
        <v>0</v>
      </c>
      <c r="J16" s="2" t="str">
        <f aca="false">IF(I16&gt;=Settings!$B$4,"High",IF(I16&gt;=Settings!$B$5,"Medium","Low"))</f>
        <v>Low</v>
      </c>
      <c r="K16" s="2" t="n">
        <f aca="false">COUNTIF(Map!$D:$D,$A16)</f>
        <v>3</v>
      </c>
    </row>
    <row r="17" customFormat="false" ht="15" hidden="false" customHeight="false" outlineLevel="0" collapsed="false">
      <c r="A17" s="2" t="n">
        <v>16</v>
      </c>
      <c r="B17" s="2" t="s">
        <v>21</v>
      </c>
      <c r="C17" s="2" t="s">
        <v>30</v>
      </c>
      <c r="D17" s="2" t="s">
        <v>13</v>
      </c>
      <c r="E17" s="2"/>
      <c r="F17" s="2" t="n">
        <v>16</v>
      </c>
      <c r="G17" s="2" t="n">
        <f aca="false">COUNTIFS(Map!$D:$D,$A17,Map!$F:$F,"Y")</f>
        <v>3</v>
      </c>
      <c r="H17" s="2" t="str">
        <f aca="false">IF(G17&gt;=Settings!$B$3,"High",IF(G17&gt;=Settings!$B$5,"Medium","Low"))</f>
        <v>Medium</v>
      </c>
      <c r="I17" s="2" t="n">
        <f aca="false">COUNTIFS(Map!$D:$D,$A17,Map!$G:$G,"Y")</f>
        <v>2</v>
      </c>
      <c r="J17" s="2" t="str">
        <f aca="false">IF(I17&gt;=Settings!$B$4,"High",IF(I17&gt;=Settings!$B$5,"Medium","Low"))</f>
        <v>Medium</v>
      </c>
      <c r="K17" s="2" t="n">
        <f aca="false">COUNTIF(Map!$D:$D,$A17)</f>
        <v>6</v>
      </c>
    </row>
    <row r="18" customFormat="false" ht="15" hidden="false" customHeight="false" outlineLevel="0" collapsed="false">
      <c r="A18" s="2" t="n">
        <v>17</v>
      </c>
      <c r="B18" s="2" t="s">
        <v>31</v>
      </c>
      <c r="C18" s="2" t="s">
        <v>32</v>
      </c>
      <c r="D18" s="2" t="s">
        <v>13</v>
      </c>
      <c r="E18" s="2"/>
      <c r="F18" s="2" t="n">
        <v>17</v>
      </c>
      <c r="G18" s="2" t="n">
        <f aca="false">COUNTIFS(Map!$D:$D,$A18,Map!$F:$F,"Y")</f>
        <v>1</v>
      </c>
      <c r="H18" s="2" t="str">
        <f aca="false">IF(G18&gt;=Settings!$B$3,"High",IF(G18&gt;=Settings!$B$5,"Medium","Low"))</f>
        <v>Medium</v>
      </c>
      <c r="I18" s="2" t="n">
        <f aca="false">COUNTIFS(Map!$D:$D,$A18,Map!$G:$G,"Y")</f>
        <v>0</v>
      </c>
      <c r="J18" s="2" t="str">
        <f aca="false">IF(I18&gt;=Settings!$B$4,"High",IF(I18&gt;=Settings!$B$5,"Medium","Low"))</f>
        <v>Low</v>
      </c>
      <c r="K18" s="2" t="n">
        <f aca="false">COUNTIF(Map!$D:$D,$A18)</f>
        <v>4</v>
      </c>
    </row>
    <row r="19" customFormat="false" ht="15" hidden="false" customHeight="false" outlineLevel="0" collapsed="false">
      <c r="A19" s="2" t="n">
        <v>18</v>
      </c>
      <c r="B19" s="2" t="s">
        <v>31</v>
      </c>
      <c r="C19" s="2" t="s">
        <v>33</v>
      </c>
      <c r="D19" s="2" t="s">
        <v>13</v>
      </c>
      <c r="E19" s="2"/>
      <c r="F19" s="2" t="n">
        <v>18</v>
      </c>
      <c r="G19" s="2" t="n">
        <f aca="false">COUNTIFS(Map!$D:$D,$A19,Map!$F:$F,"Y")</f>
        <v>0</v>
      </c>
      <c r="H19" s="2" t="str">
        <f aca="false">IF(G19&gt;=Settings!$B$3,"High",IF(G19&gt;=Settings!$B$5,"Medium","Low"))</f>
        <v>Low</v>
      </c>
      <c r="I19" s="2" t="n">
        <f aca="false">COUNTIFS(Map!$D:$D,$A19,Map!$G:$G,"Y")</f>
        <v>0</v>
      </c>
      <c r="J19" s="2" t="str">
        <f aca="false">IF(I19&gt;=Settings!$B$4,"High",IF(I19&gt;=Settings!$B$5,"Medium","Low"))</f>
        <v>Low</v>
      </c>
      <c r="K19" s="2" t="n">
        <f aca="false">COUNTIF(Map!$D:$D,$A19)</f>
        <v>0</v>
      </c>
    </row>
    <row r="20" customFormat="false" ht="15" hidden="false" customHeight="false" outlineLevel="0" collapsed="false">
      <c r="A20" s="2" t="n">
        <v>19</v>
      </c>
      <c r="B20" s="2" t="s">
        <v>34</v>
      </c>
      <c r="C20" s="2" t="s">
        <v>35</v>
      </c>
      <c r="D20" s="2" t="s">
        <v>13</v>
      </c>
      <c r="E20" s="2"/>
      <c r="F20" s="2" t="n">
        <v>19</v>
      </c>
      <c r="G20" s="2" t="n">
        <f aca="false">COUNTIFS(Map!$D:$D,$A20,Map!$F:$F,"Y")</f>
        <v>0</v>
      </c>
      <c r="H20" s="2" t="str">
        <f aca="false">IF(G20&gt;=Settings!$B$3,"High",IF(G20&gt;=Settings!$B$5,"Medium","Low"))</f>
        <v>Low</v>
      </c>
      <c r="I20" s="2" t="n">
        <f aca="false">COUNTIFS(Map!$D:$D,$A20,Map!$G:$G,"Y")</f>
        <v>0</v>
      </c>
      <c r="J20" s="2" t="str">
        <f aca="false">IF(I20&gt;=Settings!$B$4,"High",IF(I20&gt;=Settings!$B$5,"Medium","Low"))</f>
        <v>Low</v>
      </c>
      <c r="K20" s="2" t="n">
        <f aca="false">COUNTIF(Map!$D:$D,$A20)</f>
        <v>2</v>
      </c>
    </row>
    <row r="21" customFormat="false" ht="15" hidden="false" customHeight="false" outlineLevel="0" collapsed="false">
      <c r="A21" s="2" t="n">
        <v>20</v>
      </c>
      <c r="B21" s="2" t="s">
        <v>34</v>
      </c>
      <c r="C21" s="2" t="s">
        <v>36</v>
      </c>
      <c r="D21" s="2" t="s">
        <v>13</v>
      </c>
      <c r="E21" s="2"/>
      <c r="F21" s="2" t="n">
        <v>20</v>
      </c>
      <c r="G21" s="2" t="n">
        <f aca="false">COUNTIFS(Map!$D:$D,$A21,Map!$F:$F,"Y")</f>
        <v>1</v>
      </c>
      <c r="H21" s="2" t="str">
        <f aca="false">IF(G21&gt;=Settings!$B$3,"High",IF(G21&gt;=Settings!$B$5,"Medium","Low"))</f>
        <v>Medium</v>
      </c>
      <c r="I21" s="2" t="n">
        <f aca="false">COUNTIFS(Map!$D:$D,$A21,Map!$G:$G,"Y")</f>
        <v>0</v>
      </c>
      <c r="J21" s="2" t="str">
        <f aca="false">IF(I21&gt;=Settings!$B$4,"High",IF(I21&gt;=Settings!$B$5,"Medium","Low"))</f>
        <v>Low</v>
      </c>
      <c r="K21" s="2" t="n">
        <f aca="false">COUNTIF(Map!$D:$D,$A21)</f>
        <v>5</v>
      </c>
    </row>
    <row r="22" customFormat="false" ht="15" hidden="false" customHeight="false" outlineLevel="0" collapsed="false">
      <c r="A22" s="2" t="n">
        <v>21</v>
      </c>
      <c r="B22" s="2" t="s">
        <v>34</v>
      </c>
      <c r="C22" s="2" t="s">
        <v>37</v>
      </c>
      <c r="D22" s="2" t="s">
        <v>13</v>
      </c>
      <c r="E22" s="2"/>
      <c r="F22" s="2" t="n">
        <v>21</v>
      </c>
      <c r="G22" s="2" t="n">
        <f aca="false">COUNTIFS(Map!$D:$D,$A22,Map!$F:$F,"Y")</f>
        <v>10</v>
      </c>
      <c r="H22" s="2" t="str">
        <f aca="false">IF(G22&gt;=Settings!$B$3,"High",IF(G22&gt;=Settings!$B$5,"Medium","Low"))</f>
        <v>High</v>
      </c>
      <c r="I22" s="2" t="n">
        <f aca="false">COUNTIFS(Map!$D:$D,$A22,Map!$G:$G,"Y")</f>
        <v>6</v>
      </c>
      <c r="J22" s="2" t="str">
        <f aca="false">IF(I22&gt;=Settings!$B$4,"High",IF(I22&gt;=Settings!$B$5,"Medium","Low"))</f>
        <v>High</v>
      </c>
      <c r="K22" s="2" t="n">
        <f aca="false">COUNTIF(Map!$D:$D,$A22)</f>
        <v>22</v>
      </c>
    </row>
    <row r="23" customFormat="false" ht="15" hidden="false" customHeight="false" outlineLevel="0" collapsed="false">
      <c r="A23" s="2" t="n">
        <v>22</v>
      </c>
      <c r="B23" s="2" t="s">
        <v>34</v>
      </c>
      <c r="C23" s="2" t="s">
        <v>38</v>
      </c>
      <c r="D23" s="2" t="s">
        <v>13</v>
      </c>
      <c r="E23" s="2"/>
      <c r="F23" s="2" t="n">
        <v>22</v>
      </c>
      <c r="G23" s="2" t="n">
        <f aca="false">COUNTIFS(Map!$D:$D,$A23,Map!$F:$F,"Y")</f>
        <v>5</v>
      </c>
      <c r="H23" s="2" t="str">
        <f aca="false">IF(G23&gt;=Settings!$B$3,"High",IF(G23&gt;=Settings!$B$5,"Medium","Low"))</f>
        <v>Medium</v>
      </c>
      <c r="I23" s="2" t="n">
        <f aca="false">COUNTIFS(Map!$D:$D,$A23,Map!$G:$G,"Y")</f>
        <v>2</v>
      </c>
      <c r="J23" s="2" t="str">
        <f aca="false">IF(I23&gt;=Settings!$B$4,"High",IF(I23&gt;=Settings!$B$5,"Medium","Low"))</f>
        <v>Medium</v>
      </c>
      <c r="K23" s="2" t="n">
        <f aca="false">COUNTIF(Map!$D:$D,$A23)</f>
        <v>13</v>
      </c>
    </row>
    <row r="24" customFormat="false" ht="15" hidden="false" customHeight="false" outlineLevel="0" collapsed="false">
      <c r="A24" s="2" t="n">
        <v>23</v>
      </c>
      <c r="B24" s="2" t="s">
        <v>39</v>
      </c>
      <c r="C24" s="2" t="s">
        <v>40</v>
      </c>
      <c r="D24" s="2" t="s">
        <v>13</v>
      </c>
      <c r="E24" s="2"/>
      <c r="F24" s="2" t="n">
        <v>23</v>
      </c>
      <c r="G24" s="2" t="n">
        <f aca="false">COUNTIFS(Map!$D:$D,$A24,Map!$F:$F,"Y")</f>
        <v>0</v>
      </c>
      <c r="H24" s="2" t="str">
        <f aca="false">IF(G24&gt;=Settings!$B$3,"High",IF(G24&gt;=Settings!$B$5,"Medium","Low"))</f>
        <v>Low</v>
      </c>
      <c r="I24" s="2" t="n">
        <f aca="false">COUNTIFS(Map!$D:$D,$A24,Map!$G:$G,"Y")</f>
        <v>0</v>
      </c>
      <c r="J24" s="2" t="str">
        <f aca="false">IF(I24&gt;=Settings!$B$4,"High",IF(I24&gt;=Settings!$B$5,"Medium","Low"))</f>
        <v>Low</v>
      </c>
      <c r="K24" s="2" t="n">
        <f aca="false">COUNTIF(Map!$D:$D,$A24)</f>
        <v>0</v>
      </c>
    </row>
    <row r="25" customFormat="false" ht="15" hidden="false" customHeight="false" outlineLevel="0" collapsed="false">
      <c r="A25" s="2" t="n">
        <v>24</v>
      </c>
      <c r="B25" s="2" t="s">
        <v>39</v>
      </c>
      <c r="C25" s="2" t="s">
        <v>41</v>
      </c>
      <c r="D25" s="2" t="s">
        <v>13</v>
      </c>
      <c r="E25" s="2"/>
      <c r="F25" s="2" t="n">
        <v>24</v>
      </c>
      <c r="G25" s="2" t="n">
        <f aca="false">COUNTIFS(Map!$D:$D,$A25,Map!$F:$F,"Y")</f>
        <v>0</v>
      </c>
      <c r="H25" s="2" t="str">
        <f aca="false">IF(G25&gt;=Settings!$B$3,"High",IF(G25&gt;=Settings!$B$5,"Medium","Low"))</f>
        <v>Low</v>
      </c>
      <c r="I25" s="2" t="n">
        <f aca="false">COUNTIFS(Map!$D:$D,$A25,Map!$G:$G,"Y")</f>
        <v>0</v>
      </c>
      <c r="J25" s="2" t="str">
        <f aca="false">IF(I25&gt;=Settings!$B$4,"High",IF(I25&gt;=Settings!$B$5,"Medium","Low"))</f>
        <v>Low</v>
      </c>
      <c r="K25" s="2" t="n">
        <f aca="false">COUNTIF(Map!$D:$D,$A25)</f>
        <v>0</v>
      </c>
    </row>
    <row r="26" customFormat="false" ht="15" hidden="false" customHeight="false" outlineLevel="0" collapsed="false">
      <c r="A26" s="2" t="n">
        <v>25</v>
      </c>
      <c r="B26" s="2" t="s">
        <v>42</v>
      </c>
      <c r="C26" s="2" t="s">
        <v>43</v>
      </c>
      <c r="D26" s="2" t="s">
        <v>13</v>
      </c>
      <c r="E26" s="2"/>
      <c r="F26" s="2" t="n">
        <v>25</v>
      </c>
      <c r="G26" s="2" t="n">
        <f aca="false">COUNTIFS(Map!$D:$D,$A26,Map!$F:$F,"Y")</f>
        <v>3</v>
      </c>
      <c r="H26" s="2" t="str">
        <f aca="false">IF(G26&gt;=Settings!$B$3,"High",IF(G26&gt;=Settings!$B$5,"Medium","Low"))</f>
        <v>Medium</v>
      </c>
      <c r="I26" s="2" t="n">
        <f aca="false">COUNTIFS(Map!$D:$D,$A26,Map!$G:$G,"Y")</f>
        <v>4</v>
      </c>
      <c r="J26" s="2" t="str">
        <f aca="false">IF(I26&gt;=Settings!$B$4,"High",IF(I26&gt;=Settings!$B$5,"Medium","Low"))</f>
        <v>Medium</v>
      </c>
      <c r="K26" s="2" t="n">
        <f aca="false">COUNTIF(Map!$D:$D,$A26)</f>
        <v>27</v>
      </c>
    </row>
    <row r="27" customFormat="false" ht="15" hidden="false" customHeight="false" outlineLevel="0" collapsed="false">
      <c r="A27" s="2" t="n">
        <v>26</v>
      </c>
      <c r="B27" s="2" t="s">
        <v>42</v>
      </c>
      <c r="C27" s="2" t="s">
        <v>44</v>
      </c>
      <c r="D27" s="2" t="s">
        <v>13</v>
      </c>
      <c r="E27" s="2"/>
      <c r="F27" s="2" t="n">
        <v>26</v>
      </c>
      <c r="G27" s="2" t="n">
        <f aca="false">COUNTIFS(Map!$D:$D,$A27,Map!$F:$F,"Y")</f>
        <v>0</v>
      </c>
      <c r="H27" s="2" t="str">
        <f aca="false">IF(G27&gt;=Settings!$B$3,"High",IF(G27&gt;=Settings!$B$5,"Medium","Low"))</f>
        <v>Low</v>
      </c>
      <c r="I27" s="2" t="n">
        <f aca="false">COUNTIFS(Map!$D:$D,$A27,Map!$G:$G,"Y")</f>
        <v>0</v>
      </c>
      <c r="J27" s="2" t="str">
        <f aca="false">IF(I27&gt;=Settings!$B$4,"High",IF(I27&gt;=Settings!$B$5,"Medium","Low"))</f>
        <v>Low</v>
      </c>
      <c r="K27" s="2" t="n">
        <f aca="false">COUNTIF(Map!$D:$D,$A27)</f>
        <v>2</v>
      </c>
    </row>
    <row r="28" customFormat="false" ht="15" hidden="false" customHeight="false" outlineLevel="0" collapsed="false">
      <c r="A28" s="2" t="n">
        <v>27</v>
      </c>
      <c r="B28" s="2" t="s">
        <v>42</v>
      </c>
      <c r="C28" s="2" t="s">
        <v>45</v>
      </c>
      <c r="D28" s="2" t="s">
        <v>13</v>
      </c>
      <c r="E28" s="2"/>
      <c r="F28" s="2" t="n">
        <v>27</v>
      </c>
      <c r="G28" s="2" t="n">
        <f aca="false">COUNTIFS(Map!$D:$D,$A28,Map!$F:$F,"Y")</f>
        <v>1</v>
      </c>
      <c r="H28" s="2" t="str">
        <f aca="false">IF(G28&gt;=Settings!$B$3,"High",IF(G28&gt;=Settings!$B$5,"Medium","Low"))</f>
        <v>Medium</v>
      </c>
      <c r="I28" s="2" t="n">
        <f aca="false">COUNTIFS(Map!$D:$D,$A28,Map!$G:$G,"Y")</f>
        <v>1</v>
      </c>
      <c r="J28" s="2" t="str">
        <f aca="false">IF(I28&gt;=Settings!$B$4,"High",IF(I28&gt;=Settings!$B$5,"Medium","Low"))</f>
        <v>Medium</v>
      </c>
      <c r="K28" s="2" t="n">
        <f aca="false">COUNTIF(Map!$D:$D,$A28)</f>
        <v>4</v>
      </c>
    </row>
    <row r="29" customFormat="false" ht="15" hidden="false" customHeight="false" outlineLevel="0" collapsed="false">
      <c r="A29" s="2" t="n">
        <v>28</v>
      </c>
      <c r="B29" s="2" t="s">
        <v>42</v>
      </c>
      <c r="C29" s="2" t="s">
        <v>46</v>
      </c>
      <c r="D29" s="2" t="s">
        <v>13</v>
      </c>
      <c r="E29" s="2"/>
      <c r="F29" s="2" t="n">
        <v>28</v>
      </c>
      <c r="G29" s="2" t="n">
        <f aca="false">COUNTIFS(Map!$D:$D,$A29,Map!$F:$F,"Y")</f>
        <v>2</v>
      </c>
      <c r="H29" s="2" t="str">
        <f aca="false">IF(G29&gt;=Settings!$B$3,"High",IF(G29&gt;=Settings!$B$5,"Medium","Low"))</f>
        <v>Medium</v>
      </c>
      <c r="I29" s="2" t="n">
        <f aca="false">COUNTIFS(Map!$D:$D,$A29,Map!$G:$G,"Y")</f>
        <v>2</v>
      </c>
      <c r="J29" s="2" t="str">
        <f aca="false">IF(I29&gt;=Settings!$B$4,"High",IF(I29&gt;=Settings!$B$5,"Medium","Low"))</f>
        <v>Medium</v>
      </c>
      <c r="K29" s="2" t="n">
        <f aca="false">COUNTIF(Map!$D:$D,$A29)</f>
        <v>9</v>
      </c>
    </row>
    <row r="30" customFormat="false" ht="15" hidden="false" customHeight="false" outlineLevel="0" collapsed="false">
      <c r="A30" s="2" t="n">
        <v>29</v>
      </c>
      <c r="B30" s="2" t="s">
        <v>42</v>
      </c>
      <c r="C30" s="2" t="s">
        <v>47</v>
      </c>
      <c r="D30" s="2" t="s">
        <v>13</v>
      </c>
      <c r="E30" s="2"/>
      <c r="F30" s="2" t="n">
        <v>29</v>
      </c>
      <c r="G30" s="2" t="n">
        <f aca="false">COUNTIFS(Map!$D:$D,$A30,Map!$F:$F,"Y")</f>
        <v>1</v>
      </c>
      <c r="H30" s="2" t="str">
        <f aca="false">IF(G30&gt;=Settings!$B$3,"High",IF(G30&gt;=Settings!$B$5,"Medium","Low"))</f>
        <v>Medium</v>
      </c>
      <c r="I30" s="2" t="n">
        <f aca="false">COUNTIFS(Map!$D:$D,$A30,Map!$G:$G,"Y")</f>
        <v>1</v>
      </c>
      <c r="J30" s="2" t="str">
        <f aca="false">IF(I30&gt;=Settings!$B$4,"High",IF(I30&gt;=Settings!$B$5,"Medium","Low"))</f>
        <v>Medium</v>
      </c>
      <c r="K30" s="2" t="n">
        <f aca="false">COUNTIF(Map!$D:$D,$A30)</f>
        <v>3</v>
      </c>
    </row>
    <row r="31" customFormat="false" ht="23.85" hidden="false" customHeight="false" outlineLevel="0" collapsed="false">
      <c r="A31" s="2" t="n">
        <v>30</v>
      </c>
      <c r="B31" s="2" t="s">
        <v>42</v>
      </c>
      <c r="C31" s="2" t="s">
        <v>48</v>
      </c>
      <c r="D31" s="2" t="s">
        <v>13</v>
      </c>
      <c r="E31" s="2"/>
      <c r="F31" s="2" t="n">
        <v>30</v>
      </c>
      <c r="G31" s="2" t="n">
        <f aca="false">COUNTIFS(Map!$D:$D,$A31,Map!$F:$F,"Y")</f>
        <v>1</v>
      </c>
      <c r="H31" s="2" t="str">
        <f aca="false">IF(G31&gt;=Settings!$B$3,"High",IF(G31&gt;=Settings!$B$5,"Medium","Low"))</f>
        <v>Medium</v>
      </c>
      <c r="I31" s="2" t="n">
        <f aca="false">COUNTIFS(Map!$D:$D,$A31,Map!$G:$G,"Y")</f>
        <v>1</v>
      </c>
      <c r="J31" s="2" t="str">
        <f aca="false">IF(I31&gt;=Settings!$B$4,"High",IF(I31&gt;=Settings!$B$5,"Medium","Low"))</f>
        <v>Medium</v>
      </c>
      <c r="K31" s="2" t="n">
        <f aca="false">COUNTIF(Map!$D:$D,$A31)</f>
        <v>5</v>
      </c>
    </row>
    <row r="32" customFormat="false" ht="15" hidden="false" customHeight="false" outlineLevel="0" collapsed="false">
      <c r="A32" s="2" t="n">
        <v>31</v>
      </c>
      <c r="B32" s="2" t="s">
        <v>42</v>
      </c>
      <c r="C32" s="2" t="s">
        <v>49</v>
      </c>
      <c r="D32" s="2" t="s">
        <v>13</v>
      </c>
      <c r="E32" s="2"/>
      <c r="F32" s="2" t="n">
        <v>31</v>
      </c>
      <c r="G32" s="2" t="n">
        <f aca="false">COUNTIFS(Map!$D:$D,$A32,Map!$F:$F,"Y")</f>
        <v>3</v>
      </c>
      <c r="H32" s="2" t="str">
        <f aca="false">IF(G32&gt;=Settings!$B$3,"High",IF(G32&gt;=Settings!$B$5,"Medium","Low"))</f>
        <v>Medium</v>
      </c>
      <c r="I32" s="2" t="n">
        <f aca="false">COUNTIFS(Map!$D:$D,$A32,Map!$G:$G,"Y")</f>
        <v>4</v>
      </c>
      <c r="J32" s="2" t="str">
        <f aca="false">IF(I32&gt;=Settings!$B$4,"High",IF(I32&gt;=Settings!$B$5,"Medium","Low"))</f>
        <v>Medium</v>
      </c>
      <c r="K32" s="2" t="n">
        <f aca="false">COUNTIF(Map!$D:$D,$A32)</f>
        <v>5</v>
      </c>
    </row>
    <row r="33" customFormat="false" ht="15" hidden="false" customHeight="false" outlineLevel="0" collapsed="false">
      <c r="A33" s="2" t="n">
        <v>32</v>
      </c>
      <c r="B33" s="2" t="s">
        <v>42</v>
      </c>
      <c r="C33" s="2" t="s">
        <v>50</v>
      </c>
      <c r="D33" s="2" t="s">
        <v>13</v>
      </c>
      <c r="E33" s="2"/>
      <c r="F33" s="2" t="n">
        <v>32</v>
      </c>
      <c r="G33" s="2" t="n">
        <f aca="false">COUNTIFS(Map!$D:$D,$A33,Map!$F:$F,"Y")</f>
        <v>12</v>
      </c>
      <c r="H33" s="2" t="str">
        <f aca="false">IF(G33&gt;=Settings!$B$3,"High",IF(G33&gt;=Settings!$B$5,"Medium","Low"))</f>
        <v>High</v>
      </c>
      <c r="I33" s="2" t="n">
        <f aca="false">COUNTIFS(Map!$D:$D,$A33,Map!$G:$G,"Y")</f>
        <v>8</v>
      </c>
      <c r="J33" s="2" t="str">
        <f aca="false">IF(I33&gt;=Settings!$B$4,"High",IF(I33&gt;=Settings!$B$5,"Medium","Low"))</f>
        <v>High</v>
      </c>
      <c r="K33" s="2" t="n">
        <f aca="false">COUNTIF(Map!$D:$D,$A33)</f>
        <v>16</v>
      </c>
    </row>
    <row r="34" customFormat="false" ht="15" hidden="false" customHeight="false" outlineLevel="0" collapsed="false">
      <c r="A34" s="2" t="n">
        <v>33</v>
      </c>
      <c r="B34" s="2" t="s">
        <v>42</v>
      </c>
      <c r="C34" s="2" t="s">
        <v>51</v>
      </c>
      <c r="D34" s="2" t="s">
        <v>13</v>
      </c>
      <c r="E34" s="2"/>
      <c r="F34" s="2" t="n">
        <v>33</v>
      </c>
      <c r="G34" s="2" t="n">
        <f aca="false">COUNTIFS(Map!$D:$D,$A34,Map!$F:$F,"Y")</f>
        <v>2</v>
      </c>
      <c r="H34" s="2" t="str">
        <f aca="false">IF(G34&gt;=Settings!$B$3,"High",IF(G34&gt;=Settings!$B$5,"Medium","Low"))</f>
        <v>Medium</v>
      </c>
      <c r="I34" s="2" t="n">
        <f aca="false">COUNTIFS(Map!$D:$D,$A34,Map!$G:$G,"Y")</f>
        <v>3</v>
      </c>
      <c r="J34" s="2" t="str">
        <f aca="false">IF(I34&gt;=Settings!$B$4,"High",IF(I34&gt;=Settings!$B$5,"Medium","Low"))</f>
        <v>Medium</v>
      </c>
      <c r="K34" s="2" t="n">
        <f aca="false">COUNTIF(Map!$D:$D,$A34)</f>
        <v>10</v>
      </c>
    </row>
    <row r="35" customFormat="false" ht="15" hidden="false" customHeight="false" outlineLevel="0" collapsed="false">
      <c r="A35" s="2" t="n">
        <v>34</v>
      </c>
      <c r="B35" s="2" t="s">
        <v>42</v>
      </c>
      <c r="C35" s="2" t="s">
        <v>52</v>
      </c>
      <c r="D35" s="2" t="s">
        <v>13</v>
      </c>
      <c r="E35" s="2"/>
      <c r="F35" s="2" t="n">
        <v>34</v>
      </c>
      <c r="G35" s="2" t="n">
        <f aca="false">COUNTIFS(Map!$D:$D,$A35,Map!$F:$F,"Y")</f>
        <v>0</v>
      </c>
      <c r="H35" s="2" t="str">
        <f aca="false">IF(G35&gt;=Settings!$B$3,"High",IF(G35&gt;=Settings!$B$5,"Medium","Low"))</f>
        <v>Low</v>
      </c>
      <c r="I35" s="2" t="n">
        <f aca="false">COUNTIFS(Map!$D:$D,$A35,Map!$G:$G,"Y")</f>
        <v>0</v>
      </c>
      <c r="J35" s="2" t="str">
        <f aca="false">IF(I35&gt;=Settings!$B$4,"High",IF(I35&gt;=Settings!$B$5,"Medium","Low"))</f>
        <v>Low</v>
      </c>
      <c r="K35" s="2" t="n">
        <f aca="false">COUNTIF(Map!$D:$D,$A35)</f>
        <v>0</v>
      </c>
    </row>
    <row r="36" customFormat="false" ht="15" hidden="false" customHeight="false" outlineLevel="0" collapsed="false">
      <c r="A36" s="2" t="n">
        <v>35</v>
      </c>
      <c r="B36" s="2" t="s">
        <v>53</v>
      </c>
      <c r="C36" s="2" t="s">
        <v>54</v>
      </c>
      <c r="D36" s="2" t="s">
        <v>13</v>
      </c>
      <c r="E36" s="2"/>
      <c r="F36" s="2" t="n">
        <v>35</v>
      </c>
      <c r="G36" s="2" t="n">
        <f aca="false">COUNTIFS(Map!$D:$D,$A36,Map!$F:$F,"Y")</f>
        <v>0</v>
      </c>
      <c r="H36" s="2" t="str">
        <f aca="false">IF(G36&gt;=Settings!$B$3,"High",IF(G36&gt;=Settings!$B$5,"Medium","Low"))</f>
        <v>Low</v>
      </c>
      <c r="I36" s="2" t="n">
        <f aca="false">COUNTIFS(Map!$D:$D,$A36,Map!$G:$G,"Y")</f>
        <v>0</v>
      </c>
      <c r="J36" s="2" t="str">
        <f aca="false">IF(I36&gt;=Settings!$B$4,"High",IF(I36&gt;=Settings!$B$5,"Medium","Low"))</f>
        <v>Low</v>
      </c>
      <c r="K36" s="2" t="n">
        <f aca="false">COUNTIF(Map!$D:$D,$A36)</f>
        <v>0</v>
      </c>
    </row>
    <row r="37" customFormat="false" ht="15" hidden="false" customHeight="false" outlineLevel="0" collapsed="false">
      <c r="A37" s="2" t="n">
        <v>36</v>
      </c>
      <c r="B37" s="2" t="s">
        <v>53</v>
      </c>
      <c r="C37" s="2" t="s">
        <v>55</v>
      </c>
      <c r="D37" s="2" t="s">
        <v>13</v>
      </c>
      <c r="E37" s="2"/>
      <c r="F37" s="2" t="n">
        <v>36</v>
      </c>
      <c r="G37" s="2" t="n">
        <f aca="false">COUNTIFS(Map!$D:$D,$A37,Map!$F:$F,"Y")</f>
        <v>0</v>
      </c>
      <c r="H37" s="2" t="str">
        <f aca="false">IF(G37&gt;=Settings!$B$3,"High",IF(G37&gt;=Settings!$B$5,"Medium","Low"))</f>
        <v>Low</v>
      </c>
      <c r="I37" s="2" t="n">
        <f aca="false">COUNTIFS(Map!$D:$D,$A37,Map!$G:$G,"Y")</f>
        <v>0</v>
      </c>
      <c r="J37" s="2" t="str">
        <f aca="false">IF(I37&gt;=Settings!$B$4,"High",IF(I37&gt;=Settings!$B$5,"Medium","Low"))</f>
        <v>Low</v>
      </c>
      <c r="K37" s="2" t="n">
        <f aca="false">COUNTIF(Map!$D:$D,$A37)</f>
        <v>2</v>
      </c>
    </row>
    <row r="38" customFormat="false" ht="15" hidden="false" customHeight="false" outlineLevel="0" collapsed="false">
      <c r="A38" s="2" t="n">
        <v>37</v>
      </c>
      <c r="B38" s="2" t="s">
        <v>56</v>
      </c>
      <c r="C38" s="2" t="s">
        <v>57</v>
      </c>
      <c r="D38" s="2" t="s">
        <v>13</v>
      </c>
      <c r="E38" s="2"/>
      <c r="F38" s="2" t="n">
        <v>37</v>
      </c>
      <c r="G38" s="2" t="n">
        <f aca="false">COUNTIFS(Map!$D:$D,$A38,Map!$F:$F,"Y")</f>
        <v>1</v>
      </c>
      <c r="H38" s="2" t="str">
        <f aca="false">IF(G38&gt;=Settings!$B$3,"High",IF(G38&gt;=Settings!$B$5,"Medium","Low"))</f>
        <v>Medium</v>
      </c>
      <c r="I38" s="2" t="n">
        <f aca="false">COUNTIFS(Map!$D:$D,$A38,Map!$G:$G,"Y")</f>
        <v>1</v>
      </c>
      <c r="J38" s="2" t="str">
        <f aca="false">IF(I38&gt;=Settings!$B$4,"High",IF(I38&gt;=Settings!$B$5,"Medium","Low"))</f>
        <v>Medium</v>
      </c>
      <c r="K38" s="2" t="n">
        <f aca="false">COUNTIF(Map!$D:$D,$A38)</f>
        <v>4</v>
      </c>
    </row>
    <row r="39" customFormat="false" ht="23.85" hidden="false" customHeight="false" outlineLevel="0" collapsed="false">
      <c r="A39" s="2" t="n">
        <v>38</v>
      </c>
      <c r="B39" s="2" t="s">
        <v>56</v>
      </c>
      <c r="C39" s="2" t="s">
        <v>58</v>
      </c>
      <c r="D39" s="2" t="s">
        <v>13</v>
      </c>
      <c r="E39" s="2"/>
      <c r="F39" s="2" t="n">
        <v>38</v>
      </c>
      <c r="G39" s="2" t="n">
        <f aca="false">COUNTIFS(Map!$D:$D,$A39,Map!$F:$F,"Y")</f>
        <v>0</v>
      </c>
      <c r="H39" s="2" t="str">
        <f aca="false">IF(G39&gt;=Settings!$B$3,"High",IF(G39&gt;=Settings!$B$5,"Medium","Low"))</f>
        <v>Low</v>
      </c>
      <c r="I39" s="2" t="n">
        <f aca="false">COUNTIFS(Map!$D:$D,$A39,Map!$G:$G,"Y")</f>
        <v>0</v>
      </c>
      <c r="J39" s="2" t="str">
        <f aca="false">IF(I39&gt;=Settings!$B$4,"High",IF(I39&gt;=Settings!$B$5,"Medium","Low"))</f>
        <v>Low</v>
      </c>
      <c r="K39" s="2" t="n">
        <f aca="false">COUNTIF(Map!$D:$D,$A39)</f>
        <v>3</v>
      </c>
    </row>
    <row r="40" customFormat="false" ht="23.85" hidden="false" customHeight="false" outlineLevel="0" collapsed="false">
      <c r="A40" s="2" t="n">
        <v>39</v>
      </c>
      <c r="B40" s="2" t="s">
        <v>56</v>
      </c>
      <c r="C40" s="2" t="s">
        <v>59</v>
      </c>
      <c r="D40" s="2" t="s">
        <v>13</v>
      </c>
      <c r="E40" s="2"/>
      <c r="F40" s="2" t="n">
        <v>39</v>
      </c>
      <c r="G40" s="2" t="n">
        <f aca="false">COUNTIFS(Map!$D:$D,$A40,Map!$F:$F,"Y")</f>
        <v>0</v>
      </c>
      <c r="H40" s="2" t="str">
        <f aca="false">IF(G40&gt;=Settings!$B$3,"High",IF(G40&gt;=Settings!$B$5,"Medium","Low"))</f>
        <v>Low</v>
      </c>
      <c r="I40" s="2" t="n">
        <f aca="false">COUNTIFS(Map!$D:$D,$A40,Map!$G:$G,"Y")</f>
        <v>0</v>
      </c>
      <c r="J40" s="2" t="str">
        <f aca="false">IF(I40&gt;=Settings!$B$4,"High",IF(I40&gt;=Settings!$B$5,"Medium","Low"))</f>
        <v>Low</v>
      </c>
      <c r="K40" s="2" t="n">
        <f aca="false">COUNTIF(Map!$D:$D,$A40)</f>
        <v>0</v>
      </c>
    </row>
    <row r="41" customFormat="false" ht="15" hidden="false" customHeight="false" outlineLevel="0" collapsed="false">
      <c r="A41" s="2" t="n">
        <v>40</v>
      </c>
      <c r="B41" s="2" t="s">
        <v>56</v>
      </c>
      <c r="C41" s="2" t="s">
        <v>60</v>
      </c>
      <c r="D41" s="2" t="s">
        <v>13</v>
      </c>
      <c r="E41" s="2"/>
      <c r="F41" s="2" t="n">
        <v>40</v>
      </c>
      <c r="G41" s="2" t="n">
        <f aca="false">COUNTIFS(Map!$D:$D,$A41,Map!$F:$F,"Y")</f>
        <v>0</v>
      </c>
      <c r="H41" s="2" t="str">
        <f aca="false">IF(G41&gt;=Settings!$B$3,"High",IF(G41&gt;=Settings!$B$5,"Medium","Low"))</f>
        <v>Low</v>
      </c>
      <c r="I41" s="2" t="n">
        <f aca="false">COUNTIFS(Map!$D:$D,$A41,Map!$G:$G,"Y")</f>
        <v>0</v>
      </c>
      <c r="J41" s="2" t="str">
        <f aca="false">IF(I41&gt;=Settings!$B$4,"High",IF(I41&gt;=Settings!$B$5,"Medium","Low"))</f>
        <v>Low</v>
      </c>
      <c r="K41" s="2" t="n">
        <f aca="false">COUNTIF(Map!$D:$D,$A41)</f>
        <v>5</v>
      </c>
    </row>
    <row r="42" customFormat="false" ht="15" hidden="false" customHeight="false" outlineLevel="0" collapsed="false">
      <c r="A42" s="2" t="n">
        <v>41</v>
      </c>
      <c r="B42" s="2" t="s">
        <v>56</v>
      </c>
      <c r="C42" s="2" t="s">
        <v>61</v>
      </c>
      <c r="D42" s="2" t="s">
        <v>13</v>
      </c>
      <c r="E42" s="2"/>
      <c r="F42" s="2" t="n">
        <v>41</v>
      </c>
      <c r="G42" s="2" t="n">
        <f aca="false">COUNTIFS(Map!$D:$D,$A42,Map!$F:$F,"Y")</f>
        <v>1</v>
      </c>
      <c r="H42" s="2" t="str">
        <f aca="false">IF(G42&gt;=Settings!$B$3,"High",IF(G42&gt;=Settings!$B$5,"Medium","Low"))</f>
        <v>Medium</v>
      </c>
      <c r="I42" s="2" t="n">
        <f aca="false">COUNTIFS(Map!$D:$D,$A42,Map!$G:$G,"Y")</f>
        <v>2</v>
      </c>
      <c r="J42" s="2" t="str">
        <f aca="false">IF(I42&gt;=Settings!$B$4,"High",IF(I42&gt;=Settings!$B$5,"Medium","Low"))</f>
        <v>Medium</v>
      </c>
      <c r="K42" s="2" t="n">
        <f aca="false">COUNTIF(Map!$D:$D,$A42)</f>
        <v>6</v>
      </c>
    </row>
    <row r="43" customFormat="false" ht="23.85" hidden="false" customHeight="false" outlineLevel="0" collapsed="false">
      <c r="A43" s="2" t="n">
        <v>42</v>
      </c>
      <c r="B43" s="2" t="s">
        <v>62</v>
      </c>
      <c r="C43" s="2" t="s">
        <v>63</v>
      </c>
      <c r="D43" s="2" t="s">
        <v>13</v>
      </c>
      <c r="E43" s="2"/>
      <c r="F43" s="2" t="n">
        <v>42</v>
      </c>
      <c r="G43" s="2" t="n">
        <f aca="false">COUNTIFS(Map!$D:$D,$A43,Map!$F:$F,"Y")</f>
        <v>2</v>
      </c>
      <c r="H43" s="2" t="str">
        <f aca="false">IF(G43&gt;=Settings!$B$3,"High",IF(G43&gt;=Settings!$B$5,"Medium","Low"))</f>
        <v>Medium</v>
      </c>
      <c r="I43" s="2" t="n">
        <f aca="false">COUNTIFS(Map!$D:$D,$A43,Map!$G:$G,"Y")</f>
        <v>2</v>
      </c>
      <c r="J43" s="2" t="str">
        <f aca="false">IF(I43&gt;=Settings!$B$4,"High",IF(I43&gt;=Settings!$B$5,"Medium","Low"))</f>
        <v>Medium</v>
      </c>
      <c r="K43" s="2" t="n">
        <f aca="false">COUNTIF(Map!$D:$D,$A43)</f>
        <v>4</v>
      </c>
    </row>
    <row r="44" customFormat="false" ht="15" hidden="false" customHeight="false" outlineLevel="0" collapsed="false">
      <c r="A44" s="2" t="n">
        <v>43</v>
      </c>
      <c r="B44" s="2" t="s">
        <v>62</v>
      </c>
      <c r="C44" s="2" t="s">
        <v>64</v>
      </c>
      <c r="D44" s="2" t="s">
        <v>13</v>
      </c>
      <c r="E44" s="2"/>
      <c r="F44" s="2" t="n">
        <v>43</v>
      </c>
      <c r="G44" s="2" t="n">
        <f aca="false">COUNTIFS(Map!$D:$D,$A44,Map!$F:$F,"Y")</f>
        <v>10</v>
      </c>
      <c r="H44" s="2" t="str">
        <f aca="false">IF(G44&gt;=Settings!$B$3,"High",IF(G44&gt;=Settings!$B$5,"Medium","Low"))</f>
        <v>High</v>
      </c>
      <c r="I44" s="2" t="n">
        <f aca="false">COUNTIFS(Map!$D:$D,$A44,Map!$G:$G,"Y")</f>
        <v>9</v>
      </c>
      <c r="J44" s="2" t="str">
        <f aca="false">IF(I44&gt;=Settings!$B$4,"High",IF(I44&gt;=Settings!$B$5,"Medium","Low"))</f>
        <v>High</v>
      </c>
      <c r="K44" s="2" t="n">
        <f aca="false">COUNTIF(Map!$D:$D,$A44)</f>
        <v>28</v>
      </c>
    </row>
    <row r="45" customFormat="false" ht="15" hidden="false" customHeight="false" outlineLevel="0" collapsed="false">
      <c r="A45" s="2" t="n">
        <v>44</v>
      </c>
      <c r="B45" s="2" t="s">
        <v>65</v>
      </c>
      <c r="C45" s="2" t="s">
        <v>66</v>
      </c>
      <c r="D45" s="2" t="s">
        <v>13</v>
      </c>
      <c r="E45" s="2"/>
      <c r="F45" s="2" t="n">
        <v>44</v>
      </c>
      <c r="G45" s="2" t="n">
        <f aca="false">COUNTIFS(Map!$D:$D,$A45,Map!$F:$F,"Y")</f>
        <v>1</v>
      </c>
      <c r="H45" s="2" t="str">
        <f aca="false">IF(G45&gt;=Settings!$B$3,"High",IF(G45&gt;=Settings!$B$5,"Medium","Low"))</f>
        <v>Medium</v>
      </c>
      <c r="I45" s="2" t="n">
        <f aca="false">COUNTIFS(Map!$D:$D,$A45,Map!$G:$G,"Y")</f>
        <v>0</v>
      </c>
      <c r="J45" s="2" t="str">
        <f aca="false">IF(I45&gt;=Settings!$B$4,"High",IF(I45&gt;=Settings!$B$5,"Medium","Low"))</f>
        <v>Low</v>
      </c>
      <c r="K45" s="2" t="n">
        <f aca="false">COUNTIF(Map!$D:$D,$A45)</f>
        <v>2</v>
      </c>
    </row>
    <row r="46" customFormat="false" ht="15" hidden="false" customHeight="false" outlineLevel="0" collapsed="false">
      <c r="A46" s="2" t="n">
        <v>45</v>
      </c>
      <c r="B46" s="2" t="s">
        <v>65</v>
      </c>
      <c r="C46" s="2" t="s">
        <v>67</v>
      </c>
      <c r="D46" s="2" t="s">
        <v>13</v>
      </c>
      <c r="E46" s="2"/>
      <c r="F46" s="2" t="n">
        <v>45</v>
      </c>
      <c r="G46" s="2" t="n">
        <f aca="false">COUNTIFS(Map!$D:$D,$A46,Map!$F:$F,"Y")</f>
        <v>0</v>
      </c>
      <c r="H46" s="2" t="str">
        <f aca="false">IF(G46&gt;=Settings!$B$3,"High",IF(G46&gt;=Settings!$B$5,"Medium","Low"))</f>
        <v>Low</v>
      </c>
      <c r="I46" s="2" t="n">
        <f aca="false">COUNTIFS(Map!$D:$D,$A46,Map!$G:$G,"Y")</f>
        <v>0</v>
      </c>
      <c r="J46" s="2" t="str">
        <f aca="false">IF(I46&gt;=Settings!$B$4,"High",IF(I46&gt;=Settings!$B$5,"Medium","Low"))</f>
        <v>Low</v>
      </c>
      <c r="K46" s="2" t="n">
        <f aca="false">COUNTIF(Map!$D:$D,$A46)</f>
        <v>0</v>
      </c>
    </row>
    <row r="47" customFormat="false" ht="23.85" hidden="false" customHeight="false" outlineLevel="0" collapsed="false">
      <c r="A47" s="2" t="n">
        <v>46</v>
      </c>
      <c r="B47" s="2" t="s">
        <v>65</v>
      </c>
      <c r="C47" s="2" t="s">
        <v>68</v>
      </c>
      <c r="D47" s="2" t="s">
        <v>13</v>
      </c>
      <c r="E47" s="2"/>
      <c r="F47" s="2" t="n">
        <v>46</v>
      </c>
      <c r="G47" s="2" t="n">
        <f aca="false">COUNTIFS(Map!$D:$D,$A47,Map!$F:$F,"Y")</f>
        <v>0</v>
      </c>
      <c r="H47" s="2" t="str">
        <f aca="false">IF(G47&gt;=Settings!$B$3,"High",IF(G47&gt;=Settings!$B$5,"Medium","Low"))</f>
        <v>Low</v>
      </c>
      <c r="I47" s="2" t="n">
        <f aca="false">COUNTIFS(Map!$D:$D,$A47,Map!$G:$G,"Y")</f>
        <v>0</v>
      </c>
      <c r="J47" s="2" t="str">
        <f aca="false">IF(I47&gt;=Settings!$B$4,"High",IF(I47&gt;=Settings!$B$5,"Medium","Low"))</f>
        <v>Low</v>
      </c>
      <c r="K47" s="2" t="n">
        <f aca="false">COUNTIF(Map!$D:$D,$A47)</f>
        <v>2</v>
      </c>
    </row>
    <row r="48" customFormat="false" ht="15" hidden="false" customHeight="false" outlineLevel="0" collapsed="false">
      <c r="A48" s="2" t="n">
        <v>47</v>
      </c>
      <c r="B48" s="2" t="s">
        <v>69</v>
      </c>
      <c r="C48" s="2" t="s">
        <v>70</v>
      </c>
      <c r="D48" s="2" t="s">
        <v>13</v>
      </c>
      <c r="E48" s="2"/>
      <c r="F48" s="2" t="n">
        <v>47</v>
      </c>
      <c r="G48" s="2" t="n">
        <f aca="false">COUNTIFS(Map!$D:$D,$A48,Map!$F:$F,"Y")</f>
        <v>8</v>
      </c>
      <c r="H48" s="2" t="str">
        <f aca="false">IF(G48&gt;=Settings!$B$3,"High",IF(G48&gt;=Settings!$B$5,"Medium","Low"))</f>
        <v>High</v>
      </c>
      <c r="I48" s="2" t="n">
        <f aca="false">COUNTIFS(Map!$D:$D,$A48,Map!$G:$G,"Y")</f>
        <v>6</v>
      </c>
      <c r="J48" s="2" t="str">
        <f aca="false">IF(I48&gt;=Settings!$B$4,"High",IF(I48&gt;=Settings!$B$5,"Medium","Low"))</f>
        <v>High</v>
      </c>
      <c r="K48" s="2" t="n">
        <f aca="false">COUNTIF(Map!$D:$D,$A48)</f>
        <v>25</v>
      </c>
    </row>
    <row r="49" customFormat="false" ht="23.85" hidden="false" customHeight="false" outlineLevel="0" collapsed="false">
      <c r="A49" s="2" t="n">
        <v>48</v>
      </c>
      <c r="B49" s="2" t="s">
        <v>69</v>
      </c>
      <c r="C49" s="2" t="s">
        <v>71</v>
      </c>
      <c r="D49" s="2" t="s">
        <v>13</v>
      </c>
      <c r="E49" s="2"/>
      <c r="F49" s="2" t="n">
        <v>48</v>
      </c>
      <c r="G49" s="2" t="n">
        <f aca="false">COUNTIFS(Map!$D:$D,$A49,Map!$F:$F,"Y")</f>
        <v>0</v>
      </c>
      <c r="H49" s="2" t="str">
        <f aca="false">IF(G49&gt;=Settings!$B$3,"High",IF(G49&gt;=Settings!$B$5,"Medium","Low"))</f>
        <v>Low</v>
      </c>
      <c r="I49" s="2" t="n">
        <f aca="false">COUNTIFS(Map!$D:$D,$A49,Map!$G:$G,"Y")</f>
        <v>1</v>
      </c>
      <c r="J49" s="2" t="str">
        <f aca="false">IF(I49&gt;=Settings!$B$4,"High",IF(I49&gt;=Settings!$B$5,"Medium","Low"))</f>
        <v>Medium</v>
      </c>
      <c r="K49" s="2" t="n">
        <f aca="false">COUNTIF(Map!$D:$D,$A49)</f>
        <v>3</v>
      </c>
    </row>
    <row r="50" customFormat="false" ht="23.85" hidden="false" customHeight="false" outlineLevel="0" collapsed="false">
      <c r="A50" s="2" t="n">
        <v>49</v>
      </c>
      <c r="B50" s="2" t="s">
        <v>69</v>
      </c>
      <c r="C50" s="2" t="s">
        <v>72</v>
      </c>
      <c r="D50" s="2" t="s">
        <v>13</v>
      </c>
      <c r="E50" s="2"/>
      <c r="F50" s="2" t="n">
        <v>49</v>
      </c>
      <c r="G50" s="2" t="n">
        <f aca="false">COUNTIFS(Map!$D:$D,$A50,Map!$F:$F,"Y")</f>
        <v>4</v>
      </c>
      <c r="H50" s="2" t="str">
        <f aca="false">IF(G50&gt;=Settings!$B$3,"High",IF(G50&gt;=Settings!$B$5,"Medium","Low"))</f>
        <v>Medium</v>
      </c>
      <c r="I50" s="2" t="n">
        <f aca="false">COUNTIFS(Map!$D:$D,$A50,Map!$G:$G,"Y")</f>
        <v>3</v>
      </c>
      <c r="J50" s="2" t="str">
        <f aca="false">IF(I50&gt;=Settings!$B$4,"High",IF(I50&gt;=Settings!$B$5,"Medium","Low"))</f>
        <v>Medium</v>
      </c>
      <c r="K50" s="2" t="n">
        <f aca="false">COUNTIF(Map!$D:$D,$A50)</f>
        <v>16</v>
      </c>
    </row>
    <row r="51" customFormat="false" ht="23.85" hidden="false" customHeight="false" outlineLevel="0" collapsed="false">
      <c r="A51" s="2" t="n">
        <v>50</v>
      </c>
      <c r="B51" s="2" t="s">
        <v>69</v>
      </c>
      <c r="C51" s="2" t="s">
        <v>73</v>
      </c>
      <c r="D51" s="2" t="s">
        <v>13</v>
      </c>
      <c r="E51" s="2"/>
      <c r="F51" s="2" t="n">
        <v>50</v>
      </c>
      <c r="G51" s="2" t="n">
        <f aca="false">COUNTIFS(Map!$D:$D,$A51,Map!$F:$F,"Y")</f>
        <v>10</v>
      </c>
      <c r="H51" s="2" t="str">
        <f aca="false">IF(G51&gt;=Settings!$B$3,"High",IF(G51&gt;=Settings!$B$5,"Medium","Low"))</f>
        <v>High</v>
      </c>
      <c r="I51" s="2" t="n">
        <f aca="false">COUNTIFS(Map!$D:$D,$A51,Map!$G:$G,"Y")</f>
        <v>5</v>
      </c>
      <c r="J51" s="2" t="str">
        <f aca="false">IF(I51&gt;=Settings!$B$4,"High",IF(I51&gt;=Settings!$B$5,"Medium","Low"))</f>
        <v>Medium</v>
      </c>
      <c r="K51" s="2" t="n">
        <f aca="false">COUNTIF(Map!$D:$D,$A51)</f>
        <v>18</v>
      </c>
    </row>
    <row r="52" customFormat="false" ht="15" hidden="false" customHeight="false" outlineLevel="0" collapsed="false">
      <c r="A52" s="2" t="n">
        <v>51</v>
      </c>
      <c r="B52" s="2" t="s">
        <v>69</v>
      </c>
      <c r="C52" s="2" t="s">
        <v>74</v>
      </c>
      <c r="D52" s="2" t="s">
        <v>13</v>
      </c>
      <c r="E52" s="2"/>
      <c r="F52" s="2" t="n">
        <v>51</v>
      </c>
      <c r="G52" s="2" t="n">
        <f aca="false">COUNTIFS(Map!$D:$D,$A52,Map!$F:$F,"Y")</f>
        <v>1</v>
      </c>
      <c r="H52" s="2" t="str">
        <f aca="false">IF(G52&gt;=Settings!$B$3,"High",IF(G52&gt;=Settings!$B$5,"Medium","Low"))</f>
        <v>Medium</v>
      </c>
      <c r="I52" s="2" t="n">
        <f aca="false">COUNTIFS(Map!$D:$D,$A52,Map!$G:$G,"Y")</f>
        <v>1</v>
      </c>
      <c r="J52" s="2" t="str">
        <f aca="false">IF(I52&gt;=Settings!$B$4,"High",IF(I52&gt;=Settings!$B$5,"Medium","Low"))</f>
        <v>Medium</v>
      </c>
      <c r="K52" s="2" t="n">
        <f aca="false">COUNTIF(Map!$D:$D,$A52)</f>
        <v>4</v>
      </c>
    </row>
    <row r="53" customFormat="false" ht="15" hidden="false" customHeight="false" outlineLevel="0" collapsed="false">
      <c r="A53" s="2" t="n">
        <v>52</v>
      </c>
      <c r="B53" s="2" t="s">
        <v>69</v>
      </c>
      <c r="C53" s="2" t="s">
        <v>75</v>
      </c>
      <c r="D53" s="2" t="s">
        <v>13</v>
      </c>
      <c r="E53" s="2"/>
      <c r="F53" s="2" t="n">
        <v>52</v>
      </c>
      <c r="G53" s="2" t="n">
        <f aca="false">COUNTIFS(Map!$D:$D,$A53,Map!$F:$F,"Y")</f>
        <v>1</v>
      </c>
      <c r="H53" s="2" t="str">
        <f aca="false">IF(G53&gt;=Settings!$B$3,"High",IF(G53&gt;=Settings!$B$5,"Medium","Low"))</f>
        <v>Medium</v>
      </c>
      <c r="I53" s="2" t="n">
        <f aca="false">COUNTIFS(Map!$D:$D,$A53,Map!$G:$G,"Y")</f>
        <v>2</v>
      </c>
      <c r="J53" s="2" t="str">
        <f aca="false">IF(I53&gt;=Settings!$B$4,"High",IF(I53&gt;=Settings!$B$5,"Medium","Low"))</f>
        <v>Medium</v>
      </c>
      <c r="K53" s="2" t="n">
        <f aca="false">COUNTIF(Map!$D:$D,$A53)</f>
        <v>5</v>
      </c>
    </row>
    <row r="54" customFormat="false" ht="15" hidden="false" customHeight="false" outlineLevel="0" collapsed="false">
      <c r="A54" s="2" t="n">
        <v>53</v>
      </c>
      <c r="B54" s="2" t="s">
        <v>69</v>
      </c>
      <c r="C54" s="2" t="s">
        <v>76</v>
      </c>
      <c r="D54" s="2" t="s">
        <v>13</v>
      </c>
      <c r="E54" s="2"/>
      <c r="F54" s="2" t="n">
        <v>53</v>
      </c>
      <c r="G54" s="2" t="n">
        <f aca="false">COUNTIFS(Map!$D:$D,$A54,Map!$F:$F,"Y")</f>
        <v>3</v>
      </c>
      <c r="H54" s="2" t="str">
        <f aca="false">IF(G54&gt;=Settings!$B$3,"High",IF(G54&gt;=Settings!$B$5,"Medium","Low"))</f>
        <v>Medium</v>
      </c>
      <c r="I54" s="2" t="n">
        <f aca="false">COUNTIFS(Map!$D:$D,$A54,Map!$G:$G,"Y")</f>
        <v>2</v>
      </c>
      <c r="J54" s="2" t="str">
        <f aca="false">IF(I54&gt;=Settings!$B$4,"High",IF(I54&gt;=Settings!$B$5,"Medium","Low"))</f>
        <v>Medium</v>
      </c>
      <c r="K54" s="2" t="n">
        <f aca="false">COUNTIF(Map!$D:$D,$A54)</f>
        <v>11</v>
      </c>
    </row>
    <row r="55" customFormat="false" ht="15" hidden="false" customHeight="false" outlineLevel="0" collapsed="false">
      <c r="A55" s="2" t="n">
        <v>54</v>
      </c>
      <c r="B55" s="2" t="s">
        <v>69</v>
      </c>
      <c r="C55" s="2" t="s">
        <v>77</v>
      </c>
      <c r="D55" s="2" t="s">
        <v>13</v>
      </c>
      <c r="E55" s="2"/>
      <c r="F55" s="2" t="n">
        <v>54</v>
      </c>
      <c r="G55" s="2" t="n">
        <f aca="false">COUNTIFS(Map!$D:$D,$A55,Map!$F:$F,"Y")</f>
        <v>2</v>
      </c>
      <c r="H55" s="2" t="str">
        <f aca="false">IF(G55&gt;=Settings!$B$3,"High",IF(G55&gt;=Settings!$B$5,"Medium","Low"))</f>
        <v>Medium</v>
      </c>
      <c r="I55" s="2" t="n">
        <f aca="false">COUNTIFS(Map!$D:$D,$A55,Map!$G:$G,"Y")</f>
        <v>2</v>
      </c>
      <c r="J55" s="2" t="str">
        <f aca="false">IF(I55&gt;=Settings!$B$4,"High",IF(I55&gt;=Settings!$B$5,"Medium","Low"))</f>
        <v>Medium</v>
      </c>
      <c r="K55" s="2" t="n">
        <f aca="false">COUNTIF(Map!$D:$D,$A55)</f>
        <v>11</v>
      </c>
    </row>
    <row r="56" customFormat="false" ht="15" hidden="false" customHeight="false" outlineLevel="0" collapsed="false">
      <c r="A56" s="2" t="n">
        <v>55</v>
      </c>
      <c r="B56" s="2" t="s">
        <v>69</v>
      </c>
      <c r="C56" s="2" t="s">
        <v>78</v>
      </c>
      <c r="D56" s="2" t="s">
        <v>13</v>
      </c>
      <c r="E56" s="2"/>
      <c r="F56" s="2" t="n">
        <v>55</v>
      </c>
      <c r="G56" s="2" t="n">
        <f aca="false">COUNTIFS(Map!$D:$D,$A56,Map!$F:$F,"Y")</f>
        <v>0</v>
      </c>
      <c r="H56" s="2" t="str">
        <f aca="false">IF(G56&gt;=Settings!$B$3,"High",IF(G56&gt;=Settings!$B$5,"Medium","Low"))</f>
        <v>Low</v>
      </c>
      <c r="I56" s="2" t="n">
        <f aca="false">COUNTIFS(Map!$D:$D,$A56,Map!$G:$G,"Y")</f>
        <v>0</v>
      </c>
      <c r="J56" s="2" t="str">
        <f aca="false">IF(I56&gt;=Settings!$B$4,"High",IF(I56&gt;=Settings!$B$5,"Medium","Low"))</f>
        <v>Low</v>
      </c>
      <c r="K56" s="2" t="n">
        <f aca="false">COUNTIF(Map!$D:$D,$A56)</f>
        <v>5</v>
      </c>
    </row>
    <row r="57" customFormat="false" ht="15" hidden="false" customHeight="false" outlineLevel="0" collapsed="false">
      <c r="A57" s="2" t="n">
        <v>56</v>
      </c>
      <c r="B57" s="2" t="s">
        <v>69</v>
      </c>
      <c r="C57" s="2" t="s">
        <v>79</v>
      </c>
      <c r="D57" s="2" t="s">
        <v>13</v>
      </c>
      <c r="E57" s="2"/>
      <c r="F57" s="2" t="n">
        <v>56</v>
      </c>
      <c r="G57" s="2" t="n">
        <f aca="false">COUNTIFS(Map!$D:$D,$A57,Map!$F:$F,"Y")</f>
        <v>0</v>
      </c>
      <c r="H57" s="2" t="str">
        <f aca="false">IF(G57&gt;=Settings!$B$3,"High",IF(G57&gt;=Settings!$B$5,"Medium","Low"))</f>
        <v>Low</v>
      </c>
      <c r="I57" s="2" t="n">
        <f aca="false">COUNTIFS(Map!$D:$D,$A57,Map!$G:$G,"Y")</f>
        <v>0</v>
      </c>
      <c r="J57" s="2" t="str">
        <f aca="false">IF(I57&gt;=Settings!$B$4,"High",IF(I57&gt;=Settings!$B$5,"Medium","Low"))</f>
        <v>Low</v>
      </c>
      <c r="K57" s="2" t="n">
        <f aca="false">COUNTIF(Map!$D:$D,$A57)</f>
        <v>2</v>
      </c>
    </row>
    <row r="58" customFormat="false" ht="15" hidden="false" customHeight="false" outlineLevel="0" collapsed="false">
      <c r="A58" s="2" t="n">
        <v>57</v>
      </c>
      <c r="B58" s="2" t="s">
        <v>69</v>
      </c>
      <c r="C58" s="2" t="s">
        <v>80</v>
      </c>
      <c r="D58" s="2" t="s">
        <v>13</v>
      </c>
      <c r="E58" s="2"/>
      <c r="F58" s="2" t="n">
        <v>57</v>
      </c>
      <c r="G58" s="2" t="n">
        <f aca="false">COUNTIFS(Map!$D:$D,$A58,Map!$F:$F,"Y")</f>
        <v>1</v>
      </c>
      <c r="H58" s="2" t="str">
        <f aca="false">IF(G58&gt;=Settings!$B$3,"High",IF(G58&gt;=Settings!$B$5,"Medium","Low"))</f>
        <v>Medium</v>
      </c>
      <c r="I58" s="2" t="n">
        <f aca="false">COUNTIFS(Map!$D:$D,$A58,Map!$G:$G,"Y")</f>
        <v>1</v>
      </c>
      <c r="J58" s="2" t="str">
        <f aca="false">IF(I58&gt;=Settings!$B$4,"High",IF(I58&gt;=Settings!$B$5,"Medium","Low"))</f>
        <v>Medium</v>
      </c>
      <c r="K58" s="2" t="n">
        <f aca="false">COUNTIF(Map!$D:$D,$A58)</f>
        <v>4</v>
      </c>
    </row>
    <row r="59" customFormat="false" ht="15" hidden="false" customHeight="false" outlineLevel="0" collapsed="false">
      <c r="A59" s="2" t="n">
        <v>58</v>
      </c>
      <c r="B59" s="2" t="s">
        <v>69</v>
      </c>
      <c r="C59" s="2" t="s">
        <v>81</v>
      </c>
      <c r="D59" s="2" t="s">
        <v>13</v>
      </c>
      <c r="E59" s="2"/>
      <c r="F59" s="2" t="n">
        <v>58</v>
      </c>
      <c r="G59" s="2" t="n">
        <f aca="false">COUNTIFS(Map!$D:$D,$A59,Map!$F:$F,"Y")</f>
        <v>0</v>
      </c>
      <c r="H59" s="2" t="str">
        <f aca="false">IF(G59&gt;=Settings!$B$3,"High",IF(G59&gt;=Settings!$B$5,"Medium","Low"))</f>
        <v>Low</v>
      </c>
      <c r="I59" s="2" t="n">
        <f aca="false">COUNTIFS(Map!$D:$D,$A59,Map!$G:$G,"Y")</f>
        <v>0</v>
      </c>
      <c r="J59" s="2" t="str">
        <f aca="false">IF(I59&gt;=Settings!$B$4,"High",IF(I59&gt;=Settings!$B$5,"Medium","Low"))</f>
        <v>Low</v>
      </c>
      <c r="K59" s="2" t="n">
        <f aca="false">COUNTIF(Map!$D:$D,$A59)</f>
        <v>0</v>
      </c>
    </row>
    <row r="60" customFormat="false" ht="15" hidden="false" customHeight="false" outlineLevel="0" collapsed="false">
      <c r="A60" s="2" t="n">
        <v>59</v>
      </c>
      <c r="B60" s="2" t="s">
        <v>69</v>
      </c>
      <c r="C60" s="2" t="s">
        <v>82</v>
      </c>
      <c r="D60" s="2" t="s">
        <v>13</v>
      </c>
      <c r="E60" s="2"/>
      <c r="F60" s="2" t="n">
        <v>59</v>
      </c>
      <c r="G60" s="2" t="n">
        <f aca="false">COUNTIFS(Map!$D:$D,$A60,Map!$F:$F,"Y")</f>
        <v>0</v>
      </c>
      <c r="H60" s="2" t="str">
        <f aca="false">IF(G60&gt;=Settings!$B$3,"High",IF(G60&gt;=Settings!$B$5,"Medium","Low"))</f>
        <v>Low</v>
      </c>
      <c r="I60" s="2" t="n">
        <f aca="false">COUNTIFS(Map!$D:$D,$A60,Map!$G:$G,"Y")</f>
        <v>1</v>
      </c>
      <c r="J60" s="2" t="str">
        <f aca="false">IF(I60&gt;=Settings!$B$4,"High",IF(I60&gt;=Settings!$B$5,"Medium","Low"))</f>
        <v>Medium</v>
      </c>
      <c r="K60" s="2" t="n">
        <f aca="false">COUNTIF(Map!$D:$D,$A60)</f>
        <v>6</v>
      </c>
    </row>
    <row r="61" customFormat="false" ht="15" hidden="false" customHeight="false" outlineLevel="0" collapsed="false">
      <c r="A61" s="2" t="n">
        <v>60</v>
      </c>
      <c r="B61" s="2" t="s">
        <v>69</v>
      </c>
      <c r="C61" s="2" t="s">
        <v>83</v>
      </c>
      <c r="D61" s="2" t="s">
        <v>13</v>
      </c>
      <c r="E61" s="2"/>
      <c r="F61" s="2" t="n">
        <v>60</v>
      </c>
      <c r="G61" s="2" t="n">
        <f aca="false">COUNTIFS(Map!$D:$D,$A61,Map!$F:$F,"Y")</f>
        <v>0</v>
      </c>
      <c r="H61" s="2" t="str">
        <f aca="false">IF(G61&gt;=Settings!$B$3,"High",IF(G61&gt;=Settings!$B$5,"Medium","Low"))</f>
        <v>Low</v>
      </c>
      <c r="I61" s="2" t="n">
        <f aca="false">COUNTIFS(Map!$D:$D,$A61,Map!$G:$G,"Y")</f>
        <v>0</v>
      </c>
      <c r="J61" s="2" t="str">
        <f aca="false">IF(I61&gt;=Settings!$B$4,"High",IF(I61&gt;=Settings!$B$5,"Medium","Low"))</f>
        <v>Low</v>
      </c>
      <c r="K61" s="2" t="n">
        <f aca="false">COUNTIF(Map!$D:$D,$A61)</f>
        <v>3</v>
      </c>
    </row>
    <row r="62" customFormat="false" ht="23.85" hidden="false" customHeight="false" outlineLevel="0" collapsed="false">
      <c r="A62" s="2" t="n">
        <v>61</v>
      </c>
      <c r="B62" s="2" t="s">
        <v>69</v>
      </c>
      <c r="C62" s="2" t="s">
        <v>84</v>
      </c>
      <c r="D62" s="2" t="s">
        <v>13</v>
      </c>
      <c r="E62" s="2"/>
      <c r="F62" s="2" t="n">
        <v>61</v>
      </c>
      <c r="G62" s="2" t="n">
        <f aca="false">COUNTIFS(Map!$D:$D,$A62,Map!$F:$F,"Y")</f>
        <v>2</v>
      </c>
      <c r="H62" s="2" t="str">
        <f aca="false">IF(G62&gt;=Settings!$B$3,"High",IF(G62&gt;=Settings!$B$5,"Medium","Low"))</f>
        <v>Medium</v>
      </c>
      <c r="I62" s="2" t="n">
        <f aca="false">COUNTIFS(Map!$D:$D,$A62,Map!$G:$G,"Y")</f>
        <v>0</v>
      </c>
      <c r="J62" s="2" t="str">
        <f aca="false">IF(I62&gt;=Settings!$B$4,"High",IF(I62&gt;=Settings!$B$5,"Medium","Low"))</f>
        <v>Low</v>
      </c>
      <c r="K62" s="2" t="n">
        <f aca="false">COUNTIF(Map!$D:$D,$A62)</f>
        <v>15</v>
      </c>
    </row>
    <row r="63" customFormat="false" ht="23.85" hidden="false" customHeight="false" outlineLevel="0" collapsed="false">
      <c r="A63" s="2" t="n">
        <v>62</v>
      </c>
      <c r="B63" s="2" t="s">
        <v>69</v>
      </c>
      <c r="C63" s="2" t="s">
        <v>85</v>
      </c>
      <c r="D63" s="2" t="s">
        <v>13</v>
      </c>
      <c r="E63" s="2"/>
      <c r="F63" s="2" t="n">
        <v>62</v>
      </c>
      <c r="G63" s="2" t="n">
        <f aca="false">COUNTIFS(Map!$D:$D,$A63,Map!$F:$F,"Y")</f>
        <v>0</v>
      </c>
      <c r="H63" s="2" t="str">
        <f aca="false">IF(G63&gt;=Settings!$B$3,"High",IF(G63&gt;=Settings!$B$5,"Medium","Low"))</f>
        <v>Low</v>
      </c>
      <c r="I63" s="2" t="n">
        <f aca="false">COUNTIFS(Map!$D:$D,$A63,Map!$G:$G,"Y")</f>
        <v>0</v>
      </c>
      <c r="J63" s="2" t="str">
        <f aca="false">IF(I63&gt;=Settings!$B$4,"High",IF(I63&gt;=Settings!$B$5,"Medium","Low"))</f>
        <v>Low</v>
      </c>
      <c r="K63" s="2" t="n">
        <f aca="false">COUNTIF(Map!$D:$D,$A63)</f>
        <v>3</v>
      </c>
    </row>
    <row r="64" customFormat="false" ht="15" hidden="false" customHeight="false" outlineLevel="0" collapsed="false">
      <c r="A64" s="2" t="n">
        <v>63</v>
      </c>
      <c r="B64" s="2" t="s">
        <v>69</v>
      </c>
      <c r="C64" s="2" t="s">
        <v>86</v>
      </c>
      <c r="D64" s="2" t="s">
        <v>13</v>
      </c>
      <c r="E64" s="2"/>
      <c r="F64" s="2" t="n">
        <v>63</v>
      </c>
      <c r="G64" s="2" t="n">
        <f aca="false">COUNTIFS(Map!$D:$D,$A64,Map!$F:$F,"Y")</f>
        <v>1</v>
      </c>
      <c r="H64" s="2" t="str">
        <f aca="false">IF(G64&gt;=Settings!$B$3,"High",IF(G64&gt;=Settings!$B$5,"Medium","Low"))</f>
        <v>Medium</v>
      </c>
      <c r="I64" s="2" t="n">
        <f aca="false">COUNTIFS(Map!$D:$D,$A64,Map!$G:$G,"Y")</f>
        <v>0</v>
      </c>
      <c r="J64" s="2" t="str">
        <f aca="false">IF(I64&gt;=Settings!$B$4,"High",IF(I64&gt;=Settings!$B$5,"Medium","Low"))</f>
        <v>Low</v>
      </c>
      <c r="K64" s="2" t="n">
        <f aca="false">COUNTIF(Map!$D:$D,$A64)</f>
        <v>2</v>
      </c>
    </row>
    <row r="65" customFormat="false" ht="15" hidden="false" customHeight="false" outlineLevel="0" collapsed="false">
      <c r="A65" s="2" t="n">
        <v>64</v>
      </c>
      <c r="B65" s="2" t="s">
        <v>69</v>
      </c>
      <c r="C65" s="2" t="s">
        <v>87</v>
      </c>
      <c r="D65" s="2" t="s">
        <v>13</v>
      </c>
      <c r="E65" s="2"/>
      <c r="F65" s="2" t="n">
        <v>64</v>
      </c>
      <c r="G65" s="2" t="n">
        <f aca="false">COUNTIFS(Map!$D:$D,$A65,Map!$F:$F,"Y")</f>
        <v>4</v>
      </c>
      <c r="H65" s="2" t="str">
        <f aca="false">IF(G65&gt;=Settings!$B$3,"High",IF(G65&gt;=Settings!$B$5,"Medium","Low"))</f>
        <v>Medium</v>
      </c>
      <c r="I65" s="2" t="n">
        <f aca="false">COUNTIFS(Map!$D:$D,$A65,Map!$G:$G,"Y")</f>
        <v>2</v>
      </c>
      <c r="J65" s="2" t="str">
        <f aca="false">IF(I65&gt;=Settings!$B$4,"High",IF(I65&gt;=Settings!$B$5,"Medium","Low"))</f>
        <v>Medium</v>
      </c>
      <c r="K65" s="2" t="n">
        <f aca="false">COUNTIF(Map!$D:$D,$A65)</f>
        <v>5</v>
      </c>
    </row>
    <row r="66" customFormat="false" ht="15" hidden="false" customHeight="false" outlineLevel="0" collapsed="false">
      <c r="A66" s="2" t="n">
        <v>65</v>
      </c>
      <c r="B66" s="2" t="s">
        <v>69</v>
      </c>
      <c r="C66" s="2" t="s">
        <v>88</v>
      </c>
      <c r="D66" s="2" t="s">
        <v>13</v>
      </c>
      <c r="E66" s="2"/>
      <c r="F66" s="2" t="n">
        <v>65</v>
      </c>
      <c r="G66" s="2" t="n">
        <f aca="false">COUNTIFS(Map!$D:$D,$A66,Map!$F:$F,"Y")</f>
        <v>5</v>
      </c>
      <c r="H66" s="2" t="str">
        <f aca="false">IF(G66&gt;=Settings!$B$3,"High",IF(G66&gt;=Settings!$B$5,"Medium","Low"))</f>
        <v>Medium</v>
      </c>
      <c r="I66" s="2" t="n">
        <f aca="false">COUNTIFS(Map!$D:$D,$A66,Map!$G:$G,"Y")</f>
        <v>6</v>
      </c>
      <c r="J66" s="2" t="str">
        <f aca="false">IF(I66&gt;=Settings!$B$4,"High",IF(I66&gt;=Settings!$B$5,"Medium","Low"))</f>
        <v>High</v>
      </c>
      <c r="K66" s="2" t="n">
        <f aca="false">COUNTIF(Map!$D:$D,$A66)</f>
        <v>9</v>
      </c>
    </row>
    <row r="67" customFormat="false" ht="15" hidden="false" customHeight="false" outlineLevel="0" collapsed="false">
      <c r="A67" s="2" t="n">
        <v>66</v>
      </c>
      <c r="B67" s="2" t="s">
        <v>69</v>
      </c>
      <c r="C67" s="2" t="s">
        <v>89</v>
      </c>
      <c r="D67" s="2" t="s">
        <v>13</v>
      </c>
      <c r="E67" s="2"/>
      <c r="F67" s="2" t="n">
        <v>66</v>
      </c>
      <c r="G67" s="2" t="n">
        <f aca="false">COUNTIFS(Map!$D:$D,$A67,Map!$F:$F,"Y")</f>
        <v>0</v>
      </c>
      <c r="H67" s="2" t="str">
        <f aca="false">IF(G67&gt;=Settings!$B$3,"High",IF(G67&gt;=Settings!$B$5,"Medium","Low"))</f>
        <v>Low</v>
      </c>
      <c r="I67" s="2" t="n">
        <f aca="false">COUNTIFS(Map!$D:$D,$A67,Map!$G:$G,"Y")</f>
        <v>0</v>
      </c>
      <c r="J67" s="2" t="str">
        <f aca="false">IF(I67&gt;=Settings!$B$4,"High",IF(I67&gt;=Settings!$B$5,"Medium","Low"))</f>
        <v>Low</v>
      </c>
      <c r="K67" s="2" t="n">
        <f aca="false">COUNTIF(Map!$D:$D,$A67)</f>
        <v>1</v>
      </c>
    </row>
    <row r="68" customFormat="false" ht="23.85" hidden="false" customHeight="false" outlineLevel="0" collapsed="false">
      <c r="A68" s="2" t="n">
        <v>67</v>
      </c>
      <c r="B68" s="2" t="s">
        <v>69</v>
      </c>
      <c r="C68" s="2" t="s">
        <v>90</v>
      </c>
      <c r="D68" s="2" t="s">
        <v>13</v>
      </c>
      <c r="E68" s="2"/>
      <c r="F68" s="2" t="n">
        <v>67</v>
      </c>
      <c r="G68" s="2" t="n">
        <f aca="false">COUNTIFS(Map!$D:$D,$A68,Map!$F:$F,"Y")</f>
        <v>0</v>
      </c>
      <c r="H68" s="2" t="str">
        <f aca="false">IF(G68&gt;=Settings!$B$3,"High",IF(G68&gt;=Settings!$B$5,"Medium","Low"))</f>
        <v>Low</v>
      </c>
      <c r="I68" s="2" t="n">
        <f aca="false">COUNTIFS(Map!$D:$D,$A68,Map!$G:$G,"Y")</f>
        <v>0</v>
      </c>
      <c r="J68" s="2" t="str">
        <f aca="false">IF(I68&gt;=Settings!$B$4,"High",IF(I68&gt;=Settings!$B$5,"Medium","Low"))</f>
        <v>Low</v>
      </c>
      <c r="K68" s="2" t="n">
        <f aca="false">COUNTIF(Map!$D:$D,$A68)</f>
        <v>3</v>
      </c>
    </row>
    <row r="69" customFormat="false" ht="15" hidden="false" customHeight="false" outlineLevel="0" collapsed="false">
      <c r="A69" s="2" t="n">
        <v>68</v>
      </c>
      <c r="B69" s="2" t="s">
        <v>91</v>
      </c>
      <c r="C69" s="2" t="s">
        <v>92</v>
      </c>
      <c r="D69" s="2" t="s">
        <v>13</v>
      </c>
      <c r="E69" s="2"/>
      <c r="F69" s="2" t="n">
        <v>68</v>
      </c>
      <c r="G69" s="2" t="n">
        <f aca="false">COUNTIFS(Map!$D:$D,$A69,Map!$F:$F,"Y")</f>
        <v>1</v>
      </c>
      <c r="H69" s="2" t="str">
        <f aca="false">IF(G69&gt;=Settings!$B$3,"High",IF(G69&gt;=Settings!$B$5,"Medium","Low"))</f>
        <v>Medium</v>
      </c>
      <c r="I69" s="2" t="n">
        <f aca="false">COUNTIFS(Map!$D:$D,$A69,Map!$G:$G,"Y")</f>
        <v>0</v>
      </c>
      <c r="J69" s="2" t="str">
        <f aca="false">IF(I69&gt;=Settings!$B$4,"High",IF(I69&gt;=Settings!$B$5,"Medium","Low"))</f>
        <v>Low</v>
      </c>
      <c r="K69" s="2" t="n">
        <f aca="false">COUNTIF(Map!$D:$D,$A69)</f>
        <v>8</v>
      </c>
    </row>
    <row r="70" customFormat="false" ht="15" hidden="false" customHeight="false" outlineLevel="0" collapsed="false">
      <c r="A70" s="2" t="n">
        <v>69</v>
      </c>
      <c r="B70" s="2" t="s">
        <v>91</v>
      </c>
      <c r="C70" s="2" t="s">
        <v>93</v>
      </c>
      <c r="D70" s="2" t="s">
        <v>13</v>
      </c>
      <c r="E70" s="2"/>
      <c r="F70" s="2" t="n">
        <v>69</v>
      </c>
      <c r="G70" s="2" t="n">
        <f aca="false">COUNTIFS(Map!$D:$D,$A70,Map!$F:$F,"Y")</f>
        <v>0</v>
      </c>
      <c r="H70" s="2" t="str">
        <f aca="false">IF(G70&gt;=Settings!$B$3,"High",IF(G70&gt;=Settings!$B$5,"Medium","Low"))</f>
        <v>Low</v>
      </c>
      <c r="I70" s="2" t="n">
        <f aca="false">COUNTIFS(Map!$D:$D,$A70,Map!$G:$G,"Y")</f>
        <v>0</v>
      </c>
      <c r="J70" s="2" t="str">
        <f aca="false">IF(I70&gt;=Settings!$B$4,"High",IF(I70&gt;=Settings!$B$5,"Medium","Low"))</f>
        <v>Low</v>
      </c>
      <c r="K70" s="2" t="n">
        <f aca="false">COUNTIF(Map!$D:$D,$A70)</f>
        <v>5</v>
      </c>
    </row>
    <row r="71" customFormat="false" ht="23.85" hidden="false" customHeight="false" outlineLevel="0" collapsed="false">
      <c r="A71" s="2" t="n">
        <v>70</v>
      </c>
      <c r="B71" s="2" t="s">
        <v>91</v>
      </c>
      <c r="C71" s="2" t="s">
        <v>94</v>
      </c>
      <c r="D71" s="2" t="s">
        <v>13</v>
      </c>
      <c r="E71" s="2"/>
      <c r="F71" s="2" t="n">
        <v>70</v>
      </c>
      <c r="G71" s="2" t="n">
        <f aca="false">COUNTIFS(Map!$D:$D,$A71,Map!$F:$F,"Y")</f>
        <v>0</v>
      </c>
      <c r="H71" s="2" t="str">
        <f aca="false">IF(G71&gt;=Settings!$B$3,"High",IF(G71&gt;=Settings!$B$5,"Medium","Low"))</f>
        <v>Low</v>
      </c>
      <c r="I71" s="2" t="n">
        <f aca="false">COUNTIFS(Map!$D:$D,$A71,Map!$G:$G,"Y")</f>
        <v>0</v>
      </c>
      <c r="J71" s="2" t="str">
        <f aca="false">IF(I71&gt;=Settings!$B$4,"High",IF(I71&gt;=Settings!$B$5,"Medium","Low"))</f>
        <v>Low</v>
      </c>
      <c r="K71" s="2" t="n">
        <f aca="false">COUNTIF(Map!$D:$D,$A71)</f>
        <v>1</v>
      </c>
    </row>
    <row r="72" customFormat="false" ht="23.85" hidden="false" customHeight="false" outlineLevel="0" collapsed="false">
      <c r="A72" s="2" t="n">
        <v>71</v>
      </c>
      <c r="B72" s="2" t="s">
        <v>91</v>
      </c>
      <c r="C72" s="2" t="s">
        <v>95</v>
      </c>
      <c r="D72" s="2" t="s">
        <v>96</v>
      </c>
      <c r="E72" s="2"/>
      <c r="F72" s="2" t="n">
        <v>71</v>
      </c>
      <c r="G72" s="2" t="n">
        <f aca="false">COUNTIFS(Map!$D:$D,$A72,Map!$F:$F,"Y")</f>
        <v>0</v>
      </c>
      <c r="H72" s="2" t="str">
        <f aca="false">IF(G72&gt;=Settings!$B$3,"High",IF(G72&gt;=Settings!$B$5,"Medium","Low"))</f>
        <v>Low</v>
      </c>
      <c r="I72" s="2" t="n">
        <f aca="false">COUNTIFS(Map!$D:$D,$A72,Map!$G:$G,"Y")</f>
        <v>0</v>
      </c>
      <c r="J72" s="2" t="str">
        <f aca="false">IF(I72&gt;=Settings!$B$4,"High",IF(I72&gt;=Settings!$B$5,"Medium","Low"))</f>
        <v>Low</v>
      </c>
      <c r="K72" s="2" t="n">
        <f aca="false">COUNTIF(Map!$D:$D,$A72)</f>
        <v>5</v>
      </c>
    </row>
    <row r="73" customFormat="false" ht="23.85" hidden="false" customHeight="false" outlineLevel="0" collapsed="false">
      <c r="A73" s="2" t="n">
        <v>72</v>
      </c>
      <c r="B73" s="2" t="s">
        <v>91</v>
      </c>
      <c r="C73" s="2" t="s">
        <v>97</v>
      </c>
      <c r="D73" s="2" t="s">
        <v>13</v>
      </c>
      <c r="E73" s="2"/>
      <c r="F73" s="2" t="n">
        <v>72</v>
      </c>
      <c r="G73" s="2" t="n">
        <f aca="false">COUNTIFS(Map!$D:$D,$A73,Map!$F:$F,"Y")</f>
        <v>0</v>
      </c>
      <c r="H73" s="2" t="str">
        <f aca="false">IF(G73&gt;=Settings!$B$3,"High",IF(G73&gt;=Settings!$B$5,"Medium","Low"))</f>
        <v>Low</v>
      </c>
      <c r="I73" s="2" t="n">
        <f aca="false">COUNTIFS(Map!$D:$D,$A73,Map!$G:$G,"Y")</f>
        <v>0</v>
      </c>
      <c r="J73" s="2" t="str">
        <f aca="false">IF(I73&gt;=Settings!$B$4,"High",IF(I73&gt;=Settings!$B$5,"Medium","Low"))</f>
        <v>Low</v>
      </c>
      <c r="K73" s="2" t="n">
        <f aca="false">COUNTIF(Map!$D:$D,$A73)</f>
        <v>3</v>
      </c>
    </row>
    <row r="74" customFormat="false" ht="23.85" hidden="false" customHeight="false" outlineLevel="0" collapsed="false">
      <c r="A74" s="2" t="n">
        <v>73</v>
      </c>
      <c r="B74" s="2" t="s">
        <v>98</v>
      </c>
      <c r="C74" s="2" t="s">
        <v>99</v>
      </c>
      <c r="D74" s="2" t="s">
        <v>13</v>
      </c>
      <c r="E74" s="2"/>
      <c r="F74" s="2" t="n">
        <v>73</v>
      </c>
      <c r="G74" s="2" t="n">
        <f aca="false">COUNTIFS(Map!$D:$D,$A74,Map!$F:$F,"Y")</f>
        <v>0</v>
      </c>
      <c r="H74" s="2" t="str">
        <f aca="false">IF(G74&gt;=Settings!$B$3,"High",IF(G74&gt;=Settings!$B$5,"Medium","Low"))</f>
        <v>Low</v>
      </c>
      <c r="I74" s="2" t="n">
        <f aca="false">COUNTIFS(Map!$D:$D,$A74,Map!$G:$G,"Y")</f>
        <v>0</v>
      </c>
      <c r="J74" s="2" t="str">
        <f aca="false">IF(I74&gt;=Settings!$B$4,"High",IF(I74&gt;=Settings!$B$5,"Medium","Low"))</f>
        <v>Low</v>
      </c>
      <c r="K74" s="2" t="n">
        <f aca="false">COUNTIF(Map!$D:$D,$A74)</f>
        <v>1</v>
      </c>
    </row>
    <row r="75" customFormat="false" ht="23.85" hidden="false" customHeight="false" outlineLevel="0" collapsed="false">
      <c r="A75" s="2" t="n">
        <v>74</v>
      </c>
      <c r="B75" s="2" t="s">
        <v>98</v>
      </c>
      <c r="C75" s="2" t="s">
        <v>100</v>
      </c>
      <c r="D75" s="2" t="s">
        <v>13</v>
      </c>
      <c r="E75" s="2"/>
      <c r="F75" s="2" t="n">
        <v>74</v>
      </c>
      <c r="G75" s="2" t="n">
        <f aca="false">COUNTIFS(Map!$D:$D,$A75,Map!$F:$F,"Y")</f>
        <v>8</v>
      </c>
      <c r="H75" s="2" t="str">
        <f aca="false">IF(G75&gt;=Settings!$B$3,"High",IF(G75&gt;=Settings!$B$5,"Medium","Low"))</f>
        <v>High</v>
      </c>
      <c r="I75" s="2" t="n">
        <f aca="false">COUNTIFS(Map!$D:$D,$A75,Map!$G:$G,"Y")</f>
        <v>5</v>
      </c>
      <c r="J75" s="2" t="str">
        <f aca="false">IF(I75&gt;=Settings!$B$4,"High",IF(I75&gt;=Settings!$B$5,"Medium","Low"))</f>
        <v>Medium</v>
      </c>
      <c r="K75" s="2" t="n">
        <f aca="false">COUNTIF(Map!$D:$D,$A75)</f>
        <v>18</v>
      </c>
    </row>
    <row r="76" customFormat="false" ht="23.85" hidden="false" customHeight="false" outlineLevel="0" collapsed="false">
      <c r="A76" s="2" t="n">
        <v>75</v>
      </c>
      <c r="B76" s="2" t="s">
        <v>98</v>
      </c>
      <c r="C76" s="2" t="s">
        <v>101</v>
      </c>
      <c r="D76" s="2" t="s">
        <v>13</v>
      </c>
      <c r="E76" s="2"/>
      <c r="F76" s="2" t="n">
        <v>75</v>
      </c>
      <c r="G76" s="2" t="n">
        <f aca="false">COUNTIFS(Map!$D:$D,$A76,Map!$F:$F,"Y")</f>
        <v>1</v>
      </c>
      <c r="H76" s="2" t="str">
        <f aca="false">IF(G76&gt;=Settings!$B$3,"High",IF(G76&gt;=Settings!$B$5,"Medium","Low"))</f>
        <v>Medium</v>
      </c>
      <c r="I76" s="2" t="n">
        <f aca="false">COUNTIFS(Map!$D:$D,$A76,Map!$G:$G,"Y")</f>
        <v>1</v>
      </c>
      <c r="J76" s="2" t="str">
        <f aca="false">IF(I76&gt;=Settings!$B$4,"High",IF(I76&gt;=Settings!$B$5,"Medium","Low"))</f>
        <v>Medium</v>
      </c>
      <c r="K76" s="2" t="n">
        <f aca="false">COUNTIF(Map!$D:$D,$A76)</f>
        <v>6</v>
      </c>
    </row>
    <row r="77" customFormat="false" ht="23.85" hidden="false" customHeight="false" outlineLevel="0" collapsed="false">
      <c r="A77" s="2" t="n">
        <v>76</v>
      </c>
      <c r="B77" s="2" t="s">
        <v>102</v>
      </c>
      <c r="C77" s="2" t="s">
        <v>103</v>
      </c>
      <c r="D77" s="2" t="s">
        <v>13</v>
      </c>
      <c r="E77" s="2"/>
      <c r="F77" s="2" t="n">
        <v>76</v>
      </c>
      <c r="G77" s="2" t="n">
        <f aca="false">COUNTIFS(Map!$D:$D,$A77,Map!$F:$F,"Y")</f>
        <v>10</v>
      </c>
      <c r="H77" s="2" t="str">
        <f aca="false">IF(G77&gt;=Settings!$B$3,"High",IF(G77&gt;=Settings!$B$5,"Medium","Low"))</f>
        <v>High</v>
      </c>
      <c r="I77" s="2" t="n">
        <f aca="false">COUNTIFS(Map!$D:$D,$A77,Map!$G:$G,"Y")</f>
        <v>8</v>
      </c>
      <c r="J77" s="2" t="str">
        <f aca="false">IF(I77&gt;=Settings!$B$4,"High",IF(I77&gt;=Settings!$B$5,"Medium","Low"))</f>
        <v>High</v>
      </c>
      <c r="K77" s="2" t="n">
        <f aca="false">COUNTIF(Map!$D:$D,$A77)</f>
        <v>27</v>
      </c>
    </row>
    <row r="78" customFormat="false" ht="23.85" hidden="false" customHeight="false" outlineLevel="0" collapsed="false">
      <c r="A78" s="2" t="n">
        <v>77</v>
      </c>
      <c r="B78" s="2" t="s">
        <v>102</v>
      </c>
      <c r="C78" s="2" t="s">
        <v>104</v>
      </c>
      <c r="D78" s="2" t="s">
        <v>13</v>
      </c>
      <c r="E78" s="2"/>
      <c r="F78" s="2" t="n">
        <v>77</v>
      </c>
      <c r="G78" s="2" t="n">
        <f aca="false">COUNTIFS(Map!$D:$D,$A78,Map!$F:$F,"Y")</f>
        <v>0</v>
      </c>
      <c r="H78" s="2" t="str">
        <f aca="false">IF(G78&gt;=Settings!$B$3,"High",IF(G78&gt;=Settings!$B$5,"Medium","Low"))</f>
        <v>Low</v>
      </c>
      <c r="I78" s="2" t="n">
        <f aca="false">COUNTIFS(Map!$D:$D,$A78,Map!$G:$G,"Y")</f>
        <v>0</v>
      </c>
      <c r="J78" s="2" t="str">
        <f aca="false">IF(I78&gt;=Settings!$B$4,"High",IF(I78&gt;=Settings!$B$5,"Medium","Low"))</f>
        <v>Low</v>
      </c>
      <c r="K78" s="2" t="n">
        <f aca="false">COUNTIF(Map!$D:$D,$A78)</f>
        <v>0</v>
      </c>
    </row>
    <row r="79" customFormat="false" ht="15" hidden="false" customHeight="false" outlineLevel="0" collapsed="false">
      <c r="A79" s="2" t="n">
        <v>78</v>
      </c>
      <c r="B79" s="2" t="s">
        <v>105</v>
      </c>
      <c r="C79" s="2" t="s">
        <v>106</v>
      </c>
      <c r="D79" s="2" t="s">
        <v>13</v>
      </c>
      <c r="E79" s="2"/>
      <c r="F79" s="2" t="n">
        <v>78</v>
      </c>
      <c r="G79" s="2" t="n">
        <f aca="false">COUNTIFS(Map!$D:$D,$A79,Map!$F:$F,"Y")</f>
        <v>2</v>
      </c>
      <c r="H79" s="2" t="str">
        <f aca="false">IF(G79&gt;=Settings!$B$3,"High",IF(G79&gt;=Settings!$B$5,"Medium","Low"))</f>
        <v>Medium</v>
      </c>
      <c r="I79" s="2" t="n">
        <f aca="false">COUNTIFS(Map!$D:$D,$A79,Map!$G:$G,"Y")</f>
        <v>3</v>
      </c>
      <c r="J79" s="2" t="str">
        <f aca="false">IF(I79&gt;=Settings!$B$4,"High",IF(I79&gt;=Settings!$B$5,"Medium","Low"))</f>
        <v>Medium</v>
      </c>
      <c r="K79" s="2" t="n">
        <f aca="false">COUNTIF(Map!$D:$D,$A79)</f>
        <v>8</v>
      </c>
    </row>
    <row r="80" customFormat="false" ht="15" hidden="false" customHeight="false" outlineLevel="0" collapsed="false">
      <c r="A80" s="2" t="n">
        <v>79</v>
      </c>
      <c r="B80" s="2" t="s">
        <v>105</v>
      </c>
      <c r="C80" s="2" t="s">
        <v>107</v>
      </c>
      <c r="D80" s="2" t="s">
        <v>13</v>
      </c>
      <c r="E80" s="2"/>
      <c r="F80" s="2" t="n">
        <v>79</v>
      </c>
      <c r="G80" s="2" t="n">
        <f aca="false">COUNTIFS(Map!$D:$D,$A80,Map!$F:$F,"Y")</f>
        <v>1</v>
      </c>
      <c r="H80" s="2" t="str">
        <f aca="false">IF(G80&gt;=Settings!$B$3,"High",IF(G80&gt;=Settings!$B$5,"Medium","Low"))</f>
        <v>Medium</v>
      </c>
      <c r="I80" s="2" t="n">
        <f aca="false">COUNTIFS(Map!$D:$D,$A80,Map!$G:$G,"Y")</f>
        <v>1</v>
      </c>
      <c r="J80" s="2" t="str">
        <f aca="false">IF(I80&gt;=Settings!$B$4,"High",IF(I80&gt;=Settings!$B$5,"Medium","Low"))</f>
        <v>Medium</v>
      </c>
      <c r="K80" s="2" t="n">
        <f aca="false">COUNTIF(Map!$D:$D,$A80)</f>
        <v>6</v>
      </c>
    </row>
    <row r="81" customFormat="false" ht="15" hidden="false" customHeight="false" outlineLevel="0" collapsed="false">
      <c r="A81" s="2" t="n">
        <v>80</v>
      </c>
      <c r="B81" s="2" t="s">
        <v>105</v>
      </c>
      <c r="C81" s="2" t="s">
        <v>108</v>
      </c>
      <c r="D81" s="2" t="s">
        <v>13</v>
      </c>
      <c r="E81" s="2"/>
      <c r="F81" s="2" t="n">
        <v>80</v>
      </c>
      <c r="G81" s="2" t="n">
        <f aca="false">COUNTIFS(Map!$D:$D,$A81,Map!$F:$F,"Y")</f>
        <v>1</v>
      </c>
      <c r="H81" s="2" t="str">
        <f aca="false">IF(G81&gt;=Settings!$B$3,"High",IF(G81&gt;=Settings!$B$5,"Medium","Low"))</f>
        <v>Medium</v>
      </c>
      <c r="I81" s="2" t="n">
        <f aca="false">COUNTIFS(Map!$D:$D,$A81,Map!$G:$G,"Y")</f>
        <v>1</v>
      </c>
      <c r="J81" s="2" t="str">
        <f aca="false">IF(I81&gt;=Settings!$B$4,"High",IF(I81&gt;=Settings!$B$5,"Medium","Low"))</f>
        <v>Medium</v>
      </c>
      <c r="K81" s="2" t="n">
        <f aca="false">COUNTIF(Map!$D:$D,$A81)</f>
        <v>1</v>
      </c>
    </row>
    <row r="82" customFormat="false" ht="23.85" hidden="false" customHeight="false" outlineLevel="0" collapsed="false">
      <c r="A82" s="2" t="n">
        <v>81</v>
      </c>
      <c r="B82" s="2" t="s">
        <v>105</v>
      </c>
      <c r="C82" s="2" t="s">
        <v>109</v>
      </c>
      <c r="D82" s="2" t="s">
        <v>13</v>
      </c>
      <c r="E82" s="2"/>
      <c r="F82" s="2" t="n">
        <v>81</v>
      </c>
      <c r="G82" s="2" t="n">
        <f aca="false">COUNTIFS(Map!$D:$D,$A82,Map!$F:$F,"Y")</f>
        <v>0</v>
      </c>
      <c r="H82" s="2" t="str">
        <f aca="false">IF(G82&gt;=Settings!$B$3,"High",IF(G82&gt;=Settings!$B$5,"Medium","Low"))</f>
        <v>Low</v>
      </c>
      <c r="I82" s="2" t="n">
        <f aca="false">COUNTIFS(Map!$D:$D,$A82,Map!$G:$G,"Y")</f>
        <v>0</v>
      </c>
      <c r="J82" s="2" t="str">
        <f aca="false">IF(I82&gt;=Settings!$B$4,"High",IF(I82&gt;=Settings!$B$5,"Medium","Low"))</f>
        <v>Low</v>
      </c>
      <c r="K82" s="2" t="n">
        <f aca="false">COUNTIF(Map!$D:$D,$A82)</f>
        <v>1</v>
      </c>
    </row>
    <row r="83" customFormat="false" ht="15" hidden="false" customHeight="false" outlineLevel="0" collapsed="false">
      <c r="A83" s="2" t="n">
        <v>82</v>
      </c>
      <c r="B83" s="2" t="s">
        <v>105</v>
      </c>
      <c r="C83" s="2" t="s">
        <v>110</v>
      </c>
      <c r="D83" s="2" t="s">
        <v>13</v>
      </c>
      <c r="E83" s="2"/>
      <c r="F83" s="2" t="n">
        <v>82</v>
      </c>
      <c r="G83" s="2" t="n">
        <f aca="false">COUNTIFS(Map!$D:$D,$A83,Map!$F:$F,"Y")</f>
        <v>0</v>
      </c>
      <c r="H83" s="2" t="str">
        <f aca="false">IF(G83&gt;=Settings!$B$3,"High",IF(G83&gt;=Settings!$B$5,"Medium","Low"))</f>
        <v>Low</v>
      </c>
      <c r="I83" s="2" t="n">
        <f aca="false">COUNTIFS(Map!$D:$D,$A83,Map!$G:$G,"Y")</f>
        <v>0</v>
      </c>
      <c r="J83" s="2" t="str">
        <f aca="false">IF(I83&gt;=Settings!$B$4,"High",IF(I83&gt;=Settings!$B$5,"Medium","Low"))</f>
        <v>Low</v>
      </c>
      <c r="K83" s="2" t="n">
        <f aca="false">COUNTIF(Map!$D:$D,$A83)</f>
        <v>0</v>
      </c>
    </row>
    <row r="84" customFormat="false" ht="23.85" hidden="false" customHeight="false" outlineLevel="0" collapsed="false">
      <c r="A84" s="2" t="n">
        <v>83</v>
      </c>
      <c r="B84" s="2" t="s">
        <v>105</v>
      </c>
      <c r="C84" s="2" t="s">
        <v>111</v>
      </c>
      <c r="D84" s="2" t="s">
        <v>13</v>
      </c>
      <c r="E84" s="2"/>
      <c r="F84" s="2" t="n">
        <v>83</v>
      </c>
      <c r="G84" s="2" t="n">
        <f aca="false">COUNTIFS(Map!$D:$D,$A84,Map!$F:$F,"Y")</f>
        <v>0</v>
      </c>
      <c r="H84" s="2" t="str">
        <f aca="false">IF(G84&gt;=Settings!$B$3,"High",IF(G84&gt;=Settings!$B$5,"Medium","Low"))</f>
        <v>Low</v>
      </c>
      <c r="I84" s="2" t="n">
        <f aca="false">COUNTIFS(Map!$D:$D,$A84,Map!$G:$G,"Y")</f>
        <v>0</v>
      </c>
      <c r="J84" s="2" t="str">
        <f aca="false">IF(I84&gt;=Settings!$B$4,"High",IF(I84&gt;=Settings!$B$5,"Medium","Low"))</f>
        <v>Low</v>
      </c>
      <c r="K84" s="2" t="n">
        <f aca="false">COUNTIF(Map!$D:$D,$A84)</f>
        <v>2</v>
      </c>
    </row>
    <row r="85" customFormat="false" ht="15" hidden="false" customHeight="false" outlineLevel="0" collapsed="false">
      <c r="A85" s="2" t="n">
        <v>84</v>
      </c>
      <c r="B85" s="2" t="s">
        <v>105</v>
      </c>
      <c r="C85" s="2" t="s">
        <v>112</v>
      </c>
      <c r="D85" s="2" t="s">
        <v>13</v>
      </c>
      <c r="E85" s="2"/>
      <c r="F85" s="2" t="n">
        <v>84</v>
      </c>
      <c r="G85" s="2" t="n">
        <f aca="false">COUNTIFS(Map!$D:$D,$A85,Map!$F:$F,"Y")</f>
        <v>0</v>
      </c>
      <c r="H85" s="2" t="str">
        <f aca="false">IF(G85&gt;=Settings!$B$3,"High",IF(G85&gt;=Settings!$B$5,"Medium","Low"))</f>
        <v>Low</v>
      </c>
      <c r="I85" s="2" t="n">
        <f aca="false">COUNTIFS(Map!$D:$D,$A85,Map!$G:$G,"Y")</f>
        <v>0</v>
      </c>
      <c r="J85" s="2" t="str">
        <f aca="false">IF(I85&gt;=Settings!$B$4,"High",IF(I85&gt;=Settings!$B$5,"Medium","Low"))</f>
        <v>Low</v>
      </c>
      <c r="K85" s="2" t="n">
        <f aca="false">COUNTIF(Map!$D:$D,$A85)</f>
        <v>0</v>
      </c>
    </row>
    <row r="86" customFormat="false" ht="15" hidden="false" customHeight="false" outlineLevel="0" collapsed="false">
      <c r="A86" s="2" t="n">
        <v>85</v>
      </c>
      <c r="B86" s="2" t="s">
        <v>105</v>
      </c>
      <c r="C86" s="2" t="s">
        <v>113</v>
      </c>
      <c r="D86" s="2" t="s">
        <v>13</v>
      </c>
      <c r="E86" s="2"/>
      <c r="F86" s="2" t="n">
        <v>85</v>
      </c>
      <c r="G86" s="2" t="n">
        <f aca="false">COUNTIFS(Map!$D:$D,$A86,Map!$F:$F,"Y")</f>
        <v>0</v>
      </c>
      <c r="H86" s="2" t="str">
        <f aca="false">IF(G86&gt;=Settings!$B$3,"High",IF(G86&gt;=Settings!$B$5,"Medium","Low"))</f>
        <v>Low</v>
      </c>
      <c r="I86" s="2" t="n">
        <f aca="false">COUNTIFS(Map!$D:$D,$A86,Map!$G:$G,"Y")</f>
        <v>0</v>
      </c>
      <c r="J86" s="2" t="str">
        <f aca="false">IF(I86&gt;=Settings!$B$4,"High",IF(I86&gt;=Settings!$B$5,"Medium","Low"))</f>
        <v>Low</v>
      </c>
      <c r="K86" s="2" t="n">
        <f aca="false">COUNTIF(Map!$D:$D,$A86)</f>
        <v>0</v>
      </c>
    </row>
    <row r="87" customFormat="false" ht="15" hidden="false" customHeight="false" outlineLevel="0" collapsed="false">
      <c r="A87" s="2" t="n">
        <v>86</v>
      </c>
      <c r="B87" s="2" t="s">
        <v>105</v>
      </c>
      <c r="C87" s="2" t="s">
        <v>114</v>
      </c>
      <c r="D87" s="2" t="s">
        <v>13</v>
      </c>
      <c r="E87" s="2"/>
      <c r="F87" s="2" t="n">
        <v>86</v>
      </c>
      <c r="G87" s="2" t="n">
        <f aca="false">COUNTIFS(Map!$D:$D,$A87,Map!$F:$F,"Y")</f>
        <v>0</v>
      </c>
      <c r="H87" s="2" t="str">
        <f aca="false">IF(G87&gt;=Settings!$B$3,"High",IF(G87&gt;=Settings!$B$5,"Medium","Low"))</f>
        <v>Low</v>
      </c>
      <c r="I87" s="2" t="n">
        <f aca="false">COUNTIFS(Map!$D:$D,$A87,Map!$G:$G,"Y")</f>
        <v>0</v>
      </c>
      <c r="J87" s="2" t="str">
        <f aca="false">IF(I87&gt;=Settings!$B$4,"High",IF(I87&gt;=Settings!$B$5,"Medium","Low"))</f>
        <v>Low</v>
      </c>
      <c r="K87" s="2" t="n">
        <f aca="false">COUNTIF(Map!$D:$D,$A87)</f>
        <v>0</v>
      </c>
    </row>
    <row r="88" customFormat="false" ht="15" hidden="false" customHeight="false" outlineLevel="0" collapsed="false">
      <c r="A88" s="2" t="n">
        <v>87</v>
      </c>
      <c r="B88" s="2" t="s">
        <v>105</v>
      </c>
      <c r="C88" s="2" t="s">
        <v>115</v>
      </c>
      <c r="D88" s="2" t="s">
        <v>13</v>
      </c>
      <c r="E88" s="2"/>
      <c r="F88" s="2" t="n">
        <v>87</v>
      </c>
      <c r="G88" s="2" t="n">
        <f aca="false">COUNTIFS(Map!$D:$D,$A88,Map!$F:$F,"Y")</f>
        <v>0</v>
      </c>
      <c r="H88" s="2" t="str">
        <f aca="false">IF(G88&gt;=Settings!$B$3,"High",IF(G88&gt;=Settings!$B$5,"Medium","Low"))</f>
        <v>Low</v>
      </c>
      <c r="I88" s="2" t="n">
        <f aca="false">COUNTIFS(Map!$D:$D,$A88,Map!$G:$G,"Y")</f>
        <v>0</v>
      </c>
      <c r="J88" s="2" t="str">
        <f aca="false">IF(I88&gt;=Settings!$B$4,"High",IF(I88&gt;=Settings!$B$5,"Medium","Low"))</f>
        <v>Low</v>
      </c>
      <c r="K88" s="2" t="n">
        <f aca="false">COUNTIF(Map!$D:$D,$A88)</f>
        <v>0</v>
      </c>
    </row>
    <row r="89" customFormat="false" ht="23.85" hidden="false" customHeight="false" outlineLevel="0" collapsed="false">
      <c r="A89" s="2" t="n">
        <v>88</v>
      </c>
      <c r="B89" s="2" t="s">
        <v>105</v>
      </c>
      <c r="C89" s="2" t="s">
        <v>116</v>
      </c>
      <c r="D89" s="2" t="s">
        <v>13</v>
      </c>
      <c r="E89" s="2"/>
      <c r="F89" s="2" t="n">
        <v>88</v>
      </c>
      <c r="G89" s="2" t="n">
        <f aca="false">COUNTIFS(Map!$D:$D,$A89,Map!$F:$F,"Y")</f>
        <v>0</v>
      </c>
      <c r="H89" s="2" t="str">
        <f aca="false">IF(G89&gt;=Settings!$B$3,"High",IF(G89&gt;=Settings!$B$5,"Medium","Low"))</f>
        <v>Low</v>
      </c>
      <c r="I89" s="2" t="n">
        <f aca="false">COUNTIFS(Map!$D:$D,$A89,Map!$G:$G,"Y")</f>
        <v>0</v>
      </c>
      <c r="J89" s="2" t="str">
        <f aca="false">IF(I89&gt;=Settings!$B$4,"High",IF(I89&gt;=Settings!$B$5,"Medium","Low"))</f>
        <v>Low</v>
      </c>
      <c r="K89" s="2" t="n">
        <f aca="false">COUNTIF(Map!$D:$D,$A89)</f>
        <v>1</v>
      </c>
    </row>
    <row r="90" customFormat="false" ht="15" hidden="false" customHeight="false" outlineLevel="0" collapsed="false">
      <c r="A90" s="2" t="n">
        <v>89</v>
      </c>
      <c r="B90" s="2" t="s">
        <v>117</v>
      </c>
      <c r="C90" s="2" t="s">
        <v>118</v>
      </c>
      <c r="D90" s="2" t="s">
        <v>13</v>
      </c>
      <c r="E90" s="2"/>
      <c r="F90" s="2" t="n">
        <v>89</v>
      </c>
      <c r="G90" s="2" t="n">
        <f aca="false">COUNTIFS(Map!$D:$D,$A90,Map!$F:$F,"Y")</f>
        <v>0</v>
      </c>
      <c r="H90" s="2" t="str">
        <f aca="false">IF(G90&gt;=Settings!$B$3,"High",IF(G90&gt;=Settings!$B$5,"Medium","Low"))</f>
        <v>Low</v>
      </c>
      <c r="I90" s="2" t="n">
        <f aca="false">COUNTIFS(Map!$D:$D,$A90,Map!$G:$G,"Y")</f>
        <v>0</v>
      </c>
      <c r="J90" s="2" t="str">
        <f aca="false">IF(I90&gt;=Settings!$B$4,"High",IF(I90&gt;=Settings!$B$5,"Medium","Low"))</f>
        <v>Low</v>
      </c>
      <c r="K90" s="2" t="n">
        <f aca="false">COUNTIF(Map!$D:$D,$A90)</f>
        <v>0</v>
      </c>
    </row>
    <row r="91" customFormat="false" ht="15" hidden="false" customHeight="false" outlineLevel="0" collapsed="false">
      <c r="A91" s="2" t="n">
        <v>90</v>
      </c>
      <c r="B91" s="2" t="s">
        <v>117</v>
      </c>
      <c r="C91" s="2" t="s">
        <v>119</v>
      </c>
      <c r="D91" s="2" t="s">
        <v>13</v>
      </c>
      <c r="E91" s="2"/>
      <c r="F91" s="2" t="n">
        <v>90</v>
      </c>
      <c r="G91" s="2" t="n">
        <f aca="false">COUNTIFS(Map!$D:$D,$A91,Map!$F:$F,"Y")</f>
        <v>0</v>
      </c>
      <c r="H91" s="2" t="str">
        <f aca="false">IF(G91&gt;=Settings!$B$3,"High",IF(G91&gt;=Settings!$B$5,"Medium","Low"))</f>
        <v>Low</v>
      </c>
      <c r="I91" s="2" t="n">
        <f aca="false">COUNTIFS(Map!$D:$D,$A91,Map!$G:$G,"Y")</f>
        <v>0</v>
      </c>
      <c r="J91" s="2" t="str">
        <f aca="false">IF(I91&gt;=Settings!$B$4,"High",IF(I91&gt;=Settings!$B$5,"Medium","Low"))</f>
        <v>Low</v>
      </c>
      <c r="K91" s="2" t="n">
        <f aca="false">COUNTIF(Map!$D:$D,$A91)</f>
        <v>0</v>
      </c>
    </row>
    <row r="92" customFormat="false" ht="23.85" hidden="false" customHeight="false" outlineLevel="0" collapsed="false">
      <c r="A92" s="2" t="n">
        <v>91</v>
      </c>
      <c r="B92" s="2" t="s">
        <v>120</v>
      </c>
      <c r="C92" s="2" t="s">
        <v>121</v>
      </c>
      <c r="D92" s="2" t="s">
        <v>13</v>
      </c>
      <c r="E92" s="2"/>
      <c r="F92" s="2" t="n">
        <v>91</v>
      </c>
      <c r="G92" s="2" t="n">
        <f aca="false">COUNTIFS(Map!$D:$D,$A92,Map!$F:$F,"Y")</f>
        <v>1</v>
      </c>
      <c r="H92" s="2" t="str">
        <f aca="false">IF(G92&gt;=Settings!$B$3,"High",IF(G92&gt;=Settings!$B$5,"Medium","Low"))</f>
        <v>Medium</v>
      </c>
      <c r="I92" s="2" t="n">
        <f aca="false">COUNTIFS(Map!$D:$D,$A92,Map!$G:$G,"Y")</f>
        <v>1</v>
      </c>
      <c r="J92" s="2" t="str">
        <f aca="false">IF(I92&gt;=Settings!$B$4,"High",IF(I92&gt;=Settings!$B$5,"Medium","Low"))</f>
        <v>Medium</v>
      </c>
      <c r="K92" s="2" t="n">
        <f aca="false">COUNTIF(Map!$D:$D,$A92)</f>
        <v>1</v>
      </c>
    </row>
    <row r="93" customFormat="false" ht="15" hidden="false" customHeight="false" outlineLevel="0" collapsed="false">
      <c r="A93" s="2" t="n">
        <v>92</v>
      </c>
      <c r="B93" s="2" t="s">
        <v>120</v>
      </c>
      <c r="C93" s="2" t="s">
        <v>122</v>
      </c>
      <c r="D93" s="2" t="s">
        <v>13</v>
      </c>
      <c r="E93" s="2"/>
      <c r="F93" s="2" t="n">
        <v>92</v>
      </c>
      <c r="G93" s="2" t="n">
        <f aca="false">COUNTIFS(Map!$D:$D,$A93,Map!$F:$F,"Y")</f>
        <v>0</v>
      </c>
      <c r="H93" s="2" t="str">
        <f aca="false">IF(G93&gt;=Settings!$B$3,"High",IF(G93&gt;=Settings!$B$5,"Medium","Low"))</f>
        <v>Low</v>
      </c>
      <c r="I93" s="2" t="n">
        <f aca="false">COUNTIFS(Map!$D:$D,$A93,Map!$G:$G,"Y")</f>
        <v>0</v>
      </c>
      <c r="J93" s="2" t="str">
        <f aca="false">IF(I93&gt;=Settings!$B$4,"High",IF(I93&gt;=Settings!$B$5,"Medium","Low"))</f>
        <v>Low</v>
      </c>
      <c r="K93" s="2" t="n">
        <f aca="false">COUNTIF(Map!$D:$D,$A93)</f>
        <v>3</v>
      </c>
    </row>
    <row r="94" customFormat="false" ht="15" hidden="false" customHeight="false" outlineLevel="0" collapsed="false">
      <c r="A94" s="2" t="n">
        <v>93</v>
      </c>
      <c r="B94" s="2" t="s">
        <v>120</v>
      </c>
      <c r="C94" s="2" t="s">
        <v>123</v>
      </c>
      <c r="D94" s="2" t="s">
        <v>13</v>
      </c>
      <c r="E94" s="2"/>
      <c r="F94" s="2" t="n">
        <v>93</v>
      </c>
      <c r="G94" s="2" t="n">
        <f aca="false">COUNTIFS(Map!$D:$D,$A94,Map!$F:$F,"Y")</f>
        <v>2</v>
      </c>
      <c r="H94" s="2" t="str">
        <f aca="false">IF(G94&gt;=Settings!$B$3,"High",IF(G94&gt;=Settings!$B$5,"Medium","Low"))</f>
        <v>Medium</v>
      </c>
      <c r="I94" s="2" t="n">
        <f aca="false">COUNTIFS(Map!$D:$D,$A94,Map!$G:$G,"Y")</f>
        <v>2</v>
      </c>
      <c r="J94" s="2" t="str">
        <f aca="false">IF(I94&gt;=Settings!$B$4,"High",IF(I94&gt;=Settings!$B$5,"Medium","Low"))</f>
        <v>Medium</v>
      </c>
      <c r="K94" s="2" t="n">
        <f aca="false">COUNTIF(Map!$D:$D,$A94)</f>
        <v>3</v>
      </c>
    </row>
    <row r="95" customFormat="false" ht="23.85" hidden="false" customHeight="false" outlineLevel="0" collapsed="false">
      <c r="A95" s="2" t="n">
        <v>94</v>
      </c>
      <c r="B95" s="2" t="s">
        <v>120</v>
      </c>
      <c r="C95" s="2" t="s">
        <v>124</v>
      </c>
      <c r="D95" s="2" t="s">
        <v>13</v>
      </c>
      <c r="E95" s="2"/>
      <c r="F95" s="2" t="n">
        <v>94</v>
      </c>
      <c r="G95" s="2" t="n">
        <f aca="false">COUNTIFS(Map!$D:$D,$A95,Map!$F:$F,"Y")</f>
        <v>0</v>
      </c>
      <c r="H95" s="2" t="str">
        <f aca="false">IF(G95&gt;=Settings!$B$3,"High",IF(G95&gt;=Settings!$B$5,"Medium","Low"))</f>
        <v>Low</v>
      </c>
      <c r="I95" s="2" t="n">
        <f aca="false">COUNTIFS(Map!$D:$D,$A95,Map!$G:$G,"Y")</f>
        <v>0</v>
      </c>
      <c r="J95" s="2" t="str">
        <f aca="false">IF(I95&gt;=Settings!$B$4,"High",IF(I95&gt;=Settings!$B$5,"Medium","Low"))</f>
        <v>Low</v>
      </c>
      <c r="K95" s="2" t="n">
        <f aca="false">COUNTIF(Map!$D:$D,$A95)</f>
        <v>1</v>
      </c>
    </row>
    <row r="96" customFormat="false" ht="23.85" hidden="false" customHeight="false" outlineLevel="0" collapsed="false">
      <c r="A96" s="2" t="n">
        <v>95</v>
      </c>
      <c r="B96" s="2" t="s">
        <v>120</v>
      </c>
      <c r="C96" s="2" t="s">
        <v>125</v>
      </c>
      <c r="D96" s="2" t="s">
        <v>13</v>
      </c>
      <c r="E96" s="2"/>
      <c r="F96" s="2" t="n">
        <v>95</v>
      </c>
      <c r="G96" s="2" t="n">
        <f aca="false">COUNTIFS(Map!$D:$D,$A96,Map!$F:$F,"Y")</f>
        <v>1</v>
      </c>
      <c r="H96" s="2" t="str">
        <f aca="false">IF(G96&gt;=Settings!$B$3,"High",IF(G96&gt;=Settings!$B$5,"Medium","Low"))</f>
        <v>Medium</v>
      </c>
      <c r="I96" s="2" t="n">
        <f aca="false">COUNTIFS(Map!$D:$D,$A96,Map!$G:$G,"Y")</f>
        <v>1</v>
      </c>
      <c r="J96" s="2" t="str">
        <f aca="false">IF(I96&gt;=Settings!$B$4,"High",IF(I96&gt;=Settings!$B$5,"Medium","Low"))</f>
        <v>Medium</v>
      </c>
      <c r="K96" s="2" t="n">
        <f aca="false">COUNTIF(Map!$D:$D,$A96)</f>
        <v>1</v>
      </c>
    </row>
    <row r="97" customFormat="false" ht="23.85" hidden="false" customHeight="false" outlineLevel="0" collapsed="false">
      <c r="A97" s="2" t="n">
        <v>96</v>
      </c>
      <c r="B97" s="2" t="s">
        <v>120</v>
      </c>
      <c r="C97" s="2" t="s">
        <v>126</v>
      </c>
      <c r="D97" s="2" t="s">
        <v>13</v>
      </c>
      <c r="E97" s="2"/>
      <c r="F97" s="2" t="n">
        <v>96</v>
      </c>
      <c r="G97" s="2" t="n">
        <f aca="false">COUNTIFS(Map!$D:$D,$A97,Map!$F:$F,"Y")</f>
        <v>0</v>
      </c>
      <c r="H97" s="2" t="str">
        <f aca="false">IF(G97&gt;=Settings!$B$3,"High",IF(G97&gt;=Settings!$B$5,"Medium","Low"))</f>
        <v>Low</v>
      </c>
      <c r="I97" s="2" t="n">
        <f aca="false">COUNTIFS(Map!$D:$D,$A97,Map!$G:$G,"Y")</f>
        <v>0</v>
      </c>
      <c r="J97" s="2" t="str">
        <f aca="false">IF(I97&gt;=Settings!$B$4,"High",IF(I97&gt;=Settings!$B$5,"Medium","Low"))</f>
        <v>Low</v>
      </c>
      <c r="K97" s="2" t="n">
        <f aca="false">COUNTIF(Map!$D:$D,$A97)</f>
        <v>2</v>
      </c>
    </row>
    <row r="98" customFormat="false" ht="15" hidden="false" customHeight="false" outlineLevel="0" collapsed="false">
      <c r="A98" s="2" t="n">
        <v>97</v>
      </c>
      <c r="B98" s="2" t="s">
        <v>120</v>
      </c>
      <c r="C98" s="2" t="s">
        <v>127</v>
      </c>
      <c r="D98" s="2" t="s">
        <v>13</v>
      </c>
      <c r="E98" s="2"/>
      <c r="F98" s="2" t="n">
        <v>97</v>
      </c>
      <c r="G98" s="2" t="n">
        <f aca="false">COUNTIFS(Map!$D:$D,$A98,Map!$F:$F,"Y")</f>
        <v>0</v>
      </c>
      <c r="H98" s="2" t="str">
        <f aca="false">IF(G98&gt;=Settings!$B$3,"High",IF(G98&gt;=Settings!$B$5,"Medium","Low"))</f>
        <v>Low</v>
      </c>
      <c r="I98" s="2" t="n">
        <f aca="false">COUNTIFS(Map!$D:$D,$A98,Map!$G:$G,"Y")</f>
        <v>0</v>
      </c>
      <c r="J98" s="2" t="str">
        <f aca="false">IF(I98&gt;=Settings!$B$4,"High",IF(I98&gt;=Settings!$B$5,"Medium","Low"))</f>
        <v>Low</v>
      </c>
      <c r="K98" s="2" t="n">
        <f aca="false">COUNTIF(Map!$D:$D,$A98)</f>
        <v>0</v>
      </c>
    </row>
    <row r="99" customFormat="false" ht="23.85" hidden="false" customHeight="false" outlineLevel="0" collapsed="false">
      <c r="A99" s="2" t="n">
        <v>98</v>
      </c>
      <c r="B99" s="2" t="s">
        <v>120</v>
      </c>
      <c r="C99" s="2" t="s">
        <v>128</v>
      </c>
      <c r="D99" s="2" t="s">
        <v>13</v>
      </c>
      <c r="E99" s="2"/>
      <c r="F99" s="2" t="n">
        <v>98</v>
      </c>
      <c r="G99" s="2" t="n">
        <f aca="false">COUNTIFS(Map!$D:$D,$A99,Map!$F:$F,"Y")</f>
        <v>0</v>
      </c>
      <c r="H99" s="2" t="str">
        <f aca="false">IF(G99&gt;=Settings!$B$3,"High",IF(G99&gt;=Settings!$B$5,"Medium","Low"))</f>
        <v>Low</v>
      </c>
      <c r="I99" s="2" t="n">
        <f aca="false">COUNTIFS(Map!$D:$D,$A99,Map!$G:$G,"Y")</f>
        <v>0</v>
      </c>
      <c r="J99" s="2" t="str">
        <f aca="false">IF(I99&gt;=Settings!$B$4,"High",IF(I99&gt;=Settings!$B$5,"Medium","Low"))</f>
        <v>Low</v>
      </c>
      <c r="K99" s="2" t="n">
        <f aca="false">COUNTIF(Map!$D:$D,$A99)</f>
        <v>1</v>
      </c>
    </row>
    <row r="100" customFormat="false" ht="15" hidden="false" customHeight="false" outlineLevel="0" collapsed="false">
      <c r="A100" s="2" t="n">
        <v>99</v>
      </c>
      <c r="B100" s="2" t="s">
        <v>120</v>
      </c>
      <c r="C100" s="2" t="s">
        <v>129</v>
      </c>
      <c r="D100" s="2" t="s">
        <v>13</v>
      </c>
      <c r="E100" s="2"/>
      <c r="F100" s="2" t="n">
        <v>99</v>
      </c>
      <c r="G100" s="2" t="n">
        <f aca="false">COUNTIFS(Map!$D:$D,$A100,Map!$F:$F,"Y")</f>
        <v>0</v>
      </c>
      <c r="H100" s="2" t="str">
        <f aca="false">IF(G100&gt;=Settings!$B$3,"High",IF(G100&gt;=Settings!$B$5,"Medium","Low"))</f>
        <v>Low</v>
      </c>
      <c r="I100" s="2" t="n">
        <f aca="false">COUNTIFS(Map!$D:$D,$A100,Map!$G:$G,"Y")</f>
        <v>0</v>
      </c>
      <c r="J100" s="2" t="str">
        <f aca="false">IF(I100&gt;=Settings!$B$4,"High",IF(I100&gt;=Settings!$B$5,"Medium","Low"))</f>
        <v>Low</v>
      </c>
      <c r="K100" s="2" t="n">
        <f aca="false">COUNTIF(Map!$D:$D,$A100)</f>
        <v>1</v>
      </c>
    </row>
  </sheetData>
  <autoFilter ref="A1:K100"/>
  <conditionalFormatting sqref="H2:H100">
    <cfRule type="cellIs" priority="2" operator="equal" aboveAverage="0" equalAverage="0" bottom="0" percent="0" rank="0" text="" dxfId="6">
      <formula>"High"</formula>
    </cfRule>
    <cfRule type="cellIs" priority="3" operator="equal" aboveAverage="0" equalAverage="0" bottom="0" percent="0" rank="0" text="" dxfId="7">
      <formula>"Medium"</formula>
    </cfRule>
    <cfRule type="cellIs" priority="4" operator="equal" aboveAverage="0" equalAverage="0" bottom="0" percent="0" rank="0" text="" dxfId="8">
      <formula>"Low"</formula>
    </cfRule>
  </conditionalFormatting>
  <conditionalFormatting sqref="J2:J100">
    <cfRule type="cellIs" priority="5" operator="equal" aboveAverage="0" equalAverage="0" bottom="0" percent="0" rank="0" text="" dxfId="6">
      <formula>"High"</formula>
    </cfRule>
    <cfRule type="cellIs" priority="6" operator="equal" aboveAverage="0" equalAverage="0" bottom="0" percent="0" rank="0" text="" dxfId="7">
      <formula>"Medium"</formula>
    </cfRule>
    <cfRule type="cellIs" priority="7" operator="equal" aboveAverage="0" equalAverage="0" bottom="0" percent="0" rank="0" text="" dxfId="8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8" style="0" width="100"/>
  </cols>
  <sheetData>
    <row r="1" customFormat="false" ht="23.85" hidden="false" customHeight="false" outlineLevel="0" collapsed="false">
      <c r="A1" s="1" t="s">
        <v>130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</row>
    <row r="2" customFormat="false" ht="15" hidden="false" customHeight="false" outlineLevel="0" collapsed="false">
      <c r="A2" s="3" t="s">
        <v>138</v>
      </c>
      <c r="B2" s="3" t="n">
        <v>1</v>
      </c>
      <c r="C2" s="3" t="s">
        <v>139</v>
      </c>
      <c r="D2" s="3" t="n">
        <v>21</v>
      </c>
      <c r="E2" s="3" t="s">
        <v>140</v>
      </c>
      <c r="F2" s="3" t="s">
        <v>141</v>
      </c>
      <c r="G2" s="3" t="s">
        <v>141</v>
      </c>
      <c r="H2" s="3" t="s">
        <v>142</v>
      </c>
    </row>
    <row r="3" customFormat="false" ht="15" hidden="false" customHeight="false" outlineLevel="0" collapsed="false">
      <c r="A3" s="3" t="s">
        <v>138</v>
      </c>
      <c r="B3" s="3" t="n">
        <v>2</v>
      </c>
      <c r="C3" s="3" t="s">
        <v>139</v>
      </c>
      <c r="D3" s="3" t="n">
        <v>17</v>
      </c>
      <c r="E3" s="3" t="s">
        <v>140</v>
      </c>
      <c r="F3" s="3" t="s">
        <v>141</v>
      </c>
      <c r="G3" s="3" t="s">
        <v>141</v>
      </c>
      <c r="H3" s="3" t="s">
        <v>143</v>
      </c>
    </row>
    <row r="4" customFormat="false" ht="15" hidden="false" customHeight="false" outlineLevel="0" collapsed="false">
      <c r="A4" s="3" t="s">
        <v>138</v>
      </c>
      <c r="B4" s="3" t="n">
        <v>3</v>
      </c>
      <c r="C4" s="3" t="s">
        <v>139</v>
      </c>
      <c r="D4" s="3" t="n">
        <v>25</v>
      </c>
      <c r="E4" s="3" t="s">
        <v>140</v>
      </c>
      <c r="F4" s="3" t="s">
        <v>141</v>
      </c>
      <c r="G4" s="3" t="s">
        <v>141</v>
      </c>
      <c r="H4" s="3" t="s">
        <v>144</v>
      </c>
    </row>
    <row r="5" customFormat="false" ht="15" hidden="false" customHeight="false" outlineLevel="0" collapsed="false">
      <c r="A5" s="3" t="s">
        <v>138</v>
      </c>
      <c r="B5" s="3" t="n">
        <v>3</v>
      </c>
      <c r="C5" s="3" t="s">
        <v>139</v>
      </c>
      <c r="D5" s="3" t="n">
        <v>37</v>
      </c>
      <c r="E5" s="3" t="s">
        <v>145</v>
      </c>
      <c r="F5" s="3" t="s">
        <v>141</v>
      </c>
      <c r="G5" s="3" t="s">
        <v>141</v>
      </c>
      <c r="H5" s="3" t="s">
        <v>144</v>
      </c>
    </row>
    <row r="6" customFormat="false" ht="15" hidden="false" customHeight="false" outlineLevel="0" collapsed="false">
      <c r="A6" s="3" t="s">
        <v>138</v>
      </c>
      <c r="B6" s="3" t="n">
        <v>4</v>
      </c>
      <c r="C6" s="3" t="s">
        <v>139</v>
      </c>
      <c r="D6" s="3" t="n">
        <v>25</v>
      </c>
      <c r="E6" s="3" t="s">
        <v>140</v>
      </c>
      <c r="F6" s="3" t="s">
        <v>141</v>
      </c>
      <c r="G6" s="3" t="s">
        <v>141</v>
      </c>
      <c r="H6" s="3" t="s">
        <v>146</v>
      </c>
    </row>
    <row r="7" customFormat="false" ht="15" hidden="false" customHeight="false" outlineLevel="0" collapsed="false">
      <c r="A7" s="3" t="s">
        <v>138</v>
      </c>
      <c r="B7" s="3" t="n">
        <v>5</v>
      </c>
      <c r="C7" s="3" t="s">
        <v>139</v>
      </c>
      <c r="D7" s="3" t="n">
        <v>25</v>
      </c>
      <c r="E7" s="3" t="s">
        <v>140</v>
      </c>
      <c r="F7" s="3" t="s">
        <v>141</v>
      </c>
      <c r="G7" s="3" t="s">
        <v>141</v>
      </c>
      <c r="H7" s="3" t="s">
        <v>147</v>
      </c>
    </row>
    <row r="8" customFormat="false" ht="15" hidden="false" customHeight="false" outlineLevel="0" collapsed="false">
      <c r="A8" s="3" t="s">
        <v>138</v>
      </c>
      <c r="B8" s="3" t="n">
        <v>6</v>
      </c>
      <c r="C8" s="3" t="s">
        <v>139</v>
      </c>
      <c r="D8" s="3" t="n">
        <v>26</v>
      </c>
      <c r="E8" s="3" t="s">
        <v>140</v>
      </c>
      <c r="F8" s="3" t="s">
        <v>141</v>
      </c>
      <c r="G8" s="3" t="s">
        <v>141</v>
      </c>
      <c r="H8" s="3" t="s">
        <v>148</v>
      </c>
    </row>
    <row r="9" customFormat="false" ht="15" hidden="false" customHeight="false" outlineLevel="0" collapsed="false">
      <c r="A9" s="3" t="s">
        <v>138</v>
      </c>
      <c r="B9" s="3" t="n">
        <v>6</v>
      </c>
      <c r="C9" s="3" t="s">
        <v>139</v>
      </c>
      <c r="D9" s="3" t="n">
        <v>25</v>
      </c>
      <c r="E9" s="3" t="s">
        <v>145</v>
      </c>
      <c r="F9" s="3" t="s">
        <v>141</v>
      </c>
      <c r="G9" s="3" t="s">
        <v>141</v>
      </c>
      <c r="H9" s="3" t="s">
        <v>148</v>
      </c>
    </row>
    <row r="10" customFormat="false" ht="15" hidden="false" customHeight="false" outlineLevel="0" collapsed="false">
      <c r="A10" s="3" t="s">
        <v>138</v>
      </c>
      <c r="B10" s="3" t="n">
        <v>17</v>
      </c>
      <c r="C10" s="3" t="s">
        <v>139</v>
      </c>
      <c r="D10" s="3" t="n">
        <v>49</v>
      </c>
      <c r="E10" s="3" t="s">
        <v>140</v>
      </c>
      <c r="F10" s="3" t="s">
        <v>141</v>
      </c>
      <c r="G10" s="3" t="s">
        <v>141</v>
      </c>
      <c r="H10" s="3" t="s">
        <v>149</v>
      </c>
    </row>
    <row r="11" customFormat="false" ht="15" hidden="false" customHeight="false" outlineLevel="0" collapsed="false">
      <c r="A11" s="3" t="s">
        <v>138</v>
      </c>
      <c r="B11" s="3" t="n">
        <v>17</v>
      </c>
      <c r="C11" s="3" t="s">
        <v>139</v>
      </c>
      <c r="D11" s="3" t="n">
        <v>25</v>
      </c>
      <c r="E11" s="3" t="s">
        <v>145</v>
      </c>
      <c r="F11" s="3" t="s">
        <v>141</v>
      </c>
      <c r="G11" s="3" t="s">
        <v>141</v>
      </c>
      <c r="H11" s="3" t="s">
        <v>149</v>
      </c>
    </row>
    <row r="12" customFormat="false" ht="15" hidden="false" customHeight="false" outlineLevel="0" collapsed="false">
      <c r="A12" s="3" t="s">
        <v>138</v>
      </c>
      <c r="B12" s="3" t="n">
        <v>17</v>
      </c>
      <c r="C12" s="3" t="s">
        <v>139</v>
      </c>
      <c r="D12" s="3" t="n">
        <v>92</v>
      </c>
      <c r="E12" s="3" t="s">
        <v>145</v>
      </c>
      <c r="F12" s="3" t="s">
        <v>141</v>
      </c>
      <c r="G12" s="3" t="s">
        <v>141</v>
      </c>
      <c r="H12" s="3" t="s">
        <v>149</v>
      </c>
    </row>
    <row r="13" customFormat="false" ht="15" hidden="false" customHeight="false" outlineLevel="0" collapsed="false">
      <c r="A13" s="3" t="s">
        <v>138</v>
      </c>
      <c r="B13" s="3" t="n">
        <v>18</v>
      </c>
      <c r="C13" s="3" t="s">
        <v>139</v>
      </c>
      <c r="D13" s="3" t="n">
        <v>61</v>
      </c>
      <c r="E13" s="3" t="s">
        <v>140</v>
      </c>
      <c r="F13" s="3" t="s">
        <v>141</v>
      </c>
      <c r="G13" s="3" t="s">
        <v>141</v>
      </c>
      <c r="H13" s="3" t="s">
        <v>150</v>
      </c>
    </row>
    <row r="14" customFormat="false" ht="15" hidden="false" customHeight="false" outlineLevel="0" collapsed="false">
      <c r="A14" s="3" t="s">
        <v>138</v>
      </c>
      <c r="B14" s="3" t="n">
        <v>18</v>
      </c>
      <c r="C14" s="3" t="s">
        <v>139</v>
      </c>
      <c r="D14" s="3" t="n">
        <v>54</v>
      </c>
      <c r="E14" s="3" t="s">
        <v>145</v>
      </c>
      <c r="F14" s="3" t="s">
        <v>141</v>
      </c>
      <c r="G14" s="3" t="s">
        <v>141</v>
      </c>
      <c r="H14" s="3" t="s">
        <v>150</v>
      </c>
    </row>
    <row r="15" customFormat="false" ht="15" hidden="false" customHeight="false" outlineLevel="0" collapsed="false">
      <c r="A15" s="3" t="s">
        <v>138</v>
      </c>
      <c r="B15" s="3" t="n">
        <v>19</v>
      </c>
      <c r="C15" s="3" t="s">
        <v>139</v>
      </c>
      <c r="D15" s="3" t="n">
        <v>61</v>
      </c>
      <c r="E15" s="3" t="s">
        <v>140</v>
      </c>
      <c r="F15" s="3" t="s">
        <v>141</v>
      </c>
      <c r="G15" s="3" t="s">
        <v>141</v>
      </c>
      <c r="H15" s="3" t="s">
        <v>151</v>
      </c>
    </row>
    <row r="16" customFormat="false" ht="15" hidden="false" customHeight="false" outlineLevel="0" collapsed="false">
      <c r="A16" s="3" t="s">
        <v>138</v>
      </c>
      <c r="B16" s="3" t="n">
        <v>19</v>
      </c>
      <c r="C16" s="3" t="s">
        <v>139</v>
      </c>
      <c r="D16" s="3" t="n">
        <v>26</v>
      </c>
      <c r="E16" s="3" t="s">
        <v>145</v>
      </c>
      <c r="F16" s="3" t="s">
        <v>141</v>
      </c>
      <c r="G16" s="3" t="s">
        <v>141</v>
      </c>
      <c r="H16" s="3" t="s">
        <v>151</v>
      </c>
    </row>
    <row r="17" customFormat="false" ht="15" hidden="false" customHeight="false" outlineLevel="0" collapsed="false">
      <c r="A17" s="3" t="s">
        <v>138</v>
      </c>
      <c r="B17" s="3" t="n">
        <v>20</v>
      </c>
      <c r="C17" s="3" t="s">
        <v>139</v>
      </c>
      <c r="D17" s="3" t="n">
        <v>49</v>
      </c>
      <c r="E17" s="3" t="s">
        <v>140</v>
      </c>
      <c r="F17" s="3" t="s">
        <v>141</v>
      </c>
      <c r="G17" s="3" t="s">
        <v>141</v>
      </c>
      <c r="H17" s="3" t="s">
        <v>152</v>
      </c>
    </row>
    <row r="18" customFormat="false" ht="15" hidden="false" customHeight="false" outlineLevel="0" collapsed="false">
      <c r="A18" s="3" t="s">
        <v>138</v>
      </c>
      <c r="B18" s="3" t="n">
        <v>20</v>
      </c>
      <c r="C18" s="3" t="s">
        <v>139</v>
      </c>
      <c r="D18" s="3" t="n">
        <v>28</v>
      </c>
      <c r="E18" s="3" t="s">
        <v>145</v>
      </c>
      <c r="F18" s="3" t="s">
        <v>141</v>
      </c>
      <c r="G18" s="3" t="s">
        <v>141</v>
      </c>
      <c r="H18" s="3" t="s">
        <v>152</v>
      </c>
    </row>
    <row r="19" customFormat="false" ht="15" hidden="false" customHeight="false" outlineLevel="0" collapsed="false">
      <c r="A19" s="3" t="s">
        <v>138</v>
      </c>
      <c r="B19" s="3" t="n">
        <v>21</v>
      </c>
      <c r="C19" s="3" t="s">
        <v>139</v>
      </c>
      <c r="D19" s="3" t="n">
        <v>61</v>
      </c>
      <c r="E19" s="3" t="s">
        <v>140</v>
      </c>
      <c r="F19" s="3" t="s">
        <v>141</v>
      </c>
      <c r="G19" s="3" t="s">
        <v>141</v>
      </c>
      <c r="H19" s="3" t="s">
        <v>153</v>
      </c>
    </row>
    <row r="20" customFormat="false" ht="15" hidden="false" customHeight="false" outlineLevel="0" collapsed="false">
      <c r="A20" s="3" t="s">
        <v>138</v>
      </c>
      <c r="B20" s="3" t="n">
        <v>22</v>
      </c>
      <c r="C20" s="3" t="s">
        <v>139</v>
      </c>
      <c r="D20" s="3" t="n">
        <v>96</v>
      </c>
      <c r="E20" s="3" t="s">
        <v>140</v>
      </c>
      <c r="F20" s="3" t="s">
        <v>141</v>
      </c>
      <c r="G20" s="3" t="s">
        <v>141</v>
      </c>
      <c r="H20" s="3" t="s">
        <v>154</v>
      </c>
    </row>
    <row r="21" customFormat="false" ht="15" hidden="false" customHeight="false" outlineLevel="0" collapsed="false">
      <c r="A21" s="3" t="s">
        <v>138</v>
      </c>
      <c r="B21" s="3" t="n">
        <v>22</v>
      </c>
      <c r="C21" s="3" t="s">
        <v>139</v>
      </c>
      <c r="D21" s="3" t="n">
        <v>49</v>
      </c>
      <c r="E21" s="3" t="s">
        <v>145</v>
      </c>
      <c r="F21" s="3" t="s">
        <v>141</v>
      </c>
      <c r="G21" s="3" t="s">
        <v>141</v>
      </c>
      <c r="H21" s="3" t="s">
        <v>154</v>
      </c>
    </row>
    <row r="22" customFormat="false" ht="15" hidden="false" customHeight="false" outlineLevel="0" collapsed="false">
      <c r="A22" s="3" t="s">
        <v>138</v>
      </c>
      <c r="B22" s="3" t="n">
        <v>22</v>
      </c>
      <c r="C22" s="3" t="s">
        <v>139</v>
      </c>
      <c r="D22" s="3" t="n">
        <v>54</v>
      </c>
      <c r="E22" s="3" t="s">
        <v>145</v>
      </c>
      <c r="F22" s="3" t="s">
        <v>141</v>
      </c>
      <c r="G22" s="3" t="s">
        <v>141</v>
      </c>
      <c r="H22" s="3" t="s">
        <v>154</v>
      </c>
    </row>
    <row r="23" customFormat="false" ht="15" hidden="false" customHeight="false" outlineLevel="0" collapsed="false">
      <c r="A23" s="3" t="s">
        <v>138</v>
      </c>
      <c r="B23" s="3" t="n">
        <v>23</v>
      </c>
      <c r="C23" s="3" t="s">
        <v>139</v>
      </c>
      <c r="D23" s="3" t="n">
        <v>69</v>
      </c>
      <c r="E23" s="3" t="s">
        <v>140</v>
      </c>
      <c r="F23" s="3" t="s">
        <v>141</v>
      </c>
      <c r="G23" s="3" t="s">
        <v>141</v>
      </c>
      <c r="H23" s="3" t="s">
        <v>155</v>
      </c>
    </row>
    <row r="24" customFormat="false" ht="15" hidden="false" customHeight="false" outlineLevel="0" collapsed="false">
      <c r="A24" s="3" t="s">
        <v>138</v>
      </c>
      <c r="B24" s="3" t="n">
        <v>23</v>
      </c>
      <c r="C24" s="3" t="s">
        <v>139</v>
      </c>
      <c r="D24" s="3" t="n">
        <v>54</v>
      </c>
      <c r="E24" s="3" t="s">
        <v>145</v>
      </c>
      <c r="F24" s="3" t="s">
        <v>141</v>
      </c>
      <c r="G24" s="3" t="s">
        <v>141</v>
      </c>
      <c r="H24" s="3" t="s">
        <v>155</v>
      </c>
    </row>
    <row r="25" customFormat="false" ht="15" hidden="false" customHeight="false" outlineLevel="0" collapsed="false">
      <c r="A25" s="3" t="s">
        <v>138</v>
      </c>
      <c r="B25" s="3" t="n">
        <v>24</v>
      </c>
      <c r="C25" s="3" t="s">
        <v>139</v>
      </c>
      <c r="D25" s="3" t="n">
        <v>65</v>
      </c>
      <c r="E25" s="3" t="s">
        <v>140</v>
      </c>
      <c r="F25" s="3" t="s">
        <v>141</v>
      </c>
      <c r="G25" s="3" t="s">
        <v>141</v>
      </c>
      <c r="H25" s="3" t="s">
        <v>156</v>
      </c>
    </row>
    <row r="26" customFormat="false" ht="15" hidden="false" customHeight="false" outlineLevel="0" collapsed="false">
      <c r="A26" s="3" t="s">
        <v>138</v>
      </c>
      <c r="B26" s="3" t="n">
        <v>25</v>
      </c>
      <c r="C26" s="3" t="s">
        <v>139</v>
      </c>
      <c r="D26" s="3" t="n">
        <v>47</v>
      </c>
      <c r="E26" s="3" t="s">
        <v>140</v>
      </c>
      <c r="F26" s="3" t="s">
        <v>141</v>
      </c>
      <c r="G26" s="3" t="s">
        <v>141</v>
      </c>
      <c r="H26" s="3" t="s">
        <v>157</v>
      </c>
    </row>
    <row r="27" customFormat="false" ht="15" hidden="false" customHeight="false" outlineLevel="0" collapsed="false">
      <c r="A27" s="3" t="s">
        <v>138</v>
      </c>
      <c r="B27" s="3" t="n">
        <v>25</v>
      </c>
      <c r="C27" s="3" t="s">
        <v>139</v>
      </c>
      <c r="D27" s="3" t="n">
        <v>74</v>
      </c>
      <c r="E27" s="3" t="s">
        <v>145</v>
      </c>
      <c r="F27" s="3" t="s">
        <v>141</v>
      </c>
      <c r="G27" s="3" t="s">
        <v>141</v>
      </c>
      <c r="H27" s="3" t="s">
        <v>157</v>
      </c>
    </row>
    <row r="28" customFormat="false" ht="15" hidden="false" customHeight="false" outlineLevel="0" collapsed="false">
      <c r="A28" s="3" t="s">
        <v>138</v>
      </c>
      <c r="B28" s="3" t="n">
        <v>26</v>
      </c>
      <c r="C28" s="3" t="s">
        <v>139</v>
      </c>
      <c r="D28" s="3" t="n">
        <v>47</v>
      </c>
      <c r="E28" s="3" t="s">
        <v>140</v>
      </c>
      <c r="F28" s="3" t="s">
        <v>141</v>
      </c>
      <c r="G28" s="3" t="s">
        <v>141</v>
      </c>
      <c r="H28" s="3" t="s">
        <v>158</v>
      </c>
    </row>
    <row r="29" customFormat="false" ht="15" hidden="false" customHeight="false" outlineLevel="0" collapsed="false">
      <c r="A29" s="3" t="s">
        <v>138</v>
      </c>
      <c r="B29" s="3" t="n">
        <v>26</v>
      </c>
      <c r="C29" s="3" t="s">
        <v>139</v>
      </c>
      <c r="D29" s="3" t="n">
        <v>53</v>
      </c>
      <c r="E29" s="3" t="s">
        <v>145</v>
      </c>
      <c r="F29" s="3" t="s">
        <v>141</v>
      </c>
      <c r="G29" s="3" t="s">
        <v>141</v>
      </c>
      <c r="H29" s="3" t="s">
        <v>158</v>
      </c>
    </row>
    <row r="30" customFormat="false" ht="15" hidden="false" customHeight="false" outlineLevel="0" collapsed="false">
      <c r="A30" s="3" t="s">
        <v>138</v>
      </c>
      <c r="B30" s="3" t="n">
        <v>32</v>
      </c>
      <c r="C30" s="3" t="s">
        <v>139</v>
      </c>
      <c r="D30" s="3" t="n">
        <v>66</v>
      </c>
      <c r="E30" s="3" t="s">
        <v>140</v>
      </c>
      <c r="F30" s="3" t="s">
        <v>141</v>
      </c>
      <c r="G30" s="3" t="s">
        <v>141</v>
      </c>
      <c r="H30" s="3" t="s">
        <v>159</v>
      </c>
    </row>
    <row r="31" customFormat="false" ht="15" hidden="false" customHeight="false" outlineLevel="0" collapsed="false">
      <c r="A31" s="3" t="s">
        <v>138</v>
      </c>
      <c r="B31" s="3" t="n">
        <v>32</v>
      </c>
      <c r="C31" s="3" t="s">
        <v>139</v>
      </c>
      <c r="D31" s="3" t="n">
        <v>73</v>
      </c>
      <c r="E31" s="3" t="s">
        <v>145</v>
      </c>
      <c r="F31" s="3" t="s">
        <v>141</v>
      </c>
      <c r="G31" s="3" t="s">
        <v>141</v>
      </c>
      <c r="H31" s="3" t="s">
        <v>159</v>
      </c>
    </row>
    <row r="32" customFormat="false" ht="15" hidden="false" customHeight="false" outlineLevel="0" collapsed="false">
      <c r="A32" s="3" t="s">
        <v>138</v>
      </c>
      <c r="B32" s="3" t="n">
        <v>33</v>
      </c>
      <c r="C32" s="3" t="s">
        <v>139</v>
      </c>
      <c r="D32" s="3" t="n">
        <v>21</v>
      </c>
      <c r="E32" s="3" t="s">
        <v>140</v>
      </c>
      <c r="F32" s="3" t="s">
        <v>141</v>
      </c>
      <c r="G32" s="3" t="s">
        <v>141</v>
      </c>
      <c r="H32" s="3" t="s">
        <v>160</v>
      </c>
    </row>
    <row r="33" customFormat="false" ht="15" hidden="false" customHeight="false" outlineLevel="0" collapsed="false">
      <c r="A33" s="3" t="s">
        <v>138</v>
      </c>
      <c r="B33" s="3" t="n">
        <v>33</v>
      </c>
      <c r="C33" s="3" t="s">
        <v>139</v>
      </c>
      <c r="D33" s="3" t="n">
        <v>47</v>
      </c>
      <c r="E33" s="3" t="s">
        <v>145</v>
      </c>
      <c r="F33" s="3" t="s">
        <v>141</v>
      </c>
      <c r="G33" s="3" t="s">
        <v>141</v>
      </c>
      <c r="H33" s="3" t="s">
        <v>160</v>
      </c>
    </row>
    <row r="34" customFormat="false" ht="15" hidden="false" customHeight="false" outlineLevel="0" collapsed="false">
      <c r="A34" s="3" t="s">
        <v>138</v>
      </c>
      <c r="B34" s="3" t="n">
        <v>35</v>
      </c>
      <c r="C34" s="3" t="s">
        <v>139</v>
      </c>
      <c r="D34" s="3" t="n">
        <v>76</v>
      </c>
      <c r="E34" s="3" t="s">
        <v>140</v>
      </c>
      <c r="F34" s="3" t="s">
        <v>141</v>
      </c>
      <c r="G34" s="3" t="s">
        <v>141</v>
      </c>
      <c r="H34" s="3" t="s">
        <v>161</v>
      </c>
    </row>
    <row r="35" customFormat="false" ht="15" hidden="false" customHeight="false" outlineLevel="0" collapsed="false">
      <c r="A35" s="3" t="s">
        <v>138</v>
      </c>
      <c r="B35" s="3" t="n">
        <v>35</v>
      </c>
      <c r="C35" s="3" t="s">
        <v>139</v>
      </c>
      <c r="D35" s="3" t="n">
        <v>43</v>
      </c>
      <c r="E35" s="3" t="s">
        <v>145</v>
      </c>
      <c r="F35" s="3" t="s">
        <v>141</v>
      </c>
      <c r="G35" s="3" t="s">
        <v>141</v>
      </c>
      <c r="H35" s="3" t="s">
        <v>161</v>
      </c>
    </row>
    <row r="36" customFormat="false" ht="15" hidden="false" customHeight="false" outlineLevel="0" collapsed="false">
      <c r="A36" s="3" t="s">
        <v>162</v>
      </c>
      <c r="B36" s="3" t="n">
        <v>8</v>
      </c>
      <c r="C36" s="3" t="s">
        <v>139</v>
      </c>
      <c r="D36" s="3" t="n">
        <v>28</v>
      </c>
      <c r="E36" s="3" t="s">
        <v>140</v>
      </c>
      <c r="F36" s="3" t="s">
        <v>141</v>
      </c>
      <c r="G36" s="3" t="s">
        <v>141</v>
      </c>
      <c r="H36" s="3" t="s">
        <v>163</v>
      </c>
    </row>
    <row r="37" customFormat="false" ht="15" hidden="false" customHeight="false" outlineLevel="0" collapsed="false">
      <c r="A37" s="3" t="s">
        <v>162</v>
      </c>
      <c r="B37" s="3" t="n">
        <v>8</v>
      </c>
      <c r="C37" s="3" t="s">
        <v>139</v>
      </c>
      <c r="D37" s="3" t="n">
        <v>27</v>
      </c>
      <c r="E37" s="3" t="s">
        <v>145</v>
      </c>
      <c r="F37" s="3" t="s">
        <v>141</v>
      </c>
      <c r="G37" s="3" t="s">
        <v>141</v>
      </c>
      <c r="H37" s="3" t="s">
        <v>163</v>
      </c>
    </row>
    <row r="38" customFormat="false" ht="15" hidden="false" customHeight="false" outlineLevel="0" collapsed="false">
      <c r="A38" s="3" t="s">
        <v>162</v>
      </c>
      <c r="B38" s="3" t="n">
        <v>14</v>
      </c>
      <c r="C38" s="3" t="s">
        <v>139</v>
      </c>
      <c r="D38" s="3" t="n">
        <v>42</v>
      </c>
      <c r="E38" s="3" t="s">
        <v>140</v>
      </c>
      <c r="F38" s="3" t="s">
        <v>141</v>
      </c>
      <c r="G38" s="3" t="s">
        <v>141</v>
      </c>
      <c r="H38" s="3" t="s">
        <v>164</v>
      </c>
    </row>
    <row r="39" customFormat="false" ht="15" hidden="false" customHeight="false" outlineLevel="0" collapsed="false">
      <c r="A39" s="3" t="s">
        <v>162</v>
      </c>
      <c r="B39" s="3" t="n">
        <v>14</v>
      </c>
      <c r="C39" s="3" t="s">
        <v>139</v>
      </c>
      <c r="D39" s="3" t="n">
        <v>38</v>
      </c>
      <c r="E39" s="3" t="s">
        <v>145</v>
      </c>
      <c r="F39" s="3" t="s">
        <v>141</v>
      </c>
      <c r="G39" s="3" t="s">
        <v>141</v>
      </c>
      <c r="H39" s="3" t="s">
        <v>164</v>
      </c>
    </row>
    <row r="40" customFormat="false" ht="15" hidden="false" customHeight="false" outlineLevel="0" collapsed="false">
      <c r="A40" s="3" t="s">
        <v>162</v>
      </c>
      <c r="B40" s="3" t="n">
        <v>17</v>
      </c>
      <c r="C40" s="3" t="s">
        <v>139</v>
      </c>
      <c r="D40" s="3" t="n">
        <v>60</v>
      </c>
      <c r="E40" s="3" t="s">
        <v>140</v>
      </c>
      <c r="F40" s="3" t="s">
        <v>141</v>
      </c>
      <c r="G40" s="3" t="s">
        <v>141</v>
      </c>
      <c r="H40" s="3" t="s">
        <v>165</v>
      </c>
    </row>
    <row r="41" customFormat="false" ht="15" hidden="false" customHeight="false" outlineLevel="0" collapsed="false">
      <c r="A41" s="3" t="s">
        <v>162</v>
      </c>
      <c r="B41" s="3" t="n">
        <v>17</v>
      </c>
      <c r="C41" s="3" t="s">
        <v>139</v>
      </c>
      <c r="D41" s="3" t="n">
        <v>54</v>
      </c>
      <c r="E41" s="3" t="s">
        <v>145</v>
      </c>
      <c r="F41" s="3" t="s">
        <v>141</v>
      </c>
      <c r="G41" s="3" t="s">
        <v>141</v>
      </c>
      <c r="H41" s="3" t="s">
        <v>165</v>
      </c>
    </row>
    <row r="42" customFormat="false" ht="15" hidden="false" customHeight="false" outlineLevel="0" collapsed="false">
      <c r="A42" s="3" t="s">
        <v>162</v>
      </c>
      <c r="B42" s="3" t="n">
        <v>18</v>
      </c>
      <c r="C42" s="3" t="s">
        <v>139</v>
      </c>
      <c r="D42" s="3" t="n">
        <v>54</v>
      </c>
      <c r="E42" s="3" t="s">
        <v>140</v>
      </c>
      <c r="F42" s="3" t="s">
        <v>141</v>
      </c>
      <c r="G42" s="3" t="s">
        <v>141</v>
      </c>
      <c r="H42" s="3" t="s">
        <v>166</v>
      </c>
    </row>
    <row r="43" customFormat="false" ht="15" hidden="false" customHeight="false" outlineLevel="0" collapsed="false">
      <c r="A43" s="3" t="s">
        <v>162</v>
      </c>
      <c r="B43" s="3" t="n">
        <v>18</v>
      </c>
      <c r="C43" s="3" t="s">
        <v>139</v>
      </c>
      <c r="D43" s="3" t="n">
        <v>25</v>
      </c>
      <c r="E43" s="3" t="s">
        <v>145</v>
      </c>
      <c r="F43" s="3" t="s">
        <v>141</v>
      </c>
      <c r="G43" s="3" t="s">
        <v>141</v>
      </c>
      <c r="H43" s="3" t="s">
        <v>166</v>
      </c>
    </row>
    <row r="44" customFormat="false" ht="15" hidden="false" customHeight="false" outlineLevel="0" collapsed="false">
      <c r="A44" s="3" t="s">
        <v>162</v>
      </c>
      <c r="B44" s="3" t="n">
        <v>19</v>
      </c>
      <c r="C44" s="3" t="s">
        <v>139</v>
      </c>
      <c r="D44" s="3" t="n">
        <v>48</v>
      </c>
      <c r="E44" s="3" t="s">
        <v>140</v>
      </c>
      <c r="F44" s="3" t="s">
        <v>141</v>
      </c>
      <c r="G44" s="3" t="s">
        <v>141</v>
      </c>
      <c r="H44" s="3" t="s">
        <v>167</v>
      </c>
    </row>
    <row r="45" customFormat="false" ht="15" hidden="false" customHeight="false" outlineLevel="0" collapsed="false">
      <c r="A45" s="3" t="s">
        <v>162</v>
      </c>
      <c r="B45" s="3" t="n">
        <v>19</v>
      </c>
      <c r="C45" s="3" t="s">
        <v>139</v>
      </c>
      <c r="D45" s="3" t="n">
        <v>52</v>
      </c>
      <c r="E45" s="3" t="s">
        <v>145</v>
      </c>
      <c r="F45" s="3" t="s">
        <v>141</v>
      </c>
      <c r="G45" s="3" t="s">
        <v>141</v>
      </c>
      <c r="H45" s="3" t="s">
        <v>167</v>
      </c>
    </row>
    <row r="46" customFormat="false" ht="15" hidden="false" customHeight="false" outlineLevel="0" collapsed="false">
      <c r="A46" s="3" t="s">
        <v>162</v>
      </c>
      <c r="B46" s="3" t="n">
        <v>20</v>
      </c>
      <c r="C46" s="3" t="s">
        <v>139</v>
      </c>
      <c r="D46" s="3" t="n">
        <v>50</v>
      </c>
      <c r="E46" s="3" t="s">
        <v>140</v>
      </c>
      <c r="F46" s="3" t="s">
        <v>141</v>
      </c>
      <c r="G46" s="3" t="s">
        <v>141</v>
      </c>
      <c r="H46" s="3" t="s">
        <v>168</v>
      </c>
    </row>
    <row r="47" customFormat="false" ht="15" hidden="false" customHeight="false" outlineLevel="0" collapsed="false">
      <c r="A47" s="3" t="s">
        <v>162</v>
      </c>
      <c r="B47" s="3" t="n">
        <v>20</v>
      </c>
      <c r="C47" s="3" t="s">
        <v>139</v>
      </c>
      <c r="D47" s="3" t="n">
        <v>43</v>
      </c>
      <c r="E47" s="3" t="s">
        <v>145</v>
      </c>
      <c r="F47" s="3" t="s">
        <v>141</v>
      </c>
      <c r="G47" s="3" t="s">
        <v>141</v>
      </c>
      <c r="H47" s="3" t="s">
        <v>168</v>
      </c>
    </row>
    <row r="48" customFormat="false" ht="15" hidden="false" customHeight="false" outlineLevel="0" collapsed="false">
      <c r="A48" s="3" t="s">
        <v>162</v>
      </c>
      <c r="B48" s="3" t="n">
        <v>21</v>
      </c>
      <c r="C48" s="3" t="s">
        <v>139</v>
      </c>
      <c r="D48" s="3" t="n">
        <v>49</v>
      </c>
      <c r="E48" s="3" t="s">
        <v>140</v>
      </c>
      <c r="F48" s="3" t="s">
        <v>141</v>
      </c>
      <c r="G48" s="3" t="s">
        <v>141</v>
      </c>
      <c r="H48" s="3" t="s">
        <v>169</v>
      </c>
    </row>
    <row r="49" customFormat="false" ht="15" hidden="false" customHeight="false" outlineLevel="0" collapsed="false">
      <c r="A49" s="3" t="s">
        <v>162</v>
      </c>
      <c r="B49" s="3" t="n">
        <v>21</v>
      </c>
      <c r="C49" s="3" t="s">
        <v>139</v>
      </c>
      <c r="D49" s="3" t="n">
        <v>25</v>
      </c>
      <c r="E49" s="3" t="s">
        <v>145</v>
      </c>
      <c r="F49" s="3" t="s">
        <v>141</v>
      </c>
      <c r="G49" s="3" t="s">
        <v>141</v>
      </c>
      <c r="H49" s="3" t="s">
        <v>169</v>
      </c>
    </row>
    <row r="50" customFormat="false" ht="15" hidden="false" customHeight="false" outlineLevel="0" collapsed="false">
      <c r="A50" s="3" t="s">
        <v>162</v>
      </c>
      <c r="B50" s="3" t="n">
        <v>22</v>
      </c>
      <c r="C50" s="3" t="s">
        <v>139</v>
      </c>
      <c r="D50" s="3" t="n">
        <v>54</v>
      </c>
      <c r="E50" s="3" t="s">
        <v>140</v>
      </c>
      <c r="F50" s="3" t="s">
        <v>141</v>
      </c>
      <c r="G50" s="3" t="s">
        <v>141</v>
      </c>
      <c r="H50" s="3" t="s">
        <v>170</v>
      </c>
    </row>
    <row r="51" customFormat="false" ht="15" hidden="false" customHeight="false" outlineLevel="0" collapsed="false">
      <c r="A51" s="3" t="s">
        <v>162</v>
      </c>
      <c r="B51" s="3" t="n">
        <v>22</v>
      </c>
      <c r="C51" s="3" t="s">
        <v>139</v>
      </c>
      <c r="D51" s="3" t="n">
        <v>25</v>
      </c>
      <c r="E51" s="3" t="s">
        <v>145</v>
      </c>
      <c r="F51" s="3" t="s">
        <v>141</v>
      </c>
      <c r="G51" s="3" t="s">
        <v>141</v>
      </c>
      <c r="H51" s="3" t="s">
        <v>170</v>
      </c>
    </row>
    <row r="52" customFormat="false" ht="15" hidden="false" customHeight="false" outlineLevel="0" collapsed="false">
      <c r="A52" s="3" t="s">
        <v>162</v>
      </c>
      <c r="B52" s="3" t="n">
        <v>23</v>
      </c>
      <c r="C52" s="3" t="s">
        <v>139</v>
      </c>
      <c r="D52" s="3" t="n">
        <v>61</v>
      </c>
      <c r="E52" s="3" t="s">
        <v>140</v>
      </c>
      <c r="F52" s="3" t="s">
        <v>141</v>
      </c>
      <c r="G52" s="3" t="s">
        <v>141</v>
      </c>
      <c r="H52" s="3" t="s">
        <v>171</v>
      </c>
    </row>
    <row r="53" customFormat="false" ht="15" hidden="false" customHeight="false" outlineLevel="0" collapsed="false">
      <c r="A53" s="3" t="s">
        <v>162</v>
      </c>
      <c r="B53" s="3" t="n">
        <v>24</v>
      </c>
      <c r="C53" s="3" t="s">
        <v>139</v>
      </c>
      <c r="D53" s="3" t="n">
        <v>61</v>
      </c>
      <c r="E53" s="3" t="s">
        <v>140</v>
      </c>
      <c r="F53" s="3" t="s">
        <v>141</v>
      </c>
      <c r="G53" s="3" t="s">
        <v>141</v>
      </c>
      <c r="H53" s="3" t="s">
        <v>172</v>
      </c>
    </row>
    <row r="54" customFormat="false" ht="15" hidden="false" customHeight="false" outlineLevel="0" collapsed="false">
      <c r="A54" s="3" t="s">
        <v>162</v>
      </c>
      <c r="B54" s="3" t="n">
        <v>24</v>
      </c>
      <c r="C54" s="3" t="s">
        <v>139</v>
      </c>
      <c r="D54" s="3" t="n">
        <v>53</v>
      </c>
      <c r="E54" s="3" t="s">
        <v>145</v>
      </c>
      <c r="F54" s="3" t="s">
        <v>141</v>
      </c>
      <c r="G54" s="3" t="s">
        <v>141</v>
      </c>
      <c r="H54" s="3" t="s">
        <v>172</v>
      </c>
    </row>
    <row r="55" customFormat="false" ht="15" hidden="false" customHeight="false" outlineLevel="0" collapsed="false">
      <c r="A55" s="3" t="s">
        <v>162</v>
      </c>
      <c r="B55" s="3" t="n">
        <v>25</v>
      </c>
      <c r="C55" s="3" t="s">
        <v>139</v>
      </c>
      <c r="D55" s="3" t="n">
        <v>47</v>
      </c>
      <c r="E55" s="3" t="s">
        <v>140</v>
      </c>
      <c r="F55" s="3" t="s">
        <v>141</v>
      </c>
      <c r="G55" s="3" t="s">
        <v>141</v>
      </c>
      <c r="H55" s="3" t="s">
        <v>173</v>
      </c>
    </row>
    <row r="56" customFormat="false" ht="15" hidden="false" customHeight="false" outlineLevel="0" collapsed="false">
      <c r="A56" s="3" t="s">
        <v>162</v>
      </c>
      <c r="B56" s="3" t="n">
        <v>25</v>
      </c>
      <c r="C56" s="3" t="s">
        <v>139</v>
      </c>
      <c r="D56" s="3" t="n">
        <v>74</v>
      </c>
      <c r="E56" s="3" t="s">
        <v>145</v>
      </c>
      <c r="F56" s="3" t="s">
        <v>141</v>
      </c>
      <c r="G56" s="3" t="s">
        <v>141</v>
      </c>
      <c r="H56" s="3" t="s">
        <v>173</v>
      </c>
    </row>
    <row r="57" customFormat="false" ht="15" hidden="false" customHeight="false" outlineLevel="0" collapsed="false">
      <c r="A57" s="3" t="s">
        <v>162</v>
      </c>
      <c r="B57" s="3" t="n">
        <v>26</v>
      </c>
      <c r="C57" s="3" t="s">
        <v>139</v>
      </c>
      <c r="D57" s="3" t="n">
        <v>59</v>
      </c>
      <c r="E57" s="3" t="s">
        <v>140</v>
      </c>
      <c r="F57" s="3" t="s">
        <v>141</v>
      </c>
      <c r="G57" s="3" t="s">
        <v>141</v>
      </c>
      <c r="H57" s="3" t="s">
        <v>174</v>
      </c>
    </row>
    <row r="58" customFormat="false" ht="15" hidden="false" customHeight="false" outlineLevel="0" collapsed="false">
      <c r="A58" s="3" t="s">
        <v>162</v>
      </c>
      <c r="B58" s="3" t="n">
        <v>26</v>
      </c>
      <c r="C58" s="3" t="s">
        <v>139</v>
      </c>
      <c r="D58" s="3" t="n">
        <v>60</v>
      </c>
      <c r="E58" s="3" t="s">
        <v>145</v>
      </c>
      <c r="F58" s="3" t="s">
        <v>141</v>
      </c>
      <c r="G58" s="3" t="s">
        <v>141</v>
      </c>
      <c r="H58" s="3" t="s">
        <v>174</v>
      </c>
    </row>
    <row r="59" customFormat="false" ht="15" hidden="false" customHeight="false" outlineLevel="0" collapsed="false">
      <c r="A59" s="3" t="s">
        <v>162</v>
      </c>
      <c r="B59" s="3" t="n">
        <v>26</v>
      </c>
      <c r="C59" s="3" t="s">
        <v>139</v>
      </c>
      <c r="D59" s="3" t="n">
        <v>30</v>
      </c>
      <c r="E59" s="3" t="s">
        <v>145</v>
      </c>
      <c r="F59" s="3" t="s">
        <v>141</v>
      </c>
      <c r="G59" s="3" t="s">
        <v>141</v>
      </c>
      <c r="H59" s="3" t="s">
        <v>174</v>
      </c>
    </row>
    <row r="60" customFormat="false" ht="15" hidden="false" customHeight="false" outlineLevel="0" collapsed="false">
      <c r="A60" s="3" t="s">
        <v>162</v>
      </c>
      <c r="B60" s="3" t="n">
        <v>27</v>
      </c>
      <c r="C60" s="3" t="s">
        <v>139</v>
      </c>
      <c r="D60" s="3" t="n">
        <v>49</v>
      </c>
      <c r="E60" s="3" t="s">
        <v>140</v>
      </c>
      <c r="F60" s="3" t="s">
        <v>141</v>
      </c>
      <c r="G60" s="3" t="s">
        <v>141</v>
      </c>
      <c r="H60" s="3" t="s">
        <v>175</v>
      </c>
    </row>
    <row r="61" customFormat="false" ht="15" hidden="false" customHeight="false" outlineLevel="0" collapsed="false">
      <c r="A61" s="3" t="s">
        <v>162</v>
      </c>
      <c r="B61" s="3" t="n">
        <v>27</v>
      </c>
      <c r="C61" s="3" t="s">
        <v>139</v>
      </c>
      <c r="D61" s="3" t="n">
        <v>21</v>
      </c>
      <c r="E61" s="3" t="s">
        <v>145</v>
      </c>
      <c r="F61" s="3" t="s">
        <v>141</v>
      </c>
      <c r="G61" s="3" t="s">
        <v>141</v>
      </c>
      <c r="H61" s="3" t="s">
        <v>175</v>
      </c>
    </row>
    <row r="62" customFormat="false" ht="15" hidden="false" customHeight="false" outlineLevel="0" collapsed="false">
      <c r="A62" s="3" t="s">
        <v>162</v>
      </c>
      <c r="B62" s="3" t="n">
        <v>39</v>
      </c>
      <c r="C62" s="3" t="s">
        <v>139</v>
      </c>
      <c r="D62" s="3" t="n">
        <v>68</v>
      </c>
      <c r="E62" s="3" t="s">
        <v>140</v>
      </c>
      <c r="F62" s="3" t="s">
        <v>141</v>
      </c>
      <c r="G62" s="3" t="s">
        <v>141</v>
      </c>
      <c r="H62" s="3" t="s">
        <v>176</v>
      </c>
    </row>
    <row r="63" customFormat="false" ht="15" hidden="false" customHeight="false" outlineLevel="0" collapsed="false">
      <c r="A63" s="3" t="s">
        <v>162</v>
      </c>
      <c r="B63" s="3" t="n">
        <v>39</v>
      </c>
      <c r="C63" s="3" t="s">
        <v>139</v>
      </c>
      <c r="D63" s="3" t="n">
        <v>55</v>
      </c>
      <c r="E63" s="3" t="s">
        <v>145</v>
      </c>
      <c r="F63" s="3" t="s">
        <v>141</v>
      </c>
      <c r="G63" s="3" t="s">
        <v>141</v>
      </c>
      <c r="H63" s="3" t="s">
        <v>176</v>
      </c>
    </row>
    <row r="64" customFormat="false" ht="15" hidden="false" customHeight="false" outlineLevel="0" collapsed="false">
      <c r="A64" s="3" t="s">
        <v>162</v>
      </c>
      <c r="B64" s="3" t="n">
        <v>40</v>
      </c>
      <c r="C64" s="3" t="s">
        <v>139</v>
      </c>
      <c r="D64" s="3" t="n">
        <v>68</v>
      </c>
      <c r="E64" s="3" t="s">
        <v>140</v>
      </c>
      <c r="F64" s="3" t="s">
        <v>141</v>
      </c>
      <c r="G64" s="3" t="s">
        <v>141</v>
      </c>
      <c r="H64" s="3" t="s">
        <v>177</v>
      </c>
    </row>
    <row r="65" customFormat="false" ht="15" hidden="false" customHeight="false" outlineLevel="0" collapsed="false">
      <c r="A65" s="3" t="s">
        <v>162</v>
      </c>
      <c r="B65" s="3" t="n">
        <v>40</v>
      </c>
      <c r="C65" s="3" t="s">
        <v>139</v>
      </c>
      <c r="D65" s="3" t="n">
        <v>75</v>
      </c>
      <c r="E65" s="3" t="s">
        <v>145</v>
      </c>
      <c r="F65" s="3" t="s">
        <v>141</v>
      </c>
      <c r="G65" s="3" t="s">
        <v>141</v>
      </c>
      <c r="H65" s="3" t="s">
        <v>177</v>
      </c>
    </row>
    <row r="66" customFormat="false" ht="15" hidden="false" customHeight="false" outlineLevel="0" collapsed="false">
      <c r="A66" s="3" t="s">
        <v>162</v>
      </c>
      <c r="B66" s="3" t="n">
        <v>40</v>
      </c>
      <c r="C66" s="3" t="s">
        <v>139</v>
      </c>
      <c r="D66" s="3" t="n">
        <v>71</v>
      </c>
      <c r="E66" s="3" t="s">
        <v>145</v>
      </c>
      <c r="F66" s="3" t="s">
        <v>141</v>
      </c>
      <c r="G66" s="3" t="s">
        <v>141</v>
      </c>
      <c r="H66" s="3" t="s">
        <v>177</v>
      </c>
    </row>
    <row r="67" customFormat="false" ht="15" hidden="false" customHeight="false" outlineLevel="0" collapsed="false">
      <c r="A67" s="3" t="s">
        <v>162</v>
      </c>
      <c r="B67" s="3" t="n">
        <v>41</v>
      </c>
      <c r="C67" s="3" t="s">
        <v>139</v>
      </c>
      <c r="D67" s="3" t="n">
        <v>76</v>
      </c>
      <c r="E67" s="3" t="s">
        <v>140</v>
      </c>
      <c r="F67" s="3" t="s">
        <v>141</v>
      </c>
      <c r="G67" s="3" t="s">
        <v>141</v>
      </c>
      <c r="H67" s="3" t="s">
        <v>178</v>
      </c>
    </row>
    <row r="68" customFormat="false" ht="15" hidden="false" customHeight="false" outlineLevel="0" collapsed="false">
      <c r="A68" s="3" t="s">
        <v>162</v>
      </c>
      <c r="B68" s="3" t="n">
        <v>41</v>
      </c>
      <c r="C68" s="3" t="s">
        <v>139</v>
      </c>
      <c r="D68" s="3" t="n">
        <v>55</v>
      </c>
      <c r="E68" s="3" t="s">
        <v>145</v>
      </c>
      <c r="F68" s="3" t="s">
        <v>141</v>
      </c>
      <c r="G68" s="3" t="s">
        <v>141</v>
      </c>
      <c r="H68" s="3" t="s">
        <v>178</v>
      </c>
    </row>
    <row r="69" customFormat="false" ht="15" hidden="false" customHeight="false" outlineLevel="0" collapsed="false">
      <c r="A69" s="3" t="s">
        <v>162</v>
      </c>
      <c r="B69" s="3" t="n">
        <v>42</v>
      </c>
      <c r="C69" s="3" t="s">
        <v>139</v>
      </c>
      <c r="D69" s="3" t="n">
        <v>76</v>
      </c>
      <c r="E69" s="3" t="s">
        <v>140</v>
      </c>
      <c r="F69" s="3" t="s">
        <v>141</v>
      </c>
      <c r="G69" s="3" t="s">
        <v>141</v>
      </c>
      <c r="H69" s="3" t="s">
        <v>179</v>
      </c>
    </row>
    <row r="70" customFormat="false" ht="15" hidden="false" customHeight="false" outlineLevel="0" collapsed="false">
      <c r="A70" s="3" t="s">
        <v>162</v>
      </c>
      <c r="B70" s="3" t="n">
        <v>42</v>
      </c>
      <c r="C70" s="3" t="s">
        <v>139</v>
      </c>
      <c r="D70" s="3" t="n">
        <v>43</v>
      </c>
      <c r="E70" s="3" t="s">
        <v>145</v>
      </c>
      <c r="F70" s="3" t="s">
        <v>141</v>
      </c>
      <c r="G70" s="3" t="s">
        <v>141</v>
      </c>
      <c r="H70" s="3" t="s">
        <v>179</v>
      </c>
    </row>
    <row r="71" customFormat="false" ht="15" hidden="false" customHeight="false" outlineLevel="0" collapsed="false">
      <c r="A71" s="3" t="s">
        <v>162</v>
      </c>
      <c r="B71" s="3" t="n">
        <v>42</v>
      </c>
      <c r="C71" s="3" t="s">
        <v>139</v>
      </c>
      <c r="D71" s="3" t="n">
        <v>75</v>
      </c>
      <c r="E71" s="3" t="s">
        <v>145</v>
      </c>
      <c r="F71" s="3" t="s">
        <v>141</v>
      </c>
      <c r="G71" s="3" t="s">
        <v>141</v>
      </c>
      <c r="H71" s="3" t="s">
        <v>179</v>
      </c>
    </row>
    <row r="72" customFormat="false" ht="15" hidden="false" customHeight="false" outlineLevel="0" collapsed="false">
      <c r="A72" s="3" t="s">
        <v>162</v>
      </c>
      <c r="B72" s="3" t="n">
        <v>44</v>
      </c>
      <c r="C72" s="3" t="s">
        <v>139</v>
      </c>
      <c r="D72" s="3" t="n">
        <v>40</v>
      </c>
      <c r="E72" s="3" t="s">
        <v>140</v>
      </c>
      <c r="F72" s="3" t="s">
        <v>141</v>
      </c>
      <c r="G72" s="3" t="s">
        <v>141</v>
      </c>
      <c r="H72" s="3" t="s">
        <v>180</v>
      </c>
    </row>
    <row r="73" customFormat="false" ht="15" hidden="false" customHeight="false" outlineLevel="0" collapsed="false">
      <c r="A73" s="3" t="s">
        <v>162</v>
      </c>
      <c r="B73" s="3" t="n">
        <v>44</v>
      </c>
      <c r="C73" s="3" t="s">
        <v>139</v>
      </c>
      <c r="D73" s="3" t="n">
        <v>30</v>
      </c>
      <c r="E73" s="3" t="s">
        <v>145</v>
      </c>
      <c r="F73" s="3" t="s">
        <v>141</v>
      </c>
      <c r="G73" s="3" t="s">
        <v>141</v>
      </c>
      <c r="H73" s="3" t="s">
        <v>180</v>
      </c>
    </row>
    <row r="74" customFormat="false" ht="15" hidden="false" customHeight="false" outlineLevel="0" collapsed="false">
      <c r="A74" s="3" t="s">
        <v>162</v>
      </c>
      <c r="B74" s="3" t="n">
        <v>45</v>
      </c>
      <c r="C74" s="3" t="s">
        <v>139</v>
      </c>
      <c r="D74" s="3" t="n">
        <v>79</v>
      </c>
      <c r="E74" s="3" t="s">
        <v>140</v>
      </c>
      <c r="F74" s="3" t="s">
        <v>141</v>
      </c>
      <c r="G74" s="3" t="s">
        <v>141</v>
      </c>
      <c r="H74" s="3" t="s">
        <v>181</v>
      </c>
    </row>
    <row r="75" customFormat="false" ht="15" hidden="false" customHeight="false" outlineLevel="0" collapsed="false">
      <c r="A75" s="3" t="s">
        <v>162</v>
      </c>
      <c r="B75" s="3" t="n">
        <v>45</v>
      </c>
      <c r="C75" s="3" t="s">
        <v>139</v>
      </c>
      <c r="D75" s="3" t="n">
        <v>83</v>
      </c>
      <c r="E75" s="3" t="s">
        <v>145</v>
      </c>
      <c r="F75" s="3" t="s">
        <v>141</v>
      </c>
      <c r="G75" s="3" t="s">
        <v>141</v>
      </c>
      <c r="H75" s="3" t="s">
        <v>181</v>
      </c>
    </row>
    <row r="76" customFormat="false" ht="15" hidden="false" customHeight="false" outlineLevel="0" collapsed="false">
      <c r="A76" s="3" t="s">
        <v>162</v>
      </c>
      <c r="B76" s="3" t="n">
        <v>49</v>
      </c>
      <c r="C76" s="3" t="s">
        <v>139</v>
      </c>
      <c r="D76" s="3" t="n">
        <v>25</v>
      </c>
      <c r="E76" s="3" t="s">
        <v>140</v>
      </c>
      <c r="F76" s="3" t="s">
        <v>141</v>
      </c>
      <c r="G76" s="3" t="s">
        <v>141</v>
      </c>
      <c r="H76" s="3" t="s">
        <v>182</v>
      </c>
    </row>
    <row r="77" customFormat="false" ht="15" hidden="false" customHeight="false" outlineLevel="0" collapsed="false">
      <c r="A77" s="3" t="s">
        <v>162</v>
      </c>
      <c r="B77" s="3" t="n">
        <v>49</v>
      </c>
      <c r="C77" s="3" t="s">
        <v>139</v>
      </c>
      <c r="D77" s="3" t="n">
        <v>78</v>
      </c>
      <c r="E77" s="3" t="s">
        <v>145</v>
      </c>
      <c r="F77" s="3" t="s">
        <v>141</v>
      </c>
      <c r="G77" s="3" t="s">
        <v>141</v>
      </c>
      <c r="H77" s="3" t="s">
        <v>182</v>
      </c>
    </row>
    <row r="78" customFormat="false" ht="15" hidden="false" customHeight="false" outlineLevel="0" collapsed="false">
      <c r="A78" s="3" t="s">
        <v>162</v>
      </c>
      <c r="B78" s="3" t="n">
        <v>50</v>
      </c>
      <c r="C78" s="3" t="s">
        <v>139</v>
      </c>
      <c r="D78" s="3" t="n">
        <v>21</v>
      </c>
      <c r="E78" s="3" t="s">
        <v>140</v>
      </c>
      <c r="F78" s="3" t="s">
        <v>141</v>
      </c>
      <c r="G78" s="3" t="s">
        <v>141</v>
      </c>
      <c r="H78" s="3" t="s">
        <v>183</v>
      </c>
    </row>
    <row r="79" customFormat="false" ht="15" hidden="false" customHeight="false" outlineLevel="0" collapsed="false">
      <c r="A79" s="3" t="s">
        <v>162</v>
      </c>
      <c r="B79" s="3" t="n">
        <v>50</v>
      </c>
      <c r="C79" s="3" t="s">
        <v>139</v>
      </c>
      <c r="D79" s="3" t="n">
        <v>22</v>
      </c>
      <c r="E79" s="3" t="s">
        <v>145</v>
      </c>
      <c r="F79" s="3" t="s">
        <v>141</v>
      </c>
      <c r="G79" s="3" t="s">
        <v>141</v>
      </c>
      <c r="H79" s="3" t="s">
        <v>183</v>
      </c>
    </row>
    <row r="80" customFormat="false" ht="15" hidden="false" customHeight="false" outlineLevel="0" collapsed="false">
      <c r="A80" s="3" t="s">
        <v>162</v>
      </c>
      <c r="B80" s="3" t="n">
        <v>51</v>
      </c>
      <c r="C80" s="3" t="s">
        <v>139</v>
      </c>
      <c r="D80" s="3" t="n">
        <v>72</v>
      </c>
      <c r="E80" s="3" t="s">
        <v>140</v>
      </c>
      <c r="F80" s="3" t="s">
        <v>141</v>
      </c>
      <c r="G80" s="3" t="s">
        <v>141</v>
      </c>
      <c r="H80" s="3" t="s">
        <v>184</v>
      </c>
    </row>
    <row r="81" customFormat="false" ht="15" hidden="false" customHeight="false" outlineLevel="0" collapsed="false">
      <c r="A81" s="3" t="s">
        <v>162</v>
      </c>
      <c r="B81" s="3" t="n">
        <v>52</v>
      </c>
      <c r="C81" s="3" t="s">
        <v>139</v>
      </c>
      <c r="D81" s="3" t="n">
        <v>92</v>
      </c>
      <c r="E81" s="3" t="s">
        <v>140</v>
      </c>
      <c r="F81" s="3" t="s">
        <v>141</v>
      </c>
      <c r="G81" s="3" t="s">
        <v>141</v>
      </c>
      <c r="H81" s="3" t="s">
        <v>185</v>
      </c>
    </row>
    <row r="82" customFormat="false" ht="15" hidden="false" customHeight="false" outlineLevel="0" collapsed="false">
      <c r="A82" s="3" t="s">
        <v>162</v>
      </c>
      <c r="B82" s="3" t="n">
        <v>52</v>
      </c>
      <c r="C82" s="3" t="s">
        <v>139</v>
      </c>
      <c r="D82" s="3" t="n">
        <v>99</v>
      </c>
      <c r="E82" s="3" t="s">
        <v>145</v>
      </c>
      <c r="F82" s="3" t="s">
        <v>141</v>
      </c>
      <c r="G82" s="3" t="s">
        <v>141</v>
      </c>
      <c r="H82" s="3" t="s">
        <v>185</v>
      </c>
    </row>
    <row r="83" customFormat="false" ht="15" hidden="false" customHeight="false" outlineLevel="0" collapsed="false">
      <c r="A83" s="3" t="s">
        <v>162</v>
      </c>
      <c r="B83" s="3" t="n">
        <v>53</v>
      </c>
      <c r="C83" s="3" t="s">
        <v>139</v>
      </c>
      <c r="D83" s="3" t="n">
        <v>98</v>
      </c>
      <c r="E83" s="3" t="s">
        <v>140</v>
      </c>
      <c r="F83" s="3" t="s">
        <v>141</v>
      </c>
      <c r="G83" s="3" t="s">
        <v>141</v>
      </c>
      <c r="H83" s="3" t="s">
        <v>186</v>
      </c>
    </row>
    <row r="84" customFormat="false" ht="15" hidden="false" customHeight="false" outlineLevel="0" collapsed="false">
      <c r="A84" s="3" t="s">
        <v>162</v>
      </c>
      <c r="B84" s="3" t="n">
        <v>61</v>
      </c>
      <c r="C84" s="3" t="s">
        <v>139</v>
      </c>
      <c r="D84" s="3" t="n">
        <v>14</v>
      </c>
      <c r="E84" s="3" t="s">
        <v>140</v>
      </c>
      <c r="F84" s="3" t="s">
        <v>141</v>
      </c>
      <c r="G84" s="3" t="s">
        <v>141</v>
      </c>
      <c r="H84" s="3" t="s">
        <v>187</v>
      </c>
    </row>
    <row r="85" customFormat="false" ht="15" hidden="false" customHeight="false" outlineLevel="0" collapsed="false">
      <c r="A85" s="3" t="s">
        <v>162</v>
      </c>
      <c r="B85" s="3" t="n">
        <v>64</v>
      </c>
      <c r="C85" s="3" t="s">
        <v>139</v>
      </c>
      <c r="D85" s="3" t="n">
        <v>83</v>
      </c>
      <c r="E85" s="3" t="s">
        <v>140</v>
      </c>
      <c r="F85" s="3" t="s">
        <v>141</v>
      </c>
      <c r="G85" s="3" t="s">
        <v>141</v>
      </c>
      <c r="H85" s="3" t="s">
        <v>188</v>
      </c>
    </row>
    <row r="86" customFormat="false" ht="15" hidden="false" customHeight="false" outlineLevel="0" collapsed="false">
      <c r="A86" s="3" t="s">
        <v>162</v>
      </c>
      <c r="B86" s="3" t="n">
        <v>65</v>
      </c>
      <c r="C86" s="3" t="s">
        <v>139</v>
      </c>
      <c r="D86" s="3" t="n">
        <v>47</v>
      </c>
      <c r="E86" s="3" t="s">
        <v>140</v>
      </c>
      <c r="F86" s="3" t="s">
        <v>141</v>
      </c>
      <c r="G86" s="3" t="s">
        <v>141</v>
      </c>
      <c r="H86" s="3" t="s">
        <v>189</v>
      </c>
    </row>
    <row r="87" customFormat="false" ht="15" hidden="false" customHeight="false" outlineLevel="0" collapsed="false">
      <c r="A87" s="3" t="s">
        <v>162</v>
      </c>
      <c r="B87" s="3" t="n">
        <v>65</v>
      </c>
      <c r="C87" s="3" t="s">
        <v>139</v>
      </c>
      <c r="D87" s="3" t="n">
        <v>50</v>
      </c>
      <c r="E87" s="3" t="s">
        <v>145</v>
      </c>
      <c r="F87" s="3" t="s">
        <v>141</v>
      </c>
      <c r="G87" s="3" t="s">
        <v>141</v>
      </c>
      <c r="H87" s="3" t="s">
        <v>189</v>
      </c>
    </row>
    <row r="88" customFormat="false" ht="15" hidden="false" customHeight="false" outlineLevel="0" collapsed="false">
      <c r="A88" s="3" t="s">
        <v>162</v>
      </c>
      <c r="B88" s="3" t="n">
        <v>66</v>
      </c>
      <c r="C88" s="3" t="s">
        <v>139</v>
      </c>
      <c r="D88" s="3" t="n">
        <v>47</v>
      </c>
      <c r="E88" s="3" t="s">
        <v>140</v>
      </c>
      <c r="F88" s="3" t="s">
        <v>141</v>
      </c>
      <c r="G88" s="3" t="s">
        <v>141</v>
      </c>
      <c r="H88" s="3" t="s">
        <v>190</v>
      </c>
    </row>
    <row r="89" customFormat="false" ht="15" hidden="false" customHeight="false" outlineLevel="0" collapsed="false">
      <c r="A89" s="3" t="s">
        <v>162</v>
      </c>
      <c r="B89" s="3" t="n">
        <v>66</v>
      </c>
      <c r="C89" s="3" t="s">
        <v>139</v>
      </c>
      <c r="D89" s="3" t="n">
        <v>50</v>
      </c>
      <c r="E89" s="3" t="s">
        <v>145</v>
      </c>
      <c r="F89" s="3" t="s">
        <v>141</v>
      </c>
      <c r="G89" s="3" t="s">
        <v>141</v>
      </c>
      <c r="H89" s="3" t="s">
        <v>190</v>
      </c>
    </row>
    <row r="90" customFormat="false" ht="15" hidden="false" customHeight="false" outlineLevel="0" collapsed="false">
      <c r="A90" s="3" t="s">
        <v>162</v>
      </c>
      <c r="B90" s="3" t="n">
        <v>68</v>
      </c>
      <c r="C90" s="3" t="s">
        <v>139</v>
      </c>
      <c r="D90" s="3" t="n">
        <v>15</v>
      </c>
      <c r="E90" s="3" t="s">
        <v>140</v>
      </c>
      <c r="F90" s="3" t="s">
        <v>141</v>
      </c>
      <c r="G90" s="3" t="s">
        <v>141</v>
      </c>
      <c r="H90" s="3" t="s">
        <v>191</v>
      </c>
    </row>
    <row r="91" customFormat="false" ht="15" hidden="false" customHeight="false" outlineLevel="0" collapsed="false">
      <c r="A91" s="3" t="s">
        <v>162</v>
      </c>
      <c r="B91" s="3" t="n">
        <v>69</v>
      </c>
      <c r="C91" s="3" t="s">
        <v>139</v>
      </c>
      <c r="D91" s="3" t="n">
        <v>14</v>
      </c>
      <c r="E91" s="3" t="s">
        <v>140</v>
      </c>
      <c r="F91" s="3" t="s">
        <v>141</v>
      </c>
      <c r="G91" s="3" t="s">
        <v>141</v>
      </c>
      <c r="H91" s="3" t="s">
        <v>192</v>
      </c>
    </row>
    <row r="92" customFormat="false" ht="15" hidden="false" customHeight="false" outlineLevel="0" collapsed="false">
      <c r="A92" s="3" t="s">
        <v>162</v>
      </c>
      <c r="B92" s="3" t="n">
        <v>70</v>
      </c>
      <c r="C92" s="3" t="s">
        <v>139</v>
      </c>
      <c r="D92" s="3" t="n">
        <v>47</v>
      </c>
      <c r="E92" s="3" t="s">
        <v>140</v>
      </c>
      <c r="F92" s="3" t="s">
        <v>141</v>
      </c>
      <c r="G92" s="3" t="s">
        <v>141</v>
      </c>
      <c r="H92" s="3" t="s">
        <v>193</v>
      </c>
    </row>
    <row r="93" customFormat="false" ht="15" hidden="false" customHeight="false" outlineLevel="0" collapsed="false">
      <c r="A93" s="3" t="s">
        <v>162</v>
      </c>
      <c r="B93" s="3" t="n">
        <v>70</v>
      </c>
      <c r="C93" s="3" t="s">
        <v>139</v>
      </c>
      <c r="D93" s="3" t="n">
        <v>12</v>
      </c>
      <c r="E93" s="3" t="s">
        <v>145</v>
      </c>
      <c r="F93" s="3" t="s">
        <v>141</v>
      </c>
      <c r="G93" s="3" t="s">
        <v>141</v>
      </c>
      <c r="H93" s="3" t="s">
        <v>193</v>
      </c>
    </row>
    <row r="94" customFormat="false" ht="15" hidden="false" customHeight="false" outlineLevel="0" collapsed="false">
      <c r="A94" s="3" t="s">
        <v>162</v>
      </c>
      <c r="B94" s="3" t="n">
        <v>71</v>
      </c>
      <c r="C94" s="3" t="s">
        <v>139</v>
      </c>
      <c r="D94" s="3" t="n">
        <v>47</v>
      </c>
      <c r="E94" s="3" t="s">
        <v>140</v>
      </c>
      <c r="F94" s="3" t="s">
        <v>141</v>
      </c>
      <c r="G94" s="3" t="s">
        <v>141</v>
      </c>
      <c r="H94" s="3" t="s">
        <v>194</v>
      </c>
    </row>
    <row r="95" customFormat="false" ht="15" hidden="false" customHeight="false" outlineLevel="0" collapsed="false">
      <c r="A95" s="3" t="s">
        <v>162</v>
      </c>
      <c r="B95" s="3" t="n">
        <v>72</v>
      </c>
      <c r="C95" s="3" t="s">
        <v>139</v>
      </c>
      <c r="D95" s="3" t="n">
        <v>47</v>
      </c>
      <c r="E95" s="3" t="s">
        <v>140</v>
      </c>
      <c r="F95" s="3" t="s">
        <v>141</v>
      </c>
      <c r="G95" s="3" t="s">
        <v>141</v>
      </c>
      <c r="H95" s="3" t="s">
        <v>195</v>
      </c>
    </row>
    <row r="96" customFormat="false" ht="15" hidden="false" customHeight="false" outlineLevel="0" collapsed="false">
      <c r="A96" s="3" t="s">
        <v>162</v>
      </c>
      <c r="B96" s="3" t="n">
        <v>73</v>
      </c>
      <c r="C96" s="3" t="s">
        <v>139</v>
      </c>
      <c r="D96" s="3" t="n">
        <v>17</v>
      </c>
      <c r="E96" s="3" t="s">
        <v>140</v>
      </c>
      <c r="F96" s="3" t="s">
        <v>141</v>
      </c>
      <c r="G96" s="3" t="s">
        <v>141</v>
      </c>
      <c r="H96" s="3" t="s">
        <v>196</v>
      </c>
    </row>
    <row r="97" customFormat="false" ht="15" hidden="false" customHeight="false" outlineLevel="0" collapsed="false">
      <c r="A97" s="3" t="s">
        <v>162</v>
      </c>
      <c r="B97" s="3" t="n">
        <v>78</v>
      </c>
      <c r="C97" s="3" t="s">
        <v>139</v>
      </c>
      <c r="D97" s="3" t="n">
        <v>54</v>
      </c>
      <c r="E97" s="3" t="s">
        <v>140</v>
      </c>
      <c r="F97" s="3" t="s">
        <v>141</v>
      </c>
      <c r="G97" s="3" t="s">
        <v>141</v>
      </c>
      <c r="H97" s="3" t="s">
        <v>197</v>
      </c>
    </row>
    <row r="98" customFormat="false" ht="15" hidden="false" customHeight="false" outlineLevel="0" collapsed="false">
      <c r="A98" s="3" t="s">
        <v>162</v>
      </c>
      <c r="B98" s="3" t="n">
        <v>78</v>
      </c>
      <c r="C98" s="3" t="s">
        <v>139</v>
      </c>
      <c r="D98" s="3" t="n">
        <v>49</v>
      </c>
      <c r="E98" s="3" t="s">
        <v>145</v>
      </c>
      <c r="F98" s="3" t="s">
        <v>141</v>
      </c>
      <c r="G98" s="3" t="s">
        <v>141</v>
      </c>
      <c r="H98" s="3" t="s">
        <v>197</v>
      </c>
    </row>
    <row r="99" customFormat="false" ht="15" hidden="false" customHeight="false" outlineLevel="0" collapsed="false">
      <c r="A99" s="3" t="s">
        <v>162</v>
      </c>
      <c r="B99" s="3" t="n">
        <v>79</v>
      </c>
      <c r="C99" s="3" t="s">
        <v>139</v>
      </c>
      <c r="D99" s="3" t="n">
        <v>29</v>
      </c>
      <c r="E99" s="3" t="s">
        <v>140</v>
      </c>
      <c r="F99" s="3" t="s">
        <v>141</v>
      </c>
      <c r="G99" s="3" t="s">
        <v>141</v>
      </c>
      <c r="H99" s="3" t="s">
        <v>198</v>
      </c>
    </row>
    <row r="100" customFormat="false" ht="15" hidden="false" customHeight="false" outlineLevel="0" collapsed="false">
      <c r="A100" s="3" t="s">
        <v>162</v>
      </c>
      <c r="B100" s="3" t="n">
        <v>79</v>
      </c>
      <c r="C100" s="3" t="s">
        <v>139</v>
      </c>
      <c r="D100" s="3" t="n">
        <v>25</v>
      </c>
      <c r="E100" s="3" t="s">
        <v>145</v>
      </c>
      <c r="F100" s="3" t="s">
        <v>141</v>
      </c>
      <c r="G100" s="3" t="s">
        <v>141</v>
      </c>
      <c r="H100" s="3" t="s">
        <v>198</v>
      </c>
    </row>
    <row r="101" customFormat="false" ht="15" hidden="false" customHeight="false" outlineLevel="0" collapsed="false">
      <c r="A101" s="3" t="s">
        <v>162</v>
      </c>
      <c r="B101" s="3" t="n">
        <v>83</v>
      </c>
      <c r="C101" s="3" t="s">
        <v>139</v>
      </c>
      <c r="D101" s="3" t="n">
        <v>25</v>
      </c>
      <c r="E101" s="3" t="s">
        <v>140</v>
      </c>
      <c r="F101" s="3" t="s">
        <v>141</v>
      </c>
      <c r="G101" s="3" t="s">
        <v>141</v>
      </c>
      <c r="H101" s="3" t="s">
        <v>199</v>
      </c>
    </row>
    <row r="102" customFormat="false" ht="15" hidden="false" customHeight="false" outlineLevel="0" collapsed="false">
      <c r="A102" s="3" t="s">
        <v>162</v>
      </c>
      <c r="B102" s="3" t="n">
        <v>83</v>
      </c>
      <c r="C102" s="3" t="s">
        <v>139</v>
      </c>
      <c r="D102" s="3" t="n">
        <v>16</v>
      </c>
      <c r="E102" s="3" t="s">
        <v>145</v>
      </c>
      <c r="F102" s="3" t="s">
        <v>141</v>
      </c>
      <c r="G102" s="3" t="s">
        <v>141</v>
      </c>
      <c r="H102" s="3" t="s">
        <v>199</v>
      </c>
    </row>
    <row r="103" customFormat="false" ht="15" hidden="false" customHeight="false" outlineLevel="0" collapsed="false">
      <c r="A103" s="3" t="s">
        <v>162</v>
      </c>
      <c r="B103" s="3" t="n">
        <v>84</v>
      </c>
      <c r="C103" s="3" t="s">
        <v>139</v>
      </c>
      <c r="D103" s="3" t="n">
        <v>14</v>
      </c>
      <c r="E103" s="3" t="s">
        <v>140</v>
      </c>
      <c r="F103" s="3" t="s">
        <v>141</v>
      </c>
      <c r="G103" s="3" t="s">
        <v>141</v>
      </c>
      <c r="H103" s="3" t="s">
        <v>200</v>
      </c>
    </row>
    <row r="104" customFormat="false" ht="15" hidden="false" customHeight="false" outlineLevel="0" collapsed="false">
      <c r="A104" s="3" t="s">
        <v>162</v>
      </c>
      <c r="B104" s="3" t="n">
        <v>84</v>
      </c>
      <c r="C104" s="3" t="s">
        <v>139</v>
      </c>
      <c r="D104" s="3" t="n">
        <v>15</v>
      </c>
      <c r="E104" s="3" t="s">
        <v>145</v>
      </c>
      <c r="F104" s="3" t="s">
        <v>141</v>
      </c>
      <c r="G104" s="3" t="s">
        <v>141</v>
      </c>
      <c r="H104" s="3" t="s">
        <v>200</v>
      </c>
    </row>
    <row r="105" customFormat="false" ht="15" hidden="false" customHeight="false" outlineLevel="0" collapsed="false">
      <c r="A105" s="3" t="s">
        <v>162</v>
      </c>
      <c r="B105" s="3" t="n">
        <v>85</v>
      </c>
      <c r="C105" s="3" t="s">
        <v>139</v>
      </c>
      <c r="D105" s="3" t="n">
        <v>16</v>
      </c>
      <c r="E105" s="3" t="s">
        <v>140</v>
      </c>
      <c r="F105" s="3" t="s">
        <v>141</v>
      </c>
      <c r="G105" s="3" t="s">
        <v>141</v>
      </c>
      <c r="H105" s="3" t="s">
        <v>201</v>
      </c>
    </row>
    <row r="106" customFormat="false" ht="15" hidden="false" customHeight="false" outlineLevel="0" collapsed="false">
      <c r="A106" s="3" t="s">
        <v>162</v>
      </c>
      <c r="B106" s="3" t="n">
        <v>86</v>
      </c>
      <c r="C106" s="3" t="s">
        <v>139</v>
      </c>
      <c r="D106" s="3" t="n">
        <v>30</v>
      </c>
      <c r="E106" s="3" t="s">
        <v>140</v>
      </c>
      <c r="F106" s="3" t="s">
        <v>141</v>
      </c>
      <c r="G106" s="3" t="s">
        <v>141</v>
      </c>
      <c r="H106" s="3" t="s">
        <v>202</v>
      </c>
    </row>
    <row r="107" customFormat="false" ht="15" hidden="false" customHeight="false" outlineLevel="0" collapsed="false">
      <c r="A107" s="3" t="s">
        <v>162</v>
      </c>
      <c r="B107" s="3" t="n">
        <v>86</v>
      </c>
      <c r="C107" s="3" t="s">
        <v>139</v>
      </c>
      <c r="D107" s="3" t="n">
        <v>40</v>
      </c>
      <c r="E107" s="3" t="s">
        <v>145</v>
      </c>
      <c r="F107" s="3" t="s">
        <v>141</v>
      </c>
      <c r="G107" s="3" t="s">
        <v>141</v>
      </c>
      <c r="H107" s="3" t="s">
        <v>202</v>
      </c>
    </row>
    <row r="108" customFormat="false" ht="15" hidden="false" customHeight="false" outlineLevel="0" collapsed="false">
      <c r="A108" s="3" t="s">
        <v>162</v>
      </c>
      <c r="B108" s="3" t="n">
        <v>87</v>
      </c>
      <c r="C108" s="3" t="s">
        <v>139</v>
      </c>
      <c r="D108" s="3" t="n">
        <v>22</v>
      </c>
      <c r="E108" s="3" t="s">
        <v>140</v>
      </c>
      <c r="F108" s="3" t="s">
        <v>141</v>
      </c>
      <c r="G108" s="3" t="s">
        <v>141</v>
      </c>
      <c r="H108" s="3" t="s">
        <v>203</v>
      </c>
    </row>
    <row r="109" customFormat="false" ht="15" hidden="false" customHeight="false" outlineLevel="0" collapsed="false">
      <c r="A109" s="3" t="s">
        <v>162</v>
      </c>
      <c r="B109" s="3" t="n">
        <v>87</v>
      </c>
      <c r="C109" s="3" t="s">
        <v>139</v>
      </c>
      <c r="D109" s="3" t="n">
        <v>14</v>
      </c>
      <c r="E109" s="3" t="s">
        <v>145</v>
      </c>
      <c r="F109" s="3" t="s">
        <v>141</v>
      </c>
      <c r="G109" s="3" t="s">
        <v>141</v>
      </c>
      <c r="H109" s="3" t="s">
        <v>203</v>
      </c>
    </row>
    <row r="110" customFormat="false" ht="15" hidden="false" customHeight="false" outlineLevel="0" collapsed="false">
      <c r="A110" s="3" t="s">
        <v>162</v>
      </c>
      <c r="B110" s="3" t="n">
        <v>88</v>
      </c>
      <c r="C110" s="3" t="s">
        <v>139</v>
      </c>
      <c r="D110" s="3" t="n">
        <v>67</v>
      </c>
      <c r="E110" s="3" t="s">
        <v>140</v>
      </c>
      <c r="F110" s="3" t="s">
        <v>141</v>
      </c>
      <c r="G110" s="3" t="s">
        <v>141</v>
      </c>
      <c r="H110" s="3" t="s">
        <v>204</v>
      </c>
    </row>
    <row r="111" customFormat="false" ht="15" hidden="false" customHeight="false" outlineLevel="0" collapsed="false">
      <c r="A111" s="3" t="s">
        <v>162</v>
      </c>
      <c r="B111" s="3" t="n">
        <v>88</v>
      </c>
      <c r="C111" s="3" t="s">
        <v>139</v>
      </c>
      <c r="D111" s="3" t="n">
        <v>43</v>
      </c>
      <c r="E111" s="3" t="s">
        <v>145</v>
      </c>
      <c r="F111" s="3" t="s">
        <v>141</v>
      </c>
      <c r="G111" s="3" t="s">
        <v>141</v>
      </c>
      <c r="H111" s="3" t="s">
        <v>204</v>
      </c>
    </row>
    <row r="112" customFormat="false" ht="15" hidden="false" customHeight="false" outlineLevel="0" collapsed="false">
      <c r="A112" s="3" t="s">
        <v>162</v>
      </c>
      <c r="B112" s="3" t="n">
        <v>88</v>
      </c>
      <c r="C112" s="3" t="s">
        <v>139</v>
      </c>
      <c r="D112" s="3" t="n">
        <v>42</v>
      </c>
      <c r="E112" s="3" t="s">
        <v>145</v>
      </c>
      <c r="F112" s="3" t="s">
        <v>141</v>
      </c>
      <c r="G112" s="3" t="s">
        <v>141</v>
      </c>
      <c r="H112" s="3" t="s">
        <v>204</v>
      </c>
    </row>
    <row r="113" customFormat="false" ht="15" hidden="false" customHeight="false" outlineLevel="0" collapsed="false">
      <c r="A113" s="3" t="s">
        <v>162</v>
      </c>
      <c r="B113" s="3" t="n">
        <v>89</v>
      </c>
      <c r="C113" s="3" t="s">
        <v>139</v>
      </c>
      <c r="D113" s="3" t="n">
        <v>54</v>
      </c>
      <c r="E113" s="3" t="s">
        <v>140</v>
      </c>
      <c r="F113" s="3" t="s">
        <v>141</v>
      </c>
      <c r="G113" s="3" t="s">
        <v>141</v>
      </c>
      <c r="H113" s="3" t="s">
        <v>205</v>
      </c>
    </row>
    <row r="114" customFormat="false" ht="15" hidden="false" customHeight="false" outlineLevel="0" collapsed="false">
      <c r="A114" s="3" t="s">
        <v>162</v>
      </c>
      <c r="B114" s="3" t="n">
        <v>89</v>
      </c>
      <c r="C114" s="3" t="s">
        <v>139</v>
      </c>
      <c r="D114" s="3" t="n">
        <v>27</v>
      </c>
      <c r="E114" s="3" t="s">
        <v>145</v>
      </c>
      <c r="F114" s="3" t="s">
        <v>141</v>
      </c>
      <c r="G114" s="3" t="s">
        <v>141</v>
      </c>
      <c r="H114" s="3" t="s">
        <v>205</v>
      </c>
    </row>
    <row r="115" customFormat="false" ht="15" hidden="false" customHeight="false" outlineLevel="0" collapsed="false">
      <c r="A115" s="3" t="s">
        <v>162</v>
      </c>
      <c r="B115" s="3" t="n">
        <v>92</v>
      </c>
      <c r="C115" s="3" t="s">
        <v>139</v>
      </c>
      <c r="D115" s="3" t="n">
        <v>76</v>
      </c>
      <c r="E115" s="3" t="s">
        <v>140</v>
      </c>
      <c r="F115" s="3" t="s">
        <v>141</v>
      </c>
      <c r="G115" s="3" t="s">
        <v>141</v>
      </c>
      <c r="H115" s="3" t="s">
        <v>206</v>
      </c>
    </row>
    <row r="116" customFormat="false" ht="15" hidden="false" customHeight="false" outlineLevel="0" collapsed="false">
      <c r="A116" s="3" t="s">
        <v>162</v>
      </c>
      <c r="B116" s="3" t="n">
        <v>92</v>
      </c>
      <c r="C116" s="3" t="s">
        <v>139</v>
      </c>
      <c r="D116" s="3" t="n">
        <v>74</v>
      </c>
      <c r="E116" s="3" t="s">
        <v>145</v>
      </c>
      <c r="F116" s="3" t="s">
        <v>141</v>
      </c>
      <c r="G116" s="3" t="s">
        <v>141</v>
      </c>
      <c r="H116" s="3" t="s">
        <v>206</v>
      </c>
    </row>
    <row r="117" customFormat="false" ht="15" hidden="false" customHeight="false" outlineLevel="0" collapsed="false">
      <c r="A117" s="3" t="s">
        <v>162</v>
      </c>
      <c r="B117" s="3" t="n">
        <v>93</v>
      </c>
      <c r="C117" s="3" t="s">
        <v>139</v>
      </c>
      <c r="D117" s="3" t="n">
        <v>22</v>
      </c>
      <c r="E117" s="3" t="s">
        <v>140</v>
      </c>
      <c r="F117" s="3" t="s">
        <v>141</v>
      </c>
      <c r="G117" s="3" t="s">
        <v>141</v>
      </c>
      <c r="H117" s="3" t="s">
        <v>207</v>
      </c>
    </row>
    <row r="118" customFormat="false" ht="15" hidden="false" customHeight="false" outlineLevel="0" collapsed="false">
      <c r="A118" s="3" t="s">
        <v>162</v>
      </c>
      <c r="B118" s="3" t="n">
        <v>93</v>
      </c>
      <c r="C118" s="3" t="s">
        <v>139</v>
      </c>
      <c r="D118" s="3" t="n">
        <v>13</v>
      </c>
      <c r="E118" s="3" t="s">
        <v>145</v>
      </c>
      <c r="F118" s="3" t="s">
        <v>141</v>
      </c>
      <c r="G118" s="3" t="s">
        <v>141</v>
      </c>
      <c r="H118" s="3" t="s">
        <v>207</v>
      </c>
    </row>
    <row r="119" customFormat="false" ht="15" hidden="false" customHeight="false" outlineLevel="0" collapsed="false">
      <c r="A119" s="3" t="s">
        <v>162</v>
      </c>
      <c r="B119" s="3" t="n">
        <v>94</v>
      </c>
      <c r="C119" s="3" t="s">
        <v>139</v>
      </c>
      <c r="D119" s="3" t="n">
        <v>76</v>
      </c>
      <c r="E119" s="3" t="s">
        <v>140</v>
      </c>
      <c r="F119" s="3" t="s">
        <v>141</v>
      </c>
      <c r="G119" s="3" t="s">
        <v>141</v>
      </c>
      <c r="H119" s="3" t="s">
        <v>208</v>
      </c>
    </row>
    <row r="120" customFormat="false" ht="15" hidden="false" customHeight="false" outlineLevel="0" collapsed="false">
      <c r="A120" s="3" t="s">
        <v>162</v>
      </c>
      <c r="B120" s="3" t="n">
        <v>95</v>
      </c>
      <c r="C120" s="3" t="s">
        <v>139</v>
      </c>
      <c r="D120" s="3" t="n">
        <v>5</v>
      </c>
      <c r="E120" s="3" t="s">
        <v>140</v>
      </c>
      <c r="F120" s="3" t="s">
        <v>141</v>
      </c>
      <c r="G120" s="3" t="s">
        <v>141</v>
      </c>
      <c r="H120" s="3" t="s">
        <v>209</v>
      </c>
    </row>
    <row r="121" customFormat="false" ht="15" hidden="false" customHeight="false" outlineLevel="0" collapsed="false">
      <c r="A121" s="3" t="s">
        <v>162</v>
      </c>
      <c r="B121" s="3" t="n">
        <v>95</v>
      </c>
      <c r="C121" s="3" t="s">
        <v>139</v>
      </c>
      <c r="D121" s="3" t="n">
        <v>8</v>
      </c>
      <c r="E121" s="3" t="s">
        <v>145</v>
      </c>
      <c r="F121" s="3" t="s">
        <v>141</v>
      </c>
      <c r="G121" s="3" t="s">
        <v>141</v>
      </c>
      <c r="H121" s="3" t="s">
        <v>209</v>
      </c>
    </row>
    <row r="122" customFormat="false" ht="15" hidden="false" customHeight="false" outlineLevel="0" collapsed="false">
      <c r="A122" s="3" t="s">
        <v>162</v>
      </c>
      <c r="B122" s="3" t="n">
        <v>97</v>
      </c>
      <c r="C122" s="3" t="s">
        <v>139</v>
      </c>
      <c r="D122" s="3" t="n">
        <v>79</v>
      </c>
      <c r="E122" s="3" t="s">
        <v>140</v>
      </c>
      <c r="F122" s="3" t="s">
        <v>141</v>
      </c>
      <c r="G122" s="3" t="s">
        <v>141</v>
      </c>
      <c r="H122" s="3" t="s">
        <v>210</v>
      </c>
    </row>
    <row r="123" customFormat="false" ht="15" hidden="false" customHeight="false" outlineLevel="0" collapsed="false">
      <c r="A123" s="3" t="s">
        <v>162</v>
      </c>
      <c r="B123" s="3" t="n">
        <v>97</v>
      </c>
      <c r="C123" s="3" t="s">
        <v>139</v>
      </c>
      <c r="D123" s="3" t="n">
        <v>76</v>
      </c>
      <c r="E123" s="3" t="s">
        <v>145</v>
      </c>
      <c r="F123" s="3" t="s">
        <v>141</v>
      </c>
      <c r="G123" s="3" t="s">
        <v>141</v>
      </c>
      <c r="H123" s="3" t="s">
        <v>210</v>
      </c>
    </row>
    <row r="124" customFormat="false" ht="15" hidden="false" customHeight="false" outlineLevel="0" collapsed="false">
      <c r="A124" s="3" t="s">
        <v>162</v>
      </c>
      <c r="B124" s="3" t="n">
        <v>99</v>
      </c>
      <c r="C124" s="3" t="s">
        <v>139</v>
      </c>
      <c r="D124" s="3" t="n">
        <v>69</v>
      </c>
      <c r="E124" s="3" t="s">
        <v>140</v>
      </c>
      <c r="F124" s="3" t="s">
        <v>141</v>
      </c>
      <c r="G124" s="3" t="s">
        <v>141</v>
      </c>
      <c r="H124" s="3" t="s">
        <v>211</v>
      </c>
    </row>
    <row r="125" customFormat="false" ht="15" hidden="false" customHeight="false" outlineLevel="0" collapsed="false">
      <c r="A125" s="3" t="s">
        <v>162</v>
      </c>
      <c r="B125" s="3" t="n">
        <v>99</v>
      </c>
      <c r="C125" s="3" t="s">
        <v>139</v>
      </c>
      <c r="D125" s="3" t="n">
        <v>68</v>
      </c>
      <c r="E125" s="3" t="s">
        <v>145</v>
      </c>
      <c r="F125" s="3" t="s">
        <v>141</v>
      </c>
      <c r="G125" s="3" t="s">
        <v>141</v>
      </c>
      <c r="H125" s="3" t="s">
        <v>211</v>
      </c>
    </row>
    <row r="126" customFormat="false" ht="15" hidden="false" customHeight="false" outlineLevel="0" collapsed="false">
      <c r="A126" s="3" t="s">
        <v>162</v>
      </c>
      <c r="B126" s="3" t="n">
        <v>99</v>
      </c>
      <c r="C126" s="3" t="s">
        <v>139</v>
      </c>
      <c r="D126" s="3" t="n">
        <v>72</v>
      </c>
      <c r="E126" s="3" t="s">
        <v>145</v>
      </c>
      <c r="F126" s="3" t="s">
        <v>141</v>
      </c>
      <c r="G126" s="3" t="s">
        <v>141</v>
      </c>
      <c r="H126" s="3" t="s">
        <v>211</v>
      </c>
    </row>
    <row r="127" customFormat="false" ht="15" hidden="false" customHeight="false" outlineLevel="0" collapsed="false">
      <c r="A127" s="3" t="s">
        <v>212</v>
      </c>
      <c r="B127" s="3" t="n">
        <v>1</v>
      </c>
      <c r="C127" s="3" t="s">
        <v>139</v>
      </c>
      <c r="D127" s="3" t="n">
        <v>12</v>
      </c>
      <c r="E127" s="3" t="s">
        <v>140</v>
      </c>
      <c r="F127" s="3" t="s">
        <v>213</v>
      </c>
      <c r="G127" s="3" t="s">
        <v>213</v>
      </c>
      <c r="H127" s="3" t="s">
        <v>214</v>
      </c>
    </row>
    <row r="128" customFormat="false" ht="15" hidden="false" customHeight="false" outlineLevel="0" collapsed="false">
      <c r="A128" s="3" t="s">
        <v>212</v>
      </c>
      <c r="B128" s="3" t="n">
        <v>4</v>
      </c>
      <c r="C128" s="3" t="s">
        <v>139</v>
      </c>
      <c r="D128" s="3" t="n">
        <v>31</v>
      </c>
      <c r="E128" s="3" t="s">
        <v>140</v>
      </c>
      <c r="F128" s="3" t="s">
        <v>213</v>
      </c>
      <c r="G128" s="3" t="s">
        <v>213</v>
      </c>
      <c r="H128" s="3" t="s">
        <v>215</v>
      </c>
    </row>
    <row r="129" customFormat="false" ht="15" hidden="false" customHeight="false" outlineLevel="0" collapsed="false">
      <c r="A129" s="3" t="s">
        <v>212</v>
      </c>
      <c r="B129" s="3" t="n">
        <v>4</v>
      </c>
      <c r="C129" s="3" t="s">
        <v>139</v>
      </c>
      <c r="D129" s="3" t="n">
        <v>64</v>
      </c>
      <c r="E129" s="3" t="s">
        <v>145</v>
      </c>
      <c r="F129" s="3" t="s">
        <v>213</v>
      </c>
      <c r="G129" s="3" t="s">
        <v>213</v>
      </c>
      <c r="H129" s="3" t="s">
        <v>215</v>
      </c>
    </row>
    <row r="130" customFormat="false" ht="15" hidden="false" customHeight="false" outlineLevel="0" collapsed="false">
      <c r="A130" s="3" t="s">
        <v>212</v>
      </c>
      <c r="B130" s="3" t="n">
        <v>4</v>
      </c>
      <c r="C130" s="3" t="s">
        <v>139</v>
      </c>
      <c r="D130" s="3" t="n">
        <v>32</v>
      </c>
      <c r="E130" s="3" t="s">
        <v>145</v>
      </c>
      <c r="F130" s="3" t="s">
        <v>213</v>
      </c>
      <c r="G130" s="3" t="s">
        <v>213</v>
      </c>
      <c r="H130" s="3" t="s">
        <v>215</v>
      </c>
    </row>
    <row r="131" customFormat="false" ht="15" hidden="false" customHeight="false" outlineLevel="0" collapsed="false">
      <c r="A131" s="3" t="s">
        <v>212</v>
      </c>
      <c r="B131" s="3" t="n">
        <v>5</v>
      </c>
      <c r="C131" s="3" t="s">
        <v>139</v>
      </c>
      <c r="D131" s="3" t="n">
        <v>42</v>
      </c>
      <c r="E131" s="3" t="s">
        <v>140</v>
      </c>
      <c r="F131" s="3" t="s">
        <v>213</v>
      </c>
      <c r="G131" s="3" t="s">
        <v>213</v>
      </c>
      <c r="H131" s="3" t="s">
        <v>216</v>
      </c>
    </row>
    <row r="132" customFormat="false" ht="15" hidden="false" customHeight="false" outlineLevel="0" collapsed="false">
      <c r="A132" s="3" t="s">
        <v>212</v>
      </c>
      <c r="B132" s="3" t="n">
        <v>5</v>
      </c>
      <c r="C132" s="3" t="s">
        <v>139</v>
      </c>
      <c r="D132" s="3" t="n">
        <v>32</v>
      </c>
      <c r="E132" s="3" t="s">
        <v>145</v>
      </c>
      <c r="F132" s="3" t="s">
        <v>213</v>
      </c>
      <c r="G132" s="3" t="s">
        <v>213</v>
      </c>
      <c r="H132" s="3" t="s">
        <v>216</v>
      </c>
    </row>
    <row r="133" customFormat="false" ht="15" hidden="false" customHeight="false" outlineLevel="0" collapsed="false">
      <c r="A133" s="3" t="s">
        <v>212</v>
      </c>
      <c r="B133" s="3" t="n">
        <v>6</v>
      </c>
      <c r="C133" s="3" t="s">
        <v>139</v>
      </c>
      <c r="D133" s="3" t="n">
        <v>49</v>
      </c>
      <c r="E133" s="3" t="s">
        <v>140</v>
      </c>
      <c r="F133" s="3" t="s">
        <v>213</v>
      </c>
      <c r="G133" s="3" t="s">
        <v>213</v>
      </c>
      <c r="H133" s="3" t="s">
        <v>217</v>
      </c>
    </row>
    <row r="134" customFormat="false" ht="15" hidden="false" customHeight="false" outlineLevel="0" collapsed="false">
      <c r="A134" s="3" t="s">
        <v>212</v>
      </c>
      <c r="B134" s="3" t="n">
        <v>6</v>
      </c>
      <c r="C134" s="3" t="s">
        <v>139</v>
      </c>
      <c r="D134" s="3" t="n">
        <v>25</v>
      </c>
      <c r="E134" s="3" t="s">
        <v>145</v>
      </c>
      <c r="F134" s="3" t="s">
        <v>213</v>
      </c>
      <c r="G134" s="3" t="s">
        <v>213</v>
      </c>
      <c r="H134" s="3" t="s">
        <v>217</v>
      </c>
    </row>
    <row r="135" customFormat="false" ht="15" hidden="false" customHeight="false" outlineLevel="0" collapsed="false">
      <c r="A135" s="3" t="s">
        <v>212</v>
      </c>
      <c r="B135" s="3" t="n">
        <v>8</v>
      </c>
      <c r="C135" s="3" t="s">
        <v>139</v>
      </c>
      <c r="D135" s="3" t="n">
        <v>76</v>
      </c>
      <c r="E135" s="3" t="s">
        <v>140</v>
      </c>
      <c r="F135" s="3" t="s">
        <v>213</v>
      </c>
      <c r="G135" s="3" t="s">
        <v>213</v>
      </c>
      <c r="H135" s="3" t="s">
        <v>218</v>
      </c>
    </row>
    <row r="136" customFormat="false" ht="15" hidden="false" customHeight="false" outlineLevel="0" collapsed="false">
      <c r="A136" s="3" t="s">
        <v>212</v>
      </c>
      <c r="B136" s="3" t="n">
        <v>8</v>
      </c>
      <c r="C136" s="3" t="s">
        <v>139</v>
      </c>
      <c r="D136" s="3" t="n">
        <v>43</v>
      </c>
      <c r="E136" s="3" t="s">
        <v>145</v>
      </c>
      <c r="F136" s="3" t="s">
        <v>213</v>
      </c>
      <c r="G136" s="3" t="s">
        <v>213</v>
      </c>
      <c r="H136" s="3" t="s">
        <v>218</v>
      </c>
    </row>
    <row r="137" customFormat="false" ht="15" hidden="false" customHeight="false" outlineLevel="0" collapsed="false">
      <c r="A137" s="3" t="s">
        <v>212</v>
      </c>
      <c r="B137" s="3" t="n">
        <v>9</v>
      </c>
      <c r="C137" s="3" t="s">
        <v>139</v>
      </c>
      <c r="D137" s="3" t="n">
        <v>32</v>
      </c>
      <c r="E137" s="3" t="s">
        <v>140</v>
      </c>
      <c r="F137" s="3" t="s">
        <v>213</v>
      </c>
      <c r="G137" s="3" t="s">
        <v>213</v>
      </c>
      <c r="H137" s="3" t="s">
        <v>219</v>
      </c>
    </row>
    <row r="138" customFormat="false" ht="15" hidden="false" customHeight="false" outlineLevel="0" collapsed="false">
      <c r="A138" s="3" t="s">
        <v>212</v>
      </c>
      <c r="B138" s="3" t="n">
        <v>9</v>
      </c>
      <c r="C138" s="3" t="s">
        <v>139</v>
      </c>
      <c r="D138" s="3" t="n">
        <v>29</v>
      </c>
      <c r="E138" s="3" t="s">
        <v>145</v>
      </c>
      <c r="F138" s="3" t="s">
        <v>213</v>
      </c>
      <c r="G138" s="3" t="s">
        <v>213</v>
      </c>
      <c r="H138" s="3" t="s">
        <v>219</v>
      </c>
    </row>
    <row r="139" customFormat="false" ht="15" hidden="false" customHeight="false" outlineLevel="0" collapsed="false">
      <c r="A139" s="3" t="s">
        <v>212</v>
      </c>
      <c r="B139" s="3" t="n">
        <v>10</v>
      </c>
      <c r="C139" s="3" t="s">
        <v>139</v>
      </c>
      <c r="D139" s="3" t="n">
        <v>49</v>
      </c>
      <c r="E139" s="3" t="s">
        <v>140</v>
      </c>
      <c r="F139" s="3" t="s">
        <v>213</v>
      </c>
      <c r="G139" s="3" t="s">
        <v>213</v>
      </c>
      <c r="H139" s="3" t="s">
        <v>220</v>
      </c>
    </row>
    <row r="140" customFormat="false" ht="15" hidden="false" customHeight="false" outlineLevel="0" collapsed="false">
      <c r="A140" s="3" t="s">
        <v>212</v>
      </c>
      <c r="B140" s="3" t="n">
        <v>10</v>
      </c>
      <c r="C140" s="3" t="s">
        <v>139</v>
      </c>
      <c r="D140" s="3" t="n">
        <v>54</v>
      </c>
      <c r="E140" s="3" t="s">
        <v>145</v>
      </c>
      <c r="F140" s="3" t="s">
        <v>213</v>
      </c>
      <c r="G140" s="3" t="s">
        <v>213</v>
      </c>
      <c r="H140" s="3" t="s">
        <v>220</v>
      </c>
    </row>
    <row r="141" customFormat="false" ht="15" hidden="false" customHeight="false" outlineLevel="0" collapsed="false">
      <c r="A141" s="3" t="s">
        <v>212</v>
      </c>
      <c r="B141" s="3" t="n">
        <v>10</v>
      </c>
      <c r="C141" s="3" t="s">
        <v>139</v>
      </c>
      <c r="D141" s="3" t="n">
        <v>32</v>
      </c>
      <c r="E141" s="3" t="s">
        <v>145</v>
      </c>
      <c r="F141" s="3" t="s">
        <v>213</v>
      </c>
      <c r="G141" s="3" t="s">
        <v>213</v>
      </c>
      <c r="H141" s="3" t="s">
        <v>220</v>
      </c>
    </row>
    <row r="142" customFormat="false" ht="15" hidden="false" customHeight="false" outlineLevel="0" collapsed="false">
      <c r="A142" s="3" t="s">
        <v>212</v>
      </c>
      <c r="B142" s="3" t="n">
        <v>11</v>
      </c>
      <c r="C142" s="3" t="s">
        <v>139</v>
      </c>
      <c r="D142" s="3" t="n">
        <v>21</v>
      </c>
      <c r="E142" s="3" t="s">
        <v>140</v>
      </c>
      <c r="F142" s="3" t="s">
        <v>213</v>
      </c>
      <c r="G142" s="3" t="s">
        <v>213</v>
      </c>
      <c r="H142" s="3" t="s">
        <v>221</v>
      </c>
    </row>
    <row r="143" customFormat="false" ht="15" hidden="false" customHeight="false" outlineLevel="0" collapsed="false">
      <c r="A143" s="3" t="s">
        <v>212</v>
      </c>
      <c r="B143" s="3" t="n">
        <v>12</v>
      </c>
      <c r="C143" s="3" t="s">
        <v>139</v>
      </c>
      <c r="D143" s="3" t="n">
        <v>53</v>
      </c>
      <c r="E143" s="3" t="s">
        <v>140</v>
      </c>
      <c r="F143" s="3" t="s">
        <v>213</v>
      </c>
      <c r="G143" s="3" t="s">
        <v>213</v>
      </c>
      <c r="H143" s="3" t="s">
        <v>222</v>
      </c>
    </row>
    <row r="144" customFormat="false" ht="15" hidden="false" customHeight="false" outlineLevel="0" collapsed="false">
      <c r="A144" s="3" t="s">
        <v>212</v>
      </c>
      <c r="B144" s="3" t="n">
        <v>12</v>
      </c>
      <c r="C144" s="3" t="s">
        <v>139</v>
      </c>
      <c r="D144" s="3" t="n">
        <v>28</v>
      </c>
      <c r="E144" s="3" t="s">
        <v>145</v>
      </c>
      <c r="F144" s="3" t="s">
        <v>213</v>
      </c>
      <c r="G144" s="3" t="s">
        <v>213</v>
      </c>
      <c r="H144" s="3" t="s">
        <v>222</v>
      </c>
    </row>
    <row r="145" customFormat="false" ht="15" hidden="false" customHeight="false" outlineLevel="0" collapsed="false">
      <c r="A145" s="3" t="s">
        <v>212</v>
      </c>
      <c r="B145" s="3" t="n">
        <v>13</v>
      </c>
      <c r="C145" s="3" t="s">
        <v>139</v>
      </c>
      <c r="D145" s="3" t="n">
        <v>30</v>
      </c>
      <c r="E145" s="3" t="s">
        <v>140</v>
      </c>
      <c r="F145" s="3" t="s">
        <v>213</v>
      </c>
      <c r="G145" s="3" t="s">
        <v>213</v>
      </c>
      <c r="H145" s="3" t="s">
        <v>223</v>
      </c>
    </row>
    <row r="146" customFormat="false" ht="15" hidden="false" customHeight="false" outlineLevel="0" collapsed="false">
      <c r="A146" s="3" t="s">
        <v>212</v>
      </c>
      <c r="B146" s="3" t="n">
        <v>13</v>
      </c>
      <c r="C146" s="3" t="s">
        <v>139</v>
      </c>
      <c r="D146" s="3" t="n">
        <v>25</v>
      </c>
      <c r="E146" s="3" t="s">
        <v>145</v>
      </c>
      <c r="F146" s="3" t="s">
        <v>213</v>
      </c>
      <c r="G146" s="3" t="s">
        <v>213</v>
      </c>
      <c r="H146" s="3" t="s">
        <v>223</v>
      </c>
    </row>
    <row r="147" customFormat="false" ht="15" hidden="false" customHeight="false" outlineLevel="0" collapsed="false">
      <c r="A147" s="3" t="s">
        <v>212</v>
      </c>
      <c r="B147" s="3" t="n">
        <v>14</v>
      </c>
      <c r="C147" s="3" t="s">
        <v>139</v>
      </c>
      <c r="D147" s="3" t="n">
        <v>43</v>
      </c>
      <c r="E147" s="3" t="s">
        <v>140</v>
      </c>
      <c r="F147" s="3" t="s">
        <v>213</v>
      </c>
      <c r="G147" s="3" t="s">
        <v>213</v>
      </c>
      <c r="H147" s="3" t="s">
        <v>224</v>
      </c>
    </row>
    <row r="148" customFormat="false" ht="15" hidden="false" customHeight="false" outlineLevel="0" collapsed="false">
      <c r="A148" s="3" t="s">
        <v>212</v>
      </c>
      <c r="B148" s="3" t="n">
        <v>14</v>
      </c>
      <c r="C148" s="3" t="s">
        <v>139</v>
      </c>
      <c r="D148" s="3" t="n">
        <v>50</v>
      </c>
      <c r="E148" s="3" t="s">
        <v>145</v>
      </c>
      <c r="F148" s="3" t="s">
        <v>213</v>
      </c>
      <c r="G148" s="3" t="s">
        <v>213</v>
      </c>
      <c r="H148" s="3" t="s">
        <v>224</v>
      </c>
    </row>
    <row r="149" customFormat="false" ht="15" hidden="false" customHeight="false" outlineLevel="0" collapsed="false">
      <c r="A149" s="3" t="s">
        <v>212</v>
      </c>
      <c r="B149" s="3" t="n">
        <v>18</v>
      </c>
      <c r="C149" s="3" t="s">
        <v>139</v>
      </c>
      <c r="D149" s="3" t="n">
        <v>65</v>
      </c>
      <c r="E149" s="3" t="s">
        <v>140</v>
      </c>
      <c r="F149" s="3" t="s">
        <v>213</v>
      </c>
      <c r="G149" s="3" t="s">
        <v>213</v>
      </c>
      <c r="H149" s="3" t="s">
        <v>225</v>
      </c>
    </row>
    <row r="150" customFormat="false" ht="15" hidden="false" customHeight="false" outlineLevel="0" collapsed="false">
      <c r="A150" s="3" t="s">
        <v>212</v>
      </c>
      <c r="B150" s="3" t="n">
        <v>19</v>
      </c>
      <c r="C150" s="3" t="s">
        <v>139</v>
      </c>
      <c r="D150" s="3" t="n">
        <v>12</v>
      </c>
      <c r="E150" s="3" t="s">
        <v>140</v>
      </c>
      <c r="F150" s="3" t="s">
        <v>213</v>
      </c>
      <c r="G150" s="3" t="s">
        <v>213</v>
      </c>
      <c r="H150" s="3" t="s">
        <v>226</v>
      </c>
    </row>
    <row r="151" customFormat="false" ht="15" hidden="false" customHeight="false" outlineLevel="0" collapsed="false">
      <c r="A151" s="3" t="s">
        <v>212</v>
      </c>
      <c r="B151" s="3" t="n">
        <v>20</v>
      </c>
      <c r="C151" s="3" t="s">
        <v>139</v>
      </c>
      <c r="D151" s="3" t="n">
        <v>53</v>
      </c>
      <c r="E151" s="3" t="s">
        <v>140</v>
      </c>
      <c r="F151" s="3" t="s">
        <v>213</v>
      </c>
      <c r="G151" s="3" t="s">
        <v>213</v>
      </c>
      <c r="H151" s="3" t="s">
        <v>227</v>
      </c>
    </row>
    <row r="152" customFormat="false" ht="15" hidden="false" customHeight="false" outlineLevel="0" collapsed="false">
      <c r="A152" s="3" t="s">
        <v>212</v>
      </c>
      <c r="B152" s="3" t="n">
        <v>20</v>
      </c>
      <c r="C152" s="3" t="s">
        <v>139</v>
      </c>
      <c r="D152" s="3" t="n">
        <v>12</v>
      </c>
      <c r="E152" s="3" t="s">
        <v>145</v>
      </c>
      <c r="F152" s="3" t="s">
        <v>213</v>
      </c>
      <c r="G152" s="3" t="s">
        <v>213</v>
      </c>
      <c r="H152" s="3" t="s">
        <v>227</v>
      </c>
    </row>
    <row r="153" customFormat="false" ht="15" hidden="false" customHeight="false" outlineLevel="0" collapsed="false">
      <c r="A153" s="3" t="s">
        <v>212</v>
      </c>
      <c r="B153" s="3" t="n">
        <v>21</v>
      </c>
      <c r="C153" s="3" t="s">
        <v>139</v>
      </c>
      <c r="D153" s="3" t="n">
        <v>78</v>
      </c>
      <c r="E153" s="3" t="s">
        <v>140</v>
      </c>
      <c r="F153" s="3" t="s">
        <v>213</v>
      </c>
      <c r="G153" s="3" t="s">
        <v>213</v>
      </c>
      <c r="H153" s="3" t="s">
        <v>228</v>
      </c>
    </row>
    <row r="154" customFormat="false" ht="15" hidden="false" customHeight="false" outlineLevel="0" collapsed="false">
      <c r="A154" s="3" t="s">
        <v>212</v>
      </c>
      <c r="B154" s="3" t="n">
        <v>21</v>
      </c>
      <c r="C154" s="3" t="s">
        <v>139</v>
      </c>
      <c r="D154" s="3" t="n">
        <v>80</v>
      </c>
      <c r="E154" s="3" t="s">
        <v>145</v>
      </c>
      <c r="F154" s="3" t="s">
        <v>213</v>
      </c>
      <c r="G154" s="3" t="s">
        <v>213</v>
      </c>
      <c r="H154" s="3" t="s">
        <v>228</v>
      </c>
    </row>
    <row r="155" customFormat="false" ht="15" hidden="false" customHeight="false" outlineLevel="0" collapsed="false">
      <c r="A155" s="3" t="s">
        <v>212</v>
      </c>
      <c r="B155" s="3" t="n">
        <v>24</v>
      </c>
      <c r="C155" s="3" t="s">
        <v>139</v>
      </c>
      <c r="D155" s="3" t="n">
        <v>47</v>
      </c>
      <c r="E155" s="3" t="s">
        <v>140</v>
      </c>
      <c r="F155" s="3" t="s">
        <v>213</v>
      </c>
      <c r="G155" s="3" t="s">
        <v>213</v>
      </c>
      <c r="H155" s="3" t="s">
        <v>229</v>
      </c>
    </row>
    <row r="156" customFormat="false" ht="15" hidden="false" customHeight="false" outlineLevel="0" collapsed="false">
      <c r="A156" s="3" t="s">
        <v>212</v>
      </c>
      <c r="B156" s="3" t="n">
        <v>25</v>
      </c>
      <c r="C156" s="3" t="s">
        <v>139</v>
      </c>
      <c r="D156" s="3" t="n">
        <v>47</v>
      </c>
      <c r="E156" s="3" t="s">
        <v>140</v>
      </c>
      <c r="F156" s="3" t="s">
        <v>213</v>
      </c>
      <c r="G156" s="3" t="s">
        <v>213</v>
      </c>
      <c r="H156" s="3" t="s">
        <v>230</v>
      </c>
    </row>
    <row r="157" customFormat="false" ht="15" hidden="false" customHeight="false" outlineLevel="0" collapsed="false">
      <c r="A157" s="3" t="s">
        <v>212</v>
      </c>
      <c r="B157" s="3" t="n">
        <v>25</v>
      </c>
      <c r="C157" s="3" t="s">
        <v>139</v>
      </c>
      <c r="D157" s="3" t="n">
        <v>43</v>
      </c>
      <c r="E157" s="3" t="s">
        <v>145</v>
      </c>
      <c r="F157" s="3" t="s">
        <v>213</v>
      </c>
      <c r="G157" s="3" t="s">
        <v>213</v>
      </c>
      <c r="H157" s="3" t="s">
        <v>230</v>
      </c>
    </row>
    <row r="158" customFormat="false" ht="15" hidden="false" customHeight="false" outlineLevel="0" collapsed="false">
      <c r="A158" s="3" t="s">
        <v>212</v>
      </c>
      <c r="B158" s="3" t="n">
        <v>26</v>
      </c>
      <c r="C158" s="3" t="s">
        <v>139</v>
      </c>
      <c r="D158" s="3" t="n">
        <v>76</v>
      </c>
      <c r="E158" s="3" t="s">
        <v>140</v>
      </c>
      <c r="F158" s="3" t="s">
        <v>213</v>
      </c>
      <c r="G158" s="3" t="s">
        <v>213</v>
      </c>
      <c r="H158" s="3" t="s">
        <v>231</v>
      </c>
    </row>
    <row r="159" customFormat="false" ht="15" hidden="false" customHeight="false" outlineLevel="0" collapsed="false">
      <c r="A159" s="3" t="s">
        <v>212</v>
      </c>
      <c r="B159" s="3" t="n">
        <v>26</v>
      </c>
      <c r="C159" s="3" t="s">
        <v>139</v>
      </c>
      <c r="D159" s="3" t="n">
        <v>43</v>
      </c>
      <c r="E159" s="3" t="s">
        <v>145</v>
      </c>
      <c r="F159" s="3" t="s">
        <v>213</v>
      </c>
      <c r="G159" s="3" t="s">
        <v>213</v>
      </c>
      <c r="H159" s="3" t="s">
        <v>231</v>
      </c>
    </row>
    <row r="160" customFormat="false" ht="15" hidden="false" customHeight="false" outlineLevel="0" collapsed="false">
      <c r="A160" s="3" t="s">
        <v>212</v>
      </c>
      <c r="B160" s="3" t="n">
        <v>28</v>
      </c>
      <c r="C160" s="3" t="s">
        <v>139</v>
      </c>
      <c r="D160" s="3" t="n">
        <v>76</v>
      </c>
      <c r="E160" s="3" t="s">
        <v>140</v>
      </c>
      <c r="F160" s="3" t="s">
        <v>213</v>
      </c>
      <c r="G160" s="3" t="s">
        <v>213</v>
      </c>
      <c r="H160" s="3" t="s">
        <v>232</v>
      </c>
    </row>
    <row r="161" customFormat="false" ht="15" hidden="false" customHeight="false" outlineLevel="0" collapsed="false">
      <c r="A161" s="3" t="s">
        <v>212</v>
      </c>
      <c r="B161" s="3" t="n">
        <v>28</v>
      </c>
      <c r="C161" s="3" t="s">
        <v>139</v>
      </c>
      <c r="D161" s="3" t="n">
        <v>74</v>
      </c>
      <c r="E161" s="3" t="s">
        <v>145</v>
      </c>
      <c r="F161" s="3" t="s">
        <v>213</v>
      </c>
      <c r="G161" s="3" t="s">
        <v>213</v>
      </c>
      <c r="H161" s="3" t="s">
        <v>232</v>
      </c>
    </row>
    <row r="162" customFormat="false" ht="15" hidden="false" customHeight="false" outlineLevel="0" collapsed="false">
      <c r="A162" s="3" t="s">
        <v>212</v>
      </c>
      <c r="B162" s="3" t="n">
        <v>29</v>
      </c>
      <c r="C162" s="3" t="s">
        <v>139</v>
      </c>
      <c r="D162" s="3" t="n">
        <v>76</v>
      </c>
      <c r="E162" s="3" t="s">
        <v>140</v>
      </c>
      <c r="F162" s="3" t="s">
        <v>213</v>
      </c>
      <c r="G162" s="3" t="s">
        <v>213</v>
      </c>
      <c r="H162" s="3" t="s">
        <v>233</v>
      </c>
    </row>
    <row r="163" customFormat="false" ht="15" hidden="false" customHeight="false" outlineLevel="0" collapsed="false">
      <c r="A163" s="3" t="s">
        <v>212</v>
      </c>
      <c r="B163" s="3" t="n">
        <v>29</v>
      </c>
      <c r="C163" s="3" t="s">
        <v>139</v>
      </c>
      <c r="D163" s="3" t="n">
        <v>74</v>
      </c>
      <c r="E163" s="3" t="s">
        <v>145</v>
      </c>
      <c r="F163" s="3" t="s">
        <v>213</v>
      </c>
      <c r="G163" s="3" t="s">
        <v>213</v>
      </c>
      <c r="H163" s="3" t="s">
        <v>233</v>
      </c>
    </row>
    <row r="164" customFormat="false" ht="15" hidden="false" customHeight="false" outlineLevel="0" collapsed="false">
      <c r="A164" s="3" t="s">
        <v>212</v>
      </c>
      <c r="B164" s="3" t="n">
        <v>31</v>
      </c>
      <c r="C164" s="3" t="s">
        <v>139</v>
      </c>
      <c r="D164" s="3" t="n">
        <v>28</v>
      </c>
      <c r="E164" s="3" t="s">
        <v>140</v>
      </c>
      <c r="F164" s="3" t="s">
        <v>213</v>
      </c>
      <c r="G164" s="3" t="s">
        <v>213</v>
      </c>
      <c r="H164" s="3" t="s">
        <v>234</v>
      </c>
    </row>
    <row r="165" customFormat="false" ht="15" hidden="false" customHeight="false" outlineLevel="0" collapsed="false">
      <c r="A165" s="3" t="s">
        <v>212</v>
      </c>
      <c r="B165" s="3" t="n">
        <v>31</v>
      </c>
      <c r="C165" s="3" t="s">
        <v>139</v>
      </c>
      <c r="D165" s="3" t="n">
        <v>49</v>
      </c>
      <c r="E165" s="3" t="s">
        <v>145</v>
      </c>
      <c r="F165" s="3" t="s">
        <v>213</v>
      </c>
      <c r="G165" s="3" t="s">
        <v>213</v>
      </c>
      <c r="H165" s="3" t="s">
        <v>234</v>
      </c>
    </row>
    <row r="166" customFormat="false" ht="15" hidden="false" customHeight="false" outlineLevel="0" collapsed="false">
      <c r="A166" s="3" t="s">
        <v>212</v>
      </c>
      <c r="B166" s="3" t="n">
        <v>33</v>
      </c>
      <c r="C166" s="3" t="s">
        <v>139</v>
      </c>
      <c r="D166" s="3" t="n">
        <v>91</v>
      </c>
      <c r="E166" s="3" t="s">
        <v>140</v>
      </c>
      <c r="F166" s="3" t="s">
        <v>213</v>
      </c>
      <c r="G166" s="3" t="s">
        <v>213</v>
      </c>
      <c r="H166" s="3" t="s">
        <v>235</v>
      </c>
    </row>
    <row r="167" customFormat="false" ht="15" hidden="false" customHeight="false" outlineLevel="0" collapsed="false">
      <c r="A167" s="3" t="s">
        <v>212</v>
      </c>
      <c r="B167" s="3" t="n">
        <v>33</v>
      </c>
      <c r="C167" s="3" t="s">
        <v>139</v>
      </c>
      <c r="D167" s="3" t="n">
        <v>64</v>
      </c>
      <c r="E167" s="3" t="s">
        <v>145</v>
      </c>
      <c r="F167" s="3" t="s">
        <v>213</v>
      </c>
      <c r="G167" s="3" t="s">
        <v>213</v>
      </c>
      <c r="H167" s="3" t="s">
        <v>235</v>
      </c>
    </row>
    <row r="168" customFormat="false" ht="15" hidden="false" customHeight="false" outlineLevel="0" collapsed="false">
      <c r="A168" s="3" t="s">
        <v>212</v>
      </c>
      <c r="B168" s="3" t="n">
        <v>33</v>
      </c>
      <c r="C168" s="3" t="s">
        <v>139</v>
      </c>
      <c r="D168" s="3" t="n">
        <v>50</v>
      </c>
      <c r="E168" s="3" t="s">
        <v>145</v>
      </c>
      <c r="F168" s="3" t="s">
        <v>213</v>
      </c>
      <c r="G168" s="3" t="s">
        <v>213</v>
      </c>
      <c r="H168" s="3" t="s">
        <v>235</v>
      </c>
    </row>
    <row r="169" customFormat="false" ht="15" hidden="false" customHeight="false" outlineLevel="0" collapsed="false">
      <c r="A169" s="3" t="s">
        <v>212</v>
      </c>
      <c r="B169" s="3" t="n">
        <v>34</v>
      </c>
      <c r="C169" s="3" t="s">
        <v>139</v>
      </c>
      <c r="D169" s="3" t="n">
        <v>65</v>
      </c>
      <c r="E169" s="3" t="s">
        <v>140</v>
      </c>
      <c r="F169" s="3" t="s">
        <v>213</v>
      </c>
      <c r="G169" s="3" t="s">
        <v>213</v>
      </c>
      <c r="H169" s="3" t="s">
        <v>236</v>
      </c>
    </row>
    <row r="170" customFormat="false" ht="15" hidden="false" customHeight="false" outlineLevel="0" collapsed="false">
      <c r="A170" s="3" t="s">
        <v>212</v>
      </c>
      <c r="B170" s="3" t="n">
        <v>34</v>
      </c>
      <c r="C170" s="3" t="s">
        <v>139</v>
      </c>
      <c r="D170" s="3" t="n">
        <v>21</v>
      </c>
      <c r="E170" s="3" t="s">
        <v>145</v>
      </c>
      <c r="F170" s="3" t="s">
        <v>213</v>
      </c>
      <c r="G170" s="3" t="s">
        <v>213</v>
      </c>
      <c r="H170" s="3" t="s">
        <v>236</v>
      </c>
    </row>
    <row r="171" customFormat="false" ht="15" hidden="false" customHeight="false" outlineLevel="0" collapsed="false">
      <c r="A171" s="3" t="s">
        <v>212</v>
      </c>
      <c r="B171" s="3" t="n">
        <v>35</v>
      </c>
      <c r="C171" s="3" t="s">
        <v>139</v>
      </c>
      <c r="D171" s="3" t="n">
        <v>65</v>
      </c>
      <c r="E171" s="3" t="s">
        <v>140</v>
      </c>
      <c r="F171" s="3" t="s">
        <v>213</v>
      </c>
      <c r="G171" s="3" t="s">
        <v>213</v>
      </c>
      <c r="H171" s="3" t="s">
        <v>237</v>
      </c>
    </row>
    <row r="172" customFormat="false" ht="15" hidden="false" customHeight="false" outlineLevel="0" collapsed="false">
      <c r="A172" s="3" t="s">
        <v>212</v>
      </c>
      <c r="B172" s="3" t="n">
        <v>35</v>
      </c>
      <c r="C172" s="3" t="s">
        <v>139</v>
      </c>
      <c r="D172" s="3" t="n">
        <v>21</v>
      </c>
      <c r="E172" s="3" t="s">
        <v>145</v>
      </c>
      <c r="F172" s="3" t="s">
        <v>213</v>
      </c>
      <c r="G172" s="3" t="s">
        <v>213</v>
      </c>
      <c r="H172" s="3" t="s">
        <v>237</v>
      </c>
    </row>
    <row r="173" customFormat="false" ht="15" hidden="false" customHeight="false" outlineLevel="0" collapsed="false">
      <c r="A173" s="3" t="s">
        <v>212</v>
      </c>
      <c r="B173" s="3" t="n">
        <v>37</v>
      </c>
      <c r="C173" s="3" t="s">
        <v>139</v>
      </c>
      <c r="D173" s="3" t="n">
        <v>50</v>
      </c>
      <c r="E173" s="3" t="s">
        <v>140</v>
      </c>
      <c r="F173" s="3" t="s">
        <v>213</v>
      </c>
      <c r="G173" s="3" t="s">
        <v>213</v>
      </c>
      <c r="H173" s="3" t="s">
        <v>238</v>
      </c>
    </row>
    <row r="174" customFormat="false" ht="15" hidden="false" customHeight="false" outlineLevel="0" collapsed="false">
      <c r="A174" s="3" t="s">
        <v>212</v>
      </c>
      <c r="B174" s="3" t="n">
        <v>37</v>
      </c>
      <c r="C174" s="3" t="s">
        <v>139</v>
      </c>
      <c r="D174" s="3" t="n">
        <v>16</v>
      </c>
      <c r="E174" s="3" t="s">
        <v>145</v>
      </c>
      <c r="F174" s="3" t="s">
        <v>213</v>
      </c>
      <c r="G174" s="3" t="s">
        <v>213</v>
      </c>
      <c r="H174" s="3" t="s">
        <v>238</v>
      </c>
    </row>
    <row r="175" customFormat="false" ht="15" hidden="false" customHeight="false" outlineLevel="0" collapsed="false">
      <c r="A175" s="3" t="s">
        <v>212</v>
      </c>
      <c r="B175" s="3" t="n">
        <v>40</v>
      </c>
      <c r="C175" s="3" t="s">
        <v>139</v>
      </c>
      <c r="D175" s="3" t="n">
        <v>54</v>
      </c>
      <c r="E175" s="3" t="s">
        <v>140</v>
      </c>
      <c r="F175" s="3" t="s">
        <v>213</v>
      </c>
      <c r="G175" s="3" t="s">
        <v>213</v>
      </c>
      <c r="H175" s="3" t="s">
        <v>239</v>
      </c>
    </row>
    <row r="176" customFormat="false" ht="15" hidden="false" customHeight="false" outlineLevel="0" collapsed="false">
      <c r="A176" s="3" t="s">
        <v>212</v>
      </c>
      <c r="B176" s="3" t="n">
        <v>40</v>
      </c>
      <c r="C176" s="3" t="s">
        <v>139</v>
      </c>
      <c r="D176" s="3" t="n">
        <v>57</v>
      </c>
      <c r="E176" s="3" t="s">
        <v>145</v>
      </c>
      <c r="F176" s="3" t="s">
        <v>213</v>
      </c>
      <c r="G176" s="3" t="s">
        <v>213</v>
      </c>
      <c r="H176" s="3" t="s">
        <v>239</v>
      </c>
    </row>
    <row r="177" customFormat="false" ht="15" hidden="false" customHeight="false" outlineLevel="0" collapsed="false">
      <c r="A177" s="3" t="s">
        <v>212</v>
      </c>
      <c r="B177" s="3" t="n">
        <v>41</v>
      </c>
      <c r="C177" s="3" t="s">
        <v>139</v>
      </c>
      <c r="D177" s="3" t="n">
        <v>76</v>
      </c>
      <c r="E177" s="3" t="s">
        <v>140</v>
      </c>
      <c r="F177" s="3" t="s">
        <v>213</v>
      </c>
      <c r="G177" s="3" t="s">
        <v>213</v>
      </c>
      <c r="H177" s="3" t="s">
        <v>240</v>
      </c>
    </row>
    <row r="178" customFormat="false" ht="15" hidden="false" customHeight="false" outlineLevel="0" collapsed="false">
      <c r="A178" s="3" t="s">
        <v>212</v>
      </c>
      <c r="B178" s="3" t="n">
        <v>41</v>
      </c>
      <c r="C178" s="3" t="s">
        <v>139</v>
      </c>
      <c r="D178" s="3" t="n">
        <v>43</v>
      </c>
      <c r="E178" s="3" t="s">
        <v>145</v>
      </c>
      <c r="F178" s="3" t="s">
        <v>213</v>
      </c>
      <c r="G178" s="3" t="s">
        <v>213</v>
      </c>
      <c r="H178" s="3" t="s">
        <v>240</v>
      </c>
    </row>
    <row r="179" customFormat="false" ht="15" hidden="false" customHeight="false" outlineLevel="0" collapsed="false">
      <c r="A179" s="3" t="s">
        <v>212</v>
      </c>
      <c r="B179" s="3" t="n">
        <v>43</v>
      </c>
      <c r="C179" s="3" t="s">
        <v>139</v>
      </c>
      <c r="D179" s="3" t="n">
        <v>50</v>
      </c>
      <c r="E179" s="3" t="s">
        <v>140</v>
      </c>
      <c r="F179" s="3" t="s">
        <v>213</v>
      </c>
      <c r="G179" s="3" t="s">
        <v>213</v>
      </c>
      <c r="H179" s="3" t="s">
        <v>241</v>
      </c>
    </row>
    <row r="180" customFormat="false" ht="15" hidden="false" customHeight="false" outlineLevel="0" collapsed="false">
      <c r="A180" s="3" t="s">
        <v>212</v>
      </c>
      <c r="B180" s="3" t="n">
        <v>43</v>
      </c>
      <c r="C180" s="3" t="s">
        <v>139</v>
      </c>
      <c r="D180" s="3" t="n">
        <v>79</v>
      </c>
      <c r="E180" s="3" t="s">
        <v>145</v>
      </c>
      <c r="F180" s="3" t="s">
        <v>213</v>
      </c>
      <c r="G180" s="3" t="s">
        <v>213</v>
      </c>
      <c r="H180" s="3" t="s">
        <v>241</v>
      </c>
    </row>
    <row r="181" customFormat="false" ht="15" hidden="false" customHeight="false" outlineLevel="0" collapsed="false">
      <c r="A181" s="3" t="s">
        <v>212</v>
      </c>
      <c r="B181" s="3" t="n">
        <v>44</v>
      </c>
      <c r="C181" s="3" t="s">
        <v>139</v>
      </c>
      <c r="D181" s="3" t="n">
        <v>75</v>
      </c>
      <c r="E181" s="3" t="s">
        <v>140</v>
      </c>
      <c r="F181" s="3" t="s">
        <v>213</v>
      </c>
      <c r="G181" s="3" t="s">
        <v>213</v>
      </c>
      <c r="H181" s="3" t="s">
        <v>242</v>
      </c>
    </row>
    <row r="182" customFormat="false" ht="15" hidden="false" customHeight="false" outlineLevel="0" collapsed="false">
      <c r="A182" s="3" t="s">
        <v>212</v>
      </c>
      <c r="B182" s="3" t="n">
        <v>44</v>
      </c>
      <c r="C182" s="3" t="s">
        <v>139</v>
      </c>
      <c r="D182" s="3" t="n">
        <v>41</v>
      </c>
      <c r="E182" s="3" t="s">
        <v>145</v>
      </c>
      <c r="F182" s="3" t="s">
        <v>213</v>
      </c>
      <c r="G182" s="3" t="s">
        <v>213</v>
      </c>
      <c r="H182" s="3" t="s">
        <v>242</v>
      </c>
    </row>
    <row r="183" customFormat="false" ht="15" hidden="false" customHeight="false" outlineLevel="0" collapsed="false">
      <c r="A183" s="3" t="s">
        <v>243</v>
      </c>
      <c r="B183" s="3" t="n">
        <v>1</v>
      </c>
      <c r="C183" s="3" t="s">
        <v>139</v>
      </c>
      <c r="D183" s="3" t="n">
        <v>20</v>
      </c>
      <c r="E183" s="3" t="s">
        <v>140</v>
      </c>
      <c r="F183" s="3" t="s">
        <v>141</v>
      </c>
      <c r="G183" s="3" t="s">
        <v>141</v>
      </c>
      <c r="H183" s="3" t="s">
        <v>244</v>
      </c>
    </row>
    <row r="184" customFormat="false" ht="15" hidden="false" customHeight="false" outlineLevel="0" collapsed="false">
      <c r="A184" s="3" t="s">
        <v>243</v>
      </c>
      <c r="B184" s="3" t="n">
        <v>2</v>
      </c>
      <c r="C184" s="3" t="s">
        <v>139</v>
      </c>
      <c r="D184" s="3" t="n">
        <v>51</v>
      </c>
      <c r="E184" s="3" t="s">
        <v>140</v>
      </c>
      <c r="F184" s="3" t="s">
        <v>141</v>
      </c>
      <c r="G184" s="3" t="s">
        <v>141</v>
      </c>
      <c r="H184" s="3" t="s">
        <v>245</v>
      </c>
    </row>
    <row r="185" customFormat="false" ht="15" hidden="false" customHeight="false" outlineLevel="0" collapsed="false">
      <c r="A185" s="3" t="s">
        <v>243</v>
      </c>
      <c r="B185" s="3" t="n">
        <v>2</v>
      </c>
      <c r="C185" s="3" t="s">
        <v>139</v>
      </c>
      <c r="D185" s="3" t="n">
        <v>25</v>
      </c>
      <c r="E185" s="3" t="s">
        <v>145</v>
      </c>
      <c r="F185" s="3" t="s">
        <v>141</v>
      </c>
      <c r="G185" s="3" t="s">
        <v>141</v>
      </c>
      <c r="H185" s="3" t="s">
        <v>245</v>
      </c>
    </row>
    <row r="186" customFormat="false" ht="15" hidden="false" customHeight="false" outlineLevel="0" collapsed="false">
      <c r="A186" s="3" t="s">
        <v>243</v>
      </c>
      <c r="B186" s="3" t="n">
        <v>3</v>
      </c>
      <c r="C186" s="3" t="s">
        <v>139</v>
      </c>
      <c r="D186" s="3" t="n">
        <v>61</v>
      </c>
      <c r="E186" s="3" t="s">
        <v>140</v>
      </c>
      <c r="F186" s="3" t="s">
        <v>141</v>
      </c>
      <c r="G186" s="3" t="s">
        <v>141</v>
      </c>
      <c r="H186" s="3" t="s">
        <v>246</v>
      </c>
    </row>
    <row r="187" customFormat="false" ht="15" hidden="false" customHeight="false" outlineLevel="0" collapsed="false">
      <c r="A187" s="3" t="s">
        <v>243</v>
      </c>
      <c r="B187" s="3" t="n">
        <v>3</v>
      </c>
      <c r="C187" s="3" t="s">
        <v>139</v>
      </c>
      <c r="D187" s="3" t="n">
        <v>57</v>
      </c>
      <c r="E187" s="3" t="s">
        <v>145</v>
      </c>
      <c r="F187" s="3" t="s">
        <v>141</v>
      </c>
      <c r="G187" s="3" t="s">
        <v>141</v>
      </c>
      <c r="H187" s="3" t="s">
        <v>246</v>
      </c>
    </row>
    <row r="188" customFormat="false" ht="15" hidden="false" customHeight="false" outlineLevel="0" collapsed="false">
      <c r="A188" s="3" t="s">
        <v>243</v>
      </c>
      <c r="B188" s="3" t="n">
        <v>6</v>
      </c>
      <c r="C188" s="3" t="s">
        <v>139</v>
      </c>
      <c r="D188" s="3" t="n">
        <v>25</v>
      </c>
      <c r="E188" s="3" t="s">
        <v>140</v>
      </c>
      <c r="F188" s="3" t="s">
        <v>141</v>
      </c>
      <c r="G188" s="3" t="s">
        <v>141</v>
      </c>
      <c r="H188" s="3" t="s">
        <v>247</v>
      </c>
    </row>
    <row r="189" customFormat="false" ht="15" hidden="false" customHeight="false" outlineLevel="0" collapsed="false">
      <c r="A189" s="3" t="s">
        <v>243</v>
      </c>
      <c r="B189" s="3" t="n">
        <v>6</v>
      </c>
      <c r="C189" s="3" t="s">
        <v>139</v>
      </c>
      <c r="D189" s="3" t="n">
        <v>21</v>
      </c>
      <c r="E189" s="3" t="s">
        <v>145</v>
      </c>
      <c r="F189" s="3" t="s">
        <v>141</v>
      </c>
      <c r="G189" s="3" t="s">
        <v>141</v>
      </c>
      <c r="H189" s="3" t="s">
        <v>247</v>
      </c>
    </row>
    <row r="190" customFormat="false" ht="15" hidden="false" customHeight="false" outlineLevel="0" collapsed="false">
      <c r="A190" s="3" t="s">
        <v>243</v>
      </c>
      <c r="B190" s="3" t="n">
        <v>7</v>
      </c>
      <c r="C190" s="3" t="s">
        <v>139</v>
      </c>
      <c r="D190" s="3" t="n">
        <v>76</v>
      </c>
      <c r="E190" s="3" t="s">
        <v>140</v>
      </c>
      <c r="F190" s="3" t="s">
        <v>141</v>
      </c>
      <c r="G190" s="3" t="s">
        <v>141</v>
      </c>
      <c r="H190" s="3" t="s">
        <v>248</v>
      </c>
    </row>
    <row r="191" customFormat="false" ht="15" hidden="false" customHeight="false" outlineLevel="0" collapsed="false">
      <c r="A191" s="3" t="s">
        <v>243</v>
      </c>
      <c r="B191" s="3" t="n">
        <v>7</v>
      </c>
      <c r="C191" s="3" t="s">
        <v>139</v>
      </c>
      <c r="D191" s="3" t="n">
        <v>43</v>
      </c>
      <c r="E191" s="3" t="s">
        <v>145</v>
      </c>
      <c r="F191" s="3" t="s">
        <v>141</v>
      </c>
      <c r="G191" s="3" t="s">
        <v>141</v>
      </c>
      <c r="H191" s="3" t="s">
        <v>248</v>
      </c>
    </row>
    <row r="192" customFormat="false" ht="15" hidden="false" customHeight="false" outlineLevel="0" collapsed="false">
      <c r="A192" s="3" t="s">
        <v>243</v>
      </c>
      <c r="B192" s="3" t="n">
        <v>8</v>
      </c>
      <c r="C192" s="3" t="s">
        <v>139</v>
      </c>
      <c r="D192" s="3" t="n">
        <v>32</v>
      </c>
      <c r="E192" s="3" t="s">
        <v>140</v>
      </c>
      <c r="F192" s="3" t="s">
        <v>141</v>
      </c>
      <c r="G192" s="3" t="s">
        <v>141</v>
      </c>
      <c r="H192" s="3" t="s">
        <v>249</v>
      </c>
    </row>
    <row r="193" customFormat="false" ht="15" hidden="false" customHeight="false" outlineLevel="0" collapsed="false">
      <c r="A193" s="3" t="s">
        <v>243</v>
      </c>
      <c r="B193" s="3" t="n">
        <v>9</v>
      </c>
      <c r="C193" s="3" t="s">
        <v>139</v>
      </c>
      <c r="D193" s="3" t="n">
        <v>50</v>
      </c>
      <c r="E193" s="3" t="s">
        <v>140</v>
      </c>
      <c r="F193" s="3" t="s">
        <v>141</v>
      </c>
      <c r="G193" s="3" t="s">
        <v>141</v>
      </c>
      <c r="H193" s="3" t="s">
        <v>250</v>
      </c>
    </row>
    <row r="194" customFormat="false" ht="15" hidden="false" customHeight="false" outlineLevel="0" collapsed="false">
      <c r="A194" s="3" t="s">
        <v>243</v>
      </c>
      <c r="B194" s="3" t="n">
        <v>9</v>
      </c>
      <c r="C194" s="3" t="s">
        <v>139</v>
      </c>
      <c r="D194" s="3" t="n">
        <v>43</v>
      </c>
      <c r="E194" s="3" t="s">
        <v>145</v>
      </c>
      <c r="F194" s="3" t="s">
        <v>141</v>
      </c>
      <c r="G194" s="3" t="s">
        <v>141</v>
      </c>
      <c r="H194" s="3" t="s">
        <v>250</v>
      </c>
    </row>
    <row r="195" customFormat="false" ht="15" hidden="false" customHeight="false" outlineLevel="0" collapsed="false">
      <c r="A195" s="3" t="s">
        <v>243</v>
      </c>
      <c r="B195" s="3" t="n">
        <v>10</v>
      </c>
      <c r="C195" s="3" t="s">
        <v>139</v>
      </c>
      <c r="D195" s="3" t="n">
        <v>22</v>
      </c>
      <c r="E195" s="3" t="s">
        <v>140</v>
      </c>
      <c r="F195" s="3" t="s">
        <v>141</v>
      </c>
      <c r="G195" s="3" t="s">
        <v>141</v>
      </c>
      <c r="H195" s="3" t="s">
        <v>251</v>
      </c>
    </row>
    <row r="196" customFormat="false" ht="15" hidden="false" customHeight="false" outlineLevel="0" collapsed="false">
      <c r="A196" s="3" t="s">
        <v>243</v>
      </c>
      <c r="B196" s="3" t="n">
        <v>10</v>
      </c>
      <c r="C196" s="3" t="s">
        <v>139</v>
      </c>
      <c r="D196" s="3" t="n">
        <v>14</v>
      </c>
      <c r="E196" s="3" t="s">
        <v>145</v>
      </c>
      <c r="F196" s="3" t="s">
        <v>141</v>
      </c>
      <c r="G196" s="3" t="s">
        <v>141</v>
      </c>
      <c r="H196" s="3" t="s">
        <v>251</v>
      </c>
    </row>
    <row r="197" customFormat="false" ht="15" hidden="false" customHeight="false" outlineLevel="0" collapsed="false">
      <c r="A197" s="3" t="s">
        <v>243</v>
      </c>
      <c r="B197" s="3" t="n">
        <v>13</v>
      </c>
      <c r="C197" s="3" t="s">
        <v>139</v>
      </c>
      <c r="D197" s="3" t="n">
        <v>25</v>
      </c>
      <c r="E197" s="3" t="s">
        <v>140</v>
      </c>
      <c r="F197" s="3" t="s">
        <v>141</v>
      </c>
      <c r="G197" s="3" t="s">
        <v>141</v>
      </c>
      <c r="H197" s="3" t="s">
        <v>252</v>
      </c>
    </row>
    <row r="198" customFormat="false" ht="15" hidden="false" customHeight="false" outlineLevel="0" collapsed="false">
      <c r="A198" s="3" t="s">
        <v>243</v>
      </c>
      <c r="B198" s="3" t="n">
        <v>13</v>
      </c>
      <c r="C198" s="3" t="s">
        <v>139</v>
      </c>
      <c r="D198" s="3" t="n">
        <v>12</v>
      </c>
      <c r="E198" s="3" t="s">
        <v>145</v>
      </c>
      <c r="F198" s="3" t="s">
        <v>141</v>
      </c>
      <c r="G198" s="3" t="s">
        <v>141</v>
      </c>
      <c r="H198" s="3" t="s">
        <v>252</v>
      </c>
    </row>
    <row r="199" customFormat="false" ht="15" hidden="false" customHeight="false" outlineLevel="0" collapsed="false">
      <c r="A199" s="3" t="s">
        <v>243</v>
      </c>
      <c r="B199" s="3" t="n">
        <v>14</v>
      </c>
      <c r="C199" s="3" t="s">
        <v>139</v>
      </c>
      <c r="D199" s="3" t="n">
        <v>47</v>
      </c>
      <c r="E199" s="3" t="s">
        <v>140</v>
      </c>
      <c r="F199" s="3" t="s">
        <v>141</v>
      </c>
      <c r="G199" s="3" t="s">
        <v>141</v>
      </c>
      <c r="H199" s="3" t="s">
        <v>253</v>
      </c>
    </row>
    <row r="200" customFormat="false" ht="15" hidden="false" customHeight="false" outlineLevel="0" collapsed="false">
      <c r="A200" s="3" t="s">
        <v>243</v>
      </c>
      <c r="B200" s="3" t="n">
        <v>14</v>
      </c>
      <c r="C200" s="3" t="s">
        <v>139</v>
      </c>
      <c r="D200" s="3" t="n">
        <v>20</v>
      </c>
      <c r="E200" s="3" t="s">
        <v>145</v>
      </c>
      <c r="F200" s="3" t="s">
        <v>141</v>
      </c>
      <c r="G200" s="3" t="s">
        <v>141</v>
      </c>
      <c r="H200" s="3" t="s">
        <v>253</v>
      </c>
    </row>
    <row r="201" customFormat="false" ht="15" hidden="false" customHeight="false" outlineLevel="0" collapsed="false">
      <c r="A201" s="3" t="s">
        <v>243</v>
      </c>
      <c r="B201" s="3" t="n">
        <v>15</v>
      </c>
      <c r="C201" s="3" t="s">
        <v>139</v>
      </c>
      <c r="D201" s="3" t="n">
        <v>33</v>
      </c>
      <c r="E201" s="3" t="s">
        <v>140</v>
      </c>
      <c r="F201" s="3" t="s">
        <v>141</v>
      </c>
      <c r="G201" s="3" t="s">
        <v>141</v>
      </c>
      <c r="H201" s="3" t="s">
        <v>254</v>
      </c>
    </row>
    <row r="202" customFormat="false" ht="15" hidden="false" customHeight="false" outlineLevel="0" collapsed="false">
      <c r="A202" s="3" t="s">
        <v>243</v>
      </c>
      <c r="B202" s="3" t="n">
        <v>15</v>
      </c>
      <c r="C202" s="3" t="s">
        <v>139</v>
      </c>
      <c r="D202" s="3" t="n">
        <v>94</v>
      </c>
      <c r="E202" s="3" t="s">
        <v>145</v>
      </c>
      <c r="F202" s="3" t="s">
        <v>141</v>
      </c>
      <c r="G202" s="3" t="s">
        <v>141</v>
      </c>
      <c r="H202" s="3" t="s">
        <v>254</v>
      </c>
    </row>
    <row r="203" customFormat="false" ht="15" hidden="false" customHeight="false" outlineLevel="0" collapsed="false">
      <c r="A203" s="3" t="s">
        <v>243</v>
      </c>
      <c r="B203" s="3" t="n">
        <v>16</v>
      </c>
      <c r="C203" s="3" t="s">
        <v>139</v>
      </c>
      <c r="D203" s="3" t="n">
        <v>59</v>
      </c>
      <c r="E203" s="3" t="s">
        <v>140</v>
      </c>
      <c r="F203" s="3" t="s">
        <v>141</v>
      </c>
      <c r="G203" s="3" t="s">
        <v>141</v>
      </c>
      <c r="H203" s="3" t="s">
        <v>255</v>
      </c>
    </row>
    <row r="204" customFormat="false" ht="15" hidden="false" customHeight="false" outlineLevel="0" collapsed="false">
      <c r="A204" s="3" t="s">
        <v>243</v>
      </c>
      <c r="B204" s="3" t="n">
        <v>16</v>
      </c>
      <c r="C204" s="3" t="s">
        <v>139</v>
      </c>
      <c r="D204" s="3" t="n">
        <v>62</v>
      </c>
      <c r="E204" s="3" t="s">
        <v>145</v>
      </c>
      <c r="F204" s="3" t="s">
        <v>141</v>
      </c>
      <c r="G204" s="3" t="s">
        <v>141</v>
      </c>
      <c r="H204" s="3" t="s">
        <v>255</v>
      </c>
    </row>
    <row r="205" customFormat="false" ht="15" hidden="false" customHeight="false" outlineLevel="0" collapsed="false">
      <c r="A205" s="3" t="s">
        <v>243</v>
      </c>
      <c r="B205" s="3" t="n">
        <v>17</v>
      </c>
      <c r="C205" s="3" t="s">
        <v>139</v>
      </c>
      <c r="D205" s="3" t="n">
        <v>47</v>
      </c>
      <c r="E205" s="3" t="s">
        <v>140</v>
      </c>
      <c r="F205" s="3" t="s">
        <v>141</v>
      </c>
      <c r="G205" s="3" t="s">
        <v>141</v>
      </c>
      <c r="H205" s="3" t="s">
        <v>256</v>
      </c>
    </row>
    <row r="206" customFormat="false" ht="15" hidden="false" customHeight="false" outlineLevel="0" collapsed="false">
      <c r="A206" s="3" t="s">
        <v>243</v>
      </c>
      <c r="B206" s="3" t="n">
        <v>17</v>
      </c>
      <c r="C206" s="3" t="s">
        <v>139</v>
      </c>
      <c r="D206" s="3" t="n">
        <v>50</v>
      </c>
      <c r="E206" s="3" t="s">
        <v>145</v>
      </c>
      <c r="F206" s="3" t="s">
        <v>141</v>
      </c>
      <c r="G206" s="3" t="s">
        <v>141</v>
      </c>
      <c r="H206" s="3" t="s">
        <v>256</v>
      </c>
    </row>
    <row r="207" customFormat="false" ht="15" hidden="false" customHeight="false" outlineLevel="0" collapsed="false">
      <c r="A207" s="3" t="s">
        <v>243</v>
      </c>
      <c r="B207" s="3" t="n">
        <v>19</v>
      </c>
      <c r="C207" s="3" t="s">
        <v>139</v>
      </c>
      <c r="D207" s="3" t="n">
        <v>71</v>
      </c>
      <c r="E207" s="3" t="s">
        <v>140</v>
      </c>
      <c r="F207" s="3" t="s">
        <v>141</v>
      </c>
      <c r="G207" s="3" t="s">
        <v>141</v>
      </c>
      <c r="H207" s="3" t="s">
        <v>257</v>
      </c>
    </row>
    <row r="208" customFormat="false" ht="15" hidden="false" customHeight="false" outlineLevel="0" collapsed="false">
      <c r="A208" s="3" t="s">
        <v>243</v>
      </c>
      <c r="B208" s="3" t="n">
        <v>19</v>
      </c>
      <c r="C208" s="3" t="s">
        <v>139</v>
      </c>
      <c r="D208" s="3" t="n">
        <v>75</v>
      </c>
      <c r="E208" s="3" t="s">
        <v>145</v>
      </c>
      <c r="F208" s="3" t="s">
        <v>141</v>
      </c>
      <c r="G208" s="3" t="s">
        <v>141</v>
      </c>
      <c r="H208" s="3" t="s">
        <v>257</v>
      </c>
    </row>
    <row r="209" customFormat="false" ht="15" hidden="false" customHeight="false" outlineLevel="0" collapsed="false">
      <c r="A209" s="3" t="s">
        <v>258</v>
      </c>
      <c r="B209" s="3" t="n">
        <v>5</v>
      </c>
      <c r="C209" s="3" t="s">
        <v>139</v>
      </c>
      <c r="D209" s="3" t="n">
        <v>59</v>
      </c>
      <c r="E209" s="3" t="s">
        <v>140</v>
      </c>
      <c r="F209" s="3" t="s">
        <v>141</v>
      </c>
      <c r="G209" s="3" t="s">
        <v>141</v>
      </c>
      <c r="H209" s="3" t="s">
        <v>259</v>
      </c>
    </row>
    <row r="210" customFormat="false" ht="15" hidden="false" customHeight="false" outlineLevel="0" collapsed="false">
      <c r="A210" s="3" t="s">
        <v>258</v>
      </c>
      <c r="B210" s="3" t="n">
        <v>5</v>
      </c>
      <c r="C210" s="3" t="s">
        <v>139</v>
      </c>
      <c r="D210" s="3" t="n">
        <v>51</v>
      </c>
      <c r="E210" s="3" t="s">
        <v>145</v>
      </c>
      <c r="F210" s="3" t="s">
        <v>141</v>
      </c>
      <c r="G210" s="3" t="s">
        <v>141</v>
      </c>
      <c r="H210" s="3" t="s">
        <v>259</v>
      </c>
    </row>
    <row r="211" customFormat="false" ht="15" hidden="false" customHeight="false" outlineLevel="0" collapsed="false">
      <c r="A211" s="3" t="s">
        <v>258</v>
      </c>
      <c r="B211" s="3" t="n">
        <v>6</v>
      </c>
      <c r="C211" s="3" t="s">
        <v>139</v>
      </c>
      <c r="D211" s="3" t="n">
        <v>61</v>
      </c>
      <c r="E211" s="3" t="s">
        <v>140</v>
      </c>
      <c r="F211" s="3" t="s">
        <v>141</v>
      </c>
      <c r="G211" s="3" t="s">
        <v>141</v>
      </c>
      <c r="H211" s="3" t="s">
        <v>260</v>
      </c>
    </row>
    <row r="212" customFormat="false" ht="15" hidden="false" customHeight="false" outlineLevel="0" collapsed="false">
      <c r="A212" s="3" t="s">
        <v>258</v>
      </c>
      <c r="B212" s="3" t="n">
        <v>6</v>
      </c>
      <c r="C212" s="3" t="s">
        <v>139</v>
      </c>
      <c r="D212" s="3" t="n">
        <v>49</v>
      </c>
      <c r="E212" s="3" t="s">
        <v>145</v>
      </c>
      <c r="F212" s="3" t="s">
        <v>141</v>
      </c>
      <c r="G212" s="3" t="s">
        <v>141</v>
      </c>
      <c r="H212" s="3" t="s">
        <v>260</v>
      </c>
    </row>
    <row r="213" customFormat="false" ht="15" hidden="false" customHeight="false" outlineLevel="0" collapsed="false">
      <c r="A213" s="3" t="s">
        <v>258</v>
      </c>
      <c r="B213" s="3" t="n">
        <v>7</v>
      </c>
      <c r="C213" s="3" t="s">
        <v>139</v>
      </c>
      <c r="D213" s="3" t="n">
        <v>59</v>
      </c>
      <c r="E213" s="3" t="s">
        <v>140</v>
      </c>
      <c r="F213" s="3" t="s">
        <v>141</v>
      </c>
      <c r="G213" s="3" t="s">
        <v>141</v>
      </c>
      <c r="H213" s="3" t="s">
        <v>261</v>
      </c>
    </row>
    <row r="214" customFormat="false" ht="15" hidden="false" customHeight="false" outlineLevel="0" collapsed="false">
      <c r="A214" s="3" t="s">
        <v>258</v>
      </c>
      <c r="B214" s="3" t="n">
        <v>7</v>
      </c>
      <c r="C214" s="3" t="s">
        <v>139</v>
      </c>
      <c r="D214" s="3" t="n">
        <v>49</v>
      </c>
      <c r="E214" s="3" t="s">
        <v>145</v>
      </c>
      <c r="F214" s="3" t="s">
        <v>141</v>
      </c>
      <c r="G214" s="3" t="s">
        <v>141</v>
      </c>
      <c r="H214" s="3" t="s">
        <v>261</v>
      </c>
    </row>
    <row r="215" customFormat="false" ht="15" hidden="false" customHeight="false" outlineLevel="0" collapsed="false">
      <c r="A215" s="3" t="s">
        <v>258</v>
      </c>
      <c r="B215" s="3" t="n">
        <v>8</v>
      </c>
      <c r="C215" s="3" t="s">
        <v>139</v>
      </c>
      <c r="D215" s="3" t="n">
        <v>43</v>
      </c>
      <c r="E215" s="3" t="s">
        <v>140</v>
      </c>
      <c r="F215" s="3" t="s">
        <v>141</v>
      </c>
      <c r="G215" s="3" t="s">
        <v>141</v>
      </c>
      <c r="H215" s="3" t="s">
        <v>262</v>
      </c>
    </row>
    <row r="216" customFormat="false" ht="15" hidden="false" customHeight="false" outlineLevel="0" collapsed="false">
      <c r="A216" s="3" t="s">
        <v>258</v>
      </c>
      <c r="B216" s="3" t="n">
        <v>8</v>
      </c>
      <c r="C216" s="3" t="s">
        <v>139</v>
      </c>
      <c r="D216" s="3" t="n">
        <v>74</v>
      </c>
      <c r="E216" s="3" t="s">
        <v>145</v>
      </c>
      <c r="F216" s="3" t="s">
        <v>141</v>
      </c>
      <c r="G216" s="3" t="s">
        <v>141</v>
      </c>
      <c r="H216" s="3" t="s">
        <v>262</v>
      </c>
    </row>
    <row r="217" customFormat="false" ht="15" hidden="false" customHeight="false" outlineLevel="0" collapsed="false">
      <c r="A217" s="3" t="s">
        <v>258</v>
      </c>
      <c r="B217" s="3" t="n">
        <v>9</v>
      </c>
      <c r="C217" s="3" t="s">
        <v>139</v>
      </c>
      <c r="D217" s="3" t="n">
        <v>25</v>
      </c>
      <c r="E217" s="3" t="s">
        <v>140</v>
      </c>
      <c r="F217" s="3" t="s">
        <v>141</v>
      </c>
      <c r="G217" s="3" t="s">
        <v>141</v>
      </c>
      <c r="H217" s="3" t="s">
        <v>263</v>
      </c>
    </row>
    <row r="218" customFormat="false" ht="15" hidden="false" customHeight="false" outlineLevel="0" collapsed="false">
      <c r="A218" s="3" t="s">
        <v>258</v>
      </c>
      <c r="B218" s="3" t="n">
        <v>10</v>
      </c>
      <c r="C218" s="3" t="s">
        <v>139</v>
      </c>
      <c r="D218" s="3" t="n">
        <v>79</v>
      </c>
      <c r="E218" s="3" t="s">
        <v>140</v>
      </c>
      <c r="F218" s="3" t="s">
        <v>141</v>
      </c>
      <c r="G218" s="3" t="s">
        <v>141</v>
      </c>
      <c r="H218" s="3" t="s">
        <v>264</v>
      </c>
    </row>
    <row r="219" customFormat="false" ht="15" hidden="false" customHeight="false" outlineLevel="0" collapsed="false">
      <c r="A219" s="3" t="s">
        <v>258</v>
      </c>
      <c r="B219" s="3" t="n">
        <v>10</v>
      </c>
      <c r="C219" s="3" t="s">
        <v>139</v>
      </c>
      <c r="D219" s="3" t="n">
        <v>43</v>
      </c>
      <c r="E219" s="3" t="s">
        <v>145</v>
      </c>
      <c r="F219" s="3" t="s">
        <v>141</v>
      </c>
      <c r="G219" s="3" t="s">
        <v>141</v>
      </c>
      <c r="H219" s="3" t="s">
        <v>264</v>
      </c>
    </row>
    <row r="220" customFormat="false" ht="15" hidden="false" customHeight="false" outlineLevel="0" collapsed="false">
      <c r="A220" s="3" t="s">
        <v>258</v>
      </c>
      <c r="B220" s="3" t="n">
        <v>11</v>
      </c>
      <c r="C220" s="3" t="s">
        <v>139</v>
      </c>
      <c r="D220" s="3" t="n">
        <v>62</v>
      </c>
      <c r="E220" s="3" t="s">
        <v>140</v>
      </c>
      <c r="F220" s="3" t="s">
        <v>141</v>
      </c>
      <c r="G220" s="3" t="s">
        <v>141</v>
      </c>
      <c r="H220" s="3" t="s">
        <v>265</v>
      </c>
    </row>
    <row r="221" customFormat="false" ht="15" hidden="false" customHeight="false" outlineLevel="0" collapsed="false">
      <c r="A221" s="3" t="s">
        <v>258</v>
      </c>
      <c r="B221" s="3" t="n">
        <v>11</v>
      </c>
      <c r="C221" s="3" t="s">
        <v>139</v>
      </c>
      <c r="D221" s="3" t="n">
        <v>60</v>
      </c>
      <c r="E221" s="3" t="s">
        <v>145</v>
      </c>
      <c r="F221" s="3" t="s">
        <v>141</v>
      </c>
      <c r="G221" s="3" t="s">
        <v>141</v>
      </c>
      <c r="H221" s="3" t="s">
        <v>265</v>
      </c>
    </row>
    <row r="222" customFormat="false" ht="15" hidden="false" customHeight="false" outlineLevel="0" collapsed="false">
      <c r="A222" s="3" t="s">
        <v>258</v>
      </c>
      <c r="B222" s="3" t="n">
        <v>12</v>
      </c>
      <c r="C222" s="3" t="s">
        <v>139</v>
      </c>
      <c r="D222" s="3" t="n">
        <v>54</v>
      </c>
      <c r="E222" s="3" t="s">
        <v>140</v>
      </c>
      <c r="F222" s="3" t="s">
        <v>141</v>
      </c>
      <c r="G222" s="3" t="s">
        <v>141</v>
      </c>
      <c r="H222" s="3" t="s">
        <v>266</v>
      </c>
    </row>
    <row r="223" customFormat="false" ht="15" hidden="false" customHeight="false" outlineLevel="0" collapsed="false">
      <c r="A223" s="3" t="s">
        <v>258</v>
      </c>
      <c r="B223" s="3" t="n">
        <v>12</v>
      </c>
      <c r="C223" s="3" t="s">
        <v>139</v>
      </c>
      <c r="D223" s="3" t="n">
        <v>25</v>
      </c>
      <c r="E223" s="3" t="s">
        <v>145</v>
      </c>
      <c r="F223" s="3" t="s">
        <v>141</v>
      </c>
      <c r="G223" s="3" t="s">
        <v>141</v>
      </c>
      <c r="H223" s="3" t="s">
        <v>266</v>
      </c>
    </row>
    <row r="224" customFormat="false" ht="15" hidden="false" customHeight="false" outlineLevel="0" collapsed="false">
      <c r="A224" s="3" t="s">
        <v>258</v>
      </c>
      <c r="B224" s="3" t="n">
        <v>13</v>
      </c>
      <c r="C224" s="3" t="s">
        <v>139</v>
      </c>
      <c r="D224" s="3" t="n">
        <v>38</v>
      </c>
      <c r="E224" s="3" t="s">
        <v>140</v>
      </c>
      <c r="F224" s="3" t="s">
        <v>141</v>
      </c>
      <c r="G224" s="3" t="s">
        <v>141</v>
      </c>
      <c r="H224" s="3" t="s">
        <v>267</v>
      </c>
    </row>
    <row r="225" customFormat="false" ht="15" hidden="false" customHeight="false" outlineLevel="0" collapsed="false">
      <c r="A225" s="3" t="s">
        <v>258</v>
      </c>
      <c r="B225" s="3" t="n">
        <v>13</v>
      </c>
      <c r="C225" s="3" t="s">
        <v>139</v>
      </c>
      <c r="D225" s="3" t="n">
        <v>37</v>
      </c>
      <c r="E225" s="3" t="s">
        <v>145</v>
      </c>
      <c r="F225" s="3" t="s">
        <v>141</v>
      </c>
      <c r="G225" s="3" t="s">
        <v>141</v>
      </c>
      <c r="H225" s="3" t="s">
        <v>267</v>
      </c>
    </row>
    <row r="226" customFormat="false" ht="15" hidden="false" customHeight="false" outlineLevel="0" collapsed="false">
      <c r="A226" s="3" t="s">
        <v>258</v>
      </c>
      <c r="B226" s="3" t="n">
        <v>14</v>
      </c>
      <c r="C226" s="3" t="s">
        <v>139</v>
      </c>
      <c r="D226" s="3" t="n">
        <v>69</v>
      </c>
      <c r="E226" s="3" t="s">
        <v>140</v>
      </c>
      <c r="F226" s="3" t="s">
        <v>141</v>
      </c>
      <c r="G226" s="3" t="s">
        <v>141</v>
      </c>
      <c r="H226" s="3" t="s">
        <v>268</v>
      </c>
    </row>
    <row r="227" customFormat="false" ht="15" hidden="false" customHeight="false" outlineLevel="0" collapsed="false">
      <c r="A227" s="3" t="s">
        <v>258</v>
      </c>
      <c r="B227" s="3" t="n">
        <v>14</v>
      </c>
      <c r="C227" s="3" t="s">
        <v>139</v>
      </c>
      <c r="D227" s="3" t="n">
        <v>68</v>
      </c>
      <c r="E227" s="3" t="s">
        <v>145</v>
      </c>
      <c r="F227" s="3" t="s">
        <v>141</v>
      </c>
      <c r="G227" s="3" t="s">
        <v>141</v>
      </c>
      <c r="H227" s="3" t="s">
        <v>268</v>
      </c>
    </row>
    <row r="228" customFormat="false" ht="15" hidden="false" customHeight="false" outlineLevel="0" collapsed="false">
      <c r="A228" s="3" t="s">
        <v>258</v>
      </c>
      <c r="B228" s="3" t="n">
        <v>15</v>
      </c>
      <c r="C228" s="3" t="s">
        <v>139</v>
      </c>
      <c r="D228" s="3" t="n">
        <v>19</v>
      </c>
      <c r="E228" s="3" t="s">
        <v>140</v>
      </c>
      <c r="F228" s="3" t="s">
        <v>141</v>
      </c>
      <c r="G228" s="3" t="s">
        <v>141</v>
      </c>
      <c r="H228" s="3" t="s">
        <v>269</v>
      </c>
    </row>
    <row r="229" customFormat="false" ht="15" hidden="false" customHeight="false" outlineLevel="0" collapsed="false">
      <c r="A229" s="3" t="s">
        <v>258</v>
      </c>
      <c r="B229" s="3" t="n">
        <v>15</v>
      </c>
      <c r="C229" s="3" t="s">
        <v>139</v>
      </c>
      <c r="D229" s="3" t="n">
        <v>67</v>
      </c>
      <c r="E229" s="3" t="s">
        <v>145</v>
      </c>
      <c r="F229" s="3" t="s">
        <v>141</v>
      </c>
      <c r="G229" s="3" t="s">
        <v>141</v>
      </c>
      <c r="H229" s="3" t="s">
        <v>269</v>
      </c>
    </row>
    <row r="230" customFormat="false" ht="15" hidden="false" customHeight="false" outlineLevel="0" collapsed="false">
      <c r="A230" s="3" t="s">
        <v>258</v>
      </c>
      <c r="B230" s="3" t="n">
        <v>16</v>
      </c>
      <c r="C230" s="3" t="s">
        <v>139</v>
      </c>
      <c r="D230" s="3" t="n">
        <v>61</v>
      </c>
      <c r="E230" s="3" t="s">
        <v>140</v>
      </c>
      <c r="F230" s="3" t="s">
        <v>141</v>
      </c>
      <c r="G230" s="3" t="s">
        <v>141</v>
      </c>
      <c r="H230" s="3" t="s">
        <v>270</v>
      </c>
    </row>
    <row r="231" customFormat="false" ht="15" hidden="false" customHeight="false" outlineLevel="0" collapsed="false">
      <c r="A231" s="3" t="s">
        <v>258</v>
      </c>
      <c r="B231" s="3" t="n">
        <v>16</v>
      </c>
      <c r="C231" s="3" t="s">
        <v>139</v>
      </c>
      <c r="D231" s="3" t="n">
        <v>25</v>
      </c>
      <c r="E231" s="3" t="s">
        <v>145</v>
      </c>
      <c r="F231" s="3" t="s">
        <v>141</v>
      </c>
      <c r="G231" s="3" t="s">
        <v>141</v>
      </c>
      <c r="H231" s="3" t="s">
        <v>270</v>
      </c>
    </row>
    <row r="232" customFormat="false" ht="15" hidden="false" customHeight="false" outlineLevel="0" collapsed="false">
      <c r="A232" s="3" t="s">
        <v>258</v>
      </c>
      <c r="B232" s="3" t="n">
        <v>17</v>
      </c>
      <c r="C232" s="3" t="s">
        <v>139</v>
      </c>
      <c r="D232" s="3" t="n">
        <v>92</v>
      </c>
      <c r="E232" s="3" t="s">
        <v>140</v>
      </c>
      <c r="F232" s="3" t="s">
        <v>141</v>
      </c>
      <c r="G232" s="3" t="s">
        <v>141</v>
      </c>
      <c r="H232" s="3" t="s">
        <v>271</v>
      </c>
    </row>
    <row r="233" customFormat="false" ht="15" hidden="false" customHeight="false" outlineLevel="0" collapsed="false">
      <c r="A233" s="3" t="s">
        <v>258</v>
      </c>
      <c r="B233" s="3" t="n">
        <v>17</v>
      </c>
      <c r="C233" s="3" t="s">
        <v>139</v>
      </c>
      <c r="D233" s="3" t="n">
        <v>33</v>
      </c>
      <c r="E233" s="3" t="s">
        <v>145</v>
      </c>
      <c r="F233" s="3" t="s">
        <v>141</v>
      </c>
      <c r="G233" s="3" t="s">
        <v>141</v>
      </c>
      <c r="H233" s="3" t="s">
        <v>271</v>
      </c>
    </row>
    <row r="234" customFormat="false" ht="15" hidden="false" customHeight="false" outlineLevel="0" collapsed="false">
      <c r="A234" s="3" t="s">
        <v>258</v>
      </c>
      <c r="B234" s="3" t="n">
        <v>17</v>
      </c>
      <c r="C234" s="3" t="s">
        <v>139</v>
      </c>
      <c r="D234" s="3" t="n">
        <v>64</v>
      </c>
      <c r="E234" s="3" t="s">
        <v>145</v>
      </c>
      <c r="F234" s="3" t="s">
        <v>141</v>
      </c>
      <c r="G234" s="3" t="s">
        <v>141</v>
      </c>
      <c r="H234" s="3" t="s">
        <v>271</v>
      </c>
    </row>
    <row r="235" customFormat="false" ht="15" hidden="false" customHeight="false" outlineLevel="0" collapsed="false">
      <c r="A235" s="3" t="s">
        <v>258</v>
      </c>
      <c r="B235" s="3" t="n">
        <v>18</v>
      </c>
      <c r="C235" s="3" t="s">
        <v>139</v>
      </c>
      <c r="D235" s="3" t="n">
        <v>62</v>
      </c>
      <c r="E235" s="3" t="s">
        <v>140</v>
      </c>
      <c r="F235" s="3" t="s">
        <v>141</v>
      </c>
      <c r="G235" s="3" t="s">
        <v>141</v>
      </c>
      <c r="H235" s="3" t="s">
        <v>272</v>
      </c>
    </row>
    <row r="236" customFormat="false" ht="15" hidden="false" customHeight="false" outlineLevel="0" collapsed="false">
      <c r="A236" s="3" t="s">
        <v>258</v>
      </c>
      <c r="B236" s="3" t="n">
        <v>18</v>
      </c>
      <c r="C236" s="3" t="s">
        <v>139</v>
      </c>
      <c r="D236" s="3" t="n">
        <v>78</v>
      </c>
      <c r="E236" s="3" t="s">
        <v>145</v>
      </c>
      <c r="F236" s="3" t="s">
        <v>141</v>
      </c>
      <c r="G236" s="3" t="s">
        <v>141</v>
      </c>
      <c r="H236" s="3" t="s">
        <v>272</v>
      </c>
    </row>
    <row r="237" customFormat="false" ht="15" hidden="false" customHeight="false" outlineLevel="0" collapsed="false">
      <c r="A237" s="3" t="s">
        <v>258</v>
      </c>
      <c r="B237" s="3" t="n">
        <v>18</v>
      </c>
      <c r="C237" s="3" t="s">
        <v>139</v>
      </c>
      <c r="D237" s="3" t="n">
        <v>40</v>
      </c>
      <c r="E237" s="3" t="s">
        <v>145</v>
      </c>
      <c r="F237" s="3" t="s">
        <v>141</v>
      </c>
      <c r="G237" s="3" t="s">
        <v>141</v>
      </c>
      <c r="H237" s="3" t="s">
        <v>272</v>
      </c>
    </row>
    <row r="238" customFormat="false" ht="15" hidden="false" customHeight="false" outlineLevel="0" collapsed="false">
      <c r="A238" s="3" t="s">
        <v>258</v>
      </c>
      <c r="B238" s="3" t="n">
        <v>19</v>
      </c>
      <c r="C238" s="3" t="s">
        <v>139</v>
      </c>
      <c r="D238" s="3" t="n">
        <v>76</v>
      </c>
      <c r="E238" s="3" t="s">
        <v>140</v>
      </c>
      <c r="F238" s="3" t="s">
        <v>141</v>
      </c>
      <c r="G238" s="3" t="s">
        <v>141</v>
      </c>
      <c r="H238" s="3" t="s">
        <v>273</v>
      </c>
    </row>
    <row r="239" customFormat="false" ht="15" hidden="false" customHeight="false" outlineLevel="0" collapsed="false">
      <c r="A239" s="3" t="s">
        <v>258</v>
      </c>
      <c r="B239" s="3" t="n">
        <v>19</v>
      </c>
      <c r="C239" s="3" t="s">
        <v>139</v>
      </c>
      <c r="D239" s="3" t="n">
        <v>19</v>
      </c>
      <c r="E239" s="3" t="s">
        <v>145</v>
      </c>
      <c r="F239" s="3" t="s">
        <v>141</v>
      </c>
      <c r="G239" s="3" t="s">
        <v>141</v>
      </c>
      <c r="H239" s="3" t="s">
        <v>273</v>
      </c>
    </row>
    <row r="240" customFormat="false" ht="15" hidden="false" customHeight="false" outlineLevel="0" collapsed="false">
      <c r="A240" s="3" t="s">
        <v>258</v>
      </c>
      <c r="B240" s="3" t="n">
        <v>20</v>
      </c>
      <c r="C240" s="3" t="s">
        <v>139</v>
      </c>
      <c r="D240" s="3" t="n">
        <v>59</v>
      </c>
      <c r="E240" s="3" t="s">
        <v>140</v>
      </c>
      <c r="F240" s="3" t="s">
        <v>141</v>
      </c>
      <c r="G240" s="3" t="s">
        <v>141</v>
      </c>
      <c r="H240" s="3" t="s">
        <v>274</v>
      </c>
    </row>
    <row r="241" customFormat="false" ht="15" hidden="false" customHeight="false" outlineLevel="0" collapsed="false">
      <c r="A241" s="3" t="s">
        <v>258</v>
      </c>
      <c r="B241" s="3" t="n">
        <v>20</v>
      </c>
      <c r="C241" s="3" t="s">
        <v>139</v>
      </c>
      <c r="D241" s="3" t="n">
        <v>61</v>
      </c>
      <c r="E241" s="3" t="s">
        <v>145</v>
      </c>
      <c r="F241" s="3" t="s">
        <v>141</v>
      </c>
      <c r="G241" s="3" t="s">
        <v>141</v>
      </c>
      <c r="H241" s="3" t="s">
        <v>274</v>
      </c>
    </row>
    <row r="242" customFormat="false" ht="15" hidden="false" customHeight="false" outlineLevel="0" collapsed="false">
      <c r="A242" s="3" t="s">
        <v>258</v>
      </c>
      <c r="B242" s="3" t="n">
        <v>21</v>
      </c>
      <c r="C242" s="3" t="s">
        <v>139</v>
      </c>
      <c r="D242" s="3" t="n">
        <v>71</v>
      </c>
      <c r="E242" s="3" t="s">
        <v>140</v>
      </c>
      <c r="F242" s="3" t="s">
        <v>141</v>
      </c>
      <c r="G242" s="3" t="s">
        <v>141</v>
      </c>
      <c r="H242" s="3" t="s">
        <v>275</v>
      </c>
    </row>
    <row r="243" customFormat="false" ht="15" hidden="false" customHeight="false" outlineLevel="0" collapsed="false">
      <c r="A243" s="3" t="s">
        <v>258</v>
      </c>
      <c r="B243" s="3" t="n">
        <v>21</v>
      </c>
      <c r="C243" s="3" t="s">
        <v>139</v>
      </c>
      <c r="D243" s="3" t="n">
        <v>68</v>
      </c>
      <c r="E243" s="3" t="s">
        <v>145</v>
      </c>
      <c r="F243" s="3" t="s">
        <v>141</v>
      </c>
      <c r="G243" s="3" t="s">
        <v>141</v>
      </c>
      <c r="H243" s="3" t="s">
        <v>275</v>
      </c>
    </row>
    <row r="244" customFormat="false" ht="15" hidden="false" customHeight="false" outlineLevel="0" collapsed="false">
      <c r="A244" s="3" t="s">
        <v>258</v>
      </c>
      <c r="B244" s="3" t="n">
        <v>29</v>
      </c>
      <c r="C244" s="3" t="s">
        <v>139</v>
      </c>
      <c r="D244" s="3" t="n">
        <v>22</v>
      </c>
      <c r="E244" s="3" t="s">
        <v>140</v>
      </c>
      <c r="F244" s="3" t="s">
        <v>141</v>
      </c>
      <c r="G244" s="3" t="s">
        <v>141</v>
      </c>
      <c r="H244" s="3" t="s">
        <v>276</v>
      </c>
    </row>
    <row r="245" customFormat="false" ht="15" hidden="false" customHeight="false" outlineLevel="0" collapsed="false">
      <c r="A245" s="3" t="s">
        <v>258</v>
      </c>
      <c r="B245" s="3" t="n">
        <v>31</v>
      </c>
      <c r="C245" s="3" t="s">
        <v>139</v>
      </c>
      <c r="D245" s="3" t="n">
        <v>47</v>
      </c>
      <c r="E245" s="3" t="s">
        <v>140</v>
      </c>
      <c r="F245" s="3" t="s">
        <v>141</v>
      </c>
      <c r="G245" s="3" t="s">
        <v>141</v>
      </c>
      <c r="H245" s="3" t="s">
        <v>277</v>
      </c>
    </row>
    <row r="246" customFormat="false" ht="15" hidden="false" customHeight="false" outlineLevel="0" collapsed="false">
      <c r="A246" s="3" t="s">
        <v>258</v>
      </c>
      <c r="B246" s="3" t="n">
        <v>31</v>
      </c>
      <c r="C246" s="3" t="s">
        <v>139</v>
      </c>
      <c r="D246" s="3" t="n">
        <v>12</v>
      </c>
      <c r="E246" s="3" t="s">
        <v>145</v>
      </c>
      <c r="F246" s="3" t="s">
        <v>141</v>
      </c>
      <c r="G246" s="3" t="s">
        <v>141</v>
      </c>
      <c r="H246" s="3" t="s">
        <v>277</v>
      </c>
    </row>
    <row r="247" customFormat="false" ht="15" hidden="false" customHeight="false" outlineLevel="0" collapsed="false">
      <c r="A247" s="3" t="s">
        <v>258</v>
      </c>
      <c r="B247" s="3" t="n">
        <v>54</v>
      </c>
      <c r="C247" s="3" t="s">
        <v>139</v>
      </c>
      <c r="D247" s="3" t="n">
        <v>16</v>
      </c>
      <c r="E247" s="3" t="s">
        <v>140</v>
      </c>
      <c r="F247" s="3" t="s">
        <v>141</v>
      </c>
      <c r="G247" s="3" t="s">
        <v>141</v>
      </c>
      <c r="H247" s="3" t="s">
        <v>278</v>
      </c>
    </row>
    <row r="248" customFormat="false" ht="15" hidden="false" customHeight="false" outlineLevel="0" collapsed="false">
      <c r="A248" s="3" t="s">
        <v>258</v>
      </c>
      <c r="B248" s="3" t="n">
        <v>54</v>
      </c>
      <c r="C248" s="3" t="s">
        <v>139</v>
      </c>
      <c r="D248" s="3" t="n">
        <v>25</v>
      </c>
      <c r="E248" s="3" t="s">
        <v>145</v>
      </c>
      <c r="F248" s="3" t="s">
        <v>141</v>
      </c>
      <c r="G248" s="3" t="s">
        <v>141</v>
      </c>
      <c r="H248" s="3" t="s">
        <v>278</v>
      </c>
    </row>
    <row r="249" customFormat="false" ht="15" hidden="false" customHeight="false" outlineLevel="0" collapsed="false">
      <c r="A249" s="3" t="s">
        <v>258</v>
      </c>
      <c r="B249" s="3" t="n">
        <v>55</v>
      </c>
      <c r="C249" s="3" t="s">
        <v>139</v>
      </c>
      <c r="D249" s="3" t="n">
        <v>14</v>
      </c>
      <c r="E249" s="3" t="s">
        <v>140</v>
      </c>
      <c r="F249" s="3" t="s">
        <v>141</v>
      </c>
      <c r="G249" s="3" t="s">
        <v>141</v>
      </c>
      <c r="H249" s="3" t="s">
        <v>279</v>
      </c>
    </row>
    <row r="250" customFormat="false" ht="15" hidden="false" customHeight="false" outlineLevel="0" collapsed="false">
      <c r="A250" s="3" t="s">
        <v>258</v>
      </c>
      <c r="B250" s="3" t="n">
        <v>56</v>
      </c>
      <c r="C250" s="3" t="s">
        <v>139</v>
      </c>
      <c r="D250" s="3" t="n">
        <v>71</v>
      </c>
      <c r="E250" s="3" t="s">
        <v>140</v>
      </c>
      <c r="F250" s="3" t="s">
        <v>141</v>
      </c>
      <c r="G250" s="3" t="s">
        <v>141</v>
      </c>
      <c r="H250" s="3" t="s">
        <v>280</v>
      </c>
    </row>
    <row r="251" customFormat="false" ht="15" hidden="false" customHeight="false" outlineLevel="0" collapsed="false">
      <c r="A251" s="3" t="s">
        <v>258</v>
      </c>
      <c r="B251" s="3" t="n">
        <v>56</v>
      </c>
      <c r="C251" s="3" t="s">
        <v>139</v>
      </c>
      <c r="D251" s="3" t="n">
        <v>68</v>
      </c>
      <c r="E251" s="3" t="s">
        <v>145</v>
      </c>
      <c r="F251" s="3" t="s">
        <v>141</v>
      </c>
      <c r="G251" s="3" t="s">
        <v>141</v>
      </c>
      <c r="H251" s="3" t="s">
        <v>280</v>
      </c>
    </row>
    <row r="252" customFormat="false" ht="15" hidden="false" customHeight="false" outlineLevel="0" collapsed="false">
      <c r="A252" s="3" t="s">
        <v>258</v>
      </c>
      <c r="B252" s="3" t="n">
        <v>57</v>
      </c>
      <c r="C252" s="3" t="s">
        <v>139</v>
      </c>
      <c r="D252" s="3" t="n">
        <v>41</v>
      </c>
      <c r="E252" s="3" t="s">
        <v>140</v>
      </c>
      <c r="F252" s="3" t="s">
        <v>141</v>
      </c>
      <c r="G252" s="3" t="s">
        <v>141</v>
      </c>
      <c r="H252" s="3" t="s">
        <v>281</v>
      </c>
    </row>
    <row r="253" customFormat="false" ht="15" hidden="false" customHeight="false" outlineLevel="0" collapsed="false">
      <c r="A253" s="3" t="s">
        <v>258</v>
      </c>
      <c r="B253" s="3" t="n">
        <v>58</v>
      </c>
      <c r="C253" s="3" t="s">
        <v>139</v>
      </c>
      <c r="D253" s="3" t="n">
        <v>71</v>
      </c>
      <c r="E253" s="3" t="s">
        <v>140</v>
      </c>
      <c r="F253" s="3" t="s">
        <v>141</v>
      </c>
      <c r="G253" s="3" t="s">
        <v>141</v>
      </c>
      <c r="H253" s="3" t="s">
        <v>282</v>
      </c>
    </row>
    <row r="254" customFormat="false" ht="15" hidden="false" customHeight="false" outlineLevel="0" collapsed="false">
      <c r="A254" s="3" t="s">
        <v>258</v>
      </c>
      <c r="B254" s="3" t="n">
        <v>62</v>
      </c>
      <c r="C254" s="3" t="s">
        <v>139</v>
      </c>
      <c r="D254" s="3" t="n">
        <v>40</v>
      </c>
      <c r="E254" s="3" t="s">
        <v>140</v>
      </c>
      <c r="F254" s="3" t="s">
        <v>141</v>
      </c>
      <c r="G254" s="3" t="s">
        <v>141</v>
      </c>
      <c r="H254" s="3" t="s">
        <v>283</v>
      </c>
    </row>
    <row r="255" customFormat="false" ht="15" hidden="false" customHeight="false" outlineLevel="0" collapsed="false">
      <c r="A255" s="3" t="s">
        <v>258</v>
      </c>
      <c r="B255" s="3" t="n">
        <v>62</v>
      </c>
      <c r="C255" s="3" t="s">
        <v>139</v>
      </c>
      <c r="D255" s="3" t="n">
        <v>96</v>
      </c>
      <c r="E255" s="3" t="s">
        <v>145</v>
      </c>
      <c r="F255" s="3" t="s">
        <v>141</v>
      </c>
      <c r="G255" s="3" t="s">
        <v>141</v>
      </c>
      <c r="H255" s="3" t="s">
        <v>283</v>
      </c>
    </row>
    <row r="256" customFormat="false" ht="15" hidden="false" customHeight="false" outlineLevel="0" collapsed="false">
      <c r="A256" s="3" t="s">
        <v>258</v>
      </c>
      <c r="B256" s="3" t="n">
        <v>62</v>
      </c>
      <c r="C256" s="3" t="s">
        <v>139</v>
      </c>
      <c r="D256" s="3" t="n">
        <v>38</v>
      </c>
      <c r="E256" s="3" t="s">
        <v>145</v>
      </c>
      <c r="F256" s="3" t="s">
        <v>141</v>
      </c>
      <c r="G256" s="3" t="s">
        <v>141</v>
      </c>
      <c r="H256" s="3" t="s">
        <v>283</v>
      </c>
    </row>
    <row r="257" customFormat="false" ht="15" hidden="false" customHeight="false" outlineLevel="0" collapsed="false">
      <c r="A257" s="3" t="s">
        <v>258</v>
      </c>
      <c r="B257" s="3" t="n">
        <v>63</v>
      </c>
      <c r="C257" s="3" t="s">
        <v>139</v>
      </c>
      <c r="D257" s="3" t="n">
        <v>9</v>
      </c>
      <c r="E257" s="3" t="s">
        <v>140</v>
      </c>
      <c r="F257" s="3" t="s">
        <v>141</v>
      </c>
      <c r="G257" s="3" t="s">
        <v>141</v>
      </c>
      <c r="H257" s="3" t="s">
        <v>284</v>
      </c>
    </row>
    <row r="258" customFormat="false" ht="15" hidden="false" customHeight="false" outlineLevel="0" collapsed="false">
      <c r="A258" s="3" t="s">
        <v>258</v>
      </c>
      <c r="B258" s="3" t="n">
        <v>65</v>
      </c>
      <c r="C258" s="3" t="s">
        <v>139</v>
      </c>
      <c r="D258" s="3" t="n">
        <v>20</v>
      </c>
      <c r="E258" s="3" t="s">
        <v>140</v>
      </c>
      <c r="F258" s="3" t="s">
        <v>141</v>
      </c>
      <c r="G258" s="3" t="s">
        <v>141</v>
      </c>
      <c r="H258" s="3" t="s">
        <v>285</v>
      </c>
    </row>
    <row r="259" customFormat="false" ht="15" hidden="false" customHeight="false" outlineLevel="0" collapsed="false">
      <c r="A259" s="3" t="s">
        <v>286</v>
      </c>
      <c r="B259" s="3" t="n">
        <v>1</v>
      </c>
      <c r="C259" s="3" t="s">
        <v>139</v>
      </c>
      <c r="D259" s="3" t="n">
        <v>61</v>
      </c>
      <c r="E259" s="3" t="s">
        <v>140</v>
      </c>
      <c r="F259" s="3" t="s">
        <v>213</v>
      </c>
      <c r="G259" s="3" t="s">
        <v>141</v>
      </c>
      <c r="H259" s="3" t="s">
        <v>287</v>
      </c>
    </row>
    <row r="260" customFormat="false" ht="15" hidden="false" customHeight="false" outlineLevel="0" collapsed="false">
      <c r="A260" s="3" t="s">
        <v>286</v>
      </c>
      <c r="B260" s="3" t="n">
        <v>1</v>
      </c>
      <c r="C260" s="3" t="s">
        <v>139</v>
      </c>
      <c r="D260" s="3" t="n">
        <v>47</v>
      </c>
      <c r="E260" s="3" t="s">
        <v>145</v>
      </c>
      <c r="F260" s="3" t="s">
        <v>213</v>
      </c>
      <c r="G260" s="3" t="s">
        <v>141</v>
      </c>
      <c r="H260" s="3" t="s">
        <v>287</v>
      </c>
    </row>
    <row r="261" customFormat="false" ht="15" hidden="false" customHeight="false" outlineLevel="0" collapsed="false">
      <c r="A261" s="3" t="s">
        <v>286</v>
      </c>
      <c r="B261" s="3" t="n">
        <v>2</v>
      </c>
      <c r="C261" s="3" t="s">
        <v>139</v>
      </c>
      <c r="D261" s="3" t="n">
        <v>50</v>
      </c>
      <c r="E261" s="3" t="s">
        <v>140</v>
      </c>
      <c r="F261" s="3" t="s">
        <v>213</v>
      </c>
      <c r="G261" s="3" t="s">
        <v>141</v>
      </c>
      <c r="H261" s="3" t="s">
        <v>288</v>
      </c>
    </row>
    <row r="262" customFormat="false" ht="15" hidden="false" customHeight="false" outlineLevel="0" collapsed="false">
      <c r="A262" s="3" t="s">
        <v>286</v>
      </c>
      <c r="B262" s="3" t="n">
        <v>2</v>
      </c>
      <c r="C262" s="3" t="s">
        <v>139</v>
      </c>
      <c r="D262" s="3" t="n">
        <v>21</v>
      </c>
      <c r="E262" s="3" t="s">
        <v>145</v>
      </c>
      <c r="F262" s="3" t="s">
        <v>213</v>
      </c>
      <c r="G262" s="3" t="s">
        <v>141</v>
      </c>
      <c r="H262" s="3" t="s">
        <v>288</v>
      </c>
    </row>
    <row r="263" customFormat="false" ht="15" hidden="false" customHeight="false" outlineLevel="0" collapsed="false">
      <c r="A263" s="3" t="s">
        <v>286</v>
      </c>
      <c r="B263" s="3" t="n">
        <v>3</v>
      </c>
      <c r="C263" s="3" t="s">
        <v>139</v>
      </c>
      <c r="D263" s="3" t="n">
        <v>32</v>
      </c>
      <c r="E263" s="3" t="s">
        <v>140</v>
      </c>
      <c r="F263" s="3" t="s">
        <v>213</v>
      </c>
      <c r="G263" s="3" t="s">
        <v>141</v>
      </c>
      <c r="H263" s="3" t="s">
        <v>289</v>
      </c>
    </row>
    <row r="264" customFormat="false" ht="15" hidden="false" customHeight="false" outlineLevel="0" collapsed="false">
      <c r="A264" s="3" t="s">
        <v>286</v>
      </c>
      <c r="B264" s="3" t="n">
        <v>10</v>
      </c>
      <c r="C264" s="3" t="s">
        <v>139</v>
      </c>
      <c r="D264" s="3" t="n">
        <v>76</v>
      </c>
      <c r="E264" s="3" t="s">
        <v>140</v>
      </c>
      <c r="F264" s="3" t="s">
        <v>213</v>
      </c>
      <c r="G264" s="3" t="s">
        <v>141</v>
      </c>
      <c r="H264" s="3" t="s">
        <v>290</v>
      </c>
    </row>
    <row r="265" customFormat="false" ht="15" hidden="false" customHeight="false" outlineLevel="0" collapsed="false">
      <c r="A265" s="3" t="s">
        <v>286</v>
      </c>
      <c r="B265" s="3" t="n">
        <v>10</v>
      </c>
      <c r="C265" s="3" t="s">
        <v>139</v>
      </c>
      <c r="D265" s="3" t="n">
        <v>43</v>
      </c>
      <c r="E265" s="3" t="s">
        <v>145</v>
      </c>
      <c r="F265" s="3" t="s">
        <v>213</v>
      </c>
      <c r="G265" s="3" t="s">
        <v>141</v>
      </c>
      <c r="H265" s="3" t="s">
        <v>290</v>
      </c>
    </row>
    <row r="266" customFormat="false" ht="15" hidden="false" customHeight="false" outlineLevel="0" collapsed="false">
      <c r="A266" s="3" t="s">
        <v>286</v>
      </c>
      <c r="B266" s="3" t="n">
        <v>10</v>
      </c>
      <c r="C266" s="3" t="s">
        <v>139</v>
      </c>
      <c r="D266" s="3" t="n">
        <v>74</v>
      </c>
      <c r="E266" s="3" t="s">
        <v>145</v>
      </c>
      <c r="F266" s="3" t="s">
        <v>213</v>
      </c>
      <c r="G266" s="3" t="s">
        <v>141</v>
      </c>
      <c r="H266" s="3" t="s">
        <v>290</v>
      </c>
    </row>
    <row r="267" customFormat="false" ht="15" hidden="false" customHeight="false" outlineLevel="0" collapsed="false">
      <c r="A267" s="3" t="s">
        <v>286</v>
      </c>
      <c r="B267" s="3" t="n">
        <v>12</v>
      </c>
      <c r="C267" s="3" t="s">
        <v>139</v>
      </c>
      <c r="D267" s="3" t="n">
        <v>47</v>
      </c>
      <c r="E267" s="3" t="s">
        <v>140</v>
      </c>
      <c r="F267" s="3" t="s">
        <v>213</v>
      </c>
      <c r="G267" s="3" t="s">
        <v>141</v>
      </c>
      <c r="H267" s="3" t="s">
        <v>291</v>
      </c>
    </row>
    <row r="268" customFormat="false" ht="15" hidden="false" customHeight="false" outlineLevel="0" collapsed="false">
      <c r="A268" s="3" t="s">
        <v>286</v>
      </c>
      <c r="B268" s="3" t="n">
        <v>12</v>
      </c>
      <c r="C268" s="3" t="s">
        <v>139</v>
      </c>
      <c r="D268" s="3" t="n">
        <v>53</v>
      </c>
      <c r="E268" s="3" t="s">
        <v>145</v>
      </c>
      <c r="F268" s="3" t="s">
        <v>213</v>
      </c>
      <c r="G268" s="3" t="s">
        <v>141</v>
      </c>
      <c r="H268" s="3" t="s">
        <v>291</v>
      </c>
    </row>
    <row r="269" customFormat="false" ht="15" hidden="false" customHeight="false" outlineLevel="0" collapsed="false">
      <c r="A269" s="3" t="s">
        <v>286</v>
      </c>
      <c r="B269" s="3" t="n">
        <v>12</v>
      </c>
      <c r="C269" s="3" t="s">
        <v>139</v>
      </c>
      <c r="D269" s="3" t="n">
        <v>64</v>
      </c>
      <c r="E269" s="3" t="s">
        <v>145</v>
      </c>
      <c r="F269" s="3" t="s">
        <v>213</v>
      </c>
      <c r="G269" s="3" t="s">
        <v>141</v>
      </c>
      <c r="H269" s="3" t="s">
        <v>291</v>
      </c>
    </row>
    <row r="270" customFormat="false" ht="15" hidden="false" customHeight="false" outlineLevel="0" collapsed="false">
      <c r="A270" s="3" t="s">
        <v>286</v>
      </c>
      <c r="B270" s="3" t="n">
        <v>13</v>
      </c>
      <c r="C270" s="3" t="s">
        <v>139</v>
      </c>
      <c r="D270" s="3" t="n">
        <v>44</v>
      </c>
      <c r="E270" s="3" t="s">
        <v>140</v>
      </c>
      <c r="F270" s="3" t="s">
        <v>213</v>
      </c>
      <c r="G270" s="3" t="s">
        <v>141</v>
      </c>
      <c r="H270" s="3" t="s">
        <v>292</v>
      </c>
    </row>
    <row r="271" customFormat="false" ht="15" hidden="false" customHeight="false" outlineLevel="0" collapsed="false">
      <c r="A271" s="3" t="s">
        <v>286</v>
      </c>
      <c r="B271" s="3" t="n">
        <v>13</v>
      </c>
      <c r="C271" s="3" t="s">
        <v>139</v>
      </c>
      <c r="D271" s="3" t="n">
        <v>21</v>
      </c>
      <c r="E271" s="3" t="s">
        <v>145</v>
      </c>
      <c r="F271" s="3" t="s">
        <v>213</v>
      </c>
      <c r="G271" s="3" t="s">
        <v>141</v>
      </c>
      <c r="H271" s="3" t="s">
        <v>292</v>
      </c>
    </row>
    <row r="272" customFormat="false" ht="15" hidden="false" customHeight="false" outlineLevel="0" collapsed="false">
      <c r="A272" s="3" t="s">
        <v>286</v>
      </c>
      <c r="B272" s="3" t="n">
        <v>14</v>
      </c>
      <c r="C272" s="3" t="s">
        <v>139</v>
      </c>
      <c r="D272" s="3" t="n">
        <v>12</v>
      </c>
      <c r="E272" s="3" t="s">
        <v>140</v>
      </c>
      <c r="F272" s="3" t="s">
        <v>213</v>
      </c>
      <c r="G272" s="3" t="s">
        <v>141</v>
      </c>
      <c r="H272" s="3" t="s">
        <v>293</v>
      </c>
    </row>
    <row r="273" customFormat="false" ht="15" hidden="false" customHeight="false" outlineLevel="0" collapsed="false">
      <c r="A273" s="3" t="s">
        <v>286</v>
      </c>
      <c r="B273" s="3" t="n">
        <v>15</v>
      </c>
      <c r="C273" s="3" t="s">
        <v>139</v>
      </c>
      <c r="D273" s="3" t="n">
        <v>61</v>
      </c>
      <c r="E273" s="3" t="s">
        <v>140</v>
      </c>
      <c r="F273" s="3" t="s">
        <v>213</v>
      </c>
      <c r="G273" s="3" t="s">
        <v>141</v>
      </c>
      <c r="H273" s="3" t="s">
        <v>294</v>
      </c>
    </row>
    <row r="274" customFormat="false" ht="15" hidden="false" customHeight="false" outlineLevel="0" collapsed="false">
      <c r="A274" s="3" t="s">
        <v>286</v>
      </c>
      <c r="B274" s="3" t="n">
        <v>15</v>
      </c>
      <c r="C274" s="3" t="s">
        <v>139</v>
      </c>
      <c r="D274" s="3" t="n">
        <v>21</v>
      </c>
      <c r="E274" s="3" t="s">
        <v>145</v>
      </c>
      <c r="F274" s="3" t="s">
        <v>213</v>
      </c>
      <c r="G274" s="3" t="s">
        <v>141</v>
      </c>
      <c r="H274" s="3" t="s">
        <v>294</v>
      </c>
    </row>
    <row r="275" customFormat="false" ht="15" hidden="false" customHeight="false" outlineLevel="0" collapsed="false">
      <c r="A275" s="3" t="s">
        <v>286</v>
      </c>
      <c r="B275" s="3" t="n">
        <v>16</v>
      </c>
      <c r="C275" s="3" t="s">
        <v>139</v>
      </c>
      <c r="D275" s="3" t="n">
        <v>47</v>
      </c>
      <c r="E275" s="3" t="s">
        <v>140</v>
      </c>
      <c r="F275" s="3" t="s">
        <v>213</v>
      </c>
      <c r="G275" s="3" t="s">
        <v>141</v>
      </c>
      <c r="H275" s="3" t="s">
        <v>295</v>
      </c>
    </row>
    <row r="276" customFormat="false" ht="15" hidden="false" customHeight="false" outlineLevel="0" collapsed="false">
      <c r="A276" s="3" t="s">
        <v>286</v>
      </c>
      <c r="B276" s="3" t="n">
        <v>21</v>
      </c>
      <c r="C276" s="3" t="s">
        <v>139</v>
      </c>
      <c r="D276" s="3" t="n">
        <v>43</v>
      </c>
      <c r="E276" s="3" t="s">
        <v>140</v>
      </c>
      <c r="F276" s="3" t="s">
        <v>213</v>
      </c>
      <c r="G276" s="3" t="s">
        <v>141</v>
      </c>
      <c r="H276" s="3" t="s">
        <v>296</v>
      </c>
    </row>
    <row r="277" customFormat="false" ht="15" hidden="false" customHeight="false" outlineLevel="0" collapsed="false">
      <c r="A277" s="3" t="s">
        <v>286</v>
      </c>
      <c r="B277" s="3" t="n">
        <v>21</v>
      </c>
      <c r="C277" s="3" t="s">
        <v>139</v>
      </c>
      <c r="D277" s="3" t="n">
        <v>76</v>
      </c>
      <c r="E277" s="3" t="s">
        <v>145</v>
      </c>
      <c r="F277" s="3" t="s">
        <v>213</v>
      </c>
      <c r="G277" s="3" t="s">
        <v>141</v>
      </c>
      <c r="H277" s="3" t="s">
        <v>296</v>
      </c>
    </row>
    <row r="278" customFormat="false" ht="15" hidden="false" customHeight="false" outlineLevel="0" collapsed="false">
      <c r="A278" s="3" t="s">
        <v>286</v>
      </c>
      <c r="B278" s="3" t="n">
        <v>23</v>
      </c>
      <c r="C278" s="3" t="s">
        <v>139</v>
      </c>
      <c r="D278" s="3" t="n">
        <v>47</v>
      </c>
      <c r="E278" s="3" t="s">
        <v>140</v>
      </c>
      <c r="F278" s="3" t="s">
        <v>213</v>
      </c>
      <c r="G278" s="3" t="s">
        <v>141</v>
      </c>
      <c r="H278" s="3" t="s">
        <v>297</v>
      </c>
    </row>
    <row r="279" customFormat="false" ht="15" hidden="false" customHeight="false" outlineLevel="0" collapsed="false">
      <c r="A279" s="3" t="s">
        <v>286</v>
      </c>
      <c r="B279" s="3" t="n">
        <v>23</v>
      </c>
      <c r="C279" s="3" t="s">
        <v>139</v>
      </c>
      <c r="D279" s="3" t="n">
        <v>17</v>
      </c>
      <c r="E279" s="3" t="s">
        <v>145</v>
      </c>
      <c r="F279" s="3" t="s">
        <v>213</v>
      </c>
      <c r="G279" s="3" t="s">
        <v>141</v>
      </c>
      <c r="H279" s="3" t="s">
        <v>297</v>
      </c>
    </row>
    <row r="280" customFormat="false" ht="15" hidden="false" customHeight="false" outlineLevel="0" collapsed="false">
      <c r="A280" s="3" t="s">
        <v>286</v>
      </c>
      <c r="B280" s="3" t="n">
        <v>24</v>
      </c>
      <c r="C280" s="3" t="s">
        <v>139</v>
      </c>
      <c r="D280" s="3" t="n">
        <v>76</v>
      </c>
      <c r="E280" s="3" t="s">
        <v>140</v>
      </c>
      <c r="F280" s="3" t="s">
        <v>213</v>
      </c>
      <c r="G280" s="3" t="s">
        <v>141</v>
      </c>
      <c r="H280" s="3" t="s">
        <v>298</v>
      </c>
    </row>
    <row r="281" customFormat="false" ht="15" hidden="false" customHeight="false" outlineLevel="0" collapsed="false">
      <c r="A281" s="3" t="s">
        <v>286</v>
      </c>
      <c r="B281" s="3" t="n">
        <v>24</v>
      </c>
      <c r="C281" s="3" t="s">
        <v>139</v>
      </c>
      <c r="D281" s="3" t="n">
        <v>43</v>
      </c>
      <c r="E281" s="3" t="s">
        <v>145</v>
      </c>
      <c r="F281" s="3" t="s">
        <v>213</v>
      </c>
      <c r="G281" s="3" t="s">
        <v>141</v>
      </c>
      <c r="H281" s="3" t="s">
        <v>298</v>
      </c>
    </row>
    <row r="282" customFormat="false" ht="15" hidden="false" customHeight="false" outlineLevel="0" collapsed="false">
      <c r="A282" s="3" t="s">
        <v>286</v>
      </c>
      <c r="B282" s="3" t="n">
        <v>25</v>
      </c>
      <c r="C282" s="3" t="s">
        <v>139</v>
      </c>
      <c r="D282" s="3" t="n">
        <v>20</v>
      </c>
      <c r="E282" s="3" t="s">
        <v>140</v>
      </c>
      <c r="F282" s="3" t="s">
        <v>213</v>
      </c>
      <c r="G282" s="3" t="s">
        <v>141</v>
      </c>
      <c r="H282" s="3" t="s">
        <v>299</v>
      </c>
    </row>
    <row r="283" customFormat="false" ht="15" hidden="false" customHeight="false" outlineLevel="0" collapsed="false">
      <c r="A283" s="3" t="s">
        <v>286</v>
      </c>
      <c r="B283" s="3" t="n">
        <v>25</v>
      </c>
      <c r="C283" s="3" t="s">
        <v>139</v>
      </c>
      <c r="D283" s="3" t="n">
        <v>16</v>
      </c>
      <c r="E283" s="3" t="s">
        <v>145</v>
      </c>
      <c r="F283" s="3" t="s">
        <v>213</v>
      </c>
      <c r="G283" s="3" t="s">
        <v>141</v>
      </c>
      <c r="H283" s="3" t="s">
        <v>299</v>
      </c>
    </row>
    <row r="284" customFormat="false" ht="15" hidden="false" customHeight="false" outlineLevel="0" collapsed="false">
      <c r="A284" s="3" t="s">
        <v>286</v>
      </c>
      <c r="B284" s="3" t="n">
        <v>26</v>
      </c>
      <c r="C284" s="3" t="s">
        <v>139</v>
      </c>
      <c r="D284" s="3" t="n">
        <v>74</v>
      </c>
      <c r="E284" s="3" t="s">
        <v>140</v>
      </c>
      <c r="F284" s="3" t="s">
        <v>213</v>
      </c>
      <c r="G284" s="3" t="s">
        <v>141</v>
      </c>
      <c r="H284" s="3" t="s">
        <v>300</v>
      </c>
    </row>
    <row r="285" customFormat="false" ht="15" hidden="false" customHeight="false" outlineLevel="0" collapsed="false">
      <c r="A285" s="3" t="s">
        <v>286</v>
      </c>
      <c r="B285" s="3" t="n">
        <v>27</v>
      </c>
      <c r="C285" s="3" t="s">
        <v>139</v>
      </c>
      <c r="D285" s="3" t="n">
        <v>68</v>
      </c>
      <c r="E285" s="3" t="s">
        <v>140</v>
      </c>
      <c r="F285" s="3" t="s">
        <v>213</v>
      </c>
      <c r="G285" s="3" t="s">
        <v>141</v>
      </c>
      <c r="H285" s="3" t="s">
        <v>301</v>
      </c>
    </row>
    <row r="286" customFormat="false" ht="15" hidden="false" customHeight="false" outlineLevel="0" collapsed="false">
      <c r="A286" s="3" t="s">
        <v>286</v>
      </c>
      <c r="B286" s="3" t="n">
        <v>27</v>
      </c>
      <c r="C286" s="3" t="s">
        <v>139</v>
      </c>
      <c r="D286" s="3" t="n">
        <v>64</v>
      </c>
      <c r="E286" s="3" t="s">
        <v>145</v>
      </c>
      <c r="F286" s="3" t="s">
        <v>213</v>
      </c>
      <c r="G286" s="3" t="s">
        <v>141</v>
      </c>
      <c r="H286" s="3" t="s">
        <v>301</v>
      </c>
    </row>
    <row r="287" customFormat="false" ht="15" hidden="false" customHeight="false" outlineLevel="0" collapsed="false">
      <c r="A287" s="3" t="s">
        <v>286</v>
      </c>
      <c r="B287" s="3" t="n">
        <v>28</v>
      </c>
      <c r="C287" s="3" t="s">
        <v>139</v>
      </c>
      <c r="D287" s="3" t="n">
        <v>22</v>
      </c>
      <c r="E287" s="3" t="s">
        <v>140</v>
      </c>
      <c r="F287" s="3" t="s">
        <v>213</v>
      </c>
      <c r="G287" s="3" t="s">
        <v>141</v>
      </c>
      <c r="H287" s="3" t="s">
        <v>302</v>
      </c>
    </row>
    <row r="288" customFormat="false" ht="15" hidden="false" customHeight="false" outlineLevel="0" collapsed="false">
      <c r="A288" s="3" t="s">
        <v>286</v>
      </c>
      <c r="B288" s="3" t="n">
        <v>28</v>
      </c>
      <c r="C288" s="3" t="s">
        <v>139</v>
      </c>
      <c r="D288" s="3" t="n">
        <v>14</v>
      </c>
      <c r="E288" s="3" t="s">
        <v>145</v>
      </c>
      <c r="F288" s="3" t="s">
        <v>213</v>
      </c>
      <c r="G288" s="3" t="s">
        <v>141</v>
      </c>
      <c r="H288" s="3" t="s">
        <v>302</v>
      </c>
    </row>
    <row r="289" customFormat="false" ht="15" hidden="false" customHeight="false" outlineLevel="0" collapsed="false">
      <c r="A289" s="3" t="s">
        <v>286</v>
      </c>
      <c r="B289" s="3" t="n">
        <v>29</v>
      </c>
      <c r="C289" s="3" t="s">
        <v>139</v>
      </c>
      <c r="D289" s="3" t="n">
        <v>13</v>
      </c>
      <c r="E289" s="3" t="s">
        <v>140</v>
      </c>
      <c r="F289" s="3" t="s">
        <v>213</v>
      </c>
      <c r="G289" s="3" t="s">
        <v>141</v>
      </c>
      <c r="H289" s="3" t="s">
        <v>303</v>
      </c>
    </row>
    <row r="290" customFormat="false" ht="15" hidden="false" customHeight="false" outlineLevel="0" collapsed="false">
      <c r="A290" s="3" t="s">
        <v>286</v>
      </c>
      <c r="B290" s="3" t="n">
        <v>29</v>
      </c>
      <c r="C290" s="3" t="s">
        <v>139</v>
      </c>
      <c r="D290" s="3" t="n">
        <v>22</v>
      </c>
      <c r="E290" s="3" t="s">
        <v>145</v>
      </c>
      <c r="F290" s="3" t="s">
        <v>213</v>
      </c>
      <c r="G290" s="3" t="s">
        <v>141</v>
      </c>
      <c r="H290" s="3" t="s">
        <v>303</v>
      </c>
    </row>
    <row r="291" customFormat="false" ht="15" hidden="false" customHeight="false" outlineLevel="0" collapsed="false">
      <c r="A291" s="3" t="s">
        <v>286</v>
      </c>
      <c r="B291" s="3" t="n">
        <v>30</v>
      </c>
      <c r="C291" s="3" t="s">
        <v>139</v>
      </c>
      <c r="D291" s="3" t="n">
        <v>63</v>
      </c>
      <c r="E291" s="3" t="s">
        <v>140</v>
      </c>
      <c r="F291" s="3" t="s">
        <v>213</v>
      </c>
      <c r="G291" s="3" t="s">
        <v>141</v>
      </c>
      <c r="H291" s="3" t="s">
        <v>304</v>
      </c>
    </row>
    <row r="292" customFormat="false" ht="15" hidden="false" customHeight="false" outlineLevel="0" collapsed="false">
      <c r="A292" s="3" t="s">
        <v>286</v>
      </c>
      <c r="B292" s="3" t="n">
        <v>30</v>
      </c>
      <c r="C292" s="3" t="s">
        <v>139</v>
      </c>
      <c r="D292" s="3" t="n">
        <v>32</v>
      </c>
      <c r="E292" s="3" t="s">
        <v>145</v>
      </c>
      <c r="F292" s="3" t="s">
        <v>213</v>
      </c>
      <c r="G292" s="3" t="s">
        <v>141</v>
      </c>
      <c r="H292" s="3" t="s">
        <v>304</v>
      </c>
    </row>
    <row r="293" customFormat="false" ht="15" hidden="false" customHeight="false" outlineLevel="0" collapsed="false">
      <c r="A293" s="3" t="s">
        <v>286</v>
      </c>
      <c r="B293" s="3" t="n">
        <v>31</v>
      </c>
      <c r="C293" s="3" t="s">
        <v>139</v>
      </c>
      <c r="D293" s="3" t="n">
        <v>22</v>
      </c>
      <c r="E293" s="3" t="s">
        <v>140</v>
      </c>
      <c r="F293" s="3" t="s">
        <v>213</v>
      </c>
      <c r="G293" s="3" t="s">
        <v>141</v>
      </c>
      <c r="H293" s="3" t="s">
        <v>305</v>
      </c>
    </row>
    <row r="294" customFormat="false" ht="15" hidden="false" customHeight="false" outlineLevel="0" collapsed="false">
      <c r="A294" s="3" t="s">
        <v>286</v>
      </c>
      <c r="B294" s="3" t="n">
        <v>32</v>
      </c>
      <c r="C294" s="3" t="s">
        <v>139</v>
      </c>
      <c r="D294" s="3" t="n">
        <v>76</v>
      </c>
      <c r="E294" s="3" t="s">
        <v>140</v>
      </c>
      <c r="F294" s="3" t="s">
        <v>213</v>
      </c>
      <c r="G294" s="3" t="s">
        <v>141</v>
      </c>
      <c r="H294" s="3" t="s">
        <v>306</v>
      </c>
    </row>
    <row r="295" customFormat="false" ht="15" hidden="false" customHeight="false" outlineLevel="0" collapsed="false">
      <c r="A295" s="3" t="s">
        <v>286</v>
      </c>
      <c r="B295" s="3" t="n">
        <v>32</v>
      </c>
      <c r="C295" s="3" t="s">
        <v>139</v>
      </c>
      <c r="D295" s="3" t="n">
        <v>43</v>
      </c>
      <c r="E295" s="3" t="s">
        <v>145</v>
      </c>
      <c r="F295" s="3" t="s">
        <v>213</v>
      </c>
      <c r="G295" s="3" t="s">
        <v>141</v>
      </c>
      <c r="H295" s="3" t="s">
        <v>306</v>
      </c>
    </row>
    <row r="296" customFormat="false" ht="15" hidden="false" customHeight="false" outlineLevel="0" collapsed="false">
      <c r="A296" s="3" t="s">
        <v>286</v>
      </c>
      <c r="B296" s="3" t="n">
        <v>33</v>
      </c>
      <c r="C296" s="3" t="s">
        <v>139</v>
      </c>
      <c r="D296" s="3" t="n">
        <v>21</v>
      </c>
      <c r="E296" s="3" t="s">
        <v>140</v>
      </c>
      <c r="F296" s="3" t="s">
        <v>213</v>
      </c>
      <c r="G296" s="3" t="s">
        <v>141</v>
      </c>
      <c r="H296" s="3" t="s">
        <v>307</v>
      </c>
    </row>
    <row r="297" customFormat="false" ht="15" hidden="false" customHeight="false" outlineLevel="0" collapsed="false">
      <c r="A297" s="3" t="s">
        <v>286</v>
      </c>
      <c r="B297" s="3" t="n">
        <v>38</v>
      </c>
      <c r="C297" s="3" t="s">
        <v>139</v>
      </c>
      <c r="D297" s="3" t="n">
        <v>32</v>
      </c>
      <c r="E297" s="3" t="s">
        <v>140</v>
      </c>
      <c r="F297" s="3" t="s">
        <v>213</v>
      </c>
      <c r="G297" s="3" t="s">
        <v>141</v>
      </c>
      <c r="H297" s="3" t="s">
        <v>308</v>
      </c>
    </row>
    <row r="298" customFormat="false" ht="15" hidden="false" customHeight="false" outlineLevel="0" collapsed="false">
      <c r="A298" s="3" t="s">
        <v>286</v>
      </c>
      <c r="B298" s="3" t="n">
        <v>38</v>
      </c>
      <c r="C298" s="3" t="s">
        <v>139</v>
      </c>
      <c r="D298" s="3" t="n">
        <v>31</v>
      </c>
      <c r="E298" s="3" t="s">
        <v>145</v>
      </c>
      <c r="F298" s="3" t="s">
        <v>213</v>
      </c>
      <c r="G298" s="3" t="s">
        <v>141</v>
      </c>
      <c r="H298" s="3" t="s">
        <v>308</v>
      </c>
    </row>
    <row r="299" customFormat="false" ht="15" hidden="false" customHeight="false" outlineLevel="0" collapsed="false">
      <c r="A299" s="3" t="s">
        <v>286</v>
      </c>
      <c r="B299" s="3" t="n">
        <v>39</v>
      </c>
      <c r="C299" s="3" t="s">
        <v>139</v>
      </c>
      <c r="D299" s="3" t="n">
        <v>43</v>
      </c>
      <c r="E299" s="3" t="s">
        <v>140</v>
      </c>
      <c r="F299" s="3" t="s">
        <v>213</v>
      </c>
      <c r="G299" s="3" t="s">
        <v>141</v>
      </c>
      <c r="H299" s="3" t="s">
        <v>309</v>
      </c>
    </row>
    <row r="300" customFormat="false" ht="15" hidden="false" customHeight="false" outlineLevel="0" collapsed="false">
      <c r="A300" s="3" t="s">
        <v>286</v>
      </c>
      <c r="B300" s="3" t="n">
        <v>39</v>
      </c>
      <c r="C300" s="3" t="s">
        <v>139</v>
      </c>
      <c r="D300" s="3" t="n">
        <v>50</v>
      </c>
      <c r="E300" s="3" t="s">
        <v>145</v>
      </c>
      <c r="F300" s="3" t="s">
        <v>213</v>
      </c>
      <c r="G300" s="3" t="s">
        <v>141</v>
      </c>
      <c r="H300" s="3" t="s">
        <v>309</v>
      </c>
    </row>
    <row r="301" customFormat="false" ht="15" hidden="false" customHeight="false" outlineLevel="0" collapsed="false">
      <c r="A301" s="3" t="s">
        <v>286</v>
      </c>
      <c r="B301" s="3" t="n">
        <v>48</v>
      </c>
      <c r="C301" s="3" t="s">
        <v>139</v>
      </c>
      <c r="D301" s="3" t="n">
        <v>76</v>
      </c>
      <c r="E301" s="3" t="s">
        <v>140</v>
      </c>
      <c r="F301" s="3" t="s">
        <v>213</v>
      </c>
      <c r="G301" s="3" t="s">
        <v>141</v>
      </c>
      <c r="H301" s="3" t="s">
        <v>310</v>
      </c>
    </row>
    <row r="302" customFormat="false" ht="15" hidden="false" customHeight="false" outlineLevel="0" collapsed="false">
      <c r="A302" s="3" t="s">
        <v>286</v>
      </c>
      <c r="B302" s="3" t="n">
        <v>48</v>
      </c>
      <c r="C302" s="3" t="s">
        <v>139</v>
      </c>
      <c r="D302" s="3" t="n">
        <v>74</v>
      </c>
      <c r="E302" s="3" t="s">
        <v>145</v>
      </c>
      <c r="F302" s="3" t="s">
        <v>213</v>
      </c>
      <c r="G302" s="3" t="s">
        <v>141</v>
      </c>
      <c r="H302" s="3" t="s">
        <v>310</v>
      </c>
    </row>
    <row r="303" customFormat="false" ht="15" hidden="false" customHeight="false" outlineLevel="0" collapsed="false">
      <c r="A303" s="3" t="s">
        <v>286</v>
      </c>
      <c r="B303" s="3" t="n">
        <v>49</v>
      </c>
      <c r="C303" s="3" t="s">
        <v>139</v>
      </c>
      <c r="D303" s="3" t="n">
        <v>49</v>
      </c>
      <c r="E303" s="3" t="s">
        <v>140</v>
      </c>
      <c r="F303" s="3" t="s">
        <v>213</v>
      </c>
      <c r="G303" s="3" t="s">
        <v>141</v>
      </c>
      <c r="H303" s="3" t="s">
        <v>311</v>
      </c>
    </row>
    <row r="304" customFormat="false" ht="15" hidden="false" customHeight="false" outlineLevel="0" collapsed="false">
      <c r="A304" s="3" t="s">
        <v>286</v>
      </c>
      <c r="B304" s="3" t="n">
        <v>49</v>
      </c>
      <c r="C304" s="3" t="s">
        <v>139</v>
      </c>
      <c r="D304" s="3" t="n">
        <v>50</v>
      </c>
      <c r="E304" s="3" t="s">
        <v>145</v>
      </c>
      <c r="F304" s="3" t="s">
        <v>213</v>
      </c>
      <c r="G304" s="3" t="s">
        <v>141</v>
      </c>
      <c r="H304" s="3" t="s">
        <v>311</v>
      </c>
    </row>
    <row r="305" customFormat="false" ht="15" hidden="false" customHeight="false" outlineLevel="0" collapsed="false">
      <c r="A305" s="3" t="s">
        <v>286</v>
      </c>
      <c r="B305" s="3" t="n">
        <v>50</v>
      </c>
      <c r="C305" s="3" t="s">
        <v>139</v>
      </c>
      <c r="D305" s="3" t="n">
        <v>13</v>
      </c>
      <c r="E305" s="3" t="s">
        <v>140</v>
      </c>
      <c r="F305" s="3" t="s">
        <v>213</v>
      </c>
      <c r="G305" s="3" t="s">
        <v>141</v>
      </c>
      <c r="H305" s="3" t="s">
        <v>312</v>
      </c>
    </row>
    <row r="306" customFormat="false" ht="15" hidden="false" customHeight="false" outlineLevel="0" collapsed="false">
      <c r="A306" s="3" t="s">
        <v>286</v>
      </c>
      <c r="B306" s="3" t="n">
        <v>50</v>
      </c>
      <c r="C306" s="3" t="s">
        <v>139</v>
      </c>
      <c r="D306" s="3" t="n">
        <v>22</v>
      </c>
      <c r="E306" s="3" t="s">
        <v>145</v>
      </c>
      <c r="F306" s="3" t="s">
        <v>213</v>
      </c>
      <c r="G306" s="3" t="s">
        <v>141</v>
      </c>
      <c r="H306" s="3" t="s">
        <v>312</v>
      </c>
    </row>
    <row r="307" customFormat="false" ht="15" hidden="false" customHeight="false" outlineLevel="0" collapsed="false">
      <c r="A307" s="3" t="s">
        <v>286</v>
      </c>
      <c r="B307" s="3" t="n">
        <v>51</v>
      </c>
      <c r="C307" s="3" t="s">
        <v>139</v>
      </c>
      <c r="D307" s="3" t="n">
        <v>50</v>
      </c>
      <c r="E307" s="3" t="s">
        <v>140</v>
      </c>
      <c r="F307" s="3" t="s">
        <v>213</v>
      </c>
      <c r="G307" s="3" t="s">
        <v>141</v>
      </c>
      <c r="H307" s="3" t="s">
        <v>313</v>
      </c>
    </row>
    <row r="308" customFormat="false" ht="15" hidden="false" customHeight="false" outlineLevel="0" collapsed="false">
      <c r="A308" s="3" t="s">
        <v>286</v>
      </c>
      <c r="B308" s="3" t="n">
        <v>51</v>
      </c>
      <c r="C308" s="3" t="s">
        <v>139</v>
      </c>
      <c r="D308" s="3" t="n">
        <v>21</v>
      </c>
      <c r="E308" s="3" t="s">
        <v>145</v>
      </c>
      <c r="F308" s="3" t="s">
        <v>213</v>
      </c>
      <c r="G308" s="3" t="s">
        <v>141</v>
      </c>
      <c r="H308" s="3" t="s">
        <v>313</v>
      </c>
    </row>
    <row r="309" customFormat="false" ht="15" hidden="false" customHeight="false" outlineLevel="0" collapsed="false">
      <c r="A309" s="3" t="s">
        <v>286</v>
      </c>
      <c r="B309" s="3" t="n">
        <v>52</v>
      </c>
      <c r="C309" s="3" t="s">
        <v>139</v>
      </c>
      <c r="D309" s="3" t="n">
        <v>47</v>
      </c>
      <c r="E309" s="3" t="s">
        <v>140</v>
      </c>
      <c r="F309" s="3" t="s">
        <v>213</v>
      </c>
      <c r="G309" s="3" t="s">
        <v>141</v>
      </c>
      <c r="H309" s="3" t="s">
        <v>314</v>
      </c>
    </row>
    <row r="310" customFormat="false" ht="15" hidden="false" customHeight="false" outlineLevel="0" collapsed="false">
      <c r="A310" s="3" t="s">
        <v>286</v>
      </c>
      <c r="B310" s="3" t="n">
        <v>52</v>
      </c>
      <c r="C310" s="3" t="s">
        <v>139</v>
      </c>
      <c r="D310" s="3" t="n">
        <v>21</v>
      </c>
      <c r="E310" s="3" t="s">
        <v>145</v>
      </c>
      <c r="F310" s="3" t="s">
        <v>213</v>
      </c>
      <c r="G310" s="3" t="s">
        <v>141</v>
      </c>
      <c r="H310" s="3" t="s">
        <v>314</v>
      </c>
    </row>
    <row r="311" customFormat="false" ht="15" hidden="false" customHeight="false" outlineLevel="0" collapsed="false">
      <c r="A311" s="3" t="s">
        <v>286</v>
      </c>
      <c r="B311" s="3" t="n">
        <v>53</v>
      </c>
      <c r="C311" s="3" t="s">
        <v>139</v>
      </c>
      <c r="D311" s="3" t="n">
        <v>50</v>
      </c>
      <c r="E311" s="3" t="s">
        <v>140</v>
      </c>
      <c r="F311" s="3" t="s">
        <v>213</v>
      </c>
      <c r="G311" s="3" t="s">
        <v>141</v>
      </c>
      <c r="H311" s="3" t="s">
        <v>315</v>
      </c>
    </row>
    <row r="312" customFormat="false" ht="15" hidden="false" customHeight="false" outlineLevel="0" collapsed="false">
      <c r="A312" s="3" t="s">
        <v>286</v>
      </c>
      <c r="B312" s="3" t="n">
        <v>53</v>
      </c>
      <c r="C312" s="3" t="s">
        <v>139</v>
      </c>
      <c r="D312" s="3" t="n">
        <v>74</v>
      </c>
      <c r="E312" s="3" t="s">
        <v>145</v>
      </c>
      <c r="F312" s="3" t="s">
        <v>213</v>
      </c>
      <c r="G312" s="3" t="s">
        <v>141</v>
      </c>
      <c r="H312" s="3" t="s">
        <v>315</v>
      </c>
    </row>
    <row r="313" customFormat="false" ht="15" hidden="false" customHeight="false" outlineLevel="0" collapsed="false">
      <c r="A313" s="3" t="s">
        <v>286</v>
      </c>
      <c r="B313" s="3" t="n">
        <v>60</v>
      </c>
      <c r="C313" s="3" t="s">
        <v>139</v>
      </c>
      <c r="D313" s="3" t="n">
        <v>51</v>
      </c>
      <c r="E313" s="3" t="s">
        <v>140</v>
      </c>
      <c r="F313" s="3" t="s">
        <v>213</v>
      </c>
      <c r="G313" s="3" t="s">
        <v>141</v>
      </c>
      <c r="H313" s="3" t="s">
        <v>316</v>
      </c>
    </row>
    <row r="314" customFormat="false" ht="15" hidden="false" customHeight="false" outlineLevel="0" collapsed="false">
      <c r="A314" s="3" t="s">
        <v>286</v>
      </c>
      <c r="B314" s="3" t="n">
        <v>62</v>
      </c>
      <c r="C314" s="3" t="s">
        <v>139</v>
      </c>
      <c r="D314" s="3" t="n">
        <v>13</v>
      </c>
      <c r="E314" s="3" t="s">
        <v>140</v>
      </c>
      <c r="F314" s="3" t="s">
        <v>213</v>
      </c>
      <c r="G314" s="3" t="s">
        <v>141</v>
      </c>
      <c r="H314" s="3" t="s">
        <v>317</v>
      </c>
    </row>
    <row r="315" customFormat="false" ht="15" hidden="false" customHeight="false" outlineLevel="0" collapsed="false">
      <c r="A315" s="3" t="s">
        <v>286</v>
      </c>
      <c r="B315" s="3" t="n">
        <v>63</v>
      </c>
      <c r="C315" s="3" t="s">
        <v>139</v>
      </c>
      <c r="D315" s="3" t="n">
        <v>32</v>
      </c>
      <c r="E315" s="3" t="s">
        <v>140</v>
      </c>
      <c r="F315" s="3" t="s">
        <v>213</v>
      </c>
      <c r="G315" s="3" t="s">
        <v>141</v>
      </c>
      <c r="H315" s="3" t="s">
        <v>318</v>
      </c>
    </row>
    <row r="316" customFormat="false" ht="15" hidden="false" customHeight="false" outlineLevel="0" collapsed="false">
      <c r="A316" s="3" t="s">
        <v>319</v>
      </c>
      <c r="B316" s="3" t="n">
        <v>1</v>
      </c>
      <c r="C316" s="3" t="s">
        <v>139</v>
      </c>
      <c r="D316" s="3" t="n">
        <v>76</v>
      </c>
      <c r="E316" s="3" t="s">
        <v>140</v>
      </c>
      <c r="F316" s="3" t="s">
        <v>141</v>
      </c>
      <c r="G316" s="3" t="s">
        <v>213</v>
      </c>
      <c r="H316" s="3" t="s">
        <v>320</v>
      </c>
    </row>
    <row r="317" customFormat="false" ht="15" hidden="false" customHeight="false" outlineLevel="0" collapsed="false">
      <c r="A317" s="3" t="s">
        <v>319</v>
      </c>
      <c r="B317" s="3" t="n">
        <v>1</v>
      </c>
      <c r="C317" s="3" t="s">
        <v>139</v>
      </c>
      <c r="D317" s="3" t="n">
        <v>74</v>
      </c>
      <c r="E317" s="3" t="s">
        <v>145</v>
      </c>
      <c r="F317" s="3" t="s">
        <v>141</v>
      </c>
      <c r="G317" s="3" t="s">
        <v>213</v>
      </c>
      <c r="H317" s="3" t="s">
        <v>320</v>
      </c>
    </row>
    <row r="318" customFormat="false" ht="15" hidden="false" customHeight="false" outlineLevel="0" collapsed="false">
      <c r="A318" s="3" t="s">
        <v>319</v>
      </c>
      <c r="B318" s="3" t="n">
        <v>2</v>
      </c>
      <c r="C318" s="3" t="s">
        <v>139</v>
      </c>
      <c r="D318" s="3" t="n">
        <v>43</v>
      </c>
      <c r="E318" s="3" t="s">
        <v>140</v>
      </c>
      <c r="F318" s="3" t="s">
        <v>141</v>
      </c>
      <c r="G318" s="3" t="s">
        <v>213</v>
      </c>
      <c r="H318" s="3" t="s">
        <v>321</v>
      </c>
    </row>
    <row r="319" customFormat="false" ht="15" hidden="false" customHeight="false" outlineLevel="0" collapsed="false">
      <c r="A319" s="3" t="s">
        <v>319</v>
      </c>
      <c r="B319" s="3" t="n">
        <v>3</v>
      </c>
      <c r="C319" s="3" t="s">
        <v>139</v>
      </c>
      <c r="D319" s="3" t="n">
        <v>65</v>
      </c>
      <c r="E319" s="3" t="s">
        <v>140</v>
      </c>
      <c r="F319" s="3" t="s">
        <v>141</v>
      </c>
      <c r="G319" s="3" t="s">
        <v>213</v>
      </c>
      <c r="H319" s="3" t="s">
        <v>322</v>
      </c>
    </row>
    <row r="320" customFormat="false" ht="15" hidden="false" customHeight="false" outlineLevel="0" collapsed="false">
      <c r="A320" s="3" t="s">
        <v>319</v>
      </c>
      <c r="B320" s="3" t="n">
        <v>3</v>
      </c>
      <c r="C320" s="3" t="s">
        <v>139</v>
      </c>
      <c r="D320" s="3" t="n">
        <v>21</v>
      </c>
      <c r="E320" s="3" t="s">
        <v>145</v>
      </c>
      <c r="F320" s="3" t="s">
        <v>141</v>
      </c>
      <c r="G320" s="3" t="s">
        <v>213</v>
      </c>
      <c r="H320" s="3" t="s">
        <v>322</v>
      </c>
    </row>
    <row r="321" customFormat="false" ht="15" hidden="false" customHeight="false" outlineLevel="0" collapsed="false">
      <c r="A321" s="3" t="s">
        <v>319</v>
      </c>
      <c r="B321" s="3" t="n">
        <v>4</v>
      </c>
      <c r="C321" s="3" t="s">
        <v>139</v>
      </c>
      <c r="D321" s="3" t="n">
        <v>76</v>
      </c>
      <c r="E321" s="3" t="s">
        <v>140</v>
      </c>
      <c r="F321" s="3" t="s">
        <v>141</v>
      </c>
      <c r="G321" s="3" t="s">
        <v>213</v>
      </c>
      <c r="H321" s="3" t="s">
        <v>323</v>
      </c>
    </row>
    <row r="322" customFormat="false" ht="15" hidden="false" customHeight="false" outlineLevel="0" collapsed="false">
      <c r="A322" s="3" t="s">
        <v>319</v>
      </c>
      <c r="B322" s="3" t="n">
        <v>4</v>
      </c>
      <c r="C322" s="3" t="s">
        <v>139</v>
      </c>
      <c r="D322" s="3" t="n">
        <v>43</v>
      </c>
      <c r="E322" s="3" t="s">
        <v>145</v>
      </c>
      <c r="F322" s="3" t="s">
        <v>141</v>
      </c>
      <c r="G322" s="3" t="s">
        <v>213</v>
      </c>
      <c r="H322" s="3" t="s">
        <v>323</v>
      </c>
    </row>
    <row r="323" customFormat="false" ht="15" hidden="false" customHeight="false" outlineLevel="0" collapsed="false">
      <c r="A323" s="3" t="s">
        <v>319</v>
      </c>
      <c r="B323" s="3" t="n">
        <v>6</v>
      </c>
      <c r="C323" s="3" t="s">
        <v>139</v>
      </c>
      <c r="D323" s="3" t="n">
        <v>47</v>
      </c>
      <c r="E323" s="3" t="s">
        <v>140</v>
      </c>
      <c r="F323" s="3" t="s">
        <v>141</v>
      </c>
      <c r="G323" s="3" t="s">
        <v>213</v>
      </c>
      <c r="H323" s="3" t="s">
        <v>324</v>
      </c>
    </row>
    <row r="324" customFormat="false" ht="15" hidden="false" customHeight="false" outlineLevel="0" collapsed="false">
      <c r="A324" s="3" t="s">
        <v>319</v>
      </c>
      <c r="B324" s="3" t="n">
        <v>7</v>
      </c>
      <c r="C324" s="3" t="s">
        <v>139</v>
      </c>
      <c r="D324" s="3" t="n">
        <v>47</v>
      </c>
      <c r="E324" s="3" t="s">
        <v>140</v>
      </c>
      <c r="F324" s="3" t="s">
        <v>141</v>
      </c>
      <c r="G324" s="3" t="s">
        <v>213</v>
      </c>
      <c r="H324" s="3" t="s">
        <v>325</v>
      </c>
    </row>
    <row r="325" customFormat="false" ht="15" hidden="false" customHeight="false" outlineLevel="0" collapsed="false">
      <c r="A325" s="3" t="s">
        <v>319</v>
      </c>
      <c r="B325" s="3" t="n">
        <v>8</v>
      </c>
      <c r="C325" s="3" t="s">
        <v>139</v>
      </c>
      <c r="D325" s="3" t="n">
        <v>31</v>
      </c>
      <c r="E325" s="3" t="s">
        <v>140</v>
      </c>
      <c r="F325" s="3" t="s">
        <v>141</v>
      </c>
      <c r="G325" s="3" t="s">
        <v>213</v>
      </c>
      <c r="H325" s="3" t="s">
        <v>326</v>
      </c>
    </row>
    <row r="326" customFormat="false" ht="15" hidden="false" customHeight="false" outlineLevel="0" collapsed="false">
      <c r="A326" s="3" t="s">
        <v>319</v>
      </c>
      <c r="B326" s="3" t="n">
        <v>8</v>
      </c>
      <c r="C326" s="3" t="s">
        <v>139</v>
      </c>
      <c r="D326" s="3" t="n">
        <v>21</v>
      </c>
      <c r="E326" s="3" t="s">
        <v>145</v>
      </c>
      <c r="F326" s="3" t="s">
        <v>141</v>
      </c>
      <c r="G326" s="3" t="s">
        <v>213</v>
      </c>
      <c r="H326" s="3" t="s">
        <v>326</v>
      </c>
    </row>
    <row r="327" customFormat="false" ht="15" hidden="false" customHeight="false" outlineLevel="0" collapsed="false">
      <c r="A327" s="3" t="s">
        <v>319</v>
      </c>
      <c r="B327" s="3" t="n">
        <v>9</v>
      </c>
      <c r="C327" s="3" t="s">
        <v>139</v>
      </c>
      <c r="D327" s="3" t="n">
        <v>52</v>
      </c>
      <c r="E327" s="3" t="s">
        <v>140</v>
      </c>
      <c r="F327" s="3" t="s">
        <v>141</v>
      </c>
      <c r="G327" s="3" t="s">
        <v>213</v>
      </c>
      <c r="H327" s="3" t="s">
        <v>327</v>
      </c>
    </row>
    <row r="328" customFormat="false" ht="15" hidden="false" customHeight="false" outlineLevel="0" collapsed="false">
      <c r="A328" s="3" t="s">
        <v>319</v>
      </c>
      <c r="B328" s="3" t="n">
        <v>9</v>
      </c>
      <c r="C328" s="3" t="s">
        <v>139</v>
      </c>
      <c r="D328" s="3" t="n">
        <v>48</v>
      </c>
      <c r="E328" s="3" t="s">
        <v>145</v>
      </c>
      <c r="F328" s="3" t="s">
        <v>141</v>
      </c>
      <c r="G328" s="3" t="s">
        <v>213</v>
      </c>
      <c r="H328" s="3" t="s">
        <v>327</v>
      </c>
    </row>
    <row r="329" customFormat="false" ht="15" hidden="false" customHeight="false" outlineLevel="0" collapsed="false">
      <c r="A329" s="3" t="s">
        <v>319</v>
      </c>
      <c r="B329" s="3" t="n">
        <v>12</v>
      </c>
      <c r="C329" s="3" t="s">
        <v>139</v>
      </c>
      <c r="D329" s="3" t="n">
        <v>43</v>
      </c>
      <c r="E329" s="3" t="s">
        <v>140</v>
      </c>
      <c r="F329" s="3" t="s">
        <v>141</v>
      </c>
      <c r="G329" s="3" t="s">
        <v>213</v>
      </c>
      <c r="H329" s="3" t="s">
        <v>328</v>
      </c>
    </row>
    <row r="330" customFormat="false" ht="15" hidden="false" customHeight="false" outlineLevel="0" collapsed="false">
      <c r="A330" s="3" t="s">
        <v>319</v>
      </c>
      <c r="B330" s="3" t="n">
        <v>16</v>
      </c>
      <c r="C330" s="3" t="s">
        <v>139</v>
      </c>
      <c r="D330" s="3" t="n">
        <v>41</v>
      </c>
      <c r="E330" s="3" t="s">
        <v>140</v>
      </c>
      <c r="F330" s="3" t="s">
        <v>141</v>
      </c>
      <c r="G330" s="3" t="s">
        <v>213</v>
      </c>
      <c r="H330" s="3" t="s">
        <v>329</v>
      </c>
    </row>
    <row r="331" customFormat="false" ht="15" hidden="false" customHeight="false" outlineLevel="0" collapsed="false">
      <c r="A331" s="3" t="s">
        <v>319</v>
      </c>
      <c r="B331" s="3" t="n">
        <v>16</v>
      </c>
      <c r="C331" s="3" t="s">
        <v>139</v>
      </c>
      <c r="D331" s="3" t="n">
        <v>25</v>
      </c>
      <c r="E331" s="3" t="s">
        <v>145</v>
      </c>
      <c r="F331" s="3" t="s">
        <v>141</v>
      </c>
      <c r="G331" s="3" t="s">
        <v>213</v>
      </c>
      <c r="H331" s="3" t="s">
        <v>329</v>
      </c>
    </row>
    <row r="332" customFormat="false" ht="15" hidden="false" customHeight="false" outlineLevel="0" collapsed="false">
      <c r="A332" s="3" t="s">
        <v>319</v>
      </c>
      <c r="B332" s="3" t="n">
        <v>17</v>
      </c>
      <c r="C332" s="3" t="s">
        <v>139</v>
      </c>
      <c r="D332" s="3" t="n">
        <v>12</v>
      </c>
      <c r="E332" s="3" t="s">
        <v>140</v>
      </c>
      <c r="F332" s="3" t="s">
        <v>141</v>
      </c>
      <c r="G332" s="3" t="s">
        <v>213</v>
      </c>
      <c r="H332" s="3" t="s">
        <v>330</v>
      </c>
    </row>
    <row r="333" customFormat="false" ht="15" hidden="false" customHeight="false" outlineLevel="0" collapsed="false">
      <c r="A333" s="3" t="s">
        <v>319</v>
      </c>
      <c r="B333" s="3" t="n">
        <v>18</v>
      </c>
      <c r="C333" s="3" t="s">
        <v>139</v>
      </c>
      <c r="D333" s="3" t="n">
        <v>33</v>
      </c>
      <c r="E333" s="3" t="s">
        <v>140</v>
      </c>
      <c r="F333" s="3" t="s">
        <v>141</v>
      </c>
      <c r="G333" s="3" t="s">
        <v>213</v>
      </c>
      <c r="H333" s="3" t="s">
        <v>331</v>
      </c>
    </row>
    <row r="334" customFormat="false" ht="15" hidden="false" customHeight="false" outlineLevel="0" collapsed="false">
      <c r="A334" s="3" t="s">
        <v>319</v>
      </c>
      <c r="B334" s="3" t="n">
        <v>18</v>
      </c>
      <c r="C334" s="3" t="s">
        <v>139</v>
      </c>
      <c r="D334" s="3" t="n">
        <v>31</v>
      </c>
      <c r="E334" s="3" t="s">
        <v>145</v>
      </c>
      <c r="F334" s="3" t="s">
        <v>141</v>
      </c>
      <c r="G334" s="3" t="s">
        <v>213</v>
      </c>
      <c r="H334" s="3" t="s">
        <v>331</v>
      </c>
    </row>
    <row r="335" customFormat="false" ht="15" hidden="false" customHeight="false" outlineLevel="0" collapsed="false">
      <c r="A335" s="3" t="s">
        <v>319</v>
      </c>
      <c r="B335" s="3" t="n">
        <v>19</v>
      </c>
      <c r="C335" s="3" t="s">
        <v>139</v>
      </c>
      <c r="D335" s="3" t="n">
        <v>47</v>
      </c>
      <c r="E335" s="3" t="s">
        <v>140</v>
      </c>
      <c r="F335" s="3" t="s">
        <v>141</v>
      </c>
      <c r="G335" s="3" t="s">
        <v>213</v>
      </c>
      <c r="H335" s="3" t="s">
        <v>332</v>
      </c>
    </row>
    <row r="336" customFormat="false" ht="15" hidden="false" customHeight="false" outlineLevel="0" collapsed="false">
      <c r="A336" s="3" t="s">
        <v>319</v>
      </c>
      <c r="B336" s="3" t="n">
        <v>20</v>
      </c>
      <c r="C336" s="3" t="s">
        <v>139</v>
      </c>
      <c r="D336" s="3" t="n">
        <v>59</v>
      </c>
      <c r="E336" s="3" t="s">
        <v>140</v>
      </c>
      <c r="F336" s="3" t="s">
        <v>141</v>
      </c>
      <c r="G336" s="3" t="s">
        <v>213</v>
      </c>
      <c r="H336" s="3" t="s">
        <v>333</v>
      </c>
    </row>
    <row r="337" customFormat="false" ht="15" hidden="false" customHeight="false" outlineLevel="0" collapsed="false">
      <c r="A337" s="3" t="s">
        <v>319</v>
      </c>
      <c r="B337" s="3" t="n">
        <v>21</v>
      </c>
      <c r="C337" s="3" t="s">
        <v>139</v>
      </c>
      <c r="D337" s="3" t="n">
        <v>76</v>
      </c>
      <c r="E337" s="3" t="s">
        <v>140</v>
      </c>
      <c r="F337" s="3" t="s">
        <v>141</v>
      </c>
      <c r="G337" s="3" t="s">
        <v>213</v>
      </c>
      <c r="H337" s="3" t="s">
        <v>334</v>
      </c>
    </row>
    <row r="338" customFormat="false" ht="15" hidden="false" customHeight="false" outlineLevel="0" collapsed="false">
      <c r="A338" s="3" t="s">
        <v>319</v>
      </c>
      <c r="B338" s="3" t="n">
        <v>21</v>
      </c>
      <c r="C338" s="3" t="s">
        <v>139</v>
      </c>
      <c r="D338" s="3" t="n">
        <v>43</v>
      </c>
      <c r="E338" s="3" t="s">
        <v>145</v>
      </c>
      <c r="F338" s="3" t="s">
        <v>141</v>
      </c>
      <c r="G338" s="3" t="s">
        <v>213</v>
      </c>
      <c r="H338" s="3" t="s">
        <v>334</v>
      </c>
    </row>
    <row r="339" customFormat="false" ht="15" hidden="false" customHeight="false" outlineLevel="0" collapsed="false">
      <c r="A339" s="3" t="s">
        <v>319</v>
      </c>
      <c r="B339" s="3" t="n">
        <v>32</v>
      </c>
      <c r="C339" s="3" t="s">
        <v>139</v>
      </c>
      <c r="D339" s="3" t="n">
        <v>51</v>
      </c>
      <c r="E339" s="3" t="s">
        <v>140</v>
      </c>
      <c r="F339" s="3" t="s">
        <v>141</v>
      </c>
      <c r="G339" s="3" t="s">
        <v>213</v>
      </c>
      <c r="H339" s="3" t="s">
        <v>335</v>
      </c>
    </row>
    <row r="340" customFormat="false" ht="15" hidden="false" customHeight="false" outlineLevel="0" collapsed="false">
      <c r="A340" s="3" t="s">
        <v>319</v>
      </c>
      <c r="B340" s="3" t="n">
        <v>35</v>
      </c>
      <c r="C340" s="3" t="s">
        <v>139</v>
      </c>
      <c r="D340" s="3" t="n">
        <v>65</v>
      </c>
      <c r="E340" s="3" t="s">
        <v>140</v>
      </c>
      <c r="F340" s="3" t="s">
        <v>141</v>
      </c>
      <c r="G340" s="3" t="s">
        <v>213</v>
      </c>
      <c r="H340" s="3" t="s">
        <v>336</v>
      </c>
    </row>
    <row r="341" customFormat="false" ht="15" hidden="false" customHeight="false" outlineLevel="0" collapsed="false">
      <c r="A341" s="3" t="s">
        <v>319</v>
      </c>
      <c r="B341" s="3" t="n">
        <v>36</v>
      </c>
      <c r="C341" s="3" t="s">
        <v>139</v>
      </c>
      <c r="D341" s="3" t="n">
        <v>78</v>
      </c>
      <c r="E341" s="3" t="s">
        <v>140</v>
      </c>
      <c r="F341" s="3" t="s">
        <v>141</v>
      </c>
      <c r="G341" s="3" t="s">
        <v>213</v>
      </c>
      <c r="H341" s="3" t="s">
        <v>337</v>
      </c>
    </row>
    <row r="342" customFormat="false" ht="15" hidden="false" customHeight="false" outlineLevel="0" collapsed="false">
      <c r="A342" s="3" t="s">
        <v>319</v>
      </c>
      <c r="B342" s="3" t="n">
        <v>41</v>
      </c>
      <c r="C342" s="3" t="s">
        <v>139</v>
      </c>
      <c r="D342" s="3" t="n">
        <v>22</v>
      </c>
      <c r="E342" s="3" t="s">
        <v>140</v>
      </c>
      <c r="F342" s="3" t="s">
        <v>141</v>
      </c>
      <c r="G342" s="3" t="s">
        <v>213</v>
      </c>
      <c r="H342" s="3" t="s">
        <v>338</v>
      </c>
    </row>
    <row r="343" customFormat="false" ht="15" hidden="false" customHeight="false" outlineLevel="0" collapsed="false">
      <c r="A343" s="3" t="s">
        <v>319</v>
      </c>
      <c r="B343" s="3" t="n">
        <v>51</v>
      </c>
      <c r="C343" s="3" t="s">
        <v>139</v>
      </c>
      <c r="D343" s="3" t="n">
        <v>78</v>
      </c>
      <c r="E343" s="3" t="s">
        <v>140</v>
      </c>
      <c r="F343" s="3" t="s">
        <v>141</v>
      </c>
      <c r="G343" s="3" t="s">
        <v>213</v>
      </c>
      <c r="H343" s="3" t="s">
        <v>339</v>
      </c>
    </row>
    <row r="344" customFormat="false" ht="15" hidden="false" customHeight="false" outlineLevel="0" collapsed="false">
      <c r="A344" s="3" t="s">
        <v>319</v>
      </c>
      <c r="B344" s="3" t="n">
        <v>52</v>
      </c>
      <c r="C344" s="3" t="s">
        <v>139</v>
      </c>
      <c r="D344" s="3" t="n">
        <v>33</v>
      </c>
      <c r="E344" s="3" t="s">
        <v>140</v>
      </c>
      <c r="F344" s="3" t="s">
        <v>141</v>
      </c>
      <c r="G344" s="3" t="s">
        <v>213</v>
      </c>
      <c r="H344" s="3" t="s">
        <v>340</v>
      </c>
    </row>
    <row r="345" customFormat="false" ht="15" hidden="false" customHeight="false" outlineLevel="0" collapsed="false">
      <c r="A345" s="3" t="s">
        <v>319</v>
      </c>
      <c r="B345" s="3" t="n">
        <v>53</v>
      </c>
      <c r="C345" s="3" t="s">
        <v>139</v>
      </c>
      <c r="D345" s="3" t="n">
        <v>33</v>
      </c>
      <c r="E345" s="3" t="s">
        <v>140</v>
      </c>
      <c r="F345" s="3" t="s">
        <v>141</v>
      </c>
      <c r="G345" s="3" t="s">
        <v>213</v>
      </c>
      <c r="H345" s="3" t="s">
        <v>341</v>
      </c>
    </row>
    <row r="346" customFormat="false" ht="15" hidden="false" customHeight="false" outlineLevel="0" collapsed="false">
      <c r="A346" s="3" t="s">
        <v>319</v>
      </c>
      <c r="B346" s="3" t="n">
        <v>54</v>
      </c>
      <c r="C346" s="3" t="s">
        <v>139</v>
      </c>
      <c r="D346" s="3" t="n">
        <v>52</v>
      </c>
      <c r="E346" s="3" t="s">
        <v>140</v>
      </c>
      <c r="F346" s="3" t="s">
        <v>141</v>
      </c>
      <c r="G346" s="3" t="s">
        <v>213</v>
      </c>
      <c r="H346" s="3" t="s">
        <v>342</v>
      </c>
    </row>
    <row r="347" customFormat="false" ht="15" hidden="false" customHeight="false" outlineLevel="0" collapsed="false">
      <c r="A347" s="3" t="s">
        <v>319</v>
      </c>
      <c r="B347" s="3" t="n">
        <v>54</v>
      </c>
      <c r="C347" s="3" t="s">
        <v>139</v>
      </c>
      <c r="D347" s="3" t="n">
        <v>74</v>
      </c>
      <c r="E347" s="3" t="s">
        <v>145</v>
      </c>
      <c r="F347" s="3" t="s">
        <v>141</v>
      </c>
      <c r="G347" s="3" t="s">
        <v>213</v>
      </c>
      <c r="H347" s="3" t="s">
        <v>342</v>
      </c>
    </row>
    <row r="348" customFormat="false" ht="15" hidden="false" customHeight="false" outlineLevel="0" collapsed="false">
      <c r="A348" s="3" t="s">
        <v>319</v>
      </c>
      <c r="B348" s="3" t="n">
        <v>55</v>
      </c>
      <c r="C348" s="3" t="s">
        <v>139</v>
      </c>
      <c r="D348" s="3" t="n">
        <v>50</v>
      </c>
      <c r="E348" s="3" t="s">
        <v>140</v>
      </c>
      <c r="F348" s="3" t="s">
        <v>141</v>
      </c>
      <c r="G348" s="3" t="s">
        <v>213</v>
      </c>
      <c r="H348" s="3" t="s">
        <v>343</v>
      </c>
    </row>
    <row r="349" customFormat="false" ht="15" hidden="false" customHeight="false" outlineLevel="0" collapsed="false">
      <c r="A349" s="3" t="s">
        <v>319</v>
      </c>
      <c r="B349" s="3" t="n">
        <v>55</v>
      </c>
      <c r="C349" s="3" t="s">
        <v>139</v>
      </c>
      <c r="D349" s="3" t="n">
        <v>74</v>
      </c>
      <c r="E349" s="3" t="s">
        <v>145</v>
      </c>
      <c r="F349" s="3" t="s">
        <v>141</v>
      </c>
      <c r="G349" s="3" t="s">
        <v>213</v>
      </c>
      <c r="H349" s="3" t="s">
        <v>343</v>
      </c>
    </row>
    <row r="350" customFormat="false" ht="15" hidden="false" customHeight="false" outlineLevel="0" collapsed="false">
      <c r="A350" s="3" t="s">
        <v>319</v>
      </c>
      <c r="B350" s="3" t="n">
        <v>56</v>
      </c>
      <c r="C350" s="3" t="s">
        <v>139</v>
      </c>
      <c r="D350" s="3" t="n">
        <v>25</v>
      </c>
      <c r="E350" s="3" t="s">
        <v>140</v>
      </c>
      <c r="F350" s="3" t="s">
        <v>141</v>
      </c>
      <c r="G350" s="3" t="s">
        <v>213</v>
      </c>
      <c r="H350" s="3" t="s">
        <v>344</v>
      </c>
    </row>
    <row r="351" customFormat="false" ht="15" hidden="false" customHeight="false" outlineLevel="0" collapsed="false">
      <c r="A351" s="3" t="s">
        <v>319</v>
      </c>
      <c r="B351" s="3" t="n">
        <v>57</v>
      </c>
      <c r="C351" s="3" t="s">
        <v>139</v>
      </c>
      <c r="D351" s="3" t="n">
        <v>37</v>
      </c>
      <c r="E351" s="3" t="s">
        <v>140</v>
      </c>
      <c r="F351" s="3" t="s">
        <v>141</v>
      </c>
      <c r="G351" s="3" t="s">
        <v>213</v>
      </c>
      <c r="H351" s="3" t="s">
        <v>345</v>
      </c>
    </row>
    <row r="352" customFormat="false" ht="15" hidden="false" customHeight="false" outlineLevel="0" collapsed="false">
      <c r="A352" s="3" t="s">
        <v>346</v>
      </c>
      <c r="B352" s="3" t="n">
        <v>1</v>
      </c>
      <c r="C352" s="3" t="s">
        <v>347</v>
      </c>
      <c r="D352" s="3" t="n">
        <v>15</v>
      </c>
      <c r="E352" s="3" t="s">
        <v>140</v>
      </c>
      <c r="F352" s="3" t="s">
        <v>141</v>
      </c>
      <c r="G352" s="3" t="s">
        <v>141</v>
      </c>
      <c r="H352" s="3" t="s">
        <v>348</v>
      </c>
    </row>
    <row r="353" customFormat="false" ht="15" hidden="false" customHeight="false" outlineLevel="0" collapsed="false">
      <c r="A353" s="3" t="s">
        <v>346</v>
      </c>
      <c r="B353" s="3" t="n">
        <v>2</v>
      </c>
      <c r="C353" s="3" t="s">
        <v>347</v>
      </c>
      <c r="D353" s="3" t="n">
        <v>20</v>
      </c>
      <c r="E353" s="3" t="s">
        <v>140</v>
      </c>
      <c r="F353" s="3" t="s">
        <v>141</v>
      </c>
      <c r="G353" s="3" t="s">
        <v>141</v>
      </c>
      <c r="H353" s="3" t="s">
        <v>349</v>
      </c>
    </row>
    <row r="354" customFormat="false" ht="15" hidden="false" customHeight="false" outlineLevel="0" collapsed="false">
      <c r="A354" s="3" t="s">
        <v>346</v>
      </c>
      <c r="B354" s="3" t="n">
        <v>3</v>
      </c>
      <c r="C354" s="3" t="s">
        <v>347</v>
      </c>
      <c r="D354" s="3" t="n">
        <v>21</v>
      </c>
      <c r="E354" s="3" t="s">
        <v>140</v>
      </c>
      <c r="F354" s="3" t="s">
        <v>141</v>
      </c>
      <c r="G354" s="3" t="s">
        <v>141</v>
      </c>
      <c r="H354" s="3" t="s">
        <v>350</v>
      </c>
    </row>
    <row r="355" customFormat="false" ht="15" hidden="false" customHeight="false" outlineLevel="0" collapsed="false">
      <c r="A355" s="3" t="s">
        <v>346</v>
      </c>
      <c r="B355" s="3" t="n">
        <v>4</v>
      </c>
      <c r="C355" s="3" t="s">
        <v>347</v>
      </c>
      <c r="D355" s="3" t="n">
        <v>47</v>
      </c>
      <c r="E355" s="3" t="s">
        <v>140</v>
      </c>
      <c r="F355" s="3" t="s">
        <v>141</v>
      </c>
      <c r="G355" s="3" t="s">
        <v>141</v>
      </c>
      <c r="H355" s="3" t="s">
        <v>351</v>
      </c>
    </row>
    <row r="356" customFormat="false" ht="15" hidden="false" customHeight="false" outlineLevel="0" collapsed="false">
      <c r="A356" s="3" t="s">
        <v>346</v>
      </c>
      <c r="B356" s="3" t="n">
        <v>4</v>
      </c>
      <c r="C356" s="3" t="s">
        <v>347</v>
      </c>
      <c r="D356" s="3" t="n">
        <v>28</v>
      </c>
      <c r="E356" s="3" t="s">
        <v>145</v>
      </c>
      <c r="F356" s="3" t="s">
        <v>141</v>
      </c>
      <c r="G356" s="3" t="s">
        <v>141</v>
      </c>
      <c r="H356" s="3" t="s">
        <v>351</v>
      </c>
    </row>
    <row r="357" customFormat="false" ht="15" hidden="false" customHeight="false" outlineLevel="0" collapsed="false">
      <c r="A357" s="3" t="s">
        <v>346</v>
      </c>
      <c r="B357" s="3" t="n">
        <v>5</v>
      </c>
      <c r="C357" s="3" t="s">
        <v>347</v>
      </c>
      <c r="D357" s="3" t="n">
        <v>14</v>
      </c>
      <c r="E357" s="3" t="s">
        <v>140</v>
      </c>
      <c r="F357" s="3" t="s">
        <v>141</v>
      </c>
      <c r="G357" s="3" t="s">
        <v>141</v>
      </c>
      <c r="H357" s="3" t="s">
        <v>352</v>
      </c>
    </row>
    <row r="358" customFormat="false" ht="15" hidden="false" customHeight="false" outlineLevel="0" collapsed="false">
      <c r="A358" s="3" t="s">
        <v>346</v>
      </c>
      <c r="B358" s="3" t="n">
        <v>5</v>
      </c>
      <c r="C358" s="3" t="s">
        <v>347</v>
      </c>
      <c r="D358" s="3" t="n">
        <v>7</v>
      </c>
      <c r="E358" s="3" t="s">
        <v>145</v>
      </c>
      <c r="F358" s="3" t="s">
        <v>141</v>
      </c>
      <c r="G358" s="3" t="s">
        <v>141</v>
      </c>
      <c r="H358" s="3" t="s">
        <v>352</v>
      </c>
    </row>
    <row r="359" customFormat="false" ht="15" hidden="false" customHeight="false" outlineLevel="0" collapsed="false">
      <c r="A359" s="3" t="s">
        <v>346</v>
      </c>
      <c r="B359" s="3" t="n">
        <v>6</v>
      </c>
      <c r="C359" s="3" t="s">
        <v>347</v>
      </c>
      <c r="D359" s="3" t="n">
        <v>14</v>
      </c>
      <c r="E359" s="3" t="s">
        <v>140</v>
      </c>
      <c r="F359" s="3" t="s">
        <v>141</v>
      </c>
      <c r="G359" s="3" t="s">
        <v>141</v>
      </c>
      <c r="H359" s="3" t="s">
        <v>353</v>
      </c>
    </row>
    <row r="360" customFormat="false" ht="15" hidden="false" customHeight="false" outlineLevel="0" collapsed="false">
      <c r="A360" s="3" t="s">
        <v>346</v>
      </c>
      <c r="B360" s="3" t="n">
        <v>7</v>
      </c>
      <c r="C360" s="3" t="s">
        <v>347</v>
      </c>
      <c r="D360" s="3" t="n">
        <v>13</v>
      </c>
      <c r="E360" s="3" t="s">
        <v>140</v>
      </c>
      <c r="F360" s="3" t="s">
        <v>141</v>
      </c>
      <c r="G360" s="3" t="s">
        <v>141</v>
      </c>
      <c r="H360" s="3" t="s">
        <v>354</v>
      </c>
    </row>
    <row r="361" customFormat="false" ht="15" hidden="false" customHeight="false" outlineLevel="0" collapsed="false">
      <c r="A361" s="3" t="s">
        <v>346</v>
      </c>
      <c r="B361" s="3" t="n">
        <v>8</v>
      </c>
      <c r="C361" s="3" t="s">
        <v>347</v>
      </c>
      <c r="D361" s="3" t="n">
        <v>10</v>
      </c>
      <c r="E361" s="3" t="s">
        <v>140</v>
      </c>
      <c r="F361" s="3" t="s">
        <v>141</v>
      </c>
      <c r="G361" s="3" t="s">
        <v>141</v>
      </c>
      <c r="H361" s="3" t="s">
        <v>355</v>
      </c>
    </row>
    <row r="362" customFormat="false" ht="15" hidden="false" customHeight="false" outlineLevel="0" collapsed="false">
      <c r="A362" s="3" t="s">
        <v>346</v>
      </c>
      <c r="B362" s="3" t="n">
        <v>8</v>
      </c>
      <c r="C362" s="3" t="s">
        <v>347</v>
      </c>
      <c r="D362" s="3" t="n">
        <v>14</v>
      </c>
      <c r="E362" s="3" t="s">
        <v>145</v>
      </c>
      <c r="F362" s="3" t="s">
        <v>141</v>
      </c>
      <c r="G362" s="3" t="s">
        <v>141</v>
      </c>
      <c r="H362" s="3" t="s">
        <v>355</v>
      </c>
    </row>
    <row r="363" customFormat="false" ht="15" hidden="false" customHeight="false" outlineLevel="0" collapsed="false">
      <c r="A363" s="3" t="s">
        <v>346</v>
      </c>
      <c r="B363" s="3" t="n">
        <v>9</v>
      </c>
      <c r="C363" s="3" t="s">
        <v>347</v>
      </c>
      <c r="D363" s="3" t="n">
        <v>8</v>
      </c>
      <c r="E363" s="3" t="s">
        <v>140</v>
      </c>
      <c r="F363" s="3" t="s">
        <v>141</v>
      </c>
      <c r="G363" s="3" t="s">
        <v>141</v>
      </c>
      <c r="H363" s="3" t="s">
        <v>356</v>
      </c>
    </row>
    <row r="364" customFormat="false" ht="15" hidden="false" customHeight="false" outlineLevel="0" collapsed="false">
      <c r="A364" s="3" t="s">
        <v>346</v>
      </c>
      <c r="B364" s="3" t="n">
        <v>10</v>
      </c>
      <c r="C364" s="3" t="s">
        <v>347</v>
      </c>
      <c r="D364" s="3" t="n">
        <v>10</v>
      </c>
      <c r="E364" s="3" t="s">
        <v>140</v>
      </c>
      <c r="F364" s="3" t="s">
        <v>141</v>
      </c>
      <c r="G364" s="3" t="s">
        <v>141</v>
      </c>
      <c r="H364" s="3" t="s">
        <v>357</v>
      </c>
    </row>
    <row r="365" customFormat="false" ht="15" hidden="false" customHeight="false" outlineLevel="0" collapsed="false">
      <c r="A365" s="3" t="s">
        <v>346</v>
      </c>
      <c r="B365" s="3" t="n">
        <v>10</v>
      </c>
      <c r="C365" s="3" t="s">
        <v>347</v>
      </c>
      <c r="D365" s="3" t="n">
        <v>22</v>
      </c>
      <c r="E365" s="3" t="s">
        <v>145</v>
      </c>
      <c r="F365" s="3" t="s">
        <v>141</v>
      </c>
      <c r="G365" s="3" t="s">
        <v>141</v>
      </c>
      <c r="H365" s="3" t="s">
        <v>357</v>
      </c>
    </row>
    <row r="366" customFormat="false" ht="15" hidden="false" customHeight="false" outlineLevel="0" collapsed="false">
      <c r="A366" s="3" t="s">
        <v>346</v>
      </c>
      <c r="B366" s="3" t="n">
        <v>11</v>
      </c>
      <c r="C366" s="3" t="s">
        <v>347</v>
      </c>
      <c r="D366" s="3" t="n">
        <v>21</v>
      </c>
      <c r="E366" s="3" t="s">
        <v>140</v>
      </c>
      <c r="F366" s="3" t="s">
        <v>141</v>
      </c>
      <c r="G366" s="3" t="s">
        <v>141</v>
      </c>
      <c r="H366" s="3" t="s">
        <v>358</v>
      </c>
    </row>
    <row r="367" customFormat="false" ht="15" hidden="false" customHeight="false" outlineLevel="0" collapsed="false">
      <c r="A367" s="3" t="s">
        <v>346</v>
      </c>
      <c r="B367" s="3" t="n">
        <v>12</v>
      </c>
      <c r="C367" s="3" t="s">
        <v>347</v>
      </c>
      <c r="D367" s="3" t="n">
        <v>27</v>
      </c>
      <c r="E367" s="3" t="s">
        <v>140</v>
      </c>
      <c r="F367" s="3" t="s">
        <v>141</v>
      </c>
      <c r="G367" s="3" t="s">
        <v>141</v>
      </c>
      <c r="H367" s="3" t="s">
        <v>359</v>
      </c>
    </row>
    <row r="368" customFormat="false" ht="15" hidden="false" customHeight="false" outlineLevel="0" collapsed="false">
      <c r="A368" s="3" t="s">
        <v>346</v>
      </c>
      <c r="B368" s="3" t="n">
        <v>12</v>
      </c>
      <c r="C368" s="3" t="s">
        <v>347</v>
      </c>
      <c r="D368" s="3" t="n">
        <v>25</v>
      </c>
      <c r="E368" s="3" t="s">
        <v>145</v>
      </c>
      <c r="F368" s="3" t="s">
        <v>141</v>
      </c>
      <c r="G368" s="3" t="s">
        <v>141</v>
      </c>
      <c r="H368" s="3" t="s">
        <v>359</v>
      </c>
    </row>
    <row r="369" customFormat="false" ht="15" hidden="false" customHeight="false" outlineLevel="0" collapsed="false">
      <c r="A369" s="3" t="s">
        <v>346</v>
      </c>
      <c r="B369" s="3" t="n">
        <v>13</v>
      </c>
      <c r="C369" s="3" t="s">
        <v>347</v>
      </c>
      <c r="D369" s="3" t="n">
        <v>33</v>
      </c>
      <c r="E369" s="3" t="s">
        <v>140</v>
      </c>
      <c r="F369" s="3" t="s">
        <v>141</v>
      </c>
      <c r="G369" s="3" t="s">
        <v>141</v>
      </c>
      <c r="H369" s="3" t="s">
        <v>360</v>
      </c>
    </row>
    <row r="370" customFormat="false" ht="15" hidden="false" customHeight="false" outlineLevel="0" collapsed="false">
      <c r="A370" s="3" t="s">
        <v>346</v>
      </c>
      <c r="B370" s="3" t="n">
        <v>14</v>
      </c>
      <c r="C370" s="3" t="s">
        <v>347</v>
      </c>
      <c r="D370" s="3" t="n">
        <v>32</v>
      </c>
      <c r="E370" s="3" t="s">
        <v>140</v>
      </c>
      <c r="F370" s="3" t="s">
        <v>141</v>
      </c>
      <c r="G370" s="3" t="s">
        <v>141</v>
      </c>
      <c r="H370" s="3" t="s">
        <v>361</v>
      </c>
    </row>
    <row r="371" customFormat="false" ht="15" hidden="false" customHeight="false" outlineLevel="0" collapsed="false">
      <c r="A371" s="3" t="s">
        <v>346</v>
      </c>
      <c r="B371" s="3" t="n">
        <v>15</v>
      </c>
      <c r="C371" s="3" t="s">
        <v>347</v>
      </c>
      <c r="D371" s="3" t="n">
        <v>33</v>
      </c>
      <c r="E371" s="3" t="s">
        <v>140</v>
      </c>
      <c r="F371" s="3" t="s">
        <v>141</v>
      </c>
      <c r="G371" s="3" t="s">
        <v>141</v>
      </c>
      <c r="H371" s="3" t="s">
        <v>362</v>
      </c>
    </row>
    <row r="372" customFormat="false" ht="15" hidden="false" customHeight="false" outlineLevel="0" collapsed="false">
      <c r="A372" s="3" t="s">
        <v>346</v>
      </c>
      <c r="B372" s="3" t="n">
        <v>16</v>
      </c>
      <c r="C372" s="3" t="s">
        <v>347</v>
      </c>
      <c r="D372" s="3" t="n">
        <v>40</v>
      </c>
      <c r="E372" s="3" t="s">
        <v>140</v>
      </c>
      <c r="F372" s="3" t="s">
        <v>141</v>
      </c>
      <c r="G372" s="3" t="s">
        <v>141</v>
      </c>
      <c r="H372" s="3" t="s">
        <v>363</v>
      </c>
    </row>
    <row r="373" customFormat="false" ht="15" hidden="false" customHeight="false" outlineLevel="0" collapsed="false">
      <c r="A373" s="3" t="s">
        <v>346</v>
      </c>
      <c r="B373" s="3" t="n">
        <v>16</v>
      </c>
      <c r="C373" s="3" t="s">
        <v>347</v>
      </c>
      <c r="D373" s="3" t="n">
        <v>30</v>
      </c>
      <c r="E373" s="3" t="s">
        <v>145</v>
      </c>
      <c r="F373" s="3" t="s">
        <v>141</v>
      </c>
      <c r="G373" s="3" t="s">
        <v>141</v>
      </c>
      <c r="H373" s="3" t="s">
        <v>363</v>
      </c>
    </row>
    <row r="374" customFormat="false" ht="15" hidden="false" customHeight="false" outlineLevel="0" collapsed="false">
      <c r="A374" s="3" t="s">
        <v>346</v>
      </c>
      <c r="B374" s="3" t="n">
        <v>17</v>
      </c>
      <c r="C374" s="3" t="s">
        <v>347</v>
      </c>
      <c r="D374" s="3" t="n">
        <v>33</v>
      </c>
      <c r="E374" s="3" t="s">
        <v>140</v>
      </c>
      <c r="F374" s="3" t="s">
        <v>141</v>
      </c>
      <c r="G374" s="3" t="s">
        <v>141</v>
      </c>
      <c r="H374" s="3" t="s">
        <v>364</v>
      </c>
    </row>
    <row r="375" customFormat="false" ht="15" hidden="false" customHeight="false" outlineLevel="0" collapsed="false">
      <c r="A375" s="3" t="s">
        <v>365</v>
      </c>
      <c r="B375" s="3" t="n">
        <v>1</v>
      </c>
      <c r="C375" s="3" t="s">
        <v>347</v>
      </c>
      <c r="D375" s="3" t="n">
        <v>41</v>
      </c>
      <c r="E375" s="3" t="s">
        <v>140</v>
      </c>
      <c r="F375" s="3" t="s">
        <v>141</v>
      </c>
      <c r="G375" s="3" t="s">
        <v>141</v>
      </c>
      <c r="H375" s="3" t="s">
        <v>366</v>
      </c>
    </row>
    <row r="376" customFormat="false" ht="15" hidden="false" customHeight="false" outlineLevel="0" collapsed="false">
      <c r="A376" s="3" t="s">
        <v>365</v>
      </c>
      <c r="B376" s="3" t="n">
        <v>1</v>
      </c>
      <c r="C376" s="3" t="s">
        <v>347</v>
      </c>
      <c r="D376" s="3" t="n">
        <v>25</v>
      </c>
      <c r="E376" s="3" t="s">
        <v>145</v>
      </c>
      <c r="F376" s="3" t="s">
        <v>141</v>
      </c>
      <c r="G376" s="3" t="s">
        <v>141</v>
      </c>
      <c r="H376" s="3" t="s">
        <v>366</v>
      </c>
    </row>
    <row r="377" customFormat="false" ht="15" hidden="false" customHeight="false" outlineLevel="0" collapsed="false">
      <c r="A377" s="3" t="s">
        <v>365</v>
      </c>
      <c r="B377" s="3" t="n">
        <v>2</v>
      </c>
      <c r="C377" s="3" t="s">
        <v>347</v>
      </c>
      <c r="D377" s="3" t="n">
        <v>41</v>
      </c>
      <c r="E377" s="3" t="s">
        <v>140</v>
      </c>
      <c r="F377" s="3" t="s">
        <v>141</v>
      </c>
      <c r="G377" s="3" t="s">
        <v>141</v>
      </c>
      <c r="H377" s="3" t="s">
        <v>367</v>
      </c>
    </row>
    <row r="378" customFormat="false" ht="15" hidden="false" customHeight="false" outlineLevel="0" collapsed="false">
      <c r="A378" s="3" t="s">
        <v>365</v>
      </c>
      <c r="B378" s="3" t="n">
        <v>3</v>
      </c>
      <c r="C378" s="3" t="s">
        <v>347</v>
      </c>
      <c r="D378" s="3" t="n">
        <v>32</v>
      </c>
      <c r="E378" s="3" t="s">
        <v>140</v>
      </c>
      <c r="F378" s="3" t="s">
        <v>141</v>
      </c>
      <c r="G378" s="3" t="s">
        <v>141</v>
      </c>
      <c r="H378" s="3" t="s">
        <v>368</v>
      </c>
    </row>
    <row r="379" customFormat="false" ht="15" hidden="false" customHeight="false" outlineLevel="0" collapsed="false">
      <c r="A379" s="3" t="s">
        <v>365</v>
      </c>
      <c r="B379" s="3" t="n">
        <v>3</v>
      </c>
      <c r="C379" s="3" t="s">
        <v>347</v>
      </c>
      <c r="D379" s="3" t="n">
        <v>25</v>
      </c>
      <c r="E379" s="3" t="s">
        <v>145</v>
      </c>
      <c r="F379" s="3" t="s">
        <v>141</v>
      </c>
      <c r="G379" s="3" t="s">
        <v>141</v>
      </c>
      <c r="H379" s="3" t="s">
        <v>368</v>
      </c>
    </row>
    <row r="380" customFormat="false" ht="15" hidden="false" customHeight="false" outlineLevel="0" collapsed="false">
      <c r="A380" s="3" t="s">
        <v>365</v>
      </c>
      <c r="B380" s="3" t="n">
        <v>4</v>
      </c>
      <c r="C380" s="3" t="s">
        <v>347</v>
      </c>
      <c r="D380" s="3" t="n">
        <v>67</v>
      </c>
      <c r="E380" s="3" t="s">
        <v>140</v>
      </c>
      <c r="F380" s="3" t="s">
        <v>141</v>
      </c>
      <c r="G380" s="3" t="s">
        <v>141</v>
      </c>
      <c r="H380" s="3" t="s">
        <v>369</v>
      </c>
    </row>
    <row r="381" customFormat="false" ht="15" hidden="false" customHeight="false" outlineLevel="0" collapsed="false">
      <c r="A381" s="3" t="s">
        <v>365</v>
      </c>
      <c r="B381" s="3" t="n">
        <v>5</v>
      </c>
      <c r="C381" s="3" t="s">
        <v>347</v>
      </c>
      <c r="D381" s="3" t="n">
        <v>21</v>
      </c>
      <c r="E381" s="3" t="s">
        <v>140</v>
      </c>
      <c r="F381" s="3" t="s">
        <v>141</v>
      </c>
      <c r="G381" s="3" t="s">
        <v>141</v>
      </c>
      <c r="H381" s="3" t="s">
        <v>370</v>
      </c>
    </row>
    <row r="382" customFormat="false" ht="15" hidden="false" customHeight="false" outlineLevel="0" collapsed="false">
      <c r="A382" s="3" t="s">
        <v>365</v>
      </c>
      <c r="B382" s="3" t="n">
        <v>8</v>
      </c>
      <c r="C382" s="3" t="s">
        <v>347</v>
      </c>
      <c r="D382" s="3" t="n">
        <v>74</v>
      </c>
      <c r="E382" s="3" t="s">
        <v>140</v>
      </c>
      <c r="F382" s="3" t="s">
        <v>141</v>
      </c>
      <c r="G382" s="3" t="s">
        <v>141</v>
      </c>
      <c r="H382" s="3" t="s">
        <v>371</v>
      </c>
    </row>
    <row r="383" customFormat="false" ht="15" hidden="false" customHeight="false" outlineLevel="0" collapsed="false">
      <c r="A383" s="3" t="s">
        <v>365</v>
      </c>
      <c r="B383" s="3" t="n">
        <v>9</v>
      </c>
      <c r="C383" s="3" t="s">
        <v>347</v>
      </c>
      <c r="D383" s="3" t="n">
        <v>46</v>
      </c>
      <c r="E383" s="3" t="s">
        <v>140</v>
      </c>
      <c r="F383" s="3" t="s">
        <v>141</v>
      </c>
      <c r="G383" s="3" t="s">
        <v>141</v>
      </c>
      <c r="H383" s="3" t="s">
        <v>372</v>
      </c>
    </row>
    <row r="384" customFormat="false" ht="15" hidden="false" customHeight="false" outlineLevel="0" collapsed="false">
      <c r="A384" s="3" t="s">
        <v>365</v>
      </c>
      <c r="B384" s="3" t="n">
        <v>9</v>
      </c>
      <c r="C384" s="3" t="s">
        <v>347</v>
      </c>
      <c r="D384" s="3" t="n">
        <v>43</v>
      </c>
      <c r="E384" s="3" t="s">
        <v>145</v>
      </c>
      <c r="F384" s="3" t="s">
        <v>141</v>
      </c>
      <c r="G384" s="3" t="s">
        <v>141</v>
      </c>
      <c r="H384" s="3" t="s">
        <v>372</v>
      </c>
    </row>
    <row r="385" customFormat="false" ht="15" hidden="false" customHeight="false" outlineLevel="0" collapsed="false">
      <c r="A385" s="3" t="s">
        <v>365</v>
      </c>
      <c r="B385" s="3" t="n">
        <v>10</v>
      </c>
      <c r="C385" s="3" t="s">
        <v>347</v>
      </c>
      <c r="D385" s="3" t="n">
        <v>50</v>
      </c>
      <c r="E385" s="3" t="s">
        <v>140</v>
      </c>
      <c r="F385" s="3" t="s">
        <v>141</v>
      </c>
      <c r="G385" s="3" t="s">
        <v>141</v>
      </c>
      <c r="H385" s="3" t="s">
        <v>373</v>
      </c>
    </row>
    <row r="386" customFormat="false" ht="15" hidden="false" customHeight="false" outlineLevel="0" collapsed="false">
      <c r="A386" s="3" t="s">
        <v>365</v>
      </c>
      <c r="B386" s="3" t="n">
        <v>10</v>
      </c>
      <c r="C386" s="3" t="s">
        <v>347</v>
      </c>
      <c r="D386" s="3" t="n">
        <v>79</v>
      </c>
      <c r="E386" s="3" t="s">
        <v>145</v>
      </c>
      <c r="F386" s="3" t="s">
        <v>141</v>
      </c>
      <c r="G386" s="3" t="s">
        <v>141</v>
      </c>
      <c r="H386" s="3" t="s">
        <v>373</v>
      </c>
    </row>
    <row r="387" customFormat="false" ht="15" hidden="false" customHeight="false" outlineLevel="0" collapsed="false">
      <c r="A387" s="3" t="s">
        <v>365</v>
      </c>
      <c r="B387" s="3" t="n">
        <v>11</v>
      </c>
      <c r="C387" s="3" t="s">
        <v>347</v>
      </c>
      <c r="D387" s="3" t="n">
        <v>55</v>
      </c>
      <c r="E387" s="3" t="s">
        <v>140</v>
      </c>
      <c r="F387" s="3" t="s">
        <v>141</v>
      </c>
      <c r="G387" s="3" t="s">
        <v>141</v>
      </c>
      <c r="H387" s="3" t="s">
        <v>374</v>
      </c>
    </row>
    <row r="388" customFormat="false" ht="15" hidden="false" customHeight="false" outlineLevel="0" collapsed="false">
      <c r="A388" s="3" t="s">
        <v>365</v>
      </c>
      <c r="B388" s="3" t="n">
        <v>11</v>
      </c>
      <c r="C388" s="3" t="s">
        <v>347</v>
      </c>
      <c r="D388" s="3" t="n">
        <v>61</v>
      </c>
      <c r="E388" s="3" t="s">
        <v>145</v>
      </c>
      <c r="F388" s="3" t="s">
        <v>141</v>
      </c>
      <c r="G388" s="3" t="s">
        <v>141</v>
      </c>
      <c r="H388" s="3" t="s">
        <v>374</v>
      </c>
    </row>
    <row r="389" customFormat="false" ht="15" hidden="false" customHeight="false" outlineLevel="0" collapsed="false">
      <c r="A389" s="3" t="s">
        <v>365</v>
      </c>
      <c r="B389" s="3" t="n">
        <v>12</v>
      </c>
      <c r="C389" s="3" t="s">
        <v>347</v>
      </c>
      <c r="D389" s="3" t="n">
        <v>44</v>
      </c>
      <c r="E389" s="3" t="s">
        <v>140</v>
      </c>
      <c r="F389" s="3" t="s">
        <v>141</v>
      </c>
      <c r="G389" s="3" t="s">
        <v>141</v>
      </c>
      <c r="H389" s="3" t="s">
        <v>375</v>
      </c>
    </row>
    <row r="390" customFormat="false" ht="15" hidden="false" customHeight="false" outlineLevel="0" collapsed="false">
      <c r="A390" s="3" t="s">
        <v>365</v>
      </c>
      <c r="B390" s="3" t="n">
        <v>13</v>
      </c>
      <c r="C390" s="3" t="s">
        <v>347</v>
      </c>
      <c r="D390" s="3" t="n">
        <v>61</v>
      </c>
      <c r="E390" s="3" t="s">
        <v>140</v>
      </c>
      <c r="F390" s="3" t="s">
        <v>141</v>
      </c>
      <c r="G390" s="3" t="s">
        <v>141</v>
      </c>
      <c r="H390" s="3" t="s">
        <v>376</v>
      </c>
    </row>
    <row r="391" customFormat="false" ht="15" hidden="false" customHeight="false" outlineLevel="0" collapsed="false">
      <c r="A391" s="3" t="s">
        <v>365</v>
      </c>
      <c r="B391" s="3" t="n">
        <v>13</v>
      </c>
      <c r="C391" s="3" t="s">
        <v>347</v>
      </c>
      <c r="D391" s="3" t="n">
        <v>57</v>
      </c>
      <c r="E391" s="3" t="s">
        <v>145</v>
      </c>
      <c r="F391" s="3" t="s">
        <v>141</v>
      </c>
      <c r="G391" s="3" t="s">
        <v>141</v>
      </c>
      <c r="H391" s="3" t="s">
        <v>376</v>
      </c>
    </row>
    <row r="392" customFormat="false" ht="15" hidden="false" customHeight="false" outlineLevel="0" collapsed="false">
      <c r="A392" s="3" t="s">
        <v>365</v>
      </c>
      <c r="B392" s="3" t="n">
        <v>14</v>
      </c>
      <c r="C392" s="3" t="s">
        <v>347</v>
      </c>
      <c r="D392" s="3" t="n">
        <v>36</v>
      </c>
      <c r="E392" s="3" t="s">
        <v>140</v>
      </c>
      <c r="F392" s="3" t="s">
        <v>141</v>
      </c>
      <c r="G392" s="3" t="s">
        <v>141</v>
      </c>
      <c r="H392" s="3" t="s">
        <v>377</v>
      </c>
    </row>
    <row r="393" customFormat="false" ht="15" hidden="false" customHeight="false" outlineLevel="0" collapsed="false">
      <c r="A393" s="3" t="s">
        <v>365</v>
      </c>
      <c r="B393" s="3" t="n">
        <v>15</v>
      </c>
      <c r="C393" s="3" t="s">
        <v>347</v>
      </c>
      <c r="D393" s="3" t="n">
        <v>36</v>
      </c>
      <c r="E393" s="3" t="s">
        <v>140</v>
      </c>
      <c r="F393" s="3" t="s">
        <v>141</v>
      </c>
      <c r="G393" s="3" t="s">
        <v>141</v>
      </c>
      <c r="H393" s="3" t="s">
        <v>378</v>
      </c>
    </row>
    <row r="394" customFormat="false" ht="15" hidden="false" customHeight="false" outlineLevel="0" collapsed="false">
      <c r="A394" s="3" t="s">
        <v>365</v>
      </c>
      <c r="B394" s="3" t="n">
        <v>16</v>
      </c>
      <c r="C394" s="3" t="s">
        <v>347</v>
      </c>
      <c r="D394" s="3" t="n">
        <v>46</v>
      </c>
      <c r="E394" s="3" t="s">
        <v>140</v>
      </c>
      <c r="F394" s="3" t="s">
        <v>141</v>
      </c>
      <c r="G394" s="3" t="s">
        <v>141</v>
      </c>
      <c r="H394" s="3" t="s">
        <v>379</v>
      </c>
    </row>
    <row r="395" customFormat="false" ht="15" hidden="false" customHeight="false" outlineLevel="0" collapsed="false">
      <c r="A395" s="3" t="s">
        <v>365</v>
      </c>
      <c r="B395" s="3" t="n">
        <v>16</v>
      </c>
      <c r="C395" s="3" t="s">
        <v>347</v>
      </c>
      <c r="D395" s="3" t="n">
        <v>43</v>
      </c>
      <c r="E395" s="3" t="s">
        <v>145</v>
      </c>
      <c r="F395" s="3" t="s">
        <v>141</v>
      </c>
      <c r="G395" s="3" t="s">
        <v>141</v>
      </c>
      <c r="H395" s="3" t="s">
        <v>379</v>
      </c>
    </row>
    <row r="396" customFormat="false" ht="15" hidden="false" customHeight="false" outlineLevel="0" collapsed="false">
      <c r="A396" s="3" t="s">
        <v>380</v>
      </c>
      <c r="B396" s="3" t="n">
        <v>1</v>
      </c>
      <c r="C396" s="3" t="s">
        <v>347</v>
      </c>
      <c r="D396" s="3" t="n">
        <v>69</v>
      </c>
      <c r="E396" s="3" t="s">
        <v>140</v>
      </c>
      <c r="F396" s="3" t="s">
        <v>141</v>
      </c>
      <c r="G396" s="3" t="s">
        <v>141</v>
      </c>
      <c r="H396" s="3" t="s">
        <v>381</v>
      </c>
    </row>
    <row r="397" customFormat="false" ht="15" hidden="false" customHeight="false" outlineLevel="0" collapsed="false">
      <c r="A397" s="3" t="s">
        <v>380</v>
      </c>
      <c r="B397" s="3" t="n">
        <v>1</v>
      </c>
      <c r="C397" s="3" t="s">
        <v>347</v>
      </c>
      <c r="D397" s="3" t="n">
        <v>75</v>
      </c>
      <c r="E397" s="3" t="s">
        <v>145</v>
      </c>
      <c r="F397" s="3" t="s">
        <v>141</v>
      </c>
      <c r="G397" s="3" t="s">
        <v>141</v>
      </c>
      <c r="H397" s="3" t="s">
        <v>381</v>
      </c>
    </row>
    <row r="398" customFormat="false" ht="15" hidden="false" customHeight="false" outlineLevel="0" collapsed="false">
      <c r="A398" s="3" t="s">
        <v>380</v>
      </c>
      <c r="B398" s="3" t="n">
        <v>2</v>
      </c>
      <c r="C398" s="3" t="s">
        <v>347</v>
      </c>
      <c r="D398" s="3" t="n">
        <v>56</v>
      </c>
      <c r="E398" s="3" t="s">
        <v>140</v>
      </c>
      <c r="F398" s="3" t="s">
        <v>141</v>
      </c>
      <c r="G398" s="3" t="s">
        <v>141</v>
      </c>
      <c r="H398" s="3" t="s">
        <v>382</v>
      </c>
    </row>
    <row r="399" customFormat="false" ht="15" hidden="false" customHeight="false" outlineLevel="0" collapsed="false">
      <c r="A399" s="3" t="s">
        <v>380</v>
      </c>
      <c r="B399" s="3" t="n">
        <v>3</v>
      </c>
      <c r="C399" s="3" t="s">
        <v>347</v>
      </c>
      <c r="D399" s="3" t="n">
        <v>74</v>
      </c>
      <c r="E399" s="3" t="s">
        <v>140</v>
      </c>
      <c r="F399" s="3" t="s">
        <v>141</v>
      </c>
      <c r="G399" s="3" t="s">
        <v>141</v>
      </c>
      <c r="H399" s="3" t="s">
        <v>383</v>
      </c>
    </row>
    <row r="400" customFormat="false" ht="15" hidden="false" customHeight="false" outlineLevel="0" collapsed="false">
      <c r="A400" s="3" t="s">
        <v>380</v>
      </c>
      <c r="B400" s="3" t="n">
        <v>4</v>
      </c>
      <c r="C400" s="3" t="s">
        <v>347</v>
      </c>
      <c r="D400" s="3" t="n">
        <v>52</v>
      </c>
      <c r="E400" s="3" t="s">
        <v>140</v>
      </c>
      <c r="F400" s="3" t="s">
        <v>141</v>
      </c>
      <c r="G400" s="3" t="s">
        <v>141</v>
      </c>
      <c r="H400" s="3" t="s">
        <v>384</v>
      </c>
    </row>
    <row r="401" customFormat="false" ht="15" hidden="false" customHeight="false" outlineLevel="0" collapsed="false">
      <c r="A401" s="3" t="s">
        <v>380</v>
      </c>
      <c r="B401" s="3" t="n">
        <v>5</v>
      </c>
      <c r="C401" s="3" t="s">
        <v>347</v>
      </c>
      <c r="D401" s="3" t="n">
        <v>55</v>
      </c>
      <c r="E401" s="3" t="s">
        <v>140</v>
      </c>
      <c r="F401" s="3" t="s">
        <v>141</v>
      </c>
      <c r="G401" s="3" t="s">
        <v>141</v>
      </c>
      <c r="H401" s="3" t="s">
        <v>385</v>
      </c>
    </row>
    <row r="402" customFormat="false" ht="15" hidden="false" customHeight="false" outlineLevel="0" collapsed="false">
      <c r="A402" s="3" t="s">
        <v>380</v>
      </c>
      <c r="B402" s="3" t="n">
        <v>6</v>
      </c>
      <c r="C402" s="3" t="s">
        <v>347</v>
      </c>
      <c r="D402" s="3" t="n">
        <v>56</v>
      </c>
      <c r="E402" s="3" t="s">
        <v>140</v>
      </c>
      <c r="F402" s="3" t="s">
        <v>141</v>
      </c>
      <c r="G402" s="3" t="s">
        <v>141</v>
      </c>
      <c r="H402" s="3" t="s">
        <v>386</v>
      </c>
    </row>
    <row r="403" customFormat="false" ht="15" hidden="false" customHeight="false" outlineLevel="0" collapsed="false">
      <c r="A403" s="3" t="s">
        <v>380</v>
      </c>
      <c r="B403" s="3" t="n">
        <v>7</v>
      </c>
      <c r="C403" s="3" t="s">
        <v>347</v>
      </c>
      <c r="D403" s="3" t="n">
        <v>61</v>
      </c>
      <c r="E403" s="3" t="s">
        <v>140</v>
      </c>
      <c r="F403" s="3" t="s">
        <v>141</v>
      </c>
      <c r="G403" s="3" t="s">
        <v>141</v>
      </c>
      <c r="H403" s="3" t="s">
        <v>387</v>
      </c>
    </row>
    <row r="404" customFormat="false" ht="15" hidden="false" customHeight="false" outlineLevel="0" collapsed="false">
      <c r="A404" s="3" t="s">
        <v>380</v>
      </c>
      <c r="B404" s="3" t="n">
        <v>8</v>
      </c>
      <c r="C404" s="3" t="s">
        <v>347</v>
      </c>
      <c r="D404" s="3" t="n">
        <v>57</v>
      </c>
      <c r="E404" s="3" t="s">
        <v>140</v>
      </c>
      <c r="F404" s="3" t="s">
        <v>141</v>
      </c>
      <c r="G404" s="3" t="s">
        <v>141</v>
      </c>
      <c r="H404" s="3" t="s">
        <v>388</v>
      </c>
    </row>
    <row r="405" customFormat="false" ht="15" hidden="false" customHeight="false" outlineLevel="0" collapsed="false">
      <c r="A405" s="3" t="s">
        <v>380</v>
      </c>
      <c r="B405" s="3" t="n">
        <v>8</v>
      </c>
      <c r="C405" s="3" t="s">
        <v>347</v>
      </c>
      <c r="D405" s="3" t="n">
        <v>32</v>
      </c>
      <c r="E405" s="3" t="s">
        <v>145</v>
      </c>
      <c r="F405" s="3" t="s">
        <v>141</v>
      </c>
      <c r="G405" s="3" t="s">
        <v>141</v>
      </c>
      <c r="H405" s="3" t="s">
        <v>388</v>
      </c>
    </row>
    <row r="406" customFormat="false" ht="15" hidden="false" customHeight="false" outlineLevel="0" collapsed="false">
      <c r="A406" s="3" t="s">
        <v>380</v>
      </c>
      <c r="B406" s="3" t="n">
        <v>9</v>
      </c>
      <c r="C406" s="3" t="s">
        <v>347</v>
      </c>
      <c r="D406" s="3" t="n">
        <v>68</v>
      </c>
      <c r="E406" s="3" t="s">
        <v>140</v>
      </c>
      <c r="F406" s="3" t="s">
        <v>141</v>
      </c>
      <c r="G406" s="3" t="s">
        <v>141</v>
      </c>
      <c r="H406" s="3" t="s">
        <v>389</v>
      </c>
    </row>
    <row r="407" customFormat="false" ht="15" hidden="false" customHeight="false" outlineLevel="0" collapsed="false">
      <c r="A407" s="3" t="s">
        <v>380</v>
      </c>
      <c r="B407" s="3" t="n">
        <v>9</v>
      </c>
      <c r="C407" s="3" t="s">
        <v>347</v>
      </c>
      <c r="D407" s="3" t="n">
        <v>53</v>
      </c>
      <c r="E407" s="3" t="s">
        <v>145</v>
      </c>
      <c r="F407" s="3" t="s">
        <v>141</v>
      </c>
      <c r="G407" s="3" t="s">
        <v>141</v>
      </c>
      <c r="H407" s="3" t="s">
        <v>389</v>
      </c>
    </row>
    <row r="408" customFormat="false" ht="15" hidden="false" customHeight="false" outlineLevel="0" collapsed="false">
      <c r="A408" s="3" t="s">
        <v>380</v>
      </c>
      <c r="B408" s="3" t="n">
        <v>10</v>
      </c>
      <c r="C408" s="3" t="s">
        <v>347</v>
      </c>
      <c r="D408" s="3" t="n">
        <v>53</v>
      </c>
      <c r="E408" s="3" t="s">
        <v>140</v>
      </c>
      <c r="F408" s="3" t="s">
        <v>141</v>
      </c>
      <c r="G408" s="3" t="s">
        <v>141</v>
      </c>
      <c r="H408" s="3" t="s">
        <v>390</v>
      </c>
    </row>
    <row r="409" customFormat="false" ht="15" hidden="false" customHeight="false" outlineLevel="0" collapsed="false">
      <c r="A409" s="3" t="s">
        <v>380</v>
      </c>
      <c r="B409" s="3" t="n">
        <v>10</v>
      </c>
      <c r="C409" s="3" t="s">
        <v>347</v>
      </c>
      <c r="D409" s="3" t="n">
        <v>17</v>
      </c>
      <c r="E409" s="3" t="s">
        <v>145</v>
      </c>
      <c r="F409" s="3" t="s">
        <v>141</v>
      </c>
      <c r="G409" s="3" t="s">
        <v>141</v>
      </c>
      <c r="H409" s="3" t="s">
        <v>390</v>
      </c>
    </row>
    <row r="410" customFormat="false" ht="15" hidden="false" customHeight="false" outlineLevel="0" collapsed="false">
      <c r="A410" s="3" t="s">
        <v>380</v>
      </c>
      <c r="B410" s="3" t="n">
        <v>11</v>
      </c>
      <c r="C410" s="3" t="s">
        <v>347</v>
      </c>
      <c r="D410" s="3" t="n">
        <v>61</v>
      </c>
      <c r="E410" s="3" t="s">
        <v>140</v>
      </c>
      <c r="F410" s="3" t="s">
        <v>141</v>
      </c>
      <c r="G410" s="3" t="s">
        <v>141</v>
      </c>
      <c r="H410" s="3" t="s">
        <v>391</v>
      </c>
    </row>
    <row r="411" customFormat="false" ht="15" hidden="false" customHeight="false" outlineLevel="0" collapsed="false">
      <c r="A411" s="3" t="s">
        <v>380</v>
      </c>
      <c r="B411" s="3" t="n">
        <v>11</v>
      </c>
      <c r="C411" s="3" t="s">
        <v>347</v>
      </c>
      <c r="D411" s="3" t="n">
        <v>53</v>
      </c>
      <c r="E411" s="3" t="s">
        <v>145</v>
      </c>
      <c r="F411" s="3" t="s">
        <v>141</v>
      </c>
      <c r="G411" s="3" t="s">
        <v>141</v>
      </c>
      <c r="H411" s="3" t="s">
        <v>391</v>
      </c>
    </row>
    <row r="412" customFormat="false" ht="15" hidden="false" customHeight="false" outlineLevel="0" collapsed="false">
      <c r="A412" s="3" t="s">
        <v>380</v>
      </c>
      <c r="B412" s="3" t="n">
        <v>12</v>
      </c>
      <c r="C412" s="3" t="s">
        <v>347</v>
      </c>
      <c r="D412" s="3" t="n">
        <v>69</v>
      </c>
      <c r="E412" s="3" t="s">
        <v>140</v>
      </c>
      <c r="F412" s="3" t="s">
        <v>141</v>
      </c>
      <c r="G412" s="3" t="s">
        <v>141</v>
      </c>
      <c r="H412" s="3" t="s">
        <v>392</v>
      </c>
    </row>
    <row r="413" customFormat="false" ht="15" hidden="false" customHeight="false" outlineLevel="0" collapsed="false">
      <c r="A413" s="3" t="s">
        <v>380</v>
      </c>
      <c r="B413" s="3" t="n">
        <v>12</v>
      </c>
      <c r="C413" s="3" t="s">
        <v>347</v>
      </c>
      <c r="D413" s="3" t="n">
        <v>29</v>
      </c>
      <c r="E413" s="3" t="s">
        <v>145</v>
      </c>
      <c r="F413" s="3" t="s">
        <v>141</v>
      </c>
      <c r="G413" s="3" t="s">
        <v>141</v>
      </c>
      <c r="H413" s="3" t="s">
        <v>392</v>
      </c>
    </row>
    <row r="414" customFormat="false" ht="15" hidden="false" customHeight="false" outlineLevel="0" collapsed="false">
      <c r="A414" s="3" t="s">
        <v>380</v>
      </c>
      <c r="B414" s="3" t="n">
        <v>13</v>
      </c>
      <c r="C414" s="3" t="s">
        <v>347</v>
      </c>
      <c r="D414" s="3" t="n">
        <v>75</v>
      </c>
      <c r="E414" s="3" t="s">
        <v>140</v>
      </c>
      <c r="F414" s="3" t="s">
        <v>141</v>
      </c>
      <c r="G414" s="3" t="s">
        <v>141</v>
      </c>
      <c r="H414" s="3" t="s">
        <v>393</v>
      </c>
    </row>
    <row r="415" customFormat="false" ht="15" hidden="false" customHeight="false" outlineLevel="0" collapsed="false">
      <c r="A415" s="3" t="s">
        <v>380</v>
      </c>
      <c r="B415" s="3" t="n">
        <v>15</v>
      </c>
      <c r="C415" s="3" t="s">
        <v>347</v>
      </c>
      <c r="D415" s="3" t="n">
        <v>53</v>
      </c>
      <c r="E415" s="3" t="s">
        <v>140</v>
      </c>
      <c r="F415" s="3" t="s">
        <v>141</v>
      </c>
      <c r="G415" s="3" t="s">
        <v>141</v>
      </c>
      <c r="H415" s="3" t="s">
        <v>394</v>
      </c>
    </row>
    <row r="416" customFormat="false" ht="15" hidden="false" customHeight="false" outlineLevel="0" collapsed="false">
      <c r="A416" s="3" t="s">
        <v>380</v>
      </c>
      <c r="B416" s="3" t="n">
        <v>15</v>
      </c>
      <c r="C416" s="3" t="s">
        <v>347</v>
      </c>
      <c r="D416" s="3" t="n">
        <v>49</v>
      </c>
      <c r="E416" s="3" t="s">
        <v>145</v>
      </c>
      <c r="F416" s="3" t="s">
        <v>141</v>
      </c>
      <c r="G416" s="3" t="s">
        <v>141</v>
      </c>
      <c r="H416" s="3" t="s">
        <v>394</v>
      </c>
    </row>
    <row r="417" customFormat="false" ht="15" hidden="false" customHeight="false" outlineLevel="0" collapsed="false">
      <c r="A417" s="3" t="s">
        <v>380</v>
      </c>
      <c r="B417" s="3" t="n">
        <v>15</v>
      </c>
      <c r="C417" s="3" t="s">
        <v>347</v>
      </c>
      <c r="D417" s="3" t="n">
        <v>28</v>
      </c>
      <c r="E417" s="3" t="s">
        <v>145</v>
      </c>
      <c r="F417" s="3" t="s">
        <v>141</v>
      </c>
      <c r="G417" s="3" t="s">
        <v>141</v>
      </c>
      <c r="H417" s="3" t="s">
        <v>394</v>
      </c>
    </row>
    <row r="418" customFormat="false" ht="15" hidden="false" customHeight="false" outlineLevel="0" collapsed="false">
      <c r="A418" s="3" t="s">
        <v>380</v>
      </c>
      <c r="B418" s="3" t="n">
        <v>16</v>
      </c>
      <c r="C418" s="3" t="s">
        <v>347</v>
      </c>
      <c r="D418" s="3" t="n">
        <v>55</v>
      </c>
      <c r="E418" s="3" t="s">
        <v>140</v>
      </c>
      <c r="F418" s="3" t="s">
        <v>141</v>
      </c>
      <c r="G418" s="3" t="s">
        <v>141</v>
      </c>
      <c r="H418" s="3" t="s">
        <v>395</v>
      </c>
    </row>
    <row r="419" customFormat="false" ht="15" hidden="false" customHeight="false" outlineLevel="0" collapsed="false">
      <c r="A419" s="3" t="s">
        <v>380</v>
      </c>
      <c r="B419" s="3" t="n">
        <v>16</v>
      </c>
      <c r="C419" s="3" t="s">
        <v>347</v>
      </c>
      <c r="D419" s="3" t="n">
        <v>48</v>
      </c>
      <c r="E419" s="3" t="s">
        <v>145</v>
      </c>
      <c r="F419" s="3" t="s">
        <v>141</v>
      </c>
      <c r="G419" s="3" t="s">
        <v>141</v>
      </c>
      <c r="H419" s="3" t="s">
        <v>395</v>
      </c>
    </row>
    <row r="420" customFormat="false" ht="15" hidden="false" customHeight="false" outlineLevel="0" collapsed="false">
      <c r="A420" s="3" t="s">
        <v>396</v>
      </c>
      <c r="B420" s="3" t="n">
        <v>1</v>
      </c>
      <c r="C420" s="3" t="s">
        <v>347</v>
      </c>
      <c r="D420" s="3" t="n">
        <v>76</v>
      </c>
      <c r="E420" s="3" t="s">
        <v>140</v>
      </c>
      <c r="F420" s="3" t="s">
        <v>141</v>
      </c>
      <c r="G420" s="3" t="s">
        <v>141</v>
      </c>
      <c r="H420" s="3" t="s">
        <v>397</v>
      </c>
    </row>
    <row r="421" customFormat="false" ht="15" hidden="false" customHeight="false" outlineLevel="0" collapsed="false">
      <c r="A421" s="3" t="s">
        <v>396</v>
      </c>
      <c r="B421" s="3" t="n">
        <v>1</v>
      </c>
      <c r="C421" s="3" t="s">
        <v>347</v>
      </c>
      <c r="D421" s="3" t="n">
        <v>74</v>
      </c>
      <c r="E421" s="3" t="s">
        <v>145</v>
      </c>
      <c r="F421" s="3" t="s">
        <v>141</v>
      </c>
      <c r="G421" s="3" t="s">
        <v>141</v>
      </c>
      <c r="H421" s="3" t="s">
        <v>397</v>
      </c>
    </row>
    <row r="422" customFormat="false" ht="15" hidden="false" customHeight="false" outlineLevel="0" collapsed="false">
      <c r="A422" s="3" t="s">
        <v>396</v>
      </c>
      <c r="B422" s="3" t="n">
        <v>2</v>
      </c>
      <c r="C422" s="3" t="s">
        <v>347</v>
      </c>
      <c r="D422" s="3" t="n">
        <v>65</v>
      </c>
      <c r="E422" s="3" t="s">
        <v>140</v>
      </c>
      <c r="F422" s="3" t="s">
        <v>141</v>
      </c>
      <c r="G422" s="3" t="s">
        <v>141</v>
      </c>
      <c r="H422" s="3" t="s">
        <v>398</v>
      </c>
    </row>
    <row r="423" customFormat="false" ht="15" hidden="false" customHeight="false" outlineLevel="0" collapsed="false">
      <c r="A423" s="3" t="s">
        <v>396</v>
      </c>
      <c r="B423" s="3" t="n">
        <v>3</v>
      </c>
      <c r="C423" s="3" t="s">
        <v>347</v>
      </c>
      <c r="D423" s="3" t="n">
        <v>76</v>
      </c>
      <c r="E423" s="3" t="s">
        <v>140</v>
      </c>
      <c r="F423" s="3" t="s">
        <v>141</v>
      </c>
      <c r="G423" s="3" t="s">
        <v>141</v>
      </c>
      <c r="H423" s="3" t="s">
        <v>399</v>
      </c>
    </row>
    <row r="424" customFormat="false" ht="15" hidden="false" customHeight="false" outlineLevel="0" collapsed="false">
      <c r="A424" s="3" t="s">
        <v>396</v>
      </c>
      <c r="B424" s="3" t="n">
        <v>3</v>
      </c>
      <c r="C424" s="3" t="s">
        <v>347</v>
      </c>
      <c r="D424" s="3" t="n">
        <v>43</v>
      </c>
      <c r="E424" s="3" t="s">
        <v>145</v>
      </c>
      <c r="F424" s="3" t="s">
        <v>141</v>
      </c>
      <c r="G424" s="3" t="s">
        <v>141</v>
      </c>
      <c r="H424" s="3" t="s">
        <v>399</v>
      </c>
    </row>
    <row r="425" customFormat="false" ht="15" hidden="false" customHeight="false" outlineLevel="0" collapsed="false">
      <c r="A425" s="3" t="s">
        <v>396</v>
      </c>
      <c r="B425" s="3" t="n">
        <v>4</v>
      </c>
      <c r="C425" s="3" t="s">
        <v>347</v>
      </c>
      <c r="D425" s="3" t="n">
        <v>79</v>
      </c>
      <c r="E425" s="3" t="s">
        <v>140</v>
      </c>
      <c r="F425" s="3" t="s">
        <v>141</v>
      </c>
      <c r="G425" s="3" t="s">
        <v>141</v>
      </c>
      <c r="H425" s="3" t="s">
        <v>400</v>
      </c>
    </row>
    <row r="426" customFormat="false" ht="15" hidden="false" customHeight="false" outlineLevel="0" collapsed="false">
      <c r="A426" s="3" t="s">
        <v>396</v>
      </c>
      <c r="B426" s="3" t="n">
        <v>4</v>
      </c>
      <c r="C426" s="3" t="s">
        <v>347</v>
      </c>
      <c r="D426" s="3" t="n">
        <v>81</v>
      </c>
      <c r="E426" s="3" t="s">
        <v>145</v>
      </c>
      <c r="F426" s="3" t="s">
        <v>141</v>
      </c>
      <c r="G426" s="3" t="s">
        <v>141</v>
      </c>
      <c r="H426" s="3" t="s">
        <v>400</v>
      </c>
    </row>
    <row r="427" customFormat="false" ht="15" hidden="false" customHeight="false" outlineLevel="0" collapsed="false">
      <c r="A427" s="3" t="s">
        <v>396</v>
      </c>
      <c r="B427" s="3" t="n">
        <v>5</v>
      </c>
      <c r="C427" s="3" t="s">
        <v>347</v>
      </c>
      <c r="D427" s="3" t="n">
        <v>88</v>
      </c>
      <c r="E427" s="3" t="s">
        <v>140</v>
      </c>
      <c r="F427" s="3" t="s">
        <v>141</v>
      </c>
      <c r="G427" s="3" t="s">
        <v>141</v>
      </c>
      <c r="H427" s="3" t="s">
        <v>401</v>
      </c>
    </row>
    <row r="428" customFormat="false" ht="15" hidden="false" customHeight="false" outlineLevel="0" collapsed="false">
      <c r="A428" s="3" t="s">
        <v>396</v>
      </c>
      <c r="B428" s="3" t="n">
        <v>6</v>
      </c>
      <c r="C428" s="3" t="s">
        <v>347</v>
      </c>
      <c r="D428" s="3" t="n">
        <v>78</v>
      </c>
      <c r="E428" s="3" t="s">
        <v>140</v>
      </c>
      <c r="F428" s="3" t="s">
        <v>141</v>
      </c>
      <c r="G428" s="3" t="s">
        <v>141</v>
      </c>
      <c r="H428" s="3" t="s">
        <v>402</v>
      </c>
    </row>
    <row r="429" customFormat="false" ht="15" hidden="false" customHeight="false" outlineLevel="0" collapsed="false">
      <c r="A429" s="3" t="s">
        <v>396</v>
      </c>
      <c r="B429" s="3" t="n">
        <v>6</v>
      </c>
      <c r="C429" s="3" t="s">
        <v>347</v>
      </c>
      <c r="D429" s="3" t="n">
        <v>41</v>
      </c>
      <c r="E429" s="3" t="s">
        <v>145</v>
      </c>
      <c r="F429" s="3" t="s">
        <v>141</v>
      </c>
      <c r="G429" s="3" t="s">
        <v>141</v>
      </c>
      <c r="H429" s="3" t="s">
        <v>402</v>
      </c>
    </row>
    <row r="430" customFormat="false" ht="15" hidden="false" customHeight="false" outlineLevel="0" collapsed="false">
      <c r="A430" s="3" t="s">
        <v>396</v>
      </c>
      <c r="B430" s="3" t="n">
        <v>7</v>
      </c>
      <c r="C430" s="3" t="s">
        <v>347</v>
      </c>
      <c r="D430" s="3" t="n">
        <v>50</v>
      </c>
      <c r="E430" s="3" t="s">
        <v>140</v>
      </c>
      <c r="F430" s="3" t="s">
        <v>141</v>
      </c>
      <c r="G430" s="3" t="s">
        <v>141</v>
      </c>
      <c r="H430" s="3" t="s">
        <v>403</v>
      </c>
    </row>
    <row r="431" customFormat="false" ht="15" hidden="false" customHeight="false" outlineLevel="0" collapsed="false">
      <c r="A431" s="3" t="s">
        <v>396</v>
      </c>
      <c r="B431" s="3" t="n">
        <v>8</v>
      </c>
      <c r="C431" s="3" t="s">
        <v>347</v>
      </c>
      <c r="D431" s="3" t="n">
        <v>78</v>
      </c>
      <c r="E431" s="3" t="s">
        <v>140</v>
      </c>
      <c r="F431" s="3" t="s">
        <v>141</v>
      </c>
      <c r="G431" s="3" t="s">
        <v>141</v>
      </c>
      <c r="H431" s="3" t="s">
        <v>404</v>
      </c>
    </row>
    <row r="432" customFormat="false" ht="15" hidden="false" customHeight="false" outlineLevel="0" collapsed="false">
      <c r="A432" s="3" t="s">
        <v>396</v>
      </c>
      <c r="B432" s="3" t="n">
        <v>9</v>
      </c>
      <c r="C432" s="3" t="s">
        <v>347</v>
      </c>
      <c r="D432" s="3" t="n">
        <v>25</v>
      </c>
      <c r="E432" s="3" t="s">
        <v>140</v>
      </c>
      <c r="F432" s="3" t="s">
        <v>141</v>
      </c>
      <c r="G432" s="3" t="s">
        <v>141</v>
      </c>
      <c r="H432" s="3" t="s">
        <v>405</v>
      </c>
    </row>
    <row r="433" customFormat="false" ht="15" hidden="false" customHeight="false" outlineLevel="0" collapsed="false">
      <c r="A433" s="3" t="s">
        <v>396</v>
      </c>
      <c r="B433" s="3" t="n">
        <v>10</v>
      </c>
      <c r="C433" s="3" t="s">
        <v>347</v>
      </c>
      <c r="D433" s="3" t="n">
        <v>93</v>
      </c>
      <c r="E433" s="3" t="s">
        <v>140</v>
      </c>
      <c r="F433" s="3" t="s">
        <v>141</v>
      </c>
      <c r="G433" s="3" t="s">
        <v>141</v>
      </c>
      <c r="H433" s="3" t="s">
        <v>406</v>
      </c>
    </row>
    <row r="434" customFormat="false" ht="15" hidden="false" customHeight="false" outlineLevel="0" collapsed="false">
      <c r="A434" s="3" t="s">
        <v>396</v>
      </c>
      <c r="B434" s="3" t="n">
        <v>11</v>
      </c>
      <c r="C434" s="3" t="s">
        <v>347</v>
      </c>
      <c r="D434" s="3" t="n">
        <v>53</v>
      </c>
      <c r="E434" s="3" t="s">
        <v>140</v>
      </c>
      <c r="F434" s="3" t="s">
        <v>141</v>
      </c>
      <c r="G434" s="3" t="s">
        <v>141</v>
      </c>
      <c r="H434" s="3" t="s">
        <v>407</v>
      </c>
    </row>
    <row r="435" customFormat="false" ht="15" hidden="false" customHeight="false" outlineLevel="0" collapsed="false">
      <c r="A435" s="3" t="s">
        <v>396</v>
      </c>
      <c r="B435" s="3" t="n">
        <v>11</v>
      </c>
      <c r="C435" s="3" t="s">
        <v>347</v>
      </c>
      <c r="D435" s="3" t="n">
        <v>28</v>
      </c>
      <c r="E435" s="3" t="s">
        <v>145</v>
      </c>
      <c r="F435" s="3" t="s">
        <v>141</v>
      </c>
      <c r="G435" s="3" t="s">
        <v>141</v>
      </c>
      <c r="H435" s="3" t="s">
        <v>407</v>
      </c>
    </row>
    <row r="436" customFormat="false" ht="15" hidden="false" customHeight="false" outlineLevel="0" collapsed="false">
      <c r="A436" s="3" t="s">
        <v>396</v>
      </c>
      <c r="B436" s="3" t="n">
        <v>11</v>
      </c>
      <c r="C436" s="3" t="s">
        <v>347</v>
      </c>
      <c r="D436" s="3" t="n">
        <v>21</v>
      </c>
      <c r="E436" s="3" t="s">
        <v>145</v>
      </c>
      <c r="F436" s="3" t="s">
        <v>141</v>
      </c>
      <c r="G436" s="3" t="s">
        <v>141</v>
      </c>
      <c r="H436" s="3" t="s">
        <v>407</v>
      </c>
    </row>
    <row r="437" customFormat="false" ht="15" hidden="false" customHeight="false" outlineLevel="0" collapsed="false">
      <c r="A437" s="3" t="s">
        <v>396</v>
      </c>
      <c r="B437" s="3" t="n">
        <v>12</v>
      </c>
      <c r="C437" s="3" t="s">
        <v>347</v>
      </c>
      <c r="D437" s="3" t="n">
        <v>53</v>
      </c>
      <c r="E437" s="3" t="s">
        <v>140</v>
      </c>
      <c r="F437" s="3" t="s">
        <v>141</v>
      </c>
      <c r="G437" s="3" t="s">
        <v>141</v>
      </c>
      <c r="H437" s="3" t="s">
        <v>408</v>
      </c>
    </row>
    <row r="438" customFormat="false" ht="15" hidden="false" customHeight="false" outlineLevel="0" collapsed="false">
      <c r="A438" s="3" t="s">
        <v>396</v>
      </c>
      <c r="B438" s="3" t="n">
        <v>12</v>
      </c>
      <c r="C438" s="3" t="s">
        <v>347</v>
      </c>
      <c r="D438" s="3" t="n">
        <v>49</v>
      </c>
      <c r="E438" s="3" t="s">
        <v>145</v>
      </c>
      <c r="F438" s="3" t="s">
        <v>141</v>
      </c>
      <c r="G438" s="3" t="s">
        <v>141</v>
      </c>
      <c r="H438" s="3" t="s">
        <v>408</v>
      </c>
    </row>
    <row r="439" customFormat="false" ht="15" hidden="false" customHeight="false" outlineLevel="0" collapsed="false">
      <c r="A439" s="3" t="s">
        <v>396</v>
      </c>
      <c r="B439" s="3" t="n">
        <v>12</v>
      </c>
      <c r="C439" s="3" t="s">
        <v>347</v>
      </c>
      <c r="D439" s="3" t="n">
        <v>28</v>
      </c>
      <c r="E439" s="3" t="s">
        <v>145</v>
      </c>
      <c r="F439" s="3" t="s">
        <v>141</v>
      </c>
      <c r="G439" s="3" t="s">
        <v>141</v>
      </c>
      <c r="H439" s="3" t="s">
        <v>408</v>
      </c>
    </row>
    <row r="440" customFormat="false" ht="15" hidden="false" customHeight="false" outlineLevel="0" collapsed="false">
      <c r="A440" s="3" t="s">
        <v>396</v>
      </c>
      <c r="B440" s="3" t="n">
        <v>13</v>
      </c>
      <c r="C440" s="3" t="s">
        <v>347</v>
      </c>
      <c r="D440" s="3" t="n">
        <v>63</v>
      </c>
      <c r="E440" s="3" t="s">
        <v>140</v>
      </c>
      <c r="F440" s="3" t="s">
        <v>141</v>
      </c>
      <c r="G440" s="3" t="s">
        <v>141</v>
      </c>
      <c r="H440" s="3" t="s">
        <v>409</v>
      </c>
    </row>
    <row r="441" customFormat="false" ht="15" hidden="false" customHeight="false" outlineLevel="0" collapsed="false">
      <c r="A441" s="3" t="s">
        <v>396</v>
      </c>
      <c r="B441" s="3" t="n">
        <v>14</v>
      </c>
      <c r="C441" s="3" t="s">
        <v>347</v>
      </c>
      <c r="D441" s="3" t="n">
        <v>72</v>
      </c>
      <c r="E441" s="3" t="s">
        <v>140</v>
      </c>
      <c r="F441" s="3" t="s">
        <v>141</v>
      </c>
      <c r="G441" s="3" t="s">
        <v>141</v>
      </c>
      <c r="H441" s="3" t="s">
        <v>410</v>
      </c>
    </row>
    <row r="442" customFormat="false" ht="15" hidden="false" customHeight="false" outlineLevel="0" collapsed="false">
      <c r="A442" s="3" t="s">
        <v>396</v>
      </c>
      <c r="B442" s="3" t="n">
        <v>14</v>
      </c>
      <c r="C442" s="3" t="s">
        <v>347</v>
      </c>
      <c r="D442" s="3" t="n">
        <v>70</v>
      </c>
      <c r="E442" s="3" t="s">
        <v>145</v>
      </c>
      <c r="F442" s="3" t="s">
        <v>141</v>
      </c>
      <c r="G442" s="3" t="s">
        <v>141</v>
      </c>
      <c r="H442" s="3" t="s">
        <v>410</v>
      </c>
    </row>
    <row r="443" customFormat="false" ht="15" hidden="false" customHeight="false" outlineLevel="0" collapsed="false">
      <c r="A443" s="3" t="s">
        <v>411</v>
      </c>
      <c r="B443" s="3" t="n">
        <v>5</v>
      </c>
      <c r="C443" s="3" t="s">
        <v>347</v>
      </c>
      <c r="D443" s="3" t="n">
        <v>21</v>
      </c>
      <c r="E443" s="3" t="s">
        <v>140</v>
      </c>
      <c r="F443" s="3" t="s">
        <v>141</v>
      </c>
      <c r="G443" s="3" t="s">
        <v>141</v>
      </c>
      <c r="H443" s="3" t="s">
        <v>412</v>
      </c>
    </row>
    <row r="444" customFormat="false" ht="15" hidden="false" customHeight="false" outlineLevel="0" collapsed="false">
      <c r="A444" s="3" t="s">
        <v>413</v>
      </c>
      <c r="B444" s="3" t="n">
        <v>3</v>
      </c>
      <c r="C444" s="3" t="s">
        <v>347</v>
      </c>
      <c r="D444" s="3" t="n">
        <v>76</v>
      </c>
      <c r="E444" s="3" t="s">
        <v>140</v>
      </c>
      <c r="F444" s="3" t="s">
        <v>141</v>
      </c>
      <c r="G444" s="3" t="s">
        <v>141</v>
      </c>
      <c r="H444" s="3" t="s">
        <v>414</v>
      </c>
    </row>
    <row r="445" customFormat="false" ht="15" hidden="false" customHeight="false" outlineLevel="0" collapsed="false">
      <c r="A445" s="3" t="s">
        <v>413</v>
      </c>
      <c r="B445" s="3" t="n">
        <v>3</v>
      </c>
      <c r="C445" s="3" t="s">
        <v>347</v>
      </c>
      <c r="D445" s="3" t="n">
        <v>43</v>
      </c>
      <c r="E445" s="3" t="s">
        <v>145</v>
      </c>
      <c r="F445" s="3" t="s">
        <v>141</v>
      </c>
      <c r="G445" s="3" t="s">
        <v>141</v>
      </c>
      <c r="H445" s="3" t="s">
        <v>414</v>
      </c>
    </row>
    <row r="446" customFormat="false" ht="15" hidden="false" customHeight="false" outlineLevel="0" collapsed="false">
      <c r="A446" s="3" t="s">
        <v>413</v>
      </c>
      <c r="B446" s="3" t="n">
        <v>11</v>
      </c>
      <c r="C446" s="3" t="s">
        <v>347</v>
      </c>
      <c r="D446" s="3" t="n">
        <v>49</v>
      </c>
      <c r="E446" s="3" t="s">
        <v>140</v>
      </c>
      <c r="F446" s="3" t="s">
        <v>141</v>
      </c>
      <c r="G446" s="3" t="s">
        <v>141</v>
      </c>
      <c r="H446" s="3" t="s">
        <v>415</v>
      </c>
    </row>
    <row r="447" customFormat="false" ht="15" hidden="false" customHeight="false" outlineLevel="0" collapsed="false">
      <c r="A447" s="3" t="s">
        <v>413</v>
      </c>
      <c r="B447" s="3" t="n">
        <v>12</v>
      </c>
      <c r="C447" s="3" t="s">
        <v>347</v>
      </c>
      <c r="D447" s="3" t="n">
        <v>49</v>
      </c>
      <c r="E447" s="3" t="s">
        <v>140</v>
      </c>
      <c r="F447" s="3" t="s">
        <v>141</v>
      </c>
      <c r="G447" s="3" t="s">
        <v>141</v>
      </c>
      <c r="H447" s="3" t="s">
        <v>416</v>
      </c>
    </row>
    <row r="448" customFormat="false" ht="15" hidden="false" customHeight="false" outlineLevel="0" collapsed="false">
      <c r="A448" s="3" t="s">
        <v>413</v>
      </c>
      <c r="B448" s="3" t="n">
        <v>13</v>
      </c>
      <c r="C448" s="3" t="s">
        <v>347</v>
      </c>
      <c r="D448" s="3" t="n">
        <v>47</v>
      </c>
      <c r="E448" s="3" t="s">
        <v>140</v>
      </c>
      <c r="F448" s="3" t="s">
        <v>141</v>
      </c>
      <c r="G448" s="3" t="s">
        <v>141</v>
      </c>
      <c r="H448" s="3" t="s">
        <v>417</v>
      </c>
    </row>
    <row r="449" customFormat="false" ht="15" hidden="false" customHeight="false" outlineLevel="0" collapsed="false">
      <c r="A449" s="3" t="s">
        <v>413</v>
      </c>
      <c r="B449" s="3" t="n">
        <v>13</v>
      </c>
      <c r="C449" s="3" t="s">
        <v>347</v>
      </c>
      <c r="D449" s="3" t="n">
        <v>28</v>
      </c>
      <c r="E449" s="3" t="s">
        <v>145</v>
      </c>
      <c r="F449" s="3" t="s">
        <v>141</v>
      </c>
      <c r="G449" s="3" t="s">
        <v>141</v>
      </c>
      <c r="H449" s="3" t="s">
        <v>417</v>
      </c>
    </row>
    <row r="450" customFormat="false" ht="15" hidden="false" customHeight="false" outlineLevel="0" collapsed="false">
      <c r="A450" s="3" t="s">
        <v>418</v>
      </c>
      <c r="B450" s="3" t="n">
        <v>8</v>
      </c>
      <c r="C450" s="3" t="s">
        <v>347</v>
      </c>
      <c r="D450" s="3" t="n">
        <v>76</v>
      </c>
      <c r="E450" s="3" t="s">
        <v>140</v>
      </c>
      <c r="F450" s="3" t="s">
        <v>141</v>
      </c>
      <c r="G450" s="3" t="s">
        <v>141</v>
      </c>
      <c r="H450" s="3" t="s">
        <v>419</v>
      </c>
    </row>
    <row r="451" customFormat="false" ht="15" hidden="false" customHeight="false" outlineLevel="0" collapsed="false">
      <c r="A451" s="3" t="s">
        <v>418</v>
      </c>
      <c r="B451" s="3" t="n">
        <v>8</v>
      </c>
      <c r="C451" s="3" t="s">
        <v>347</v>
      </c>
      <c r="D451" s="3" t="n">
        <v>43</v>
      </c>
      <c r="E451" s="3" t="s">
        <v>145</v>
      </c>
      <c r="F451" s="3" t="s">
        <v>141</v>
      </c>
      <c r="G451" s="3" t="s">
        <v>141</v>
      </c>
      <c r="H451" s="3" t="s">
        <v>419</v>
      </c>
    </row>
    <row r="452" customFormat="false" ht="15" hidden="false" customHeight="false" outlineLevel="0" collapsed="false">
      <c r="A452" s="3" t="s">
        <v>418</v>
      </c>
      <c r="B452" s="3" t="n">
        <v>9</v>
      </c>
      <c r="C452" s="3" t="s">
        <v>347</v>
      </c>
      <c r="D452" s="3" t="n">
        <v>76</v>
      </c>
      <c r="E452" s="3" t="s">
        <v>140</v>
      </c>
      <c r="F452" s="3" t="s">
        <v>141</v>
      </c>
      <c r="G452" s="3" t="s">
        <v>141</v>
      </c>
      <c r="H452" s="3" t="s">
        <v>420</v>
      </c>
    </row>
    <row r="453" customFormat="false" ht="15" hidden="false" customHeight="false" outlineLevel="0" collapsed="false">
      <c r="A453" s="3" t="s">
        <v>421</v>
      </c>
      <c r="B453" s="3" t="n">
        <v>17</v>
      </c>
      <c r="C453" s="3" t="s">
        <v>347</v>
      </c>
      <c r="D453" s="3" t="n">
        <v>10</v>
      </c>
      <c r="E453" s="3" t="s">
        <v>140</v>
      </c>
      <c r="F453" s="3" t="s">
        <v>141</v>
      </c>
      <c r="G453" s="3" t="s">
        <v>141</v>
      </c>
      <c r="H453" s="3" t="s">
        <v>422</v>
      </c>
    </row>
    <row r="454" customFormat="false" ht="15" hidden="false" customHeight="false" outlineLevel="0" collapsed="false">
      <c r="A454" s="3" t="s">
        <v>421</v>
      </c>
      <c r="B454" s="3" t="n">
        <v>17</v>
      </c>
      <c r="C454" s="3" t="s">
        <v>347</v>
      </c>
      <c r="D454" s="3" t="n">
        <v>22</v>
      </c>
      <c r="E454" s="3" t="s">
        <v>145</v>
      </c>
      <c r="F454" s="3" t="s">
        <v>141</v>
      </c>
      <c r="G454" s="3" t="s">
        <v>141</v>
      </c>
      <c r="H454" s="3" t="s">
        <v>422</v>
      </c>
    </row>
    <row r="455" customFormat="false" ht="15" hidden="false" customHeight="false" outlineLevel="0" collapsed="false">
      <c r="A455" s="3" t="s">
        <v>423</v>
      </c>
      <c r="B455" s="3" t="n">
        <v>7</v>
      </c>
      <c r="C455" s="3" t="s">
        <v>347</v>
      </c>
      <c r="D455" s="3" t="n">
        <v>76</v>
      </c>
      <c r="E455" s="3" t="s">
        <v>140</v>
      </c>
      <c r="F455" s="3" t="s">
        <v>141</v>
      </c>
      <c r="G455" s="3" t="s">
        <v>141</v>
      </c>
      <c r="H455" s="3" t="s">
        <v>424</v>
      </c>
    </row>
    <row r="456" customFormat="false" ht="15" hidden="false" customHeight="false" outlineLevel="0" collapsed="false">
      <c r="A456" s="3" t="s">
        <v>423</v>
      </c>
      <c r="B456" s="3" t="n">
        <v>7</v>
      </c>
      <c r="C456" s="3" t="s">
        <v>347</v>
      </c>
      <c r="D456" s="3" t="n">
        <v>43</v>
      </c>
      <c r="E456" s="3" t="s">
        <v>145</v>
      </c>
      <c r="F456" s="3" t="s">
        <v>141</v>
      </c>
      <c r="G456" s="3" t="s">
        <v>141</v>
      </c>
      <c r="H456" s="3" t="s">
        <v>424</v>
      </c>
    </row>
    <row r="457" customFormat="false" ht="15" hidden="false" customHeight="false" outlineLevel="0" collapsed="false">
      <c r="A457" s="3" t="s">
        <v>425</v>
      </c>
      <c r="B457" s="3" t="n">
        <v>70</v>
      </c>
      <c r="C457" s="3" t="s">
        <v>426</v>
      </c>
      <c r="D457" s="3" t="n">
        <v>95</v>
      </c>
      <c r="E457" s="3" t="s">
        <v>140</v>
      </c>
      <c r="F457" s="3" t="s">
        <v>213</v>
      </c>
      <c r="G457" s="3" t="s">
        <v>213</v>
      </c>
      <c r="H457" s="3" t="s">
        <v>427</v>
      </c>
    </row>
    <row r="458" customFormat="false" ht="15" hidden="false" customHeight="false" outlineLevel="0" collapsed="false">
      <c r="A458" s="3" t="s">
        <v>425</v>
      </c>
      <c r="B458" s="3" t="n">
        <v>70</v>
      </c>
      <c r="C458" s="3" t="s">
        <v>426</v>
      </c>
      <c r="D458" s="3" t="n">
        <v>32</v>
      </c>
      <c r="E458" s="3" t="s">
        <v>145</v>
      </c>
      <c r="F458" s="3" t="s">
        <v>213</v>
      </c>
      <c r="G458" s="3" t="s">
        <v>213</v>
      </c>
      <c r="H458" s="3" t="s">
        <v>427</v>
      </c>
    </row>
    <row r="459" customFormat="false" ht="15" hidden="false" customHeight="false" outlineLevel="0" collapsed="false">
      <c r="A459" s="3" t="s">
        <v>425</v>
      </c>
      <c r="B459" s="3" t="n">
        <v>71</v>
      </c>
      <c r="C459" s="3" t="s">
        <v>426</v>
      </c>
      <c r="D459" s="3" t="n">
        <v>32</v>
      </c>
      <c r="E459" s="3" t="s">
        <v>140</v>
      </c>
      <c r="F459" s="3" t="s">
        <v>213</v>
      </c>
      <c r="G459" s="3" t="s">
        <v>213</v>
      </c>
      <c r="H459" s="3" t="s">
        <v>428</v>
      </c>
    </row>
    <row r="460" customFormat="false" ht="15" hidden="false" customHeight="false" outlineLevel="0" collapsed="false">
      <c r="A460" s="3" t="s">
        <v>425</v>
      </c>
      <c r="B460" s="3" t="n">
        <v>71</v>
      </c>
      <c r="C460" s="3" t="s">
        <v>426</v>
      </c>
      <c r="D460" s="3" t="n">
        <v>93</v>
      </c>
      <c r="E460" s="3" t="s">
        <v>145</v>
      </c>
      <c r="F460" s="3" t="s">
        <v>213</v>
      </c>
      <c r="G460" s="3" t="s">
        <v>213</v>
      </c>
      <c r="H460" s="3" t="s">
        <v>428</v>
      </c>
    </row>
    <row r="461" customFormat="false" ht="15" hidden="false" customHeight="false" outlineLevel="0" collapsed="false">
      <c r="A461" s="3" t="s">
        <v>425</v>
      </c>
      <c r="B461" s="3" t="n">
        <v>72</v>
      </c>
      <c r="C461" s="3" t="s">
        <v>426</v>
      </c>
      <c r="D461" s="3" t="n">
        <v>22</v>
      </c>
      <c r="E461" s="3" t="s">
        <v>140</v>
      </c>
      <c r="F461" s="3" t="s">
        <v>213</v>
      </c>
      <c r="G461" s="3" t="s">
        <v>213</v>
      </c>
      <c r="H461" s="3" t="s">
        <v>429</v>
      </c>
    </row>
    <row r="462" customFormat="false" ht="15" hidden="false" customHeight="false" outlineLevel="0" collapsed="false">
      <c r="A462" s="3" t="s">
        <v>425</v>
      </c>
      <c r="B462" s="3" t="n">
        <v>72</v>
      </c>
      <c r="C462" s="3" t="s">
        <v>426</v>
      </c>
      <c r="D462" s="3" t="n">
        <v>14</v>
      </c>
      <c r="E462" s="3" t="s">
        <v>145</v>
      </c>
      <c r="F462" s="3" t="s">
        <v>213</v>
      </c>
      <c r="G462" s="3" t="s">
        <v>213</v>
      </c>
      <c r="H462" s="3" t="s">
        <v>429</v>
      </c>
    </row>
    <row r="463" customFormat="false" ht="15" hidden="false" customHeight="false" outlineLevel="0" collapsed="false">
      <c r="A463" s="3" t="s">
        <v>425</v>
      </c>
      <c r="B463" s="3" t="n">
        <v>73</v>
      </c>
      <c r="C463" s="3" t="s">
        <v>426</v>
      </c>
      <c r="D463" s="3" t="n">
        <v>14</v>
      </c>
      <c r="E463" s="3" t="s">
        <v>140</v>
      </c>
      <c r="F463" s="3" t="s">
        <v>213</v>
      </c>
      <c r="G463" s="3" t="s">
        <v>213</v>
      </c>
      <c r="H463" s="3" t="s">
        <v>430</v>
      </c>
    </row>
    <row r="464" customFormat="false" ht="15" hidden="false" customHeight="false" outlineLevel="0" collapsed="false">
      <c r="A464" s="3" t="s">
        <v>425</v>
      </c>
      <c r="B464" s="3" t="n">
        <v>75</v>
      </c>
      <c r="C464" s="3" t="s">
        <v>426</v>
      </c>
      <c r="D464" s="3" t="n">
        <v>32</v>
      </c>
      <c r="E464" s="3" t="s">
        <v>140</v>
      </c>
      <c r="F464" s="3" t="s">
        <v>213</v>
      </c>
      <c r="G464" s="3" t="s">
        <v>213</v>
      </c>
      <c r="H464" s="3" t="s">
        <v>431</v>
      </c>
    </row>
    <row r="465" customFormat="false" ht="15" hidden="false" customHeight="false" outlineLevel="0" collapsed="false">
      <c r="A465" s="3" t="s">
        <v>425</v>
      </c>
      <c r="B465" s="3" t="n">
        <v>75</v>
      </c>
      <c r="C465" s="3" t="s">
        <v>426</v>
      </c>
      <c r="D465" s="3" t="n">
        <v>16</v>
      </c>
      <c r="E465" s="3" t="s">
        <v>145</v>
      </c>
      <c r="F465" s="3" t="s">
        <v>213</v>
      </c>
      <c r="G465" s="3" t="s">
        <v>213</v>
      </c>
      <c r="H465" s="3" t="s">
        <v>431</v>
      </c>
    </row>
    <row r="466" customFormat="false" ht="15" hidden="false" customHeight="false" outlineLevel="0" collapsed="false">
      <c r="A466" s="3" t="s">
        <v>425</v>
      </c>
      <c r="B466" s="3" t="n">
        <v>76</v>
      </c>
      <c r="C466" s="3" t="s">
        <v>426</v>
      </c>
      <c r="D466" s="3" t="n">
        <v>42</v>
      </c>
      <c r="E466" s="3" t="s">
        <v>140</v>
      </c>
      <c r="F466" s="3" t="s">
        <v>213</v>
      </c>
      <c r="G466" s="3" t="s">
        <v>213</v>
      </c>
      <c r="H466" s="3" t="s">
        <v>432</v>
      </c>
    </row>
    <row r="467" customFormat="false" ht="15" hidden="false" customHeight="false" outlineLevel="0" collapsed="false">
      <c r="A467" s="3" t="s">
        <v>425</v>
      </c>
      <c r="B467" s="3" t="n">
        <v>77</v>
      </c>
      <c r="C467" s="3" t="s">
        <v>426</v>
      </c>
      <c r="D467" s="3" t="n">
        <v>65</v>
      </c>
      <c r="E467" s="3" t="s">
        <v>140</v>
      </c>
      <c r="F467" s="3" t="s">
        <v>213</v>
      </c>
      <c r="G467" s="3" t="s">
        <v>213</v>
      </c>
      <c r="H467" s="3" t="s">
        <v>433</v>
      </c>
    </row>
    <row r="468" customFormat="false" ht="15" hidden="false" customHeight="false" outlineLevel="0" collapsed="false">
      <c r="A468" s="3" t="s">
        <v>425</v>
      </c>
      <c r="B468" s="3" t="n">
        <v>78</v>
      </c>
      <c r="C468" s="3" t="s">
        <v>426</v>
      </c>
      <c r="D468" s="3" t="n">
        <v>32</v>
      </c>
      <c r="E468" s="3" t="s">
        <v>140</v>
      </c>
      <c r="F468" s="3" t="s">
        <v>213</v>
      </c>
      <c r="G468" s="3" t="s">
        <v>213</v>
      </c>
      <c r="H468" s="3" t="s">
        <v>434</v>
      </c>
    </row>
    <row r="469" customFormat="false" ht="15" hidden="false" customHeight="false" outlineLevel="0" collapsed="false">
      <c r="A469" s="3" t="s">
        <v>425</v>
      </c>
      <c r="B469" s="3" t="n">
        <v>78</v>
      </c>
      <c r="C469" s="3" t="s">
        <v>426</v>
      </c>
      <c r="D469" s="3" t="n">
        <v>27</v>
      </c>
      <c r="E469" s="3" t="s">
        <v>145</v>
      </c>
      <c r="F469" s="3" t="s">
        <v>213</v>
      </c>
      <c r="G469" s="3" t="s">
        <v>213</v>
      </c>
      <c r="H469" s="3" t="s">
        <v>434</v>
      </c>
    </row>
    <row r="470" customFormat="false" ht="15" hidden="false" customHeight="false" outlineLevel="0" collapsed="false">
      <c r="A470" s="3" t="s">
        <v>425</v>
      </c>
      <c r="B470" s="3" t="n">
        <v>79</v>
      </c>
      <c r="C470" s="3" t="s">
        <v>426</v>
      </c>
      <c r="D470" s="3" t="n">
        <v>14</v>
      </c>
      <c r="E470" s="3" t="s">
        <v>140</v>
      </c>
      <c r="F470" s="3" t="s">
        <v>213</v>
      </c>
      <c r="G470" s="3" t="s">
        <v>213</v>
      </c>
      <c r="H470" s="3" t="s">
        <v>435</v>
      </c>
    </row>
    <row r="471" customFormat="false" ht="15" hidden="false" customHeight="false" outlineLevel="0" collapsed="false">
      <c r="A471" s="3" t="s">
        <v>425</v>
      </c>
      <c r="B471" s="3" t="n">
        <v>80</v>
      </c>
      <c r="C471" s="3" t="s">
        <v>426</v>
      </c>
      <c r="D471" s="3" t="n">
        <v>65</v>
      </c>
      <c r="E471" s="3" t="s">
        <v>140</v>
      </c>
      <c r="F471" s="3" t="s">
        <v>213</v>
      </c>
      <c r="G471" s="3" t="s">
        <v>141</v>
      </c>
      <c r="H471" s="3" t="s">
        <v>436</v>
      </c>
    </row>
    <row r="472" customFormat="false" ht="15" hidden="false" customHeight="false" outlineLevel="0" collapsed="false">
      <c r="A472" s="3" t="s">
        <v>425</v>
      </c>
      <c r="B472" s="3" t="n">
        <v>81</v>
      </c>
      <c r="C472" s="3" t="s">
        <v>426</v>
      </c>
      <c r="D472" s="3" t="n">
        <v>47</v>
      </c>
      <c r="E472" s="3" t="s">
        <v>140</v>
      </c>
      <c r="F472" s="3" t="s">
        <v>213</v>
      </c>
      <c r="G472" s="3" t="s">
        <v>213</v>
      </c>
      <c r="H472" s="3" t="s">
        <v>437</v>
      </c>
    </row>
    <row r="473" customFormat="false" ht="15" hidden="false" customHeight="false" outlineLevel="0" collapsed="false">
      <c r="A473" s="3" t="s">
        <v>425</v>
      </c>
      <c r="B473" s="3" t="n">
        <v>82</v>
      </c>
      <c r="C473" s="3" t="s">
        <v>426</v>
      </c>
      <c r="D473" s="3" t="n">
        <v>21</v>
      </c>
      <c r="E473" s="3" t="s">
        <v>140</v>
      </c>
      <c r="F473" s="3" t="s">
        <v>213</v>
      </c>
      <c r="G473" s="3" t="s">
        <v>213</v>
      </c>
      <c r="H473" s="3" t="s">
        <v>438</v>
      </c>
    </row>
    <row r="474" customFormat="false" ht="15" hidden="false" customHeight="false" outlineLevel="0" collapsed="false">
      <c r="A474" s="3" t="s">
        <v>425</v>
      </c>
      <c r="B474" s="3" t="n">
        <v>83</v>
      </c>
      <c r="C474" s="3" t="s">
        <v>426</v>
      </c>
      <c r="D474" s="3" t="n">
        <v>93</v>
      </c>
      <c r="E474" s="3" t="s">
        <v>140</v>
      </c>
      <c r="F474" s="3" t="s">
        <v>213</v>
      </c>
      <c r="G474" s="3" t="s">
        <v>213</v>
      </c>
      <c r="H474" s="3" t="s">
        <v>439</v>
      </c>
    </row>
    <row r="475" customFormat="false" ht="15" hidden="false" customHeight="false" outlineLevel="0" collapsed="false">
      <c r="A475" s="3" t="s">
        <v>425</v>
      </c>
      <c r="B475" s="3" t="n">
        <v>83</v>
      </c>
      <c r="C475" s="3" t="s">
        <v>426</v>
      </c>
      <c r="D475" s="3" t="n">
        <v>31</v>
      </c>
      <c r="E475" s="3" t="s">
        <v>145</v>
      </c>
      <c r="F475" s="3" t="s">
        <v>213</v>
      </c>
      <c r="G475" s="3" t="s">
        <v>213</v>
      </c>
      <c r="H475" s="3" t="s">
        <v>439</v>
      </c>
    </row>
    <row r="476" customFormat="false" ht="15" hidden="false" customHeight="false" outlineLevel="0" collapsed="false">
      <c r="A476" s="3" t="s">
        <v>425</v>
      </c>
      <c r="B476" s="3" t="n">
        <v>84</v>
      </c>
      <c r="C476" s="3" t="s">
        <v>426</v>
      </c>
      <c r="D476" s="3" t="n">
        <v>33</v>
      </c>
      <c r="E476" s="3" t="s">
        <v>140</v>
      </c>
      <c r="F476" s="3" t="s">
        <v>213</v>
      </c>
      <c r="G476" s="3" t="s">
        <v>141</v>
      </c>
      <c r="H476" s="3" t="s">
        <v>340</v>
      </c>
    </row>
    <row r="477" customFormat="false" ht="15" hidden="false" customHeight="false" outlineLevel="0" collapsed="false">
      <c r="A477" s="3" t="s">
        <v>425</v>
      </c>
      <c r="B477" s="3" t="n">
        <v>85</v>
      </c>
      <c r="C477" s="3" t="s">
        <v>426</v>
      </c>
      <c r="D477" s="3" t="n">
        <v>33</v>
      </c>
      <c r="E477" s="3" t="s">
        <v>140</v>
      </c>
      <c r="F477" s="3" t="s">
        <v>213</v>
      </c>
      <c r="G477" s="3" t="s">
        <v>141</v>
      </c>
      <c r="H477" s="3" t="s">
        <v>341</v>
      </c>
    </row>
    <row r="478" customFormat="false" ht="15" hidden="false" customHeight="false" outlineLevel="0" collapsed="false">
      <c r="A478" s="3" t="s">
        <v>425</v>
      </c>
      <c r="B478" s="3" t="n">
        <v>86</v>
      </c>
      <c r="C478" s="3" t="s">
        <v>426</v>
      </c>
      <c r="D478" s="3" t="n">
        <v>52</v>
      </c>
      <c r="E478" s="3" t="s">
        <v>140</v>
      </c>
      <c r="F478" s="3" t="s">
        <v>213</v>
      </c>
      <c r="G478" s="3" t="s">
        <v>141</v>
      </c>
      <c r="H478" s="3" t="s">
        <v>342</v>
      </c>
    </row>
    <row r="479" customFormat="false" ht="15" hidden="false" customHeight="false" outlineLevel="0" collapsed="false">
      <c r="A479" s="3" t="s">
        <v>425</v>
      </c>
      <c r="B479" s="3" t="n">
        <v>86</v>
      </c>
      <c r="C479" s="3" t="s">
        <v>426</v>
      </c>
      <c r="D479" s="3" t="n">
        <v>74</v>
      </c>
      <c r="E479" s="3" t="s">
        <v>145</v>
      </c>
      <c r="F479" s="3" t="s">
        <v>213</v>
      </c>
      <c r="G479" s="3" t="s">
        <v>141</v>
      </c>
      <c r="H479" s="3" t="s">
        <v>342</v>
      </c>
    </row>
    <row r="480" customFormat="false" ht="15" hidden="false" customHeight="false" outlineLevel="0" collapsed="false">
      <c r="A480" s="3" t="s">
        <v>425</v>
      </c>
      <c r="B480" s="3" t="n">
        <v>87</v>
      </c>
      <c r="C480" s="3" t="s">
        <v>426</v>
      </c>
      <c r="D480" s="3" t="n">
        <v>50</v>
      </c>
      <c r="E480" s="3" t="s">
        <v>140</v>
      </c>
      <c r="F480" s="3" t="s">
        <v>213</v>
      </c>
      <c r="G480" s="3" t="s">
        <v>141</v>
      </c>
      <c r="H480" s="3" t="s">
        <v>343</v>
      </c>
    </row>
    <row r="481" customFormat="false" ht="15" hidden="false" customHeight="false" outlineLevel="0" collapsed="false">
      <c r="A481" s="3" t="s">
        <v>425</v>
      </c>
      <c r="B481" s="3" t="n">
        <v>87</v>
      </c>
      <c r="C481" s="3" t="s">
        <v>426</v>
      </c>
      <c r="D481" s="3" t="n">
        <v>74</v>
      </c>
      <c r="E481" s="3" t="s">
        <v>145</v>
      </c>
      <c r="F481" s="3" t="s">
        <v>213</v>
      </c>
      <c r="G481" s="3" t="s">
        <v>141</v>
      </c>
      <c r="H481" s="3" t="s">
        <v>343</v>
      </c>
    </row>
    <row r="482" customFormat="false" ht="15" hidden="false" customHeight="false" outlineLevel="0" collapsed="false">
      <c r="A482" s="3" t="s">
        <v>425</v>
      </c>
      <c r="B482" s="3" t="n">
        <v>88</v>
      </c>
      <c r="C482" s="3" t="s">
        <v>426</v>
      </c>
      <c r="D482" s="3" t="n">
        <v>25</v>
      </c>
      <c r="E482" s="3" t="s">
        <v>140</v>
      </c>
      <c r="F482" s="3" t="s">
        <v>213</v>
      </c>
      <c r="G482" s="3" t="s">
        <v>141</v>
      </c>
      <c r="H482" s="3" t="s">
        <v>344</v>
      </c>
    </row>
    <row r="483" customFormat="false" ht="15" hidden="false" customHeight="false" outlineLevel="0" collapsed="false">
      <c r="A483" s="3" t="s">
        <v>425</v>
      </c>
      <c r="B483" s="3" t="n">
        <v>89</v>
      </c>
      <c r="C483" s="3" t="s">
        <v>426</v>
      </c>
      <c r="D483" s="3" t="n">
        <v>37</v>
      </c>
      <c r="E483" s="3" t="s">
        <v>140</v>
      </c>
      <c r="F483" s="3" t="s">
        <v>213</v>
      </c>
      <c r="G483" s="3" t="s">
        <v>141</v>
      </c>
      <c r="H483" s="3" t="s">
        <v>345</v>
      </c>
    </row>
    <row r="484" customFormat="false" ht="15" hidden="false" customHeight="false" outlineLevel="0" collapsed="false">
      <c r="A484" s="3" t="s">
        <v>425</v>
      </c>
      <c r="B484" s="3" t="n">
        <v>90</v>
      </c>
      <c r="C484" s="3" t="s">
        <v>426</v>
      </c>
      <c r="D484" s="3" t="n">
        <v>78</v>
      </c>
      <c r="E484" s="3" t="s">
        <v>140</v>
      </c>
      <c r="F484" s="3" t="s">
        <v>213</v>
      </c>
      <c r="G484" s="3" t="s">
        <v>141</v>
      </c>
      <c r="H484" s="3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" t="s">
        <v>130</v>
      </c>
      <c r="B1" s="1" t="s">
        <v>131</v>
      </c>
      <c r="C1" s="1" t="s">
        <v>137</v>
      </c>
    </row>
    <row r="2" customFormat="false" ht="15" hidden="false" customHeight="false" outlineLevel="0" collapsed="false">
      <c r="A2" s="3" t="s">
        <v>162</v>
      </c>
      <c r="B2" s="3" t="n">
        <v>67</v>
      </c>
      <c r="C2" s="3" t="s">
        <v>440</v>
      </c>
    </row>
    <row r="3" customFormat="false" ht="15" hidden="false" customHeight="false" outlineLevel="0" collapsed="false">
      <c r="A3" s="3" t="s">
        <v>212</v>
      </c>
      <c r="B3" s="3" t="n">
        <v>17</v>
      </c>
      <c r="C3" s="3" t="s">
        <v>441</v>
      </c>
    </row>
    <row r="4" customFormat="false" ht="15" hidden="false" customHeight="false" outlineLevel="0" collapsed="false">
      <c r="A4" s="3" t="s">
        <v>319</v>
      </c>
      <c r="B4" s="3" t="n">
        <v>5</v>
      </c>
      <c r="C4" s="3" t="s">
        <v>442</v>
      </c>
    </row>
    <row r="5" customFormat="false" ht="15" hidden="false" customHeight="false" outlineLevel="0" collapsed="false">
      <c r="A5" s="3" t="s">
        <v>319</v>
      </c>
      <c r="B5" s="3" t="n">
        <v>37</v>
      </c>
      <c r="C5" s="3" t="s">
        <v>443</v>
      </c>
    </row>
    <row r="6" customFormat="false" ht="15" hidden="false" customHeight="false" outlineLevel="0" collapsed="false">
      <c r="A6" s="3" t="s">
        <v>365</v>
      </c>
      <c r="B6" s="3" t="n">
        <v>6</v>
      </c>
      <c r="C6" s="3" t="s">
        <v>444</v>
      </c>
    </row>
    <row r="7" customFormat="false" ht="15" hidden="false" customHeight="false" outlineLevel="0" collapsed="false">
      <c r="A7" s="3" t="s">
        <v>365</v>
      </c>
      <c r="B7" s="3" t="n">
        <v>7</v>
      </c>
      <c r="C7" s="3" t="s">
        <v>445</v>
      </c>
    </row>
    <row r="8" customFormat="false" ht="15" hidden="false" customHeight="false" outlineLevel="0" collapsed="false">
      <c r="A8" s="3" t="s">
        <v>380</v>
      </c>
      <c r="B8" s="3" t="n">
        <v>14</v>
      </c>
      <c r="C8" s="3" t="s">
        <v>446</v>
      </c>
    </row>
    <row r="9" customFormat="false" ht="15" hidden="false" customHeight="false" outlineLevel="0" collapsed="false">
      <c r="A9" s="3" t="s">
        <v>425</v>
      </c>
      <c r="B9" s="3" t="n">
        <v>74</v>
      </c>
      <c r="C9" s="3" t="s">
        <v>447</v>
      </c>
    </row>
    <row r="10" customFormat="false" ht="15" hidden="false" customHeight="false" outlineLevel="0" collapsed="false">
      <c r="A10" s="3" t="s">
        <v>425</v>
      </c>
      <c r="B10" s="3" t="n">
        <v>91</v>
      </c>
      <c r="C10" s="3" t="s">
        <v>443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4" t="s">
        <v>448</v>
      </c>
    </row>
    <row r="3" customFormat="false" ht="15" hidden="false" customHeight="false" outlineLevel="0" collapsed="false">
      <c r="A3" s="5" t="s">
        <v>449</v>
      </c>
      <c r="B3" s="6" t="n">
        <v>8</v>
      </c>
    </row>
    <row r="4" customFormat="false" ht="15" hidden="false" customHeight="false" outlineLevel="0" collapsed="false">
      <c r="A4" s="5" t="s">
        <v>450</v>
      </c>
      <c r="B4" s="6" t="n">
        <v>6</v>
      </c>
    </row>
    <row r="5" customFormat="false" ht="15" hidden="false" customHeight="false" outlineLevel="0" collapsed="false">
      <c r="A5" s="5" t="s">
        <v>451</v>
      </c>
      <c r="B5" s="6" t="n">
        <v>1</v>
      </c>
    </row>
    <row r="7" customFormat="false" ht="15" hidden="false" customHeight="false" outlineLevel="0" collapsed="false">
      <c r="A7" s="7" t="s">
        <v>452</v>
      </c>
    </row>
    <row r="8" customFormat="false" ht="15" hidden="false" customHeight="false" outlineLevel="0" collapsed="false">
      <c r="A8" s="7" t="s">
        <v>453</v>
      </c>
    </row>
    <row r="9" customFormat="false" ht="15" hidden="false" customHeight="false" outlineLevel="0" collapsed="false">
      <c r="A9" s="7" t="s">
        <v>454</v>
      </c>
    </row>
    <row r="10" customFormat="false" ht="15" hidden="false" customHeight="false" outlineLevel="0" collapsed="false">
      <c r="A10" s="7" t="s">
        <v>455</v>
      </c>
    </row>
    <row r="11" customFormat="false" ht="15" hidden="false" customHeight="false" outlineLevel="0" collapsed="false">
      <c r="A11" s="7" t="s">
        <v>456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2026-10-17T17:16:14Z</dcterms:created>
  <dc:creator>openpyxl</dc:creator>
  <dc:description/>
  <dc:language>en-US</dc:language>
  <cp:lastModifiedBy/>
  <dcterms:modified xsi:type="dcterms:W3CDTF">2026-10-17T17:16:14Z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