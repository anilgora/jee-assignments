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3"/>
    <sheet name="Map" sheetId="2" state="visible" r:id="rId4"/>
    <sheet name="Unmapped" sheetId="3" state="visible" r:id="rId5"/>
    <sheet name="Settings" sheetId="4" state="visible" r:id="rId6"/>
  </sheets>
  <definedNames>
    <definedName function="false" hidden="true" localSheetId="0" name="_xlnm._FilterDatabase" vbProcedure="false">Items!$A$1:$K$140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<sst xmlns="http://schemas.openxmlformats.org/spreadsheetml/2006/main" count="3294" uniqueCount="512">
  <si>
    <t xml:space="preserve">No.</t>
  </si>
  <si>
    <t xml:space="preserve">Heading</t>
  </si>
  <si>
    <t xml:space="preserve">Quick Review prompt</t>
  </si>
  <si>
    <t xml:space="preserve">Status</t>
  </si>
  <si>
    <t xml:space="preserve">Added from</t>
  </si>
  <si>
    <t xml:space="preserve">Original no.</t>
  </si>
  <si>
    <t xml:space="preserve">XII graded count</t>
  </si>
  <si>
    <t xml:space="preserve">XII grade</t>
  </si>
  <si>
    <t xml:space="preserve">XIII graded count</t>
  </si>
  <si>
    <t xml:space="preserve">XIII grade</t>
  </si>
  <si>
    <t xml:space="preserve">All mapped questions</t>
  </si>
  <si>
    <t xml:space="preserve">Definition of Function</t>
  </si>
  <si>
    <t xml:space="preserve">Define function.</t>
  </si>
  <si>
    <t xml:space="preserve">Original</t>
  </si>
  <si>
    <t xml:space="preserve">How is a function from A to B represented symbolically?</t>
  </si>
  <si>
    <t xml:space="preserve">What do you mean by pre-image and image of an element in a function?</t>
  </si>
  <si>
    <t xml:space="preserve">Domain, Codomain and Range of a Function</t>
  </si>
  <si>
    <t xml:space="preserve">What is domain of a function?</t>
  </si>
  <si>
    <t xml:space="preserve">What is range of a function?</t>
  </si>
  <si>
    <t xml:space="preserve">What is co-domain of a function?</t>
  </si>
  <si>
    <t xml:space="preserve">What is relation between range and co-domain of a function?</t>
  </si>
  <si>
    <t xml:space="preserve">Types of a Function</t>
  </si>
  <si>
    <t xml:space="preserve">What do you mean by uniform and non-uniform function?</t>
  </si>
  <si>
    <t xml:space="preserve">Graphical Representation of a Function</t>
  </si>
  <si>
    <t xml:space="preserve">How to check whether a graph represents a function?</t>
  </si>
  <si>
    <t xml:space="preserve">Algebra of Functions</t>
  </si>
  <si>
    <t xml:space="preserve">How to represent addition, subtraction, product and quotient of two functions?</t>
  </si>
  <si>
    <t xml:space="preserve">How to compute domain of a function?</t>
  </si>
  <si>
    <t xml:space="preserve">Types of Standard Functions</t>
  </si>
  <si>
    <t xml:space="preserve">Plot graph of all six trigonometric functions.</t>
  </si>
  <si>
    <t xml:space="preserve">Write domain and range of all six trigonometric functions.</t>
  </si>
  <si>
    <t xml:space="preserve">Plot graph of exponential function.</t>
  </si>
  <si>
    <t xml:space="preserve">What is domain and range of exponential function?</t>
  </si>
  <si>
    <t xml:space="preserve">How to solve exponential equation?</t>
  </si>
  <si>
    <t xml:space="preserve">Plot graph of logarithmic function.</t>
  </si>
  <si>
    <t xml:space="preserve">What is domain and range of logarithmic function?</t>
  </si>
  <si>
    <t xml:space="preserve">How to solve logarithmic equation?</t>
  </si>
  <si>
    <t xml:space="preserve">What is a polynomial function?</t>
  </si>
  <si>
    <t xml:space="preserve">What is degree, leading coefficient of a polynomial function?</t>
  </si>
  <si>
    <t xml:space="preserve">What is an odd linear polynomial?</t>
  </si>
  <si>
    <t xml:space="preserve">What is domain of a polynomial function?</t>
  </si>
  <si>
    <t xml:space="preserve">What is range of an odd degree polynomial?</t>
  </si>
  <si>
    <t xml:space="preserve">What can you say about number of zero(es) of an odd degree polynomial?</t>
  </si>
  <si>
    <t xml:space="preserve">What is the limit of y in a polynomial when x approaches \infty / -\infty?</t>
  </si>
  <si>
    <t xml:space="preserve">What is a rational function?</t>
  </si>
  <si>
    <t xml:space="preserve">What is an algebraic function?</t>
  </si>
  <si>
    <t xml:space="preserve">What is a transcendental function?</t>
  </si>
  <si>
    <t xml:space="preserve">Plot graph of modulus function.</t>
  </si>
  <si>
    <t xml:space="preserve">What is domain and range of modulus function?</t>
  </si>
  <si>
    <t xml:space="preserve">How to plot the graph of y=|f(x)| from the graph of y=f(x)?</t>
  </si>
  <si>
    <t xml:space="preserve">Plot graph of signum function.</t>
  </si>
  <si>
    <t xml:space="preserve">What is domain and range of a signum function?</t>
  </si>
  <si>
    <t xml:space="preserve">Write properties of signum function.</t>
  </si>
  <si>
    <t xml:space="preserve">Define y=[x].</t>
  </si>
  <si>
    <t xml:space="preserve">What is domain and range of y=[x]?</t>
  </si>
  <si>
    <t xml:space="preserve">How to define y=[f(x)]?</t>
  </si>
  <si>
    <t xml:space="preserve">How to solve equation [f(x)]= constant?</t>
  </si>
  <si>
    <t xml:space="preserve">How to solve inequality [f(x)] greater than/less than constant?</t>
  </si>
  <si>
    <t xml:space="preserve">Define y=\{x\}.</t>
  </si>
  <si>
    <t xml:space="preserve">What is domain and range of y=\{x\}?</t>
  </si>
  <si>
    <t xml:space="preserve">How to define y=\{f(x)\}?</t>
  </si>
  <si>
    <t xml:space="preserve">Write properties of y=\{x\}.</t>
  </si>
  <si>
    <t xml:space="preserve">What is the condition on n while expressing nth root of a?</t>
  </si>
  <si>
    <t xml:space="preserve">What is the condition on base in case of a^x?</t>
  </si>
  <si>
    <t xml:space="preserve">What is the condition to define {}^nP_r and {}^nC_r?</t>
  </si>
  <si>
    <t xml:space="preserve">How to find domain of y=\max(f(x),g(x)) or y=\min(f(x),g(x))?</t>
  </si>
  <si>
    <t xml:space="preserve">How to define y=\max(f(x),g(x)) or y=\min(f(x),g(x))?</t>
  </si>
  <si>
    <t xml:space="preserve">How to plot graph of y=f(ax) from the graph of y=f(x)?</t>
  </si>
  <si>
    <t xml:space="preserve">How to plot graph of y=f(x+a) from the graph of y=f(x)?</t>
  </si>
  <si>
    <t xml:space="preserve">Plot graph of y=x^3.</t>
  </si>
  <si>
    <t xml:space="preserve">Plot graph of y=x+\dfrac1x.</t>
  </si>
  <si>
    <t xml:space="preserve">Plot graph of y=x-\dfrac1x.</t>
  </si>
  <si>
    <t xml:space="preserve">Range Based Questions</t>
  </si>
  <si>
    <t xml:space="preserve">How to find range when x can be expressed in terms of y?</t>
  </si>
  <si>
    <t xml:space="preserve">How to find range if function has been expressed in implicit form?</t>
  </si>
  <si>
    <t xml:space="preserve">How to find range in case of f(g(x)) if g(x) is monotonic function?</t>
  </si>
  <si>
    <t xml:space="preserve">How to find range in case of f(g(x)) if g(x) is non-monotonic function?</t>
  </si>
  <si>
    <t xml:space="preserve">How to find range of a non-uniform function?</t>
  </si>
  <si>
    <t xml:space="preserve">Equal/Identical Functions</t>
  </si>
  <si>
    <t xml:space="preserve">How to check whether two functions are identical?</t>
  </si>
  <si>
    <t xml:space="preserve">What is the relation between graphs of two identical functions?</t>
  </si>
  <si>
    <t xml:space="preserve">Transformation of Graphs</t>
  </si>
  <si>
    <t xml:space="preserve">How to plot the graph of y=f(x)+b from the graph of y=f(x)?</t>
  </si>
  <si>
    <t xml:space="preserve">How to plot the graph of y=-f(x) from the graph of y=f(x)?</t>
  </si>
  <si>
    <t xml:space="preserve">How to plot the graph of y=f(-x) from the graph of y=f(x)?</t>
  </si>
  <si>
    <t xml:space="preserve">How to plot the graph of y=f(|x|) from the graph of y=f(x)?</t>
  </si>
  <si>
    <t xml:space="preserve">How to plot the graph of y=f(-|x|) from the graph of y=f(x)?</t>
  </si>
  <si>
    <t xml:space="preserve">How to plot the graph of |y|=f(x) from the graph of y=f(x)?</t>
  </si>
  <si>
    <t xml:space="preserve">How to plot the graph of y=\dfrac{\text{linear}}{\text{linear}}?</t>
  </si>
  <si>
    <t xml:space="preserve">Important Definitions</t>
  </si>
  <si>
    <t xml:space="preserve">Define identity function.</t>
  </si>
  <si>
    <t xml:space="preserve">Define constant function.</t>
  </si>
  <si>
    <t xml:space="preserve">How to check whether a function is bounded function?</t>
  </si>
  <si>
    <t xml:space="preserve">How to check whether a function is homogeneous function and find its degree?</t>
  </si>
  <si>
    <t xml:space="preserve">How to convert implicit form of a function to its explicit form?</t>
  </si>
  <si>
    <t xml:space="preserve">One-One and Many-One Function</t>
  </si>
  <si>
    <t xml:space="preserve">What do you mean by one-one and many-one function?</t>
  </si>
  <si>
    <t xml:space="preserve">How to determine whether a function will be one-one or many-one from its graph?</t>
  </si>
  <si>
    <t xml:space="preserve">How to determine whether a function will be one-one or many-one with the help of derivative approach?</t>
  </si>
  <si>
    <t xml:space="preserve">How to determine whether a cubic polynomial will be one-one or many-one?</t>
  </si>
  <si>
    <t xml:space="preserve">What are the standard examples of one-one function?</t>
  </si>
  <si>
    <t xml:space="preserve">What are the standard examples of many-one function?</t>
  </si>
  <si>
    <t xml:space="preserve">Onto and Into Function</t>
  </si>
  <si>
    <t xml:space="preserve">What do you mean by onto and into function?</t>
  </si>
  <si>
    <t xml:space="preserve">How to check whether a polynomial function will be onto or into function?</t>
  </si>
  <si>
    <t xml:space="preserve">What do you mean by invertible functions?</t>
  </si>
  <si>
    <t xml:space="preserve">What do you mean by injective mapping?</t>
  </si>
  <si>
    <t xml:space="preserve">What do you mean by surjective mapping?</t>
  </si>
  <si>
    <t xml:space="preserve">What do you mean by bijective mapping?</t>
  </si>
  <si>
    <t xml:space="preserve">How to check whether a function defined separately for rational and irrational numbers will be one-one/many-one?</t>
  </si>
  <si>
    <t xml:space="preserve">Permutation Based Problems</t>
  </si>
  <si>
    <t xml:space="preserve">How to find number of functions that can be defined from A to B if n(A)=n(B)?</t>
  </si>
  <si>
    <t xml:space="preserve">How to find number of one-one/many-one functions that can be defined from A to B if n(A)=n(B)?</t>
  </si>
  <si>
    <t xml:space="preserve">How to find number of onto/into functions that can be defined from A to B if n(A)=n(B)?</t>
  </si>
  <si>
    <t xml:space="preserve">How to find number of functions that can be defined from A to B if n(A)&gt;n(B)?</t>
  </si>
  <si>
    <t xml:space="preserve">How to find number of one-one/many-one functions that can be defined from A to B if n(A)&gt;n(B)?</t>
  </si>
  <si>
    <t xml:space="preserve">How to find number of onto/into functions that can be defined from A to B if n(A)&gt;n(B)?</t>
  </si>
  <si>
    <t xml:space="preserve">How to find number of functions that can be defined from A to B if n(A)&lt;n(B)?</t>
  </si>
  <si>
    <t xml:space="preserve">How to find number of one-one/many-one functions that can be defined from A to B if n(A)&lt;n(B)?</t>
  </si>
  <si>
    <t xml:space="preserve">How to find number of onto/into functions that can be defined from A to B if n(A)&lt;n(B)?</t>
  </si>
  <si>
    <t xml:space="preserve">Functional Equation</t>
  </si>
  <si>
    <t xml:space="preserve">How to solve functional equation of type 1?</t>
  </si>
  <si>
    <t xml:space="preserve">How to solve functional equation of type 2 and when to apply?</t>
  </si>
  <si>
    <t xml:space="preserve">How to solve functional equation of type 3 and when to apply?</t>
  </si>
  <si>
    <t xml:space="preserve">How to solve the standard functional equations f(x+y)=f(x)+f(y), f(x+y)=f(x)f(y) and f(xy)=f(x)+f(y)?</t>
  </si>
  <si>
    <t xml:space="preserve">Added</t>
  </si>
  <si>
    <t xml:space="preserve">J-I:22, J-I:24, J-A:9, J-A:14, J-M(XII):8, J-M(XII):11, J-M(XII):20, J-M(XIII):2, J-M(XIII):15, J-M(XIII):46, QB:63</t>
  </si>
  <si>
    <t xml:space="preserve">How to find a polynomial (or its value) when its values at several points are given?</t>
  </si>
  <si>
    <t xml:space="preserve">J-II:19, J-M(XII):10, C-I:21, C-II:2</t>
  </si>
  <si>
    <t xml:space="preserve">How to evaluate sums like \sum f\left(\frac kn\right) when f(x)+f(1-x) is constant?</t>
  </si>
  <si>
    <t xml:space="preserve">J-II:21, J-A:6, J-M(XII):17, J-M(XIII):3, QB:44, QB:47</t>
  </si>
  <si>
    <t xml:space="preserve">Which polynomials satisfy f(x)\cdot f\left(\frac1x\right)=f(x)+f\left(\frac1x\right)?</t>
  </si>
  <si>
    <t xml:space="preserve">QB:48</t>
  </si>
  <si>
    <t xml:space="preserve">Composite of Two Functions</t>
  </si>
  <si>
    <t xml:space="preserve">How to define composite of two functions if their functional rule is given?</t>
  </si>
  <si>
    <t xml:space="preserve">How to define composite of two functions if functions are given in arrow diagram form?</t>
  </si>
  <si>
    <t xml:space="preserve">What is the condition on f and g if f(g(x)) is one-one?</t>
  </si>
  <si>
    <t xml:space="preserve">What is the condition on f and g if f(g(x)) is onto?</t>
  </si>
  <si>
    <t xml:space="preserve">How to solve questions of composite function if higher number of times composite has to be taken?</t>
  </si>
  <si>
    <t xml:space="preserve">Composite of Non-uniform Functions</t>
  </si>
  <si>
    <t xml:space="preserve">How to find composite of two non-uniform functions?</t>
  </si>
  <si>
    <t xml:space="preserve">Odd and Even Functions</t>
  </si>
  <si>
    <t xml:space="preserve">Define odd and even functions.</t>
  </si>
  <si>
    <t xml:space="preserve">What is the condition on domain for odd/even function?</t>
  </si>
  <si>
    <t xml:space="preserve">What can you say about graphs of odd/even function?</t>
  </si>
  <si>
    <t xml:space="preserve">What is the nature of derivative of odd functions?</t>
  </si>
  <si>
    <t xml:space="preserve">What is the nature of derivative of even functions?</t>
  </si>
  <si>
    <t xml:space="preserve">How to express a function as a sum of even and odd functions?</t>
  </si>
  <si>
    <t xml:space="preserve">What is nature of f+g, f-g, f.g, f/g if f and g are both even/both odd/one is even and other is odd?</t>
  </si>
  <si>
    <t xml:space="preserve">What is the nature of f(g(x)), g(f(x)) if f and g are both even/both odd/one is even and other is odd?</t>
  </si>
  <si>
    <t xml:space="preserve">Inverse of a Function</t>
  </si>
  <si>
    <t xml:space="preserve">What is the condition for a function to be invertible?</t>
  </si>
  <si>
    <t xml:space="preserve">Define inverse of a function.</t>
  </si>
  <si>
    <t xml:space="preserve">How to find inverse of a function if functional rule is given?</t>
  </si>
  <si>
    <t xml:space="preserve">How to find inverse of a function if function is given as a set/arrow diagram form?</t>
  </si>
  <si>
    <t xml:space="preserve">What is inverse of inverse of a function?</t>
  </si>
  <si>
    <t xml:space="preserve">What is composite of f and g if f and g are inverse of each other?</t>
  </si>
  <si>
    <t xml:space="preserve">What is the relation between graphs of f(x) and its inverse?</t>
  </si>
  <si>
    <t xml:space="preserve">How to find inverse of composite function?</t>
  </si>
  <si>
    <t xml:space="preserve">What is the condition if \dfrac{\text{linear}}{\text{linear}} is inverse of itself?</t>
  </si>
  <si>
    <t xml:space="preserve">Periodic Function</t>
  </si>
  <si>
    <t xml:space="preserve">Define periodic function.</t>
  </si>
  <si>
    <t xml:space="preserve">What is the condition on domain of a periodic function?</t>
  </si>
  <si>
    <t xml:space="preserve">What is the condition on points of discontinuity or points where function is not defined for a periodic function?</t>
  </si>
  <si>
    <t xml:space="preserve">What are the periods of all trigonometric functions?</t>
  </si>
  <si>
    <t xml:space="preserve">What are the periods of other standard functions?</t>
  </si>
  <si>
    <t xml:space="preserve">What will be period of af(x), f(x)+a, \dfrac1{f(x)} if period of f(x) is T?</t>
  </si>
  <si>
    <t xml:space="preserve">What will be period of f(ax+b) if period of f(x) is T?</t>
  </si>
  <si>
    <t xml:space="preserve">What will be period of f+g, f-g, fg, f/g if periods of f and g are T_1 and T_2?</t>
  </si>
  <si>
    <t xml:space="preserve">What to keep in mind after taking LCM of periods while computing period?</t>
  </si>
  <si>
    <t xml:space="preserve">How to find LCM of two or more numbers?</t>
  </si>
  <si>
    <t xml:space="preserve">How to find period of a composite function?</t>
  </si>
  <si>
    <t xml:space="preserve">How to find period if functional equation is given?</t>
  </si>
  <si>
    <t xml:space="preserve">Miscellaneous</t>
  </si>
  <si>
    <t xml:space="preserve">How to solve equation if f(x)=k has a solution?</t>
  </si>
  <si>
    <t xml:space="preserve">How to solve equation if f(x)=k has exactly n solutions?</t>
  </si>
  <si>
    <t xml:space="preserve">Source</t>
  </si>
  <si>
    <t xml:space="preserve">Q no.</t>
  </si>
  <si>
    <t xml:space="preserve">Group</t>
  </si>
  <si>
    <t xml:space="preserve">Item no.</t>
  </si>
  <si>
    <t xml:space="preserve">Role</t>
  </si>
  <si>
    <t xml:space="preserve">Graded in XII</t>
  </si>
  <si>
    <t xml:space="preserve">Graded in XIII</t>
  </si>
  <si>
    <t xml:space="preserve">Question (English, truncated)</t>
  </si>
  <si>
    <t xml:space="preserve">J-I</t>
  </si>
  <si>
    <t xml:space="preserve">Sheet</t>
  </si>
  <si>
    <t xml:space="preserve">Main</t>
  </si>
  <si>
    <t xml:space="preserve">N</t>
  </si>
  <si>
    <t xml:space="preserve">Let f(x) = |x – 1|, then :</t>
  </si>
  <si>
    <t xml:space="preserve">Also</t>
  </si>
  <si>
    <t xml:space="preserve">If f(x) = cos   x + sin    x, where [x] denotes the greatest integer function, then which of the following is 2  2 not correct :  </t>
  </si>
  <si>
    <t xml:space="preserve">Let f(x) be a function whose domain is [– 5, 7]. Let g(x) = |2x + 5|. Then domain of (fog) (x) is :</t>
  </si>
  <si>
    <t xml:space="preserve">The domain of the function f (x) = log1/2   log 2 1  4   1 is :   x    1     x </t>
  </si>
  <si>
    <t xml:space="preserve">The domain of the function , f (x) = is : 9  x2 sin –1 (x  3) 9  x2</t>
  </si>
  <si>
    <t xml:space="preserve">The domain of the function f(x) = is : [AIEEE-2011] | x | x 1</t>
  </si>
  <si>
    <t xml:space="preserve">If [ 2 cos x ] + [ sin x ] =  3, then the range of the function, f (x) = sin x + 3 cos x in [0, 2 ] is : (where [. ] denotes greatest inte</t>
  </si>
  <si>
    <t xml:space="preserve">Range of f(x) = log (3x2 – 4x + 5) is :  11   11   11   3   6   12 </t>
  </si>
  <si>
    <t xml:space="preserve">Range of f(x) = 4x + 2x + 1 is :</t>
  </si>
  <si>
    <t xml:space="preserve"> The range of the functions f (x) = log 2 2  log 2 16sin x  1 is : 2   2 </t>
  </si>
  <si>
    <t xml:space="preserve">The range of the function , f (x) = , x  2 is : 2x 2x 2x</t>
  </si>
  <si>
    <t xml:space="preserve">The range of the function , f (x) = 7 – xPx – 3 is :</t>
  </si>
  <si>
    <t xml:space="preserve">The graph of the function , y = f(x) is symmetrical about the line x = 2 , then :</t>
  </si>
  <si>
    <t xml:space="preserve">If f(x) = x + (a – 3) x2 + x + 5 is a one-one function, then : 3 4a  7 3 3</t>
  </si>
  <si>
    <t xml:space="preserve">A function ‘f’ from the set of natural numbers to integers defined by, f (x) =  2n is :   2 , when ' n ' is even</t>
  </si>
  <si>
    <t xml:space="preserve">If f : R  S , defined by f (x) = sin x – 3 cos x + 1 , is onto , then the interval of ‘ S ’ is :</t>
  </si>
  <si>
    <t xml:space="preserve">For real x, let f(x) = x3 + 5x + 1, then : [AIEEE-2009]</t>
  </si>
  <si>
    <t xml:space="preserve"> 2 2  2   is defined as :  ,     2      2 2           2 2   2 2  2</t>
  </si>
  <si>
    <t xml:space="preserve">If f(x) = cos(n x) then, f(x) f(y) – f    f (xy)  has the value : 2 y  1 2 1 x  2 y  1 2</t>
  </si>
  <si>
    <t xml:space="preserve">If y = f(x) satisfies the condition f  x  1x   x 2  (x  0) then f(x) = x2 1 x2</t>
  </si>
  <si>
    <t xml:space="preserve">If f(1) = 1 and f(n + 1) = 2f(n) + 1 if n  1, then f(n) is equal to :</t>
  </si>
  <si>
    <t xml:space="preserve">If f : R  R satisfies f (x + y) = f (x) + f (y), for all x, y  R and f (1) = 7, then  f (r) is : r 1 n r 1 7 (n  1) 7 n (n  1) 7n 2 2</t>
  </si>
  <si>
    <t xml:space="preserve">If f (x)  2f    3x , x 0 and S = {x R : f (x) = f(–x)}; then S : [JEE(Main)-2016]  x  1</t>
  </si>
  <si>
    <t xml:space="preserve">Let a, b, c  R. If f(x) = ax2 + bx + c is such that a + b + c = 3 and f(x + y) = f(x) + f(y) + xy,  x, y  R, then 10  f (n) is equal to </t>
  </si>
  <si>
    <t xml:space="preserve">If f(x) = , then (fof) (x) = x, provided that : cx  d ax  b cx  d</t>
  </si>
  <si>
    <t xml:space="preserve">Let f(x) = x2 and g(x) = sin x for all x R. Then the set of all x satisfying (f  g  g  f )(x)  (g  g  f )(x) , where (f  g)(x)  f </t>
  </si>
  <si>
    <t xml:space="preserve">The function f(x) = log   is :  1  sin x   1  sin x   1  sin x </t>
  </si>
  <si>
    <t xml:space="preserve">The function f(x) = [x] + , x   is a/an : 2 1 2</t>
  </si>
  <si>
    <t xml:space="preserve">The inverse of the function f(x) = y = is : ex  e x ex  ex e e 1 1 x 1 2 x 1 1 x 2 1 x 2 2x 2 1 x</t>
  </si>
  <si>
    <t xml:space="preserve">Fundamental period of f(x) = sec (sin x) is :  2  2</t>
  </si>
  <si>
    <t xml:space="preserve">The fundamental period of function f(x) = [x] +  x     x   – 3x + 15 :  3  3 1 2 3 3  1  2  3  3 1 2 3 3</t>
  </si>
  <si>
    <t xml:space="preserve">J-II</t>
  </si>
  <si>
    <t xml:space="preserve">Read the symbols [ ] and { } as greatest integer function less than or equal to x and fractional part function : (i) Find the number of real</t>
  </si>
  <si>
    <t xml:space="preserve">Find the domains of definitions of the following functions : (Read the symbols [] and {} as greatest integers and fractional part functions </t>
  </si>
  <si>
    <t xml:space="preserve">Find the domain &amp; range of the following functions. (Read the symbols [] and {} as greatest integers and fractional part functions respectiv</t>
  </si>
  <si>
    <t xml:space="preserve">L et f(x) = (x + 1)(x + 2)(x + 3)(x + 4) + 5 where x  [–6, 6]. If the range of the function is [a, b] where a, b  N then find the value of</t>
  </si>
  <si>
    <t xml:space="preserve">Identify the pair(s) of functions which are identical? (where [x] denotes greatest integer and {x} denotes fractional part function) (i) f (</t>
  </si>
  <si>
    <t xml:space="preserve">(i) Write explicitly, functions of y defined by the following equations and also find the domains of definition of the given implicit functi</t>
  </si>
  <si>
    <t xml:space="preserve">Classify the following functions f(x) defined in R  R as injective, surjective, both or none : fuEu Qyuksa es ,dSdh] vkPNknd] nksuksa ;k dk</t>
  </si>
  <si>
    <t xml:space="preserve">Suppose f (x) = sin x and g (x) = 1 – x . Then find the domain and range of the following functions : (a) fog (b) gof (c) fof (d) gog</t>
  </si>
  <si>
    <t xml:space="preserve">A function f : R  R is such that f   = x for all x  – 1. Prove the following : 1 x  1 x  1 x  (a) f  f (x)  = x (b) f 1 x  </t>
  </si>
  <si>
    <t xml:space="preserve">f(x) =  2 and g (x) =  find (fog)(x) and (gof)(x)  x if x  0  1  x if x  1  x if x  1  1  x if x  0   x if x  0  1  x if x </t>
  </si>
  <si>
    <t xml:space="preserve">f(x) and g (x) are linear function such that for all x, f  g(x)  and g(f(x)) are Identity functions. If f(0) = 4 and g(5) = 17, compute f </t>
  </si>
  <si>
    <t xml:space="preserve">Find whether the following functions are even or odd or none : x (a x  1) (a) f(x) = log x  1  x 2  (b) f(x) =   a x 1 (c) f(x) = </t>
  </si>
  <si>
    <t xml:space="preserve">Compute the inverse of the functions : x (a) f (x) = ln x   x2  1  (b) f (x) = 2 x 1 10 x  10 x (c) y = x 10  10 x ex  e x log 2 </t>
  </si>
  <si>
    <t xml:space="preserve">Function f and g are defined by f(x) = sin x, xR ; g(x) = tan x , xR   K   where K I .  2 Find (i) periods of fog and gof. (ii) </t>
  </si>
  <si>
    <t xml:space="preserve">Suppose that f is an even, periodic function with period 2, and that f (x) = x for all x in the interval [0, 1]. Find the value of f (3.14).</t>
  </si>
  <si>
    <t xml:space="preserve">The fundamental period of ecos x  x  [x ]  cos x is ______. (where [ ] denotes the greatest integer function) 4</t>
  </si>
  <si>
    <t xml:space="preserve">If f (x) = max  x, 1 x  for x &gt; 0 where max (a, b) denotes the greater of the two real numbers a and b. Define the function g(x) = f (x) ·</t>
  </si>
  <si>
    <t xml:space="preserve">Let P(x) = x4 + ax3 + bx2 + cx + d, where a, b, c, d  R. Suppose P(0) = 6, P(1) = 7, P(2) = 8 and P(3) = 9, then find the value of P(4).</t>
  </si>
  <si>
    <t xml:space="preserve">Let f(x) = x then find the value of the sum f   + f  + f  + ....+ f  . 9 3  2006   2006   2006   2006  9x  1   2   3 </t>
  </si>
  <si>
    <t xml:space="preserve">Consider the graph of a real-valued continuous function f(x) defined on R (the set of all real numbers) as shown below. y 5 (–2,4) (4,4) 4 3</t>
  </si>
  <si>
    <t xml:space="preserve">Least value of 'a' for which f(x) is injective function, is : 1 1 1 4 2 8</t>
  </si>
  <si>
    <t xml:space="preserve">If a = – 1 then f(x) is :</t>
  </si>
  <si>
    <t xml:space="preserve">f(x) is invertible iff : 1  1   1  1        </t>
  </si>
  <si>
    <t xml:space="preserve">The domain of definition of the function g(x) = ln f ( x )  :</t>
  </si>
  <si>
    <t xml:space="preserve">Range of the function y = ln f ( x )  is :</t>
  </si>
  <si>
    <t xml:space="preserve">Number of points of intersection of a line y = c (where c is a fixed constant and 0 &lt; c &lt; 4) with graphs y = f | x | is :</t>
  </si>
  <si>
    <t xml:space="preserve">Consider f  x    2 , . If the equation ƒ(x) = k has four roots, then k can be equal to :  x  2  2  x  4 x  4 x4  x 2  2 x0 </t>
  </si>
  <si>
    <t xml:space="preserve">Let f (x) = x2 + 4x – 1 and g(x) = | x |. If h(x) = f g (x )  + 10, then the range of h(x), is subset of : :</t>
  </si>
  <si>
    <t xml:space="preserve">Which of following pairs of functions are identical : n sec 1 x n sec 1 x</t>
  </si>
  <si>
    <t xml:space="preserve">D  [ 1, 1] is the domain of the following functions, state which of them are injective :</t>
  </si>
  <si>
    <t xml:space="preserve">The functions which are aperiodic are : (where [x] denotes greatest integer function)</t>
  </si>
  <si>
    <t xml:space="preserve">If f: R  [  1, 1], where f (x) = sin [ x ], (where [ ] denotes the greatest integer function) then : 2  2</t>
  </si>
  <si>
    <t xml:space="preserve">Identify the statement(s) which is/are incorrect?</t>
  </si>
  <si>
    <t xml:space="preserve">If F (x) = , then F (x) is : {x}  {x}   { x }  function and sgn (x) is a signum function sin  [x] {x}  {x}   { x } </t>
  </si>
  <si>
    <t xml:space="preserve">Function f(x) = sin x + tan x + sgn (x2 – 6x + 10) is : Qyu f(x) = sin x + tan x + sgn (x2 – 6x + 10) g :</t>
  </si>
  <si>
    <t xml:space="preserve">Let f : R  R – {3} is a function satisfying f(x + ) = for all x  R, ten f (x)  3 f (x)  5 f (x)  3</t>
  </si>
  <si>
    <t xml:space="preserve">Let f(x) = ln x and g(x) = x2 – 1 Column-I contains composite functions and column-II contains their domain. Match the entries of column-I w</t>
  </si>
  <si>
    <t xml:space="preserve">The graph of the function y = f (x) is as follows. Match the function mentioned in Column-I with the respective graph given in Column-II.: C</t>
  </si>
  <si>
    <t xml:space="preserve">Column I contains functions and column II contains their natural domains. Exactly one entry of column II matches with exactly one entry of c</t>
  </si>
  <si>
    <t xml:space="preserve">J-A</t>
  </si>
  <si>
    <t xml:space="preserve">Y</t>
  </si>
  <si>
    <t xml:space="preserve">The function f : [0, 3]  [1, 29], defined by f(x) = 2x3 – 15x2 + 36x + 1, is : [JEE-2012]</t>
  </si>
  <si>
    <t xml:space="preserve">Let f : (–1, 1)  R be such that f(cos 4) = 2 for    0,    ,  . Then the value(s) of f   is 2  sec   4 4 2 3 (are) : [JEE-</t>
  </si>
  <si>
    <t xml:space="preserve">Let f :   ,   R be given by f(x) = (log(sec x + tan x))3. Then : [JEE(Adv.)-2014]  2 2    2 2  </t>
  </si>
  <si>
    <t xml:space="preserve">Let X be a set with exactly 5 elements and Y be a set with exactly 7 elements. If  is the number of one-one 1 functions from X to Y and i</t>
  </si>
  <si>
    <t xml:space="preserve">If the function f : R  R is defined by f(x) = |x|(x – sin x), then which of the following statements is TRUE? [JEE(Adv.)-2020] [JEE(Adv.)-2</t>
  </si>
  <si>
    <t xml:space="preserve">Let the function f : [0, 1]   be defined by f(x) = . Then the value of 4x  2  1   2   3   39   1  f    f    f    .....</t>
  </si>
  <si>
    <t xml:space="preserve">Let f : R  R be a fuction such that f(x + y) = f(x) + f(y) for all x, y  R, and g : R  (0, ) be a function such that  3   1   1</t>
  </si>
  <si>
    <t xml:space="preserve">If the value of n(Y) + n(Z) is k2, then |k| is ________. [JEE(Adv.)2024]</t>
  </si>
  <si>
    <t xml:space="preserve">Let R denote the set of all real numbers. Let ai, bi  R for i  {1,2,3}. Define the functions f : R  R, g : R  R, and h : R  R by f(x) =</t>
  </si>
  <si>
    <t xml:space="preserve">Let N denote the set of all natural numbers, and Z denote the set of all integers. Consider the functions f : N  Z and g : Z  N defined by</t>
  </si>
  <si>
    <t xml:space="preserve">Let R denote the set of all real numbers. Let f : R  R be a function such that f(x) &gt; 0 for all x  R, and f(x + y) = f(x) f(y) for all x, </t>
  </si>
  <si>
    <t xml:space="preserve">C-I</t>
  </si>
  <si>
    <t xml:space="preserve">The mapping f : R  R given by f (x) = x3 + ax2 + bx + c is a bijection if :</t>
  </si>
  <si>
    <t xml:space="preserve">If f : [0, )  [0, ), and f (x) = 1  x , then f is : x</t>
  </si>
  <si>
    <t xml:space="preserve">Suppose f (x) = (x + 1)2 for x  1. If g (x) is the function whose graph is the reflection of the graph of f (x) with respect to the line </t>
  </si>
  <si>
    <t xml:space="preserve">Let function f : R  R be defined by f (x) = 2 x + sin x for x  R. Then f is :</t>
  </si>
  <si>
    <t xml:space="preserve">Let g (x) = 1 + x  [ x ] &amp; f (x) =  . Then for all x, f (g (x)) is equal to : 1 , x  0  1 , x  0   1 ,x  0 </t>
  </si>
  <si>
    <t xml:space="preserve">If f: [1, )  [2, ) is given by, f (x) = x + , then f 1 (x) equals : x 1 x x x2  4 x x x2  4 2 2</t>
  </si>
  <si>
    <t xml:space="preserve">Let f (x) = x  1 , x  1. Then for what value of  is f (f (x)) = x? x</t>
  </si>
  <si>
    <t xml:space="preserve">If the function f: [1, )  [1, ) is defined by f(x) = 2x (x  1), then f1(x) is : x (x 1) 1 1 2 2  1  1  4 log 2 x  1 2  1  1 </t>
  </si>
  <si>
    <t xml:space="preserve">Let f(x) = (x + 1)² 1, (x  1). Then the set S = {x : f(x) = f1(x)} is, if f is onto :  3  i 3 3  i 3  , 2  (B) {0, 1, 1}  </t>
  </si>
  <si>
    <t xml:space="preserve">Let f(x) = sin x and g(x) = |n x| if composite functions fog(x) and gof (x) are defined and have ranges R1 and R2 respectively then :</t>
  </si>
  <si>
    <t xml:space="preserve">If the functions f (x) and g (x) are defined on R  R such that f (x) =  , x, x  irrational  0, x  irrational g (x) =  then (f – g)(x)</t>
  </si>
  <si>
    <t xml:space="preserve">Which of the following statements are incorrect? I If f(x) and g(x) are one-one then f(x) + g(x) is also one-one. II If f(x) and g(x) are on</t>
  </si>
  <si>
    <t xml:space="preserve">Which of the following equations have the same graphs? ( x 2  4) I. y=x–2 II. y  III. (x + 2)y = x2 – 4 (x  2) ( x 2  4) I. y=x–2 II. y </t>
  </si>
  <si>
    <t xml:space="preserve">Which one of the following best represent the graph of function f(x) = e{| x |} : [Note: { } denotes the fractional part of .] y y y=e y=e</t>
  </si>
  <si>
    <t xml:space="preserve">Set A consists of 4 distinct and set-B consists of 3 distinct elements. Number of functions that can be defined from a set A  B which are n</t>
  </si>
  <si>
    <t xml:space="preserve">Let f : R  R be defined as f(x) = x  sin 2 x and g : R  R is defined by g(x) = , 1 x2 then which of the following statement(s) is (are) </t>
  </si>
  <si>
    <t xml:space="preserve">Let f(x) = [x]2 + [x + 1] – 3, where [x] denotes greatest integer less than or equal to x, then which of the following statement(s) is/are C</t>
  </si>
  <si>
    <t xml:space="preserve">Let f : [– 1, 1] onto [3, 5] be a linear polynomial. Which of the following can be true?  1  7  15  1  1   1   2  2  4 4 2 </t>
  </si>
  <si>
    <t xml:space="preserve">Let f : R  R and g : R  R be mappings such that f (g(x)) is an injective mapping, then which of the following statement(s) is(are) correct</t>
  </si>
  <si>
    <t xml:space="preserve">Let f(x) =  and g(x) = 2 tan–1 (ex) – for all x  R, then which of the following is (are) 5 sgn | x  3 |, if | x |  3 2 correct? [Note :</t>
  </si>
  <si>
    <t xml:space="preserve">Let f(x) is a polynomial function defined R to R with leading coefficient 2 and degres 5 such that ƒ(1) = 2, ƒ(2) =3, ƒ(3) = 4, ƒ(4) = 5 and</t>
  </si>
  <si>
    <t xml:space="preserve">C-II</t>
  </si>
  <si>
    <t xml:space="preserve">Let f be a oneone function with domain {x,y,z} and range {1,2,3}. It is given that exactly one of the following statements is true and the </t>
  </si>
  <si>
    <t xml:space="preserve">Let P(x) = x6 + ax5 + bx4 + cx3 + dx2 + ex + f be a polynomial such that P(1) = 1 ; P(2) = 2 ; P(3) = 3; P(4) = 4; P(5) = 5 and P(6) = 6 the</t>
  </si>
  <si>
    <t xml:space="preserve">  L et a and b be real numbers and let f (x) = a sin x + b 3 x + 4,  x  R. If f log10 (log 3 10) = 5 then find the value of f log10 (lo</t>
  </si>
  <si>
    <t xml:space="preserve">Let f be a real valued invertible function such that f   = 5x – 2, x  2. Find f –1(13).  x2   2x  3   x  2 </t>
  </si>
  <si>
    <t xml:space="preserve">Let [x] = the greatest integer less than or equal to x. If all the values of x such that the product  x    x   is  2  2 prime, bel</t>
  </si>
  <si>
    <t xml:space="preserve">Prove that the function defined as, f(x) =  f(x) is odd as well as   {x} otherwise, then even. (where {x} denotes the fractional part fun</t>
  </si>
  <si>
    <t xml:space="preserve">In a function 2 f(x) + xf    2f  2 sin    x     = 4 cos2 + x cos x    4   2 x Prove that (i) f(2) + f(1/2) = 1 and (ii)</t>
  </si>
  <si>
    <t xml:space="preserve">A function f, defined for all x, y  R is such that f(1) = 2; f (2) = 8 and f(x + y)  k xy = f (x) + 2 y2, where k is some  1  constant. </t>
  </si>
  <si>
    <t xml:space="preserve">If f (x) = 1 + x  2 , 0  x  4 g (x) = 2  x ,  1  x  3 Then find fog (x) and gof (x). Draw rough sketch of the graphs of fog (x) </t>
  </si>
  <si>
    <t xml:space="preserve">If for all real values of u and v, 2 f(u) cos v = f (u + v) + f (u  v), prove that, for all real values of x. (i) f (x) + f ( x) = 2a cos </t>
  </si>
  <si>
    <t xml:space="preserve">A function f: R  R’ where R is the set of real numbers, is defined by f(x) = . Find the interval of   6x  8x 2 values of  for which f i</t>
  </si>
  <si>
    <t xml:space="preserve">The number of maps from the set {1, 2, 3} into the set {1, 2, 3, 4, 5} such that f(i)  f(j) whenever i &lt; j is ________ ________</t>
  </si>
  <si>
    <t xml:space="preserve">Let the range of the function f : {1, 2, 3, 4, 5}  {1, 2, 3, 4, 5} assumes exactly 3 distinct values. If the number N of such function is N</t>
  </si>
  <si>
    <t xml:space="preserve">The period p of f1(x) is :</t>
  </si>
  <si>
    <t xml:space="preserve">Value of r – q – 1 is equal to :</t>
  </si>
  <si>
    <t xml:space="preserve">Range of f2 (f2 (x)) in terms of p, q, r is :</t>
  </si>
  <si>
    <t xml:space="preserve">The value of (a + b) is equal to :</t>
  </si>
  <si>
    <t xml:space="preserve">Let f : R  R, g (x) = f (x) + 3x – 1, then the least value of function y = g(| x |) is :</t>
  </si>
  <si>
    <t xml:space="preserve">Let f : [a, )  [b, ), then f –1(x) is given by :</t>
  </si>
  <si>
    <t xml:space="preserve">Let f : R  R, then range of values of k for which equation f (| x |) = k has 4 distinct real roots is :</t>
  </si>
  <si>
    <t xml:space="preserve">Match the following columns : Column – I Column – II y = sin (2t + /3) + 2 sin (3t + /4) + 3 sin 5t 1  | sin( / 4)x | sin( / 4)x  y</t>
  </si>
  <si>
    <t xml:space="preserve">Match the following columns : Column – I Column – II 2 x 2 1 2 x 1 x then A B is 2 fuEu dkWye dks lqesfyr dhft, : Column – I Column – II 2</t>
  </si>
  <si>
    <t xml:space="preserve">Match the following columns : Column – I Column – II 3x  2 x4 xb form f–1(x) = . The value of (b + c + d) is cx  d x rx 1 x 1 x number</t>
  </si>
  <si>
    <t xml:space="preserve">J-M(XII)</t>
  </si>
  <si>
    <t xml:space="preserve">Let [x] denote the greatest integer  x . where x R. If the domain of the real valued function f (x)  | [x] | 3 is ( , a)  [b, c)  [</t>
  </si>
  <si>
    <t xml:space="preserve">Let f : R     R be defined by f (x)  . Then the value of  for which (fof) (x) = x, for all 6 6x     x  R    , is : [JEE(M</t>
  </si>
  <si>
    <t xml:space="preserve">Let [x] denote the greatest integer less than or equal to x. Then, values of x R satisfying the equation [ex]2 + [ex +1] – 3 = 0 lie in the</t>
  </si>
  <si>
    <t xml:space="preserve">If [x] be the greatest integer less than or equal to x, then    is equal to : n 8  2  [JEE(Main)July2021] 100  (1)n n   2 </t>
  </si>
  <si>
    <t xml:space="preserve">Consider functions f : A  B and g : B  C (A, B, C  R) such that (gof)–1 exists, then : [JEE(Main)July2021] [JEE(Main)July2021]</t>
  </si>
  <si>
    <t xml:space="preserve">Let A = {0, 1, 2, 3, 4, 5, 6, 7}. Then the number of bijective function f : A  A such that f(1) + f(2) = 3 – f(3) is equal to ___. [JEE(Mai</t>
  </si>
  <si>
    <t xml:space="preserve">Let S = {1, 2, 3,4, 5, 6, 7}. Then number of possible functions f : S  S such that f(m.n) = f(m).f(n) for every m, nS and m.n S is equal</t>
  </si>
  <si>
    <t xml:space="preserve">Let f : N  N be a function such that f(m + n) = f(m) + f(n) for every m, n  N. If f(6) = 18, then f(2) . f(3) is equal to : [JEE(Main)Aug.</t>
  </si>
  <si>
    <t xml:space="preserve">The range of the function f  x   log 5  3  cos   x   cos   x   cos   x   cos   x   is :   4  4  4   4  [JEE(M</t>
  </si>
  <si>
    <t xml:space="preserve">Let f(x) be a polynomial of degree 3 such that f(k) =  for k = 2, 3, 4, 5. Then the value of 52 – 10 f(10) is equal k to _________ . [JEE(M</t>
  </si>
  <si>
    <t xml:space="preserve">Let f : N  R be a function such that f(x + y) = 2f(x) f(y) for natural numbers x and y. If f(1) = 2, then the value of 10 512 20  for whic</t>
  </si>
  <si>
    <t xml:space="preserve">Let f  x   x 1 [JEE(Main)June2022] x 1 x 1 7 3 7 11 6 2 12 12</t>
  </si>
  <si>
    <t xml:space="preserve">Let f : R  R be defined as f(x) = x – 1 and g : R – {1, –1}  R be defined as g  x   . Then the function x2 1 fog is : [JEE(Main)June20</t>
  </si>
  <si>
    <t xml:space="preserve">Let a function f : N  N be defined dy   2n, n  2, 4, 6,8,.......  f  n    n  1, n  3, 7,11,15,......    n  1 , n  1,5,9,13,.</t>
  </si>
  <si>
    <t xml:space="preserve">The number of one-one functions f : {a, b, c, d}  {0, 1, 2, ......,10} such that 2f(a) – f(b) + 3f (c) + f(d) = 0 is _________. [JEE(Main)J</t>
  </si>
  <si>
    <t xml:space="preserve">Let f : R  R be a function defined by f  x    2  1   2   2  x 25   . If the function      g  x   f f  f  x    f  </t>
  </si>
  <si>
    <t xml:space="preserve">Let f : R  R be a function defined by f (x)  2x . Then f   f   f    ....  f   e e  100   100   100   100  equal to _</t>
  </si>
  <si>
    <t xml:space="preserve">let S = {1, 2, 3, 4, 5, 6, 7, 8, 9, 10}. Define f: S  S as f (n)   . Let g : S  S be 2n  11,if n  6, 7,8,9,10  n  1, if n is odd fu</t>
  </si>
  <si>
    <t xml:space="preserve">Let S = {1, 2, 3, 4}. Then the number of elements in the set {f : S × S  S : f is onto and f  a, b   f  b, a   a  a, b   S  S } </t>
  </si>
  <si>
    <t xml:space="preserve">Let c, k  R. If f(x) = (c + 1)x2 + (1 – c2)x + 2k and f(x + y) =f(x) + f(y) – xy, for all x, y  R, then the value of |2(f(1) + f(2) + f(3)</t>
  </si>
  <si>
    <t xml:space="preserve">Let f(x) and g(x) be two polynomials of degree 2 and 1 respectively. If f(g(x)) = 8x2 – 2x, and g(f(x)) = 4x2 + 6x + 1, then the value of f(</t>
  </si>
  <si>
    <t xml:space="preserve">The number of functions, f : {1, 2, 3, 4}  {1, 2, 3, 4, 5, 6} such that f(1) + f(2) = f(3), is equal to : [JEE(Main)July2022] [JEE(Main)Jul</t>
  </si>
  <si>
    <t xml:space="preserve">The number of bijective functions f : {1, 3, 5, 7, ....., 99}  {2, 4, 6, 8, ...., 100}, such that f(3)  f(9)  f(15)  f(21)  ......... </t>
  </si>
  <si>
    <t xml:space="preserve">Let f, g : N – {1}  N be functions defined by f(a) = , where  is the maximum of the powers of those primes p such that p divides a, and </t>
  </si>
  <si>
    <t xml:space="preserve">  The domain of the function f  x   sin  1  2x 2  3   log 2  log 1 x 2  5x  5  , where [t] is the greatest  2  integer fun</t>
  </si>
  <si>
    <t xml:space="preserve">Let S   x   6,3  2, 2 :  0  and T = {x  Z : x2 – 7 |x| + 9  0}. Then the number of elements  x 2  in S  T is : [JEE(Main</t>
  </si>
  <si>
    <t xml:space="preserve">Let f(x) = ax2 + bx + c be such that f(1) = 3, f(–2) =  and f(3) = 4. If f(0) + f(1) + f(–2) + f(3) = 14, then  is equal to : [JEE(Main)Ju</t>
  </si>
  <si>
    <t xml:space="preserve">The number of functions f, from the set A = {x  N : x2 – 10x + 9  0} to the set B = {n2 : n  N} such that f(x)  (x – 3)2 + 1, for every </t>
  </si>
  <si>
    <t xml:space="preserve">J-M(XIII)</t>
  </si>
  <si>
    <t xml:space="preserve">The equation x 2 – 4x + [x] + 3 = x[x], where [x] denotes the greatest integer function, has : [JEE(Main)Jan.2023]</t>
  </si>
  <si>
    <t xml:space="preserve">Let f(x) be a function such that f(x + y) = f  x   f  y  for all x, y  N. If f(1) = 3 and  f  k   3279 , then the k 1 value of n </t>
  </si>
  <si>
    <t xml:space="preserve">If f  x   2x , x  R, then f  f    ......  f   is equal to : 2 2  2023   2023   2023  [JEE(Main)Jan.2023] 22x  1   2 </t>
  </si>
  <si>
    <t xml:space="preserve">Let f :    be a function defined by f(x) = log m  2 (sin x  cos x)  m  2 , for some m, such that the range of f is [0,2]. Then the v</t>
  </si>
  <si>
    <t xml:space="preserve">Let f(x) = 2x n  ,   , n  N , and f(4) = 133, f(5) = 255. Then the sum of all the positive integer divisors of (f(3)  f(2)) is : [JEE</t>
  </si>
  <si>
    <t xml:space="preserve">The number of functions f : {1,2,3,4}  {a   :|a|  8} satisfying f (n)  f (n  1)  1, n  {1, 2,3} is : n [JEE(Main)Jan.2023] 1 n [JEE</t>
  </si>
  <si>
    <t xml:space="preserve">The domain of f (x)  , x  R is : [JEE(Main)Jan.2023] e2loge x  (2x  3) log (x 1) (x  2) e2loge x  (2x  3)</t>
  </si>
  <si>
    <t xml:space="preserve">Consider a function f : IN  IR , satisfying f (1) + 2 f (2) + 3 f (3) + .... + x f (x) = x (x + 1) f (x); x  2 with f (1) = 1. 1 1 Then  </t>
  </si>
  <si>
    <t xml:space="preserve">The range of the function f (x)  3 x  2 x is : [JEE(Main)Jan.2023]</t>
  </si>
  <si>
    <t xml:space="preserve">If the domain of the function f (x)  , where [x] is greatest integer  x , is [2,6), then its range is : 1 x2 [JEE(Main)Jan.2023] [x] 1 x</t>
  </si>
  <si>
    <t xml:space="preserve">The absolute minimum value, of the function f(x) = |x2  x + 1| + [x2  x + 1], where [t] denotes the greatest integer function, in the inte</t>
  </si>
  <si>
    <t xml:space="preserve">Let f : R  {0,1}  R be a function such that f (x)  f    1  x . Then f (2) is equal to :  1 x  [JEE(Main)Jan.2023]  1   1 x  [</t>
  </si>
  <si>
    <t xml:space="preserve">Let S = {1,2,3,4,5,6}. Then the number of one-one function f : S  P(S) , where P(S) denote the power set of S, such that f (n)  f (m) wher</t>
  </si>
  <si>
    <t xml:space="preserve">For some a, b, c  N, let f(x) = ax – 3 and g(x) = xb + c, x  R. If  fog   , then  2  (fog) (ac) + (gof) (b) is equal to __________. [</t>
  </si>
  <si>
    <t xml:space="preserve">Suppose f is a function satisfying f (x + y) = f (x) + f (y) for all, x, y   and f (1)  . If   , 5 n 1 n(n  1)(n  2) 12 then m is eq</t>
  </si>
  <si>
    <t xml:space="preserve">Let f (x)  , x  R    ; For n  2, define f n (x) = f 1o f n-1(x). If f 5 (x)= , gcd(a,b) = 1, then 2x  3 2 bx  a 74 a + b is equal </t>
  </si>
  <si>
    <t xml:space="preserve">Let A = {1,2,3,5,8,9}. Then the number of possible functions f : A  A such that f (m  n)  f (m)  f (n) for every m, n  A with m  n  A</t>
  </si>
  <si>
    <t xml:space="preserve">Let A  {x   :[x  3]  [x  4]  3} , B   x   : 3   r   33x  , where [t] denotes greatest integer   r 1 10   function. T</t>
  </si>
  <si>
    <t xml:space="preserve">Let the sets A and B denote the domain and range respectively of the function f (x)  , where [x] denotes x  x the smallest integer great</t>
  </si>
  <si>
    <t xml:space="preserve">If f (x)   tan1  x  log (123) , x  0 , then the least value of f (f (x))  f  f  4   is :  e   x  x log (1234)   tan1  e  </t>
  </si>
  <si>
    <t xml:space="preserve">The domain of the function f (x)  is : (where [x] denotes the greatest integer less than or equal [x]2  3[x]  10 to x) : [JEE(Main)April,</t>
  </si>
  <si>
    <t xml:space="preserve">For x   , two real valued functions f(x) and g(x) are such that, g(x)  x  1 and fog(x)  x  3  x . Then f(0) is equal to : [JEE(Main)A</t>
  </si>
  <si>
    <t xml:space="preserve">Let R = {a, b, c, d, e} and S = {1, 2, 3, 4}. Total number of onto functions f : R  S such that f(a)  1, is equal to _________. [JEE(Main)</t>
  </si>
  <si>
    <t xml:space="preserve">Let m and n be the numbers of real roots of the quadratic equations x2 – 12x + [x] + 31 = 0 and x2 –5|x + 2| – 4 = 0 respectively, where [x]</t>
  </si>
  <si>
    <t xml:space="preserve">Let A = {1, 2, 3, 4, 5} and B = {1, 2, 3, 4, 5, 6}. Then the number of functions f : A  B satisfying f(1) + f(2) = f(4) – 1 is equal to ___</t>
  </si>
  <si>
    <t xml:space="preserve">Let [] denote the greatest integer . Then  1    2    3    120  is equal to _________. [JEE(Main)April,2023] [JEE(Ma</t>
  </si>
  <si>
    <t xml:space="preserve">The function f : N – {1}  N; is defined by f(n) = the highest prime factor of n, is : [JEE(Main)Jan.2024] [JEE(Main)Jan.2024]</t>
  </si>
  <si>
    <t xml:space="preserve">Let f : R     R and g : R     R be defined as f  x   and g  x   . Then, the 2 2 2x  1 2x  5 domain of the function fog i</t>
  </si>
  <si>
    <t xml:space="preserve">If f (x)   x ; g(x)   , then range of (fog) (x) is :  1  3 , 0  x  3  x, 0  x 1 [JEE(Main)Jan.2024]  2  2x, 1  x  0   x,</t>
  </si>
  <si>
    <t xml:space="preserve">If the domain of the function f (x)  log e  2   cos   is (, ] then the value of 5 – 4 is  4x  x  3   x2  equal to : [JEE(Ma</t>
  </si>
  <si>
    <t xml:space="preserve">If f  x   , x  and (fof) (x) = g(x), where g : R     R    , then (gogog) (4) is equal to : 6x  4 3 3 3 [JEE(Main)Jan.2024] 4</t>
  </si>
  <si>
    <t xml:space="preserve">Let f : R  R and g : R  R be defined as f  x     x and g  x    x . Then  e , x0  e , x0 gof : R  R is : [JEE(Main)Jan.2024</t>
  </si>
  <si>
    <t xml:space="preserve">If the domain of the function f (x)   log10  x 2  2x  15  is  ,    ,   , then 2 + 3 is equal 4  x  2 to : [JEE(Main)Jan</t>
  </si>
  <si>
    <t xml:space="preserve">Let A = {1, 2, 3, ......, 7} and let P (A) denote the power set of A. If the number of functions f : A  P (A) such that a f(a), a  A , </t>
  </si>
  <si>
    <t xml:space="preserve">Let A = {1, 3, 7, 9, 11} and B = {2, 4, 5, 7, 8, 10, 12}. Then the total number of one-one maps f: A  B, such that f(1) + f(3) = 14, is : [</t>
  </si>
  <si>
    <t xml:space="preserve">Let f, g : R  R be defined as :  ex , x  0 f(x) = |x –1| and g(x)    x  1, x  0 Then the function f(g(x)) is : [JEE(Main)April,2024]</t>
  </si>
  <si>
    <t xml:space="preserve">The function f (x)  , x   is : [JEE(Main)April,2024] x 2  4x  9 x 2  2x  15 x  4x  9</t>
  </si>
  <si>
    <t xml:space="preserve">Let f (x)  be a function defined on R. Then the range of the function f(x) is equal to : 7  sin 5x [JEE(Main)April,2024] 1 7  sin 5x 1 1</t>
  </si>
  <si>
    <t xml:space="preserve">Let [t] be the greatest integer less than or equal to t. Let A be the set of all prime factors of 2310 and    x3   f : A  Z be the fu</t>
  </si>
  <si>
    <t xml:space="preserve"> a if Let f  x    a  x  0 where a &gt; 0 and g  x    f  x   f  x  . Then the function  x  a if 0xa 2 g : [–a, a]  [–a, </t>
  </si>
  <si>
    <t xml:space="preserve">Let f(x) = x2 + 9, g(x)  and a = fog(10), b = gof(3). If e and l denote the eccentricity and the length of the x 9 x 2 y2 latus rectum of </t>
  </si>
  <si>
    <t xml:space="preserve">Let the range of the function f  x   , x  R be [a, b]. If  and  are respectively the A.M. 2  sin 3x  cos 3x  and the G.M. of a and </t>
  </si>
  <si>
    <t xml:space="preserve">Consider the function f : R  R defined by f  x   . If t he composit ion of 2 1  9x 210 x f ,  fofofo.....f  x    1  9 x 2 ,</t>
  </si>
  <si>
    <t xml:space="preserve">If S  a  R :| 2a  1| 3[a]  2 a , where [t] deonts the greatest integer less than or equal to t and {t} represents the fractional pa</t>
  </si>
  <si>
    <t xml:space="preserve">If a function f satisfies f(m + n) = f(m) + f(n) for all m, n  N and f(1) = 1, then the largest natural number  such 2022 2 that  f   </t>
  </si>
  <si>
    <t xml:space="preserve">Let A   x, y  : 2x  3y  23, x, y  N and B  x : (x, y)  A . Then the number of one-one functions from A to B is equal to ________</t>
  </si>
  <si>
    <t xml:space="preserve">DPP-1</t>
  </si>
  <si>
    <t xml:space="preserve">DPP</t>
  </si>
  <si>
    <t xml:space="preserve">If [x] stands for the greatest integer function, then the value of    +   +.........+   :  2 1000   2 1000   2 1000  1 1  </t>
  </si>
  <si>
    <t xml:space="preserve">If f (x, y) = max(x, y) min( x , y ) and g (x, y) = max(x, y) – min(x, y), then f  g   1,  , g (4,  1.75)  equals:   2   3 </t>
  </si>
  <si>
    <t xml:space="preserve">Domain of y  log10  :  4   5x  x 2   4 </t>
  </si>
  <si>
    <t xml:space="preserve">The domain of definition of f(x) = is : x 2  2x  8  log 0.3 (x  1) x 2  2x  8</t>
  </si>
  <si>
    <t xml:space="preserve">The domain of the function f(x) = 24–xC3x–1 + 40–6xC8x–10 is :</t>
  </si>
  <si>
    <t xml:space="preserve">The set of points for which f(x) = cos (sinx) &gt; 0 contains :</t>
  </si>
  <si>
    <t xml:space="preserve">The function f(x) = log10 cos(2x) exists :</t>
  </si>
  <si>
    <t xml:space="preserve">The domain of the definition of f(x) = log{(log x)2 - 5 log x + 6} is equal to :</t>
  </si>
  <si>
    <t xml:space="preserve">Domain of y   log x  4  log 2 : 2  3 x   2x  1  2  3 x </t>
  </si>
  <si>
    <t xml:space="preserve">The domain of definition of f (x) = is : x2  3x  2 log2 (x  3) x2  3x  2 R R  3,   1, 2 1, 2, 3 1, 2</t>
  </si>
  <si>
    <t xml:space="preserve">The value of the function f(x) = lies in the interval : x2  x  6 1  5  x 2  3x  2 x2  x  6 1  5 </t>
  </si>
  <si>
    <t xml:space="preserve">DPP-2</t>
  </si>
  <si>
    <t xml:space="preserve">Find the range of the following function: f (x) = log2   .  2   sin x  cos x  3 2   2 </t>
  </si>
  <si>
    <t xml:space="preserve">Find the domain and range of the function f(x) = 2  x  1  x</t>
  </si>
  <si>
    <t xml:space="preserve">Find the range of the following function f (x) = . 2  x2 3 2  x2</t>
  </si>
  <si>
    <t xml:space="preserve">The range of the function y = is : 2  sin 3x 1  1  1  3  3  3  1 2  sin 3x 1  1  1  3  3  3 </t>
  </si>
  <si>
    <t xml:space="preserve">Find the range of the following function, y  log 7 ( 2(sin x  cos x)  5) :</t>
  </si>
  <si>
    <t xml:space="preserve">Which of the following function (s) has the range [-1, 1] :  1   1 x </t>
  </si>
  <si>
    <t xml:space="preserve">If A =  x :  x   and f(x) = cos x  x (1 + x) then f(A) is equal to :  6 3     6 3      6 3  3 6 1     3    </t>
  </si>
  <si>
    <t xml:space="preserve">If f(x) = [x2] – [x]2 where [·] denotes the greatest integer function and x  [0, 2], the set of values of f(x) is :</t>
  </si>
  <si>
    <t xml:space="preserve">Range of the function f (x) = where {x} denotes the fractional part function is : 1  {x} {x} 1  {x}  1  1  1  2  2  2</t>
  </si>
  <si>
    <t xml:space="preserve">For the function f (x) = , if n(d) denotes the number of integers which are not in its domain and n(r) denotes ex  1 the number of integers</t>
  </si>
  <si>
    <t xml:space="preserve">The graph of the function y = g (x) is shown. 1 The number of solutions of the equation g ( x )  1  , is 2 1 2</t>
  </si>
  <si>
    <t xml:space="preserve">Column-I contains rational algebraic expressions and column-II contains possible integers which lie in their range. Match the entries of col</t>
  </si>
  <si>
    <t xml:space="preserve">f (x) = x + [x]</t>
  </si>
  <si>
    <t xml:space="preserve">y = (x)[x] where x = [x] + (x) &amp; x &gt; 0 &amp; x  3</t>
  </si>
  <si>
    <t xml:space="preserve">y = sgn [x]</t>
  </si>
  <si>
    <t xml:space="preserve">sgn (x x)</t>
  </si>
  <si>
    <t xml:space="preserve">DPP-3</t>
  </si>
  <si>
    <t xml:space="preserve">Let f : X  Y be a function such that f(x) = x  2 + 4  x , then the set of X and Y for which f(x) is both injective as well as surjective,</t>
  </si>
  <si>
    <t xml:space="preserve">Which of the following function is surjective but not injective :</t>
  </si>
  <si>
    <t xml:space="preserve">Let f : R  R be a function defined by f(x) = is : x2  x 1 x 2  2x  5 x  x 1</t>
  </si>
  <si>
    <t xml:space="preserve">The function f : [2, )  Y defined by f(x) = x2 – 4x + 5 is both one-one and onto if :</t>
  </si>
  <si>
    <t xml:space="preserve">Let f : R  R be a function defined by f(x) = x3 + x2 + 3x + sin x. Then f is :</t>
  </si>
  <si>
    <t xml:space="preserve">If A be the set of all triangles and B that of positive real numbers, then the mapping f : A  B given by f() = area of , ( A) is :</t>
  </si>
  <si>
    <t xml:space="preserve">Let f : R  R and g : R  R be two one-one onto functions such that they are mirror image of each other about the line y = 0, then h(x) = f(</t>
  </si>
  <si>
    <t xml:space="preserve">Let f : N  N such that f (n) =  for all n  N then f is :  n, if n is even  2  n 1  n  2</t>
  </si>
  <si>
    <t xml:space="preserve">Which of the following functions are not injective mapping- 1 x 1 x</t>
  </si>
  <si>
    <t xml:space="preserve">Let A = R – {2} and B = R – {1}. Let ƒ : A  B be defined by f(x) = then- x2 x 3 x2</t>
  </si>
  <si>
    <t xml:space="preserve">Let f: [–1, 1]  [0, 2] be a linear function which is onto then f(x) is/are.</t>
  </si>
  <si>
    <t xml:space="preserve">Let f : R  R be defined as f(x) = 3– | x | – 3x + sgn (e–x) + 2 (where sgn x denotes signum function of x). Then which one of the following</t>
  </si>
  <si>
    <t xml:space="preserve">DPP-4</t>
  </si>
  <si>
    <t xml:space="preserve">The function f(x) is defined in [0, 1] then the domain of definition of the function f[ln (1-x2)] is given by :</t>
  </si>
  <si>
    <t xml:space="preserve">If f (x) = px + q and f  f  f ( x )  = 8x + 21, where p and q are real numbers, then p + q equals :</t>
  </si>
  <si>
    <t xml:space="preserve">Given the graphs of the two functions, y = f(x) and y = g(x). In the adjacent figure from point A on the graph of the function y = f(x) corr</t>
  </si>
  <si>
    <t xml:space="preserve">Which of the following is an even function? a x 1 a x  a x ax 1 a 1 2 a x 1</t>
  </si>
  <si>
    <t xml:space="preserve">Which of the following function is an odd function :  ax 1 2 2 (B) f(x) = x  x   a 1   1 x  1 x   ax 1  a 1   1 x  1</t>
  </si>
  <si>
    <t xml:space="preserve">Let the function f(x) = 3x2 – 4x + 8 log (1 + |x|) be defined on the interval [0, 1]. The even extension of f(x) to the interval [–1, 0] is </t>
  </si>
  <si>
    <t xml:space="preserve">Let f (x) be an odd function defined on (– , ) and g (x) be an even function defined on (– , ). If f (x) – g (x) = x2 + 5x + 7, then g (</t>
  </si>
  <si>
    <t xml:space="preserve">The value of a is equal to : 1 1 1 8 4 2</t>
  </si>
  <si>
    <t xml:space="preserve">Range of the function h(x) = 4ax2 + 2cx + d is equal to :  1  1    1  1 4  4   4   4</t>
  </si>
  <si>
    <t xml:space="preserve">f–1(x) is equal to : 4  16  8 log 2 x 4  16  8 log 2 x 4  4  log 2 x 4  4  log 2 x 4 4 2 2</t>
  </si>
  <si>
    <t xml:space="preserve">Let, f (x) = x + 1, x1 g(x) = x 2, -1  x &lt; 2 = 2x + 1, 1 &lt; x  2 = x + 2, 2x3 Find fog ekuk, f (x) = x + 1, x1 g(x) = x 2, -1  x &lt; 2 =</t>
  </si>
  <si>
    <t xml:space="preserve">Match the following columns : Column-I Column-II 2 denotes signum function of x, then f(x) is 4 1 1 x2 denotes greatest integer less than o</t>
  </si>
  <si>
    <t xml:space="preserve">DPP-5</t>
  </si>
  <si>
    <t xml:space="preserve">If f (x) = x3 – 1 and domain of f = {0,1, 2, 3}, then domain of f–1 is :</t>
  </si>
  <si>
    <t xml:space="preserve">The inverse of the function y = is : ex  e– x ex – e– x ex  e– x 1 1 x 1 2x 1 1 x 2 1 x 2 2x 2 1 x</t>
  </si>
  <si>
    <t xml:space="preserve">Let f : N  N where f(x) = x + (– 1)x -1 then f is :</t>
  </si>
  <si>
    <t xml:space="preserve">Which of the following functions is inverse of itself : 1 x 1 x 1 x 1 x</t>
  </si>
  <si>
    <t xml:space="preserve">If f (x) = 2x3 + 7x – 5 then f–1(4) is :</t>
  </si>
  <si>
    <t xml:space="preserve">If f : R  R is a function satisfying the property f(x +1) + f(x + 3) = 2  x  R then the period (may not be fundamental period) of f (x) i</t>
  </si>
  <si>
    <t xml:space="preserve">The fundamental period of the function f(x) = x + a – [x + b] + sin x + cos 2x + sin 3x + cos 4x + …. + sin (2n – 1) x + cos 2n x for </t>
  </si>
  <si>
    <t xml:space="preserve">Let f(x) = sin [a] x (where [ ] denotes the greatest integers function). If f is periodic with fundamental period , then a belongs to :</t>
  </si>
  <si>
    <t xml:space="preserve">Period of f(x) = ecos {x} + sin  [x] is : (where, [.] and { } denote the greatest integer function and fractional part of function respecti</t>
  </si>
  <si>
    <t xml:space="preserve">If f(x) = cos (ax) + sin (bx) is periodic, then which of the followings is false :</t>
  </si>
  <si>
    <t xml:space="preserve">The function f(x) = 2(x – [x]) + sin2 (x – [x]) is : (Where [.] denotes greatest integer function)</t>
  </si>
  <si>
    <t xml:space="preserve">Column I contains functions and column II contains their properties. One or more entries of Column-II can be matches with one entry of colum</t>
  </si>
  <si>
    <t xml:space="preserve">Find the inverse of the following function : f (x) =  x , 1  x  4  8 x , x4  x, x 1  2  8 x , x4</t>
  </si>
  <si>
    <t xml:space="preserve">Find the period of the following function f(x) = ex-[x] + |cos x| + |cos 2x| + ...+ |cos nx|, [.] is greatest integer function. gSA</t>
  </si>
  <si>
    <t xml:space="preserve">QB</t>
  </si>
  <si>
    <t xml:space="preserve">Question Bank</t>
  </si>
  <si>
    <t xml:space="preserve">If the domain of the function f  x    is (a, b), then (1 + a)2 + b2 is equal to : 10  3x  x 2 x | x | 1 1 10  3x  x 2 x | x |</t>
  </si>
  <si>
    <t xml:space="preserve">Let f be a function such that f  x   3f    4x , x  0. Then f(3) + f(8) is equal to :  x   x </t>
  </si>
  <si>
    <t xml:space="preserve">If the domain of the function f(x) = log7 (1 – log4(x2 – 9x + 18)) is (, )  (, ), then  +  +  +  is equal to : 25</t>
  </si>
  <si>
    <t xml:space="preserve">Let f, g : (1, )  R be defined as f (x)  and g(x)  . If the range of the function 5x  2 1 x 1 fog : [2, 4]  R is [, ], then is equa</t>
  </si>
  <si>
    <t xml:space="preserve">Consider the sets A = {(x, y) R × R : x 2 + y2 = 25}, B = {(x, y)  R × R : x2 + 9y2 = 144}, C = {(x, y)  Z × Z : x2 + y2  4} and D = A </t>
  </si>
  <si>
    <t xml:space="preserve">Let A={1, 2, 3, 4} and B = {1, 4, 9, 16}. Then the number of many-one functions f: A  B such that 1  f(A) is equal to :</t>
  </si>
  <si>
    <t xml:space="preserve">Let the range of the function f  x   6  16 cos x  cos   x   cos   x   sin 3x  cos 6x , x  R be [, ]. 3  3  Then the dis</t>
  </si>
  <si>
    <t xml:space="preserve">Let f (x)  2x 1 x4 . Then the value of 8  f    f    f    is equal to : 2  2  32   15   15   15   2x  2  16  1 </t>
  </si>
  <si>
    <t xml:space="preserve">The number of real solution(s) of the equation x2 + 3x + 2 = min{|x – 3|, |x + 2|} is :</t>
  </si>
  <si>
    <t xml:space="preserve">The function f : (–, )  (–, 1), defined by f (x)  is : 2 x  2 x 2 x  2 x f (x)  }kjk ifjHkkf"kr Qyu f : (–, )  (–, 1) : 2 x  </t>
  </si>
  <si>
    <t xml:space="preserve">If f  x   x , x   , then  f   is equal to : 2  2 k 1  82  81 2x  k  2  2 k 1  82  81 2</t>
  </si>
  <si>
    <t xml:space="preserve">Let f : R – {0}  (–, 1) be a polynomial of degree 2, satisfying f  x  f    f  x   f   . If f(K) = –2 K, x x 31 then the sum </t>
  </si>
  <si>
    <t xml:space="preserve">Let f : [0,3]  A be defined by f(x) = 2x3 – 15x2 + 36x + 7 and g : [0, )  B be defined by g  x   . x 2025  1 If both the functions ar</t>
  </si>
  <si>
    <t xml:space="preserve">Let A = {1, 3, 7, 9, 11} and B = {2, 4, 5, 7, 8, 10, 12}. Then the total number of one-one maps f: A  B, such that f(1) + f(3) = 14, is :</t>
  </si>
  <si>
    <t xml:space="preserve">Let f, g : R  R be defined as :  ex , x  0 f(x) = |x –1| and g(x)    x  1, x  0 Then the function f(g(x)) is : 33  ex , x  0  x </t>
  </si>
  <si>
    <t xml:space="preserve">The function f : N – {1}  N; is defined by f(n) = the highest prime factor of n, is :</t>
  </si>
  <si>
    <t xml:space="preserve">If f (x)   x ; g(x)   , then range of (fog) (x) is :  1  3 , 0  x  3  x, 0  x 1 2  2x, 1  x  0   x, 3  x  0  1  3 </t>
  </si>
  <si>
    <t xml:space="preserve">If f  x   , x  and (fof) (x) = g(x), where g : R     R    , then (gogog) (4) is equal to : 6x  4 3 3 3 4x  3 2 2 2 6x </t>
  </si>
  <si>
    <t xml:space="preserve">Let f : R  R and g : R  R be defined as f  x     x and g  x    x . Then  e , x0 e , x0 gof : R  R is : log e x , x  0 </t>
  </si>
  <si>
    <t xml:space="preserve">The equation x2 – 4x + [x] + 3 = x[x], where [x] denotes the greatest integer function, has : 38</t>
  </si>
  <si>
    <t xml:space="preserve">The number of functions f : {1,2,3,4}  {a   :|a|  8} satisfying f (n)  f (n  1)  1, n  {1, 2, 3} is n 1 f (n)  f (n  1)  1, n </t>
  </si>
  <si>
    <t xml:space="preserve">Number of functions f : {1, 2, ......., 100}  {0, 1}, that assign 1 to exactly one of the positive integers less than or equal to 98 , is e</t>
  </si>
  <si>
    <t xml:space="preserve">Consider the function f : R  R defined by f  x   . If the composition of 2 1  9x 210 x f ,  fofofo.....f  x    1  9x 2 , th</t>
  </si>
  <si>
    <t xml:space="preserve">Let A   x, y  : 2x  3y  23, x, y  N and B  x : (x, y)  A . Then the number of one-one functions from 42 A to B is equal to _____</t>
  </si>
  <si>
    <t xml:space="preserve">Let R = {a, b, c, d, e} and S = {1, 2, 3, 4}. Total number of onto functions f : R  S such that f(a)  1, is equal to _________. 43</t>
  </si>
  <si>
    <t xml:space="preserve">Let [] denote the greatest integer . Then  1    2    3    120  is equal to _________.</t>
  </si>
  <si>
    <t xml:space="preserve">Let f(x) = x135 + x125 – x115 + x5 + 1. If f (x) is divided by x3 – x then the remainder is some function of x say g (x). Find the value of </t>
  </si>
  <si>
    <t xml:space="preserve">Let |M| denote the determinant of a square matrix. M. Let g : 0,   R be the function defined by  2   g ()  f ()  1  f     </t>
  </si>
  <si>
    <t xml:space="preserve">Let f : R  R be a function defined by f (x)   x  . Then which of the following statements is  0, if x  0 TRUE? [JEE(Adv.)2024]  1 </t>
  </si>
  <si>
    <t xml:space="preserve">If n(X) = mC6, then the value of m is ________. [JEE(Adv.)2024]</t>
  </si>
  <si>
    <t xml:space="preserve">Suppose p(x) is a polynomial with integer coefficients. The remainder when p(x) is divided by x – 1 is 1 and the remainder when p(x) is divi</t>
  </si>
  <si>
    <t xml:space="preserve">Let f  x    k x k , x   . If 2f  2   f '  2   119  2   1 then n is equal to _________. k 1 [JEE(Main)April,2023] 10 n k 1 [</t>
  </si>
  <si>
    <t xml:space="preserve">Let fn() = 2 2 2 . Then match the entries of column-I with their  7  sin  sin 2  sin  .......  sin (3n  2) 2 2 2 corresponding val</t>
  </si>
  <si>
    <t xml:space="preserve">Let A be the set of all function f : Z  Z and R be a ralation on A such that R = {(f, g) : f(0) = g(1) and f(1) = g(0)}. Then R is : :</t>
  </si>
  <si>
    <t xml:space="preserve">Let f  x    k x k , x   . If 2f  2   f '  2   119  2   1 then n is equal to _________. k 1 10 n k 1</t>
  </si>
  <si>
    <t xml:space="preserve">Grade thresholds (edit the blue cells; grades on the Items sheet recalculate)</t>
  </si>
  <si>
    <t xml:space="preserve">Batch XII: minimum graded questions for High</t>
  </si>
  <si>
    <t xml:space="preserve">Batch XIII: minimum graded questions for High</t>
  </si>
  <si>
    <t xml:space="preserve">Minimum graded questions for Medium (all batches)</t>
  </si>
  <si>
    <t xml:space="preserve">Graded questions = JM exercise of the batch + JA exercise + JEE Main Question Bank; a question present in two of these counts once.</t>
  </si>
  <si>
    <t xml:space="preserve">Batch XII: 77 graded questions; High threshold 7 (about 9.1%).</t>
  </si>
  <si>
    <t xml:space="preserve">Batch XIII: 76 graded questions; High threshold 7 (about 9.1%).</t>
  </si>
  <si>
    <t xml:space="preserve">Sheet exercises J-I, J-II, Challenger (C-I, C-II) and the DPPs are mapped but not graded; Challenger exercises are not used for the coverage check.</t>
  </si>
  <si>
    <t xml:space="preserve">A question counts for every item it needs (main concept and also-used items). Low = not tested in the graded questions; it does not mean unimportant.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</si>
</sst>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0A3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FFE0A3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FE0A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0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/>
      <c r="F2" s="2" t="n">
        <v>1</v>
      </c>
      <c r="G2" s="2" t="n">
        <f aca="false">COUNTIFS(Map!$D:$D,$A2,Map!$F:$F,"Y")</f>
        <v>0</v>
      </c>
      <c r="H2" s="2" t="str">
        <f aca="false">IF(G2&gt;=Settings!$B$3,"High",IF(G2&gt;=Settings!$B$5,"Medium","Low"))</f>
        <v>Low</v>
      </c>
      <c r="I2" s="2" t="n">
        <f aca="false">COUNTIFS(Map!$D:$D,$A2,Map!$G:$G,"Y")</f>
        <v>0</v>
      </c>
      <c r="J2" s="2" t="str">
        <f aca="false">IF(I2&gt;=Settings!$B$4,"High",IF(I2&gt;=Settings!$B$5,"Medium","Low"))</f>
        <v>Low</v>
      </c>
      <c r="K2" s="2" t="n">
        <f aca="false">COUNTIF(Map!$D:$D,$A2)</f>
        <v>0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14</v>
      </c>
      <c r="D3" s="2" t="s">
        <v>13</v>
      </c>
      <c r="E3" s="2"/>
      <c r="F3" s="2" t="n">
        <v>2</v>
      </c>
      <c r="G3" s="2" t="n">
        <f aca="false">COUNTIFS(Map!$D:$D,$A3,Map!$F:$F,"Y")</f>
        <v>0</v>
      </c>
      <c r="H3" s="2" t="str">
        <f aca="false">IF(G3&gt;=Settings!$B$3,"High",IF(G3&gt;=Settings!$B$5,"Medium","Low"))</f>
        <v>Low</v>
      </c>
      <c r="I3" s="2" t="n">
        <f aca="false">COUNTIFS(Map!$D:$D,$A3,Map!$G:$G,"Y")</f>
        <v>0</v>
      </c>
      <c r="J3" s="2" t="str">
        <f aca="false">IF(I3&gt;=Settings!$B$4,"High",IF(I3&gt;=Settings!$B$5,"Medium","Low"))</f>
        <v>Low</v>
      </c>
      <c r="K3" s="2" t="n">
        <f aca="false">COUNTIF(Map!$D:$D,$A3)</f>
        <v>0</v>
      </c>
    </row>
    <row r="4" customFormat="false" ht="15" hidden="false" customHeight="false" outlineLevel="0" collapsed="false">
      <c r="A4" s="2" t="n">
        <v>3</v>
      </c>
      <c r="B4" s="2" t="s">
        <v>11</v>
      </c>
      <c r="C4" s="2" t="s">
        <v>15</v>
      </c>
      <c r="D4" s="2" t="s">
        <v>13</v>
      </c>
      <c r="E4" s="2"/>
      <c r="F4" s="2" t="n">
        <v>3</v>
      </c>
      <c r="G4" s="2" t="n">
        <f aca="false">COUNTIFS(Map!$D:$D,$A4,Map!$F:$F,"Y")</f>
        <v>0</v>
      </c>
      <c r="H4" s="2" t="str">
        <f aca="false">IF(G4&gt;=Settings!$B$3,"High",IF(G4&gt;=Settings!$B$5,"Medium","Low"))</f>
        <v>Low</v>
      </c>
      <c r="I4" s="2" t="n">
        <f aca="false">COUNTIFS(Map!$D:$D,$A4,Map!$G:$G,"Y")</f>
        <v>0</v>
      </c>
      <c r="J4" s="2" t="str">
        <f aca="false">IF(I4&gt;=Settings!$B$4,"High",IF(I4&gt;=Settings!$B$5,"Medium","Low"))</f>
        <v>Low</v>
      </c>
      <c r="K4" s="2" t="n">
        <f aca="false">COUNTIF(Map!$D:$D,$A4)</f>
        <v>0</v>
      </c>
    </row>
    <row r="5" customFormat="false" ht="23.85" hidden="false" customHeight="false" outlineLevel="0" collapsed="false">
      <c r="A5" s="2" t="n">
        <v>4</v>
      </c>
      <c r="B5" s="2" t="s">
        <v>16</v>
      </c>
      <c r="C5" s="2" t="s">
        <v>17</v>
      </c>
      <c r="D5" s="2" t="s">
        <v>13</v>
      </c>
      <c r="E5" s="2"/>
      <c r="F5" s="2" t="n">
        <v>4</v>
      </c>
      <c r="G5" s="2" t="n">
        <f aca="false">COUNTIFS(Map!$D:$D,$A5,Map!$F:$F,"Y")</f>
        <v>0</v>
      </c>
      <c r="H5" s="2" t="str">
        <f aca="false">IF(G5&gt;=Settings!$B$3,"High",IF(G5&gt;=Settings!$B$5,"Medium","Low"))</f>
        <v>Low</v>
      </c>
      <c r="I5" s="2" t="n">
        <f aca="false">COUNTIFS(Map!$D:$D,$A5,Map!$G:$G,"Y")</f>
        <v>0</v>
      </c>
      <c r="J5" s="2" t="str">
        <f aca="false">IF(I5&gt;=Settings!$B$4,"High",IF(I5&gt;=Settings!$B$5,"Medium","Low"))</f>
        <v>Low</v>
      </c>
      <c r="K5" s="2" t="n">
        <f aca="false">COUNTIF(Map!$D:$D,$A5)</f>
        <v>0</v>
      </c>
    </row>
    <row r="6" customFormat="false" ht="23.85" hidden="false" customHeight="false" outlineLevel="0" collapsed="false">
      <c r="A6" s="2" t="n">
        <v>5</v>
      </c>
      <c r="B6" s="2" t="s">
        <v>16</v>
      </c>
      <c r="C6" s="2" t="s">
        <v>18</v>
      </c>
      <c r="D6" s="2" t="s">
        <v>13</v>
      </c>
      <c r="E6" s="2"/>
      <c r="F6" s="2" t="n">
        <v>5</v>
      </c>
      <c r="G6" s="2" t="n">
        <f aca="false">COUNTIFS(Map!$D:$D,$A6,Map!$F:$F,"Y")</f>
        <v>1</v>
      </c>
      <c r="H6" s="2" t="str">
        <f aca="false">IF(G6&gt;=Settings!$B$3,"High",IF(G6&gt;=Settings!$B$5,"Medium","Low"))</f>
        <v>Medium</v>
      </c>
      <c r="I6" s="2" t="n">
        <f aca="false">COUNTIFS(Map!$D:$D,$A6,Map!$G:$G,"Y")</f>
        <v>4</v>
      </c>
      <c r="J6" s="2" t="str">
        <f aca="false">IF(I6&gt;=Settings!$B$4,"High",IF(I6&gt;=Settings!$B$5,"Medium","Low"))</f>
        <v>Medium</v>
      </c>
      <c r="K6" s="2" t="n">
        <f aca="false">COUNTIF(Map!$D:$D,$A6)</f>
        <v>13</v>
      </c>
    </row>
    <row r="7" customFormat="false" ht="23.85" hidden="false" customHeight="false" outlineLevel="0" collapsed="false">
      <c r="A7" s="2" t="n">
        <v>6</v>
      </c>
      <c r="B7" s="2" t="s">
        <v>16</v>
      </c>
      <c r="C7" s="2" t="s">
        <v>19</v>
      </c>
      <c r="D7" s="2" t="s">
        <v>13</v>
      </c>
      <c r="E7" s="2"/>
      <c r="F7" s="2" t="n">
        <v>6</v>
      </c>
      <c r="G7" s="2" t="n">
        <f aca="false">COUNTIFS(Map!$D:$D,$A7,Map!$F:$F,"Y")</f>
        <v>0</v>
      </c>
      <c r="H7" s="2" t="str">
        <f aca="false">IF(G7&gt;=Settings!$B$3,"High",IF(G7&gt;=Settings!$B$5,"Medium","Low"))</f>
        <v>Low</v>
      </c>
      <c r="I7" s="2" t="n">
        <f aca="false">COUNTIFS(Map!$D:$D,$A7,Map!$G:$G,"Y")</f>
        <v>0</v>
      </c>
      <c r="J7" s="2" t="str">
        <f aca="false">IF(I7&gt;=Settings!$B$4,"High",IF(I7&gt;=Settings!$B$5,"Medium","Low"))</f>
        <v>Low</v>
      </c>
      <c r="K7" s="2" t="n">
        <f aca="false">COUNTIF(Map!$D:$D,$A7)</f>
        <v>0</v>
      </c>
    </row>
    <row r="8" customFormat="false" ht="23.85" hidden="false" customHeight="false" outlineLevel="0" collapsed="false">
      <c r="A8" s="2" t="n">
        <v>7</v>
      </c>
      <c r="B8" s="2" t="s">
        <v>16</v>
      </c>
      <c r="C8" s="2" t="s">
        <v>20</v>
      </c>
      <c r="D8" s="2" t="s">
        <v>13</v>
      </c>
      <c r="E8" s="2"/>
      <c r="F8" s="2" t="n">
        <v>7</v>
      </c>
      <c r="G8" s="2" t="n">
        <f aca="false">COUNTIFS(Map!$D:$D,$A8,Map!$F:$F,"Y")</f>
        <v>0</v>
      </c>
      <c r="H8" s="2" t="str">
        <f aca="false">IF(G8&gt;=Settings!$B$3,"High",IF(G8&gt;=Settings!$B$5,"Medium","Low"))</f>
        <v>Low</v>
      </c>
      <c r="I8" s="2" t="n">
        <f aca="false">COUNTIFS(Map!$D:$D,$A8,Map!$G:$G,"Y")</f>
        <v>0</v>
      </c>
      <c r="J8" s="2" t="str">
        <f aca="false">IF(I8&gt;=Settings!$B$4,"High",IF(I8&gt;=Settings!$B$5,"Medium","Low"))</f>
        <v>Low</v>
      </c>
      <c r="K8" s="2" t="n">
        <f aca="false">COUNTIF(Map!$D:$D,$A8)</f>
        <v>0</v>
      </c>
    </row>
    <row r="9" customFormat="false" ht="15" hidden="false" customHeight="false" outlineLevel="0" collapsed="false">
      <c r="A9" s="2" t="n">
        <v>8</v>
      </c>
      <c r="B9" s="2" t="s">
        <v>21</v>
      </c>
      <c r="C9" s="2" t="s">
        <v>22</v>
      </c>
      <c r="D9" s="2" t="s">
        <v>13</v>
      </c>
      <c r="E9" s="2"/>
      <c r="F9" s="2" t="n">
        <v>8</v>
      </c>
      <c r="G9" s="2" t="n">
        <f aca="false">COUNTIFS(Map!$D:$D,$A9,Map!$F:$F,"Y")</f>
        <v>0</v>
      </c>
      <c r="H9" s="2" t="str">
        <f aca="false">IF(G9&gt;=Settings!$B$3,"High",IF(G9&gt;=Settings!$B$5,"Medium","Low"))</f>
        <v>Low</v>
      </c>
      <c r="I9" s="2" t="n">
        <f aca="false">COUNTIFS(Map!$D:$D,$A9,Map!$G:$G,"Y")</f>
        <v>0</v>
      </c>
      <c r="J9" s="2" t="str">
        <f aca="false">IF(I9&gt;=Settings!$B$4,"High",IF(I9&gt;=Settings!$B$5,"Medium","Low"))</f>
        <v>Low</v>
      </c>
      <c r="K9" s="2" t="n">
        <f aca="false">COUNTIF(Map!$D:$D,$A9)</f>
        <v>0</v>
      </c>
    </row>
    <row r="10" customFormat="false" ht="23.85" hidden="false" customHeight="false" outlineLevel="0" collapsed="false">
      <c r="A10" s="2" t="n">
        <v>9</v>
      </c>
      <c r="B10" s="2" t="s">
        <v>23</v>
      </c>
      <c r="C10" s="2" t="s">
        <v>24</v>
      </c>
      <c r="D10" s="2" t="s">
        <v>13</v>
      </c>
      <c r="E10" s="2"/>
      <c r="F10" s="2" t="n">
        <v>9</v>
      </c>
      <c r="G10" s="2" t="n">
        <f aca="false">COUNTIFS(Map!$D:$D,$A10,Map!$F:$F,"Y")</f>
        <v>0</v>
      </c>
      <c r="H10" s="2" t="str">
        <f aca="false">IF(G10&gt;=Settings!$B$3,"High",IF(G10&gt;=Settings!$B$5,"Medium","Low"))</f>
        <v>Low</v>
      </c>
      <c r="I10" s="2" t="n">
        <f aca="false">COUNTIFS(Map!$D:$D,$A10,Map!$G:$G,"Y")</f>
        <v>0</v>
      </c>
      <c r="J10" s="2" t="str">
        <f aca="false">IF(I10&gt;=Settings!$B$4,"High",IF(I10&gt;=Settings!$B$5,"Medium","Low"))</f>
        <v>Low</v>
      </c>
      <c r="K10" s="2" t="n">
        <f aca="false">COUNTIF(Map!$D:$D,$A10)</f>
        <v>0</v>
      </c>
    </row>
    <row r="11" customFormat="false" ht="15" hidden="false" customHeight="false" outlineLevel="0" collapsed="false">
      <c r="A11" s="2" t="n">
        <v>10</v>
      </c>
      <c r="B11" s="2" t="s">
        <v>25</v>
      </c>
      <c r="C11" s="2" t="s">
        <v>26</v>
      </c>
      <c r="D11" s="2" t="s">
        <v>13</v>
      </c>
      <c r="E11" s="2"/>
      <c r="F11" s="2" t="n">
        <v>10</v>
      </c>
      <c r="G11" s="2" t="n">
        <f aca="false">COUNTIFS(Map!$D:$D,$A11,Map!$F:$F,"Y")</f>
        <v>0</v>
      </c>
      <c r="H11" s="2" t="str">
        <f aca="false">IF(G11&gt;=Settings!$B$3,"High",IF(G11&gt;=Settings!$B$5,"Medium","Low"))</f>
        <v>Low</v>
      </c>
      <c r="I11" s="2" t="n">
        <f aca="false">COUNTIFS(Map!$D:$D,$A11,Map!$G:$G,"Y")</f>
        <v>0</v>
      </c>
      <c r="J11" s="2" t="str">
        <f aca="false">IF(I11&gt;=Settings!$B$4,"High",IF(I11&gt;=Settings!$B$5,"Medium","Low"))</f>
        <v>Low</v>
      </c>
      <c r="K11" s="2" t="n">
        <f aca="false">COUNTIF(Map!$D:$D,$A11)</f>
        <v>1</v>
      </c>
    </row>
    <row r="12" customFormat="false" ht="15" hidden="false" customHeight="false" outlineLevel="0" collapsed="false">
      <c r="A12" s="2" t="n">
        <v>11</v>
      </c>
      <c r="B12" s="2" t="s">
        <v>25</v>
      </c>
      <c r="C12" s="2" t="s">
        <v>27</v>
      </c>
      <c r="D12" s="2" t="s">
        <v>13</v>
      </c>
      <c r="E12" s="2"/>
      <c r="F12" s="2" t="n">
        <v>11</v>
      </c>
      <c r="G12" s="2" t="n">
        <f aca="false">COUNTIFS(Map!$D:$D,$A12,Map!$F:$F,"Y")</f>
        <v>5</v>
      </c>
      <c r="H12" s="2" t="str">
        <f aca="false">IF(G12&gt;=Settings!$B$3,"High",IF(G12&gt;=Settings!$B$5,"Medium","Low"))</f>
        <v>Medium</v>
      </c>
      <c r="I12" s="2" t="n">
        <f aca="false">COUNTIFS(Map!$D:$D,$A12,Map!$G:$G,"Y")</f>
        <v>8</v>
      </c>
      <c r="J12" s="2" t="str">
        <f aca="false">IF(I12&gt;=Settings!$B$4,"High",IF(I12&gt;=Settings!$B$5,"Medium","Low"))</f>
        <v>High</v>
      </c>
      <c r="K12" s="2" t="n">
        <f aca="false">COUNTIF(Map!$D:$D,$A12)</f>
        <v>36</v>
      </c>
    </row>
    <row r="13" customFormat="false" ht="15" hidden="false" customHeight="false" outlineLevel="0" collapsed="false">
      <c r="A13" s="2" t="n">
        <v>12</v>
      </c>
      <c r="B13" s="2" t="s">
        <v>28</v>
      </c>
      <c r="C13" s="2" t="s">
        <v>29</v>
      </c>
      <c r="D13" s="2" t="s">
        <v>13</v>
      </c>
      <c r="E13" s="2"/>
      <c r="F13" s="2" t="n">
        <v>12</v>
      </c>
      <c r="G13" s="2" t="n">
        <f aca="false">COUNTIFS(Map!$D:$D,$A13,Map!$F:$F,"Y")</f>
        <v>0</v>
      </c>
      <c r="H13" s="2" t="str">
        <f aca="false">IF(G13&gt;=Settings!$B$3,"High",IF(G13&gt;=Settings!$B$5,"Medium","Low"))</f>
        <v>Low</v>
      </c>
      <c r="I13" s="2" t="n">
        <f aca="false">COUNTIFS(Map!$D:$D,$A13,Map!$G:$G,"Y")</f>
        <v>0</v>
      </c>
      <c r="J13" s="2" t="str">
        <f aca="false">IF(I13&gt;=Settings!$B$4,"High",IF(I13&gt;=Settings!$B$5,"Medium","Low"))</f>
        <v>Low</v>
      </c>
      <c r="K13" s="2" t="n">
        <f aca="false">COUNTIF(Map!$D:$D,$A13)</f>
        <v>1</v>
      </c>
    </row>
    <row r="14" customFormat="false" ht="15" hidden="false" customHeight="false" outlineLevel="0" collapsed="false">
      <c r="A14" s="2" t="n">
        <v>13</v>
      </c>
      <c r="B14" s="2" t="s">
        <v>28</v>
      </c>
      <c r="C14" s="2" t="s">
        <v>30</v>
      </c>
      <c r="D14" s="2" t="s">
        <v>13</v>
      </c>
      <c r="E14" s="2"/>
      <c r="F14" s="2" t="n">
        <v>13</v>
      </c>
      <c r="G14" s="2" t="n">
        <f aca="false">COUNTIFS(Map!$D:$D,$A14,Map!$F:$F,"Y")</f>
        <v>0</v>
      </c>
      <c r="H14" s="2" t="str">
        <f aca="false">IF(G14&gt;=Settings!$B$3,"High",IF(G14&gt;=Settings!$B$5,"Medium","Low"))</f>
        <v>Low</v>
      </c>
      <c r="I14" s="2" t="n">
        <f aca="false">COUNTIFS(Map!$D:$D,$A14,Map!$G:$G,"Y")</f>
        <v>0</v>
      </c>
      <c r="J14" s="2" t="str">
        <f aca="false">IF(I14&gt;=Settings!$B$4,"High",IF(I14&gt;=Settings!$B$5,"Medium","Low"))</f>
        <v>Low</v>
      </c>
      <c r="K14" s="2" t="n">
        <f aca="false">COUNTIF(Map!$D:$D,$A14)</f>
        <v>1</v>
      </c>
    </row>
    <row r="15" customFormat="false" ht="15" hidden="false" customHeight="false" outlineLevel="0" collapsed="false">
      <c r="A15" s="2" t="n">
        <v>14</v>
      </c>
      <c r="B15" s="2" t="s">
        <v>28</v>
      </c>
      <c r="C15" s="2" t="s">
        <v>31</v>
      </c>
      <c r="D15" s="2" t="s">
        <v>13</v>
      </c>
      <c r="E15" s="2"/>
      <c r="F15" s="2" t="n">
        <v>14</v>
      </c>
      <c r="G15" s="2" t="n">
        <f aca="false">COUNTIFS(Map!$D:$D,$A15,Map!$F:$F,"Y")</f>
        <v>0</v>
      </c>
      <c r="H15" s="2" t="str">
        <f aca="false">IF(G15&gt;=Settings!$B$3,"High",IF(G15&gt;=Settings!$B$5,"Medium","Low"))</f>
        <v>Low</v>
      </c>
      <c r="I15" s="2" t="n">
        <f aca="false">COUNTIFS(Map!$D:$D,$A15,Map!$G:$G,"Y")</f>
        <v>0</v>
      </c>
      <c r="J15" s="2" t="str">
        <f aca="false">IF(I15&gt;=Settings!$B$4,"High",IF(I15&gt;=Settings!$B$5,"Medium","Low"))</f>
        <v>Low</v>
      </c>
      <c r="K15" s="2" t="n">
        <f aca="false">COUNTIF(Map!$D:$D,$A15)</f>
        <v>0</v>
      </c>
    </row>
    <row r="16" customFormat="false" ht="15" hidden="false" customHeight="false" outlineLevel="0" collapsed="false">
      <c r="A16" s="2" t="n">
        <v>15</v>
      </c>
      <c r="B16" s="2" t="s">
        <v>28</v>
      </c>
      <c r="C16" s="2" t="s">
        <v>32</v>
      </c>
      <c r="D16" s="2" t="s">
        <v>13</v>
      </c>
      <c r="E16" s="2"/>
      <c r="F16" s="2" t="n">
        <v>15</v>
      </c>
      <c r="G16" s="2" t="n">
        <f aca="false">COUNTIFS(Map!$D:$D,$A16,Map!$F:$F,"Y")</f>
        <v>0</v>
      </c>
      <c r="H16" s="2" t="str">
        <f aca="false">IF(G16&gt;=Settings!$B$3,"High",IF(G16&gt;=Settings!$B$5,"Medium","Low"))</f>
        <v>Low</v>
      </c>
      <c r="I16" s="2" t="n">
        <f aca="false">COUNTIFS(Map!$D:$D,$A16,Map!$G:$G,"Y")</f>
        <v>0</v>
      </c>
      <c r="J16" s="2" t="str">
        <f aca="false">IF(I16&gt;=Settings!$B$4,"High",IF(I16&gt;=Settings!$B$5,"Medium","Low"))</f>
        <v>Low</v>
      </c>
      <c r="K16" s="2" t="n">
        <f aca="false">COUNTIF(Map!$D:$D,$A16)</f>
        <v>1</v>
      </c>
    </row>
    <row r="17" customFormat="false" ht="15" hidden="false" customHeight="false" outlineLevel="0" collapsed="false">
      <c r="A17" s="2" t="n">
        <v>16</v>
      </c>
      <c r="B17" s="2" t="s">
        <v>28</v>
      </c>
      <c r="C17" s="2" t="s">
        <v>33</v>
      </c>
      <c r="D17" s="2" t="s">
        <v>13</v>
      </c>
      <c r="E17" s="2"/>
      <c r="F17" s="2" t="n">
        <v>16</v>
      </c>
      <c r="G17" s="2" t="n">
        <f aca="false">COUNTIFS(Map!$D:$D,$A17,Map!$F:$F,"Y")</f>
        <v>1</v>
      </c>
      <c r="H17" s="2" t="str">
        <f aca="false">IF(G17&gt;=Settings!$B$3,"High",IF(G17&gt;=Settings!$B$5,"Medium","Low"))</f>
        <v>Medium</v>
      </c>
      <c r="I17" s="2" t="n">
        <f aca="false">COUNTIFS(Map!$D:$D,$A17,Map!$G:$G,"Y")</f>
        <v>0</v>
      </c>
      <c r="J17" s="2" t="str">
        <f aca="false">IF(I17&gt;=Settings!$B$4,"High",IF(I17&gt;=Settings!$B$5,"Medium","Low"))</f>
        <v>Low</v>
      </c>
      <c r="K17" s="2" t="n">
        <f aca="false">COUNTIF(Map!$D:$D,$A17)</f>
        <v>1</v>
      </c>
    </row>
    <row r="18" customFormat="false" ht="15" hidden="false" customHeight="false" outlineLevel="0" collapsed="false">
      <c r="A18" s="2" t="n">
        <v>17</v>
      </c>
      <c r="B18" s="2" t="s">
        <v>28</v>
      </c>
      <c r="C18" s="2" t="s">
        <v>34</v>
      </c>
      <c r="D18" s="2" t="s">
        <v>13</v>
      </c>
      <c r="E18" s="2"/>
      <c r="F18" s="2" t="n">
        <v>17</v>
      </c>
      <c r="G18" s="2" t="n">
        <f aca="false">COUNTIFS(Map!$D:$D,$A18,Map!$F:$F,"Y")</f>
        <v>0</v>
      </c>
      <c r="H18" s="2" t="str">
        <f aca="false">IF(G18&gt;=Settings!$B$3,"High",IF(G18&gt;=Settings!$B$5,"Medium","Low"))</f>
        <v>Low</v>
      </c>
      <c r="I18" s="2" t="n">
        <f aca="false">COUNTIFS(Map!$D:$D,$A18,Map!$G:$G,"Y")</f>
        <v>0</v>
      </c>
      <c r="J18" s="2" t="str">
        <f aca="false">IF(I18&gt;=Settings!$B$4,"High",IF(I18&gt;=Settings!$B$5,"Medium","Low"))</f>
        <v>Low</v>
      </c>
      <c r="K18" s="2" t="n">
        <f aca="false">COUNTIF(Map!$D:$D,$A18)</f>
        <v>0</v>
      </c>
    </row>
    <row r="19" customFormat="false" ht="15" hidden="false" customHeight="false" outlineLevel="0" collapsed="false">
      <c r="A19" s="2" t="n">
        <v>18</v>
      </c>
      <c r="B19" s="2" t="s">
        <v>28</v>
      </c>
      <c r="C19" s="2" t="s">
        <v>35</v>
      </c>
      <c r="D19" s="2" t="s">
        <v>13</v>
      </c>
      <c r="E19" s="2"/>
      <c r="F19" s="2" t="n">
        <v>18</v>
      </c>
      <c r="G19" s="2" t="n">
        <f aca="false">COUNTIFS(Map!$D:$D,$A19,Map!$F:$F,"Y")</f>
        <v>1</v>
      </c>
      <c r="H19" s="2" t="str">
        <f aca="false">IF(G19&gt;=Settings!$B$3,"High",IF(G19&gt;=Settings!$B$5,"Medium","Low"))</f>
        <v>Medium</v>
      </c>
      <c r="I19" s="2" t="n">
        <f aca="false">COUNTIFS(Map!$D:$D,$A19,Map!$G:$G,"Y")</f>
        <v>2</v>
      </c>
      <c r="J19" s="2" t="str">
        <f aca="false">IF(I19&gt;=Settings!$B$4,"High",IF(I19&gt;=Settings!$B$5,"Medium","Low"))</f>
        <v>Medium</v>
      </c>
      <c r="K19" s="2" t="n">
        <f aca="false">COUNTIF(Map!$D:$D,$A19)</f>
        <v>10</v>
      </c>
    </row>
    <row r="20" customFormat="false" ht="15" hidden="false" customHeight="false" outlineLevel="0" collapsed="false">
      <c r="A20" s="2" t="n">
        <v>19</v>
      </c>
      <c r="B20" s="2" t="s">
        <v>28</v>
      </c>
      <c r="C20" s="2" t="s">
        <v>36</v>
      </c>
      <c r="D20" s="2" t="s">
        <v>13</v>
      </c>
      <c r="E20" s="2"/>
      <c r="F20" s="2" t="n">
        <v>19</v>
      </c>
      <c r="G20" s="2" t="n">
        <f aca="false">COUNTIFS(Map!$D:$D,$A20,Map!$F:$F,"Y")</f>
        <v>0</v>
      </c>
      <c r="H20" s="2" t="str">
        <f aca="false">IF(G20&gt;=Settings!$B$3,"High",IF(G20&gt;=Settings!$B$5,"Medium","Low"))</f>
        <v>Low</v>
      </c>
      <c r="I20" s="2" t="n">
        <f aca="false">COUNTIFS(Map!$D:$D,$A20,Map!$G:$G,"Y")</f>
        <v>0</v>
      </c>
      <c r="J20" s="2" t="str">
        <f aca="false">IF(I20&gt;=Settings!$B$4,"High",IF(I20&gt;=Settings!$B$5,"Medium","Low"))</f>
        <v>Low</v>
      </c>
      <c r="K20" s="2" t="n">
        <f aca="false">COUNTIF(Map!$D:$D,$A20)</f>
        <v>0</v>
      </c>
    </row>
    <row r="21" customFormat="false" ht="15" hidden="false" customHeight="false" outlineLevel="0" collapsed="false">
      <c r="A21" s="2" t="n">
        <v>20</v>
      </c>
      <c r="B21" s="2" t="s">
        <v>28</v>
      </c>
      <c r="C21" s="2" t="s">
        <v>37</v>
      </c>
      <c r="D21" s="2" t="s">
        <v>13</v>
      </c>
      <c r="E21" s="2"/>
      <c r="F21" s="2" t="n">
        <v>20</v>
      </c>
      <c r="G21" s="2" t="n">
        <f aca="false">COUNTIFS(Map!$D:$D,$A21,Map!$F:$F,"Y")</f>
        <v>1</v>
      </c>
      <c r="H21" s="2" t="str">
        <f aca="false">IF(G21&gt;=Settings!$B$3,"High",IF(G21&gt;=Settings!$B$5,"Medium","Low"))</f>
        <v>Medium</v>
      </c>
      <c r="I21" s="2" t="n">
        <f aca="false">COUNTIFS(Map!$D:$D,$A21,Map!$G:$G,"Y")</f>
        <v>1</v>
      </c>
      <c r="J21" s="2" t="str">
        <f aca="false">IF(I21&gt;=Settings!$B$4,"High",IF(I21&gt;=Settings!$B$5,"Medium","Low"))</f>
        <v>Medium</v>
      </c>
      <c r="K21" s="2" t="n">
        <f aca="false">COUNTIF(Map!$D:$D,$A21)</f>
        <v>2</v>
      </c>
    </row>
    <row r="22" customFormat="false" ht="15" hidden="false" customHeight="false" outlineLevel="0" collapsed="false">
      <c r="A22" s="2" t="n">
        <v>21</v>
      </c>
      <c r="B22" s="2" t="s">
        <v>28</v>
      </c>
      <c r="C22" s="2" t="s">
        <v>38</v>
      </c>
      <c r="D22" s="2" t="s">
        <v>13</v>
      </c>
      <c r="E22" s="2"/>
      <c r="F22" s="2" t="n">
        <v>21</v>
      </c>
      <c r="G22" s="2" t="n">
        <f aca="false">COUNTIFS(Map!$D:$D,$A22,Map!$F:$F,"Y")</f>
        <v>1</v>
      </c>
      <c r="H22" s="2" t="str">
        <f aca="false">IF(G22&gt;=Settings!$B$3,"High",IF(G22&gt;=Settings!$B$5,"Medium","Low"))</f>
        <v>Medium</v>
      </c>
      <c r="I22" s="2" t="n">
        <f aca="false">COUNTIFS(Map!$D:$D,$A22,Map!$G:$G,"Y")</f>
        <v>1</v>
      </c>
      <c r="J22" s="2" t="str">
        <f aca="false">IF(I22&gt;=Settings!$B$4,"High",IF(I22&gt;=Settings!$B$5,"Medium","Low"))</f>
        <v>Medium</v>
      </c>
      <c r="K22" s="2" t="n">
        <f aca="false">COUNTIF(Map!$D:$D,$A22)</f>
        <v>1</v>
      </c>
    </row>
    <row r="23" customFormat="false" ht="15" hidden="false" customHeight="false" outlineLevel="0" collapsed="false">
      <c r="A23" s="2" t="n">
        <v>22</v>
      </c>
      <c r="B23" s="2" t="s">
        <v>28</v>
      </c>
      <c r="C23" s="2" t="s">
        <v>39</v>
      </c>
      <c r="D23" s="2" t="s">
        <v>13</v>
      </c>
      <c r="E23" s="2"/>
      <c r="F23" s="2" t="n">
        <v>22</v>
      </c>
      <c r="G23" s="2" t="n">
        <f aca="false">COUNTIFS(Map!$D:$D,$A23,Map!$F:$F,"Y")</f>
        <v>0</v>
      </c>
      <c r="H23" s="2" t="str">
        <f aca="false">IF(G23&gt;=Settings!$B$3,"High",IF(G23&gt;=Settings!$B$5,"Medium","Low"))</f>
        <v>Low</v>
      </c>
      <c r="I23" s="2" t="n">
        <f aca="false">COUNTIFS(Map!$D:$D,$A23,Map!$G:$G,"Y")</f>
        <v>0</v>
      </c>
      <c r="J23" s="2" t="str">
        <f aca="false">IF(I23&gt;=Settings!$B$4,"High",IF(I23&gt;=Settings!$B$5,"Medium","Low"))</f>
        <v>Low</v>
      </c>
      <c r="K23" s="2" t="n">
        <f aca="false">COUNTIF(Map!$D:$D,$A23)</f>
        <v>0</v>
      </c>
    </row>
    <row r="24" customFormat="false" ht="15" hidden="false" customHeight="false" outlineLevel="0" collapsed="false">
      <c r="A24" s="2" t="n">
        <v>23</v>
      </c>
      <c r="B24" s="2" t="s">
        <v>28</v>
      </c>
      <c r="C24" s="2" t="s">
        <v>40</v>
      </c>
      <c r="D24" s="2" t="s">
        <v>13</v>
      </c>
      <c r="E24" s="2"/>
      <c r="F24" s="2" t="n">
        <v>23</v>
      </c>
      <c r="G24" s="2" t="n">
        <f aca="false">COUNTIFS(Map!$D:$D,$A24,Map!$F:$F,"Y")</f>
        <v>0</v>
      </c>
      <c r="H24" s="2" t="str">
        <f aca="false">IF(G24&gt;=Settings!$B$3,"High",IF(G24&gt;=Settings!$B$5,"Medium","Low"))</f>
        <v>Low</v>
      </c>
      <c r="I24" s="2" t="n">
        <f aca="false">COUNTIFS(Map!$D:$D,$A24,Map!$G:$G,"Y")</f>
        <v>0</v>
      </c>
      <c r="J24" s="2" t="str">
        <f aca="false">IF(I24&gt;=Settings!$B$4,"High",IF(I24&gt;=Settings!$B$5,"Medium","Low"))</f>
        <v>Low</v>
      </c>
      <c r="K24" s="2" t="n">
        <f aca="false">COUNTIF(Map!$D:$D,$A24)</f>
        <v>0</v>
      </c>
    </row>
    <row r="25" customFormat="false" ht="15" hidden="false" customHeight="false" outlineLevel="0" collapsed="false">
      <c r="A25" s="2" t="n">
        <v>24</v>
      </c>
      <c r="B25" s="2" t="s">
        <v>28</v>
      </c>
      <c r="C25" s="2" t="s">
        <v>41</v>
      </c>
      <c r="D25" s="2" t="s">
        <v>13</v>
      </c>
      <c r="E25" s="2"/>
      <c r="F25" s="2" t="n">
        <v>24</v>
      </c>
      <c r="G25" s="2" t="n">
        <f aca="false">COUNTIFS(Map!$D:$D,$A25,Map!$F:$F,"Y")</f>
        <v>0</v>
      </c>
      <c r="H25" s="2" t="str">
        <f aca="false">IF(G25&gt;=Settings!$B$3,"High",IF(G25&gt;=Settings!$B$5,"Medium","Low"))</f>
        <v>Low</v>
      </c>
      <c r="I25" s="2" t="n">
        <f aca="false">COUNTIFS(Map!$D:$D,$A25,Map!$G:$G,"Y")</f>
        <v>0</v>
      </c>
      <c r="J25" s="2" t="str">
        <f aca="false">IF(I25&gt;=Settings!$B$4,"High",IF(I25&gt;=Settings!$B$5,"Medium","Low"))</f>
        <v>Low</v>
      </c>
      <c r="K25" s="2" t="n">
        <f aca="false">COUNTIF(Map!$D:$D,$A25)</f>
        <v>0</v>
      </c>
    </row>
    <row r="26" customFormat="false" ht="15" hidden="false" customHeight="false" outlineLevel="0" collapsed="false">
      <c r="A26" s="2" t="n">
        <v>25</v>
      </c>
      <c r="B26" s="2" t="s">
        <v>28</v>
      </c>
      <c r="C26" s="2" t="s">
        <v>42</v>
      </c>
      <c r="D26" s="2" t="s">
        <v>13</v>
      </c>
      <c r="E26" s="2"/>
      <c r="F26" s="2" t="n">
        <v>25</v>
      </c>
      <c r="G26" s="2" t="n">
        <f aca="false">COUNTIFS(Map!$D:$D,$A26,Map!$F:$F,"Y")</f>
        <v>0</v>
      </c>
      <c r="H26" s="2" t="str">
        <f aca="false">IF(G26&gt;=Settings!$B$3,"High",IF(G26&gt;=Settings!$B$5,"Medium","Low"))</f>
        <v>Low</v>
      </c>
      <c r="I26" s="2" t="n">
        <f aca="false">COUNTIFS(Map!$D:$D,$A26,Map!$G:$G,"Y")</f>
        <v>0</v>
      </c>
      <c r="J26" s="2" t="str">
        <f aca="false">IF(I26&gt;=Settings!$B$4,"High",IF(I26&gt;=Settings!$B$5,"Medium","Low"))</f>
        <v>Low</v>
      </c>
      <c r="K26" s="2" t="n">
        <f aca="false">COUNTIF(Map!$D:$D,$A26)</f>
        <v>0</v>
      </c>
    </row>
    <row r="27" customFormat="false" ht="15" hidden="false" customHeight="false" outlineLevel="0" collapsed="false">
      <c r="A27" s="2" t="n">
        <v>26</v>
      </c>
      <c r="B27" s="2" t="s">
        <v>28</v>
      </c>
      <c r="C27" s="2" t="s">
        <v>43</v>
      </c>
      <c r="D27" s="2" t="s">
        <v>13</v>
      </c>
      <c r="E27" s="2"/>
      <c r="F27" s="2" t="n">
        <v>26</v>
      </c>
      <c r="G27" s="2" t="n">
        <f aca="false">COUNTIFS(Map!$D:$D,$A27,Map!$F:$F,"Y")</f>
        <v>0</v>
      </c>
      <c r="H27" s="2" t="str">
        <f aca="false">IF(G27&gt;=Settings!$B$3,"High",IF(G27&gt;=Settings!$B$5,"Medium","Low"))</f>
        <v>Low</v>
      </c>
      <c r="I27" s="2" t="n">
        <f aca="false">COUNTIFS(Map!$D:$D,$A27,Map!$G:$G,"Y")</f>
        <v>0</v>
      </c>
      <c r="J27" s="2" t="str">
        <f aca="false">IF(I27&gt;=Settings!$B$4,"High",IF(I27&gt;=Settings!$B$5,"Medium","Low"))</f>
        <v>Low</v>
      </c>
      <c r="K27" s="2" t="n">
        <f aca="false">COUNTIF(Map!$D:$D,$A27)</f>
        <v>0</v>
      </c>
    </row>
    <row r="28" customFormat="false" ht="15" hidden="false" customHeight="false" outlineLevel="0" collapsed="false">
      <c r="A28" s="2" t="n">
        <v>27</v>
      </c>
      <c r="B28" s="2" t="s">
        <v>28</v>
      </c>
      <c r="C28" s="2" t="s">
        <v>44</v>
      </c>
      <c r="D28" s="2" t="s">
        <v>13</v>
      </c>
      <c r="E28" s="2"/>
      <c r="F28" s="2" t="n">
        <v>27</v>
      </c>
      <c r="G28" s="2" t="n">
        <f aca="false">COUNTIFS(Map!$D:$D,$A28,Map!$F:$F,"Y")</f>
        <v>0</v>
      </c>
      <c r="H28" s="2" t="str">
        <f aca="false">IF(G28&gt;=Settings!$B$3,"High",IF(G28&gt;=Settings!$B$5,"Medium","Low"))</f>
        <v>Low</v>
      </c>
      <c r="I28" s="2" t="n">
        <f aca="false">COUNTIFS(Map!$D:$D,$A28,Map!$G:$G,"Y")</f>
        <v>0</v>
      </c>
      <c r="J28" s="2" t="str">
        <f aca="false">IF(I28&gt;=Settings!$B$4,"High",IF(I28&gt;=Settings!$B$5,"Medium","Low"))</f>
        <v>Low</v>
      </c>
      <c r="K28" s="2" t="n">
        <f aca="false">COUNTIF(Map!$D:$D,$A28)</f>
        <v>0</v>
      </c>
    </row>
    <row r="29" customFormat="false" ht="15" hidden="false" customHeight="false" outlineLevel="0" collapsed="false">
      <c r="A29" s="2" t="n">
        <v>28</v>
      </c>
      <c r="B29" s="2" t="s">
        <v>28</v>
      </c>
      <c r="C29" s="2" t="s">
        <v>45</v>
      </c>
      <c r="D29" s="2" t="s">
        <v>13</v>
      </c>
      <c r="E29" s="2"/>
      <c r="F29" s="2" t="n">
        <v>28</v>
      </c>
      <c r="G29" s="2" t="n">
        <f aca="false">COUNTIFS(Map!$D:$D,$A29,Map!$F:$F,"Y")</f>
        <v>0</v>
      </c>
      <c r="H29" s="2" t="str">
        <f aca="false">IF(G29&gt;=Settings!$B$3,"High",IF(G29&gt;=Settings!$B$5,"Medium","Low"))</f>
        <v>Low</v>
      </c>
      <c r="I29" s="2" t="n">
        <f aca="false">COUNTIFS(Map!$D:$D,$A29,Map!$G:$G,"Y")</f>
        <v>0</v>
      </c>
      <c r="J29" s="2" t="str">
        <f aca="false">IF(I29&gt;=Settings!$B$4,"High",IF(I29&gt;=Settings!$B$5,"Medium","Low"))</f>
        <v>Low</v>
      </c>
      <c r="K29" s="2" t="n">
        <f aca="false">COUNTIF(Map!$D:$D,$A29)</f>
        <v>0</v>
      </c>
    </row>
    <row r="30" customFormat="false" ht="15" hidden="false" customHeight="false" outlineLevel="0" collapsed="false">
      <c r="A30" s="2" t="n">
        <v>29</v>
      </c>
      <c r="B30" s="2" t="s">
        <v>28</v>
      </c>
      <c r="C30" s="2" t="s">
        <v>46</v>
      </c>
      <c r="D30" s="2" t="s">
        <v>13</v>
      </c>
      <c r="E30" s="2"/>
      <c r="F30" s="2" t="n">
        <v>29</v>
      </c>
      <c r="G30" s="2" t="n">
        <f aca="false">COUNTIFS(Map!$D:$D,$A30,Map!$F:$F,"Y")</f>
        <v>0</v>
      </c>
      <c r="H30" s="2" t="str">
        <f aca="false">IF(G30&gt;=Settings!$B$3,"High",IF(G30&gt;=Settings!$B$5,"Medium","Low"))</f>
        <v>Low</v>
      </c>
      <c r="I30" s="2" t="n">
        <f aca="false">COUNTIFS(Map!$D:$D,$A30,Map!$G:$G,"Y")</f>
        <v>0</v>
      </c>
      <c r="J30" s="2" t="str">
        <f aca="false">IF(I30&gt;=Settings!$B$4,"High",IF(I30&gt;=Settings!$B$5,"Medium","Low"))</f>
        <v>Low</v>
      </c>
      <c r="K30" s="2" t="n">
        <f aca="false">COUNTIF(Map!$D:$D,$A30)</f>
        <v>0</v>
      </c>
    </row>
    <row r="31" customFormat="false" ht="15" hidden="false" customHeight="false" outlineLevel="0" collapsed="false">
      <c r="A31" s="2" t="n">
        <v>30</v>
      </c>
      <c r="B31" s="2" t="s">
        <v>28</v>
      </c>
      <c r="C31" s="2" t="s">
        <v>47</v>
      </c>
      <c r="D31" s="2" t="s">
        <v>13</v>
      </c>
      <c r="E31" s="2"/>
      <c r="F31" s="2" t="n">
        <v>30</v>
      </c>
      <c r="G31" s="2" t="n">
        <f aca="false">COUNTIFS(Map!$D:$D,$A31,Map!$F:$F,"Y")</f>
        <v>3</v>
      </c>
      <c r="H31" s="2" t="str">
        <f aca="false">IF(G31&gt;=Settings!$B$3,"High",IF(G31&gt;=Settings!$B$5,"Medium","Low"))</f>
        <v>Medium</v>
      </c>
      <c r="I31" s="2" t="n">
        <f aca="false">COUNTIFS(Map!$D:$D,$A31,Map!$G:$G,"Y")</f>
        <v>2</v>
      </c>
      <c r="J31" s="2" t="str">
        <f aca="false">IF(I31&gt;=Settings!$B$4,"High",IF(I31&gt;=Settings!$B$5,"Medium","Low"))</f>
        <v>Medium</v>
      </c>
      <c r="K31" s="2" t="n">
        <f aca="false">COUNTIF(Map!$D:$D,$A31)</f>
        <v>6</v>
      </c>
    </row>
    <row r="32" customFormat="false" ht="15" hidden="false" customHeight="false" outlineLevel="0" collapsed="false">
      <c r="A32" s="2" t="n">
        <v>31</v>
      </c>
      <c r="B32" s="2" t="s">
        <v>28</v>
      </c>
      <c r="C32" s="2" t="s">
        <v>48</v>
      </c>
      <c r="D32" s="2" t="s">
        <v>13</v>
      </c>
      <c r="E32" s="2"/>
      <c r="F32" s="2" t="n">
        <v>31</v>
      </c>
      <c r="G32" s="2" t="n">
        <f aca="false">COUNTIFS(Map!$D:$D,$A32,Map!$F:$F,"Y")</f>
        <v>0</v>
      </c>
      <c r="H32" s="2" t="str">
        <f aca="false">IF(G32&gt;=Settings!$B$3,"High",IF(G32&gt;=Settings!$B$5,"Medium","Low"))</f>
        <v>Low</v>
      </c>
      <c r="I32" s="2" t="n">
        <f aca="false">COUNTIFS(Map!$D:$D,$A32,Map!$G:$G,"Y")</f>
        <v>0</v>
      </c>
      <c r="J32" s="2" t="str">
        <f aca="false">IF(I32&gt;=Settings!$B$4,"High",IF(I32&gt;=Settings!$B$5,"Medium","Low"))</f>
        <v>Low</v>
      </c>
      <c r="K32" s="2" t="n">
        <f aca="false">COUNTIF(Map!$D:$D,$A32)</f>
        <v>0</v>
      </c>
    </row>
    <row r="33" customFormat="false" ht="15" hidden="false" customHeight="false" outlineLevel="0" collapsed="false">
      <c r="A33" s="2" t="n">
        <v>32</v>
      </c>
      <c r="B33" s="2" t="s">
        <v>28</v>
      </c>
      <c r="C33" s="2" t="s">
        <v>49</v>
      </c>
      <c r="D33" s="2" t="s">
        <v>13</v>
      </c>
      <c r="E33" s="2"/>
      <c r="F33" s="2" t="n">
        <v>32</v>
      </c>
      <c r="G33" s="2" t="n">
        <f aca="false">COUNTIFS(Map!$D:$D,$A33,Map!$F:$F,"Y")</f>
        <v>0</v>
      </c>
      <c r="H33" s="2" t="str">
        <f aca="false">IF(G33&gt;=Settings!$B$3,"High",IF(G33&gt;=Settings!$B$5,"Medium","Low"))</f>
        <v>Low</v>
      </c>
      <c r="I33" s="2" t="n">
        <f aca="false">COUNTIFS(Map!$D:$D,$A33,Map!$G:$G,"Y")</f>
        <v>0</v>
      </c>
      <c r="J33" s="2" t="str">
        <f aca="false">IF(I33&gt;=Settings!$B$4,"High",IF(I33&gt;=Settings!$B$5,"Medium","Low"))</f>
        <v>Low</v>
      </c>
      <c r="K33" s="2" t="n">
        <f aca="false">COUNTIF(Map!$D:$D,$A33)</f>
        <v>3</v>
      </c>
    </row>
    <row r="34" customFormat="false" ht="15" hidden="false" customHeight="false" outlineLevel="0" collapsed="false">
      <c r="A34" s="2" t="n">
        <v>33</v>
      </c>
      <c r="B34" s="2" t="s">
        <v>28</v>
      </c>
      <c r="C34" s="2" t="s">
        <v>50</v>
      </c>
      <c r="D34" s="2" t="s">
        <v>13</v>
      </c>
      <c r="E34" s="2"/>
      <c r="F34" s="2" t="n">
        <v>33</v>
      </c>
      <c r="G34" s="2" t="n">
        <f aca="false">COUNTIFS(Map!$D:$D,$A34,Map!$F:$F,"Y")</f>
        <v>0</v>
      </c>
      <c r="H34" s="2" t="str">
        <f aca="false">IF(G34&gt;=Settings!$B$3,"High",IF(G34&gt;=Settings!$B$5,"Medium","Low"))</f>
        <v>Low</v>
      </c>
      <c r="I34" s="2" t="n">
        <f aca="false">COUNTIFS(Map!$D:$D,$A34,Map!$G:$G,"Y")</f>
        <v>0</v>
      </c>
      <c r="J34" s="2" t="str">
        <f aca="false">IF(I34&gt;=Settings!$B$4,"High",IF(I34&gt;=Settings!$B$5,"Medium","Low"))</f>
        <v>Low</v>
      </c>
      <c r="K34" s="2" t="n">
        <f aca="false">COUNTIF(Map!$D:$D,$A34)</f>
        <v>3</v>
      </c>
    </row>
    <row r="35" customFormat="false" ht="15" hidden="false" customHeight="false" outlineLevel="0" collapsed="false">
      <c r="A35" s="2" t="n">
        <v>34</v>
      </c>
      <c r="B35" s="2" t="s">
        <v>28</v>
      </c>
      <c r="C35" s="2" t="s">
        <v>51</v>
      </c>
      <c r="D35" s="2" t="s">
        <v>13</v>
      </c>
      <c r="E35" s="2"/>
      <c r="F35" s="2" t="n">
        <v>34</v>
      </c>
      <c r="G35" s="2" t="n">
        <f aca="false">COUNTIFS(Map!$D:$D,$A35,Map!$F:$F,"Y")</f>
        <v>0</v>
      </c>
      <c r="H35" s="2" t="str">
        <f aca="false">IF(G35&gt;=Settings!$B$3,"High",IF(G35&gt;=Settings!$B$5,"Medium","Low"))</f>
        <v>Low</v>
      </c>
      <c r="I35" s="2" t="n">
        <f aca="false">COUNTIFS(Map!$D:$D,$A35,Map!$G:$G,"Y")</f>
        <v>0</v>
      </c>
      <c r="J35" s="2" t="str">
        <f aca="false">IF(I35&gt;=Settings!$B$4,"High",IF(I35&gt;=Settings!$B$5,"Medium","Low"))</f>
        <v>Low</v>
      </c>
      <c r="K35" s="2" t="n">
        <f aca="false">COUNTIF(Map!$D:$D,$A35)</f>
        <v>0</v>
      </c>
    </row>
    <row r="36" customFormat="false" ht="15" hidden="false" customHeight="false" outlineLevel="0" collapsed="false">
      <c r="A36" s="2" t="n">
        <v>35</v>
      </c>
      <c r="B36" s="2" t="s">
        <v>28</v>
      </c>
      <c r="C36" s="2" t="s">
        <v>52</v>
      </c>
      <c r="D36" s="2" t="s">
        <v>13</v>
      </c>
      <c r="E36" s="2"/>
      <c r="F36" s="2" t="n">
        <v>35</v>
      </c>
      <c r="G36" s="2" t="n">
        <f aca="false">COUNTIFS(Map!$D:$D,$A36,Map!$F:$F,"Y")</f>
        <v>0</v>
      </c>
      <c r="H36" s="2" t="str">
        <f aca="false">IF(G36&gt;=Settings!$B$3,"High",IF(G36&gt;=Settings!$B$5,"Medium","Low"))</f>
        <v>Low</v>
      </c>
      <c r="I36" s="2" t="n">
        <f aca="false">COUNTIFS(Map!$D:$D,$A36,Map!$G:$G,"Y")</f>
        <v>0</v>
      </c>
      <c r="J36" s="2" t="str">
        <f aca="false">IF(I36&gt;=Settings!$B$4,"High",IF(I36&gt;=Settings!$B$5,"Medium","Low"))</f>
        <v>Low</v>
      </c>
      <c r="K36" s="2" t="n">
        <f aca="false">COUNTIF(Map!$D:$D,$A36)</f>
        <v>4</v>
      </c>
    </row>
    <row r="37" customFormat="false" ht="15" hidden="false" customHeight="false" outlineLevel="0" collapsed="false">
      <c r="A37" s="2" t="n">
        <v>36</v>
      </c>
      <c r="B37" s="2" t="s">
        <v>28</v>
      </c>
      <c r="C37" s="2" t="s">
        <v>53</v>
      </c>
      <c r="D37" s="2" t="s">
        <v>13</v>
      </c>
      <c r="E37" s="2"/>
      <c r="F37" s="2" t="n">
        <v>36</v>
      </c>
      <c r="G37" s="2" t="n">
        <f aca="false">COUNTIFS(Map!$D:$D,$A37,Map!$F:$F,"Y")</f>
        <v>3</v>
      </c>
      <c r="H37" s="2" t="str">
        <f aca="false">IF(G37&gt;=Settings!$B$3,"High",IF(G37&gt;=Settings!$B$5,"Medium","Low"))</f>
        <v>Medium</v>
      </c>
      <c r="I37" s="2" t="n">
        <f aca="false">COUNTIFS(Map!$D:$D,$A37,Map!$G:$G,"Y")</f>
        <v>5</v>
      </c>
      <c r="J37" s="2" t="str">
        <f aca="false">IF(I37&gt;=Settings!$B$4,"High",IF(I37&gt;=Settings!$B$5,"Medium","Low"))</f>
        <v>Medium</v>
      </c>
      <c r="K37" s="2" t="n">
        <f aca="false">COUNTIF(Map!$D:$D,$A37)</f>
        <v>14</v>
      </c>
    </row>
    <row r="38" customFormat="false" ht="15" hidden="false" customHeight="false" outlineLevel="0" collapsed="false">
      <c r="A38" s="2" t="n">
        <v>37</v>
      </c>
      <c r="B38" s="2" t="s">
        <v>28</v>
      </c>
      <c r="C38" s="2" t="s">
        <v>54</v>
      </c>
      <c r="D38" s="2" t="s">
        <v>13</v>
      </c>
      <c r="E38" s="2"/>
      <c r="F38" s="2" t="n">
        <v>37</v>
      </c>
      <c r="G38" s="2" t="n">
        <f aca="false">COUNTIFS(Map!$D:$D,$A38,Map!$F:$F,"Y")</f>
        <v>0</v>
      </c>
      <c r="H38" s="2" t="str">
        <f aca="false">IF(G38&gt;=Settings!$B$3,"High",IF(G38&gt;=Settings!$B$5,"Medium","Low"))</f>
        <v>Low</v>
      </c>
      <c r="I38" s="2" t="n">
        <f aca="false">COUNTIFS(Map!$D:$D,$A38,Map!$G:$G,"Y")</f>
        <v>0</v>
      </c>
      <c r="J38" s="2" t="str">
        <f aca="false">IF(I38&gt;=Settings!$B$4,"High",IF(I38&gt;=Settings!$B$5,"Medium","Low"))</f>
        <v>Low</v>
      </c>
      <c r="K38" s="2" t="n">
        <f aca="false">COUNTIF(Map!$D:$D,$A38)</f>
        <v>0</v>
      </c>
    </row>
    <row r="39" customFormat="false" ht="15" hidden="false" customHeight="false" outlineLevel="0" collapsed="false">
      <c r="A39" s="2" t="n">
        <v>38</v>
      </c>
      <c r="B39" s="2" t="s">
        <v>28</v>
      </c>
      <c r="C39" s="2" t="s">
        <v>55</v>
      </c>
      <c r="D39" s="2" t="s">
        <v>13</v>
      </c>
      <c r="E39" s="2"/>
      <c r="F39" s="2" t="n">
        <v>38</v>
      </c>
      <c r="G39" s="2" t="n">
        <f aca="false">COUNTIFS(Map!$D:$D,$A39,Map!$F:$F,"Y")</f>
        <v>0</v>
      </c>
      <c r="H39" s="2" t="str">
        <f aca="false">IF(G39&gt;=Settings!$B$3,"High",IF(G39&gt;=Settings!$B$5,"Medium","Low"))</f>
        <v>Low</v>
      </c>
      <c r="I39" s="2" t="n">
        <f aca="false">COUNTIFS(Map!$D:$D,$A39,Map!$G:$G,"Y")</f>
        <v>0</v>
      </c>
      <c r="J39" s="2" t="str">
        <f aca="false">IF(I39&gt;=Settings!$B$4,"High",IF(I39&gt;=Settings!$B$5,"Medium","Low"))</f>
        <v>Low</v>
      </c>
      <c r="K39" s="2" t="n">
        <f aca="false">COUNTIF(Map!$D:$D,$A39)</f>
        <v>1</v>
      </c>
    </row>
    <row r="40" customFormat="false" ht="15" hidden="false" customHeight="false" outlineLevel="0" collapsed="false">
      <c r="A40" s="2" t="n">
        <v>39</v>
      </c>
      <c r="B40" s="2" t="s">
        <v>28</v>
      </c>
      <c r="C40" s="2" t="s">
        <v>56</v>
      </c>
      <c r="D40" s="2" t="s">
        <v>13</v>
      </c>
      <c r="E40" s="2"/>
      <c r="F40" s="2" t="n">
        <v>39</v>
      </c>
      <c r="G40" s="2" t="n">
        <f aca="false">COUNTIFS(Map!$D:$D,$A40,Map!$F:$F,"Y")</f>
        <v>4</v>
      </c>
      <c r="H40" s="2" t="str">
        <f aca="false">IF(G40&gt;=Settings!$B$3,"High",IF(G40&gt;=Settings!$B$5,"Medium","Low"))</f>
        <v>Medium</v>
      </c>
      <c r="I40" s="2" t="n">
        <f aca="false">COUNTIFS(Map!$D:$D,$A40,Map!$G:$G,"Y")</f>
        <v>3</v>
      </c>
      <c r="J40" s="2" t="str">
        <f aca="false">IF(I40&gt;=Settings!$B$4,"High",IF(I40&gt;=Settings!$B$5,"Medium","Low"))</f>
        <v>Medium</v>
      </c>
      <c r="K40" s="2" t="n">
        <f aca="false">COUNTIF(Map!$D:$D,$A40)</f>
        <v>10</v>
      </c>
    </row>
    <row r="41" customFormat="false" ht="15" hidden="false" customHeight="false" outlineLevel="0" collapsed="false">
      <c r="A41" s="2" t="n">
        <v>40</v>
      </c>
      <c r="B41" s="2" t="s">
        <v>28</v>
      </c>
      <c r="C41" s="2" t="s">
        <v>57</v>
      </c>
      <c r="D41" s="2" t="s">
        <v>13</v>
      </c>
      <c r="E41" s="2"/>
      <c r="F41" s="2" t="n">
        <v>40</v>
      </c>
      <c r="G41" s="2" t="n">
        <f aca="false">COUNTIFS(Map!$D:$D,$A41,Map!$F:$F,"Y")</f>
        <v>3</v>
      </c>
      <c r="H41" s="2" t="str">
        <f aca="false">IF(G41&gt;=Settings!$B$3,"High",IF(G41&gt;=Settings!$B$5,"Medium","Low"))</f>
        <v>Medium</v>
      </c>
      <c r="I41" s="2" t="n">
        <f aca="false">COUNTIFS(Map!$D:$D,$A41,Map!$G:$G,"Y")</f>
        <v>2</v>
      </c>
      <c r="J41" s="2" t="str">
        <f aca="false">IF(I41&gt;=Settings!$B$4,"High",IF(I41&gt;=Settings!$B$5,"Medium","Low"))</f>
        <v>Medium</v>
      </c>
      <c r="K41" s="2" t="n">
        <f aca="false">COUNTIF(Map!$D:$D,$A41)</f>
        <v>6</v>
      </c>
    </row>
    <row r="42" customFormat="false" ht="15" hidden="false" customHeight="false" outlineLevel="0" collapsed="false">
      <c r="A42" s="2" t="n">
        <v>41</v>
      </c>
      <c r="B42" s="2" t="s">
        <v>28</v>
      </c>
      <c r="C42" s="2" t="s">
        <v>58</v>
      </c>
      <c r="D42" s="2" t="s">
        <v>13</v>
      </c>
      <c r="E42" s="2"/>
      <c r="F42" s="2" t="n">
        <v>41</v>
      </c>
      <c r="G42" s="2" t="n">
        <f aca="false">COUNTIFS(Map!$D:$D,$A42,Map!$F:$F,"Y")</f>
        <v>1</v>
      </c>
      <c r="H42" s="2" t="str">
        <f aca="false">IF(G42&gt;=Settings!$B$3,"High",IF(G42&gt;=Settings!$B$5,"Medium","Low"))</f>
        <v>Medium</v>
      </c>
      <c r="I42" s="2" t="n">
        <f aca="false">COUNTIFS(Map!$D:$D,$A42,Map!$G:$G,"Y")</f>
        <v>1</v>
      </c>
      <c r="J42" s="2" t="str">
        <f aca="false">IF(I42&gt;=Settings!$B$4,"High",IF(I42&gt;=Settings!$B$5,"Medium","Low"))</f>
        <v>Medium</v>
      </c>
      <c r="K42" s="2" t="n">
        <f aca="false">COUNTIF(Map!$D:$D,$A42)</f>
        <v>5</v>
      </c>
    </row>
    <row r="43" customFormat="false" ht="15" hidden="false" customHeight="false" outlineLevel="0" collapsed="false">
      <c r="A43" s="2" t="n">
        <v>42</v>
      </c>
      <c r="B43" s="2" t="s">
        <v>28</v>
      </c>
      <c r="C43" s="2" t="s">
        <v>59</v>
      </c>
      <c r="D43" s="2" t="s">
        <v>13</v>
      </c>
      <c r="E43" s="2"/>
      <c r="F43" s="2" t="n">
        <v>42</v>
      </c>
      <c r="G43" s="2" t="n">
        <f aca="false">COUNTIFS(Map!$D:$D,$A43,Map!$F:$F,"Y")</f>
        <v>0</v>
      </c>
      <c r="H43" s="2" t="str">
        <f aca="false">IF(G43&gt;=Settings!$B$3,"High",IF(G43&gt;=Settings!$B$5,"Medium","Low"))</f>
        <v>Low</v>
      </c>
      <c r="I43" s="2" t="n">
        <f aca="false">COUNTIFS(Map!$D:$D,$A43,Map!$G:$G,"Y")</f>
        <v>0</v>
      </c>
      <c r="J43" s="2" t="str">
        <f aca="false">IF(I43&gt;=Settings!$B$4,"High",IF(I43&gt;=Settings!$B$5,"Medium","Low"))</f>
        <v>Low</v>
      </c>
      <c r="K43" s="2" t="n">
        <f aca="false">COUNTIF(Map!$D:$D,$A43)</f>
        <v>1</v>
      </c>
    </row>
    <row r="44" customFormat="false" ht="15" hidden="false" customHeight="false" outlineLevel="0" collapsed="false">
      <c r="A44" s="2" t="n">
        <v>43</v>
      </c>
      <c r="B44" s="2" t="s">
        <v>28</v>
      </c>
      <c r="C44" s="2" t="s">
        <v>60</v>
      </c>
      <c r="D44" s="2" t="s">
        <v>13</v>
      </c>
      <c r="E44" s="2"/>
      <c r="F44" s="2" t="n">
        <v>43</v>
      </c>
      <c r="G44" s="2" t="n">
        <f aca="false">COUNTIFS(Map!$D:$D,$A44,Map!$F:$F,"Y")</f>
        <v>0</v>
      </c>
      <c r="H44" s="2" t="str">
        <f aca="false">IF(G44&gt;=Settings!$B$3,"High",IF(G44&gt;=Settings!$B$5,"Medium","Low"))</f>
        <v>Low</v>
      </c>
      <c r="I44" s="2" t="n">
        <f aca="false">COUNTIFS(Map!$D:$D,$A44,Map!$G:$G,"Y")</f>
        <v>0</v>
      </c>
      <c r="J44" s="2" t="str">
        <f aca="false">IF(I44&gt;=Settings!$B$4,"High",IF(I44&gt;=Settings!$B$5,"Medium","Low"))</f>
        <v>Low</v>
      </c>
      <c r="K44" s="2" t="n">
        <f aca="false">COUNTIF(Map!$D:$D,$A44)</f>
        <v>0</v>
      </c>
    </row>
    <row r="45" customFormat="false" ht="15" hidden="false" customHeight="false" outlineLevel="0" collapsed="false">
      <c r="A45" s="2" t="n">
        <v>44</v>
      </c>
      <c r="B45" s="2" t="s">
        <v>28</v>
      </c>
      <c r="C45" s="2" t="s">
        <v>61</v>
      </c>
      <c r="D45" s="2" t="s">
        <v>13</v>
      </c>
      <c r="E45" s="2"/>
      <c r="F45" s="2" t="n">
        <v>44</v>
      </c>
      <c r="G45" s="2" t="n">
        <f aca="false">COUNTIFS(Map!$D:$D,$A45,Map!$F:$F,"Y")</f>
        <v>0</v>
      </c>
      <c r="H45" s="2" t="str">
        <f aca="false">IF(G45&gt;=Settings!$B$3,"High",IF(G45&gt;=Settings!$B$5,"Medium","Low"))</f>
        <v>Low</v>
      </c>
      <c r="I45" s="2" t="n">
        <f aca="false">COUNTIFS(Map!$D:$D,$A45,Map!$G:$G,"Y")</f>
        <v>0</v>
      </c>
      <c r="J45" s="2" t="str">
        <f aca="false">IF(I45&gt;=Settings!$B$4,"High",IF(I45&gt;=Settings!$B$5,"Medium","Low"))</f>
        <v>Low</v>
      </c>
      <c r="K45" s="2" t="n">
        <f aca="false">COUNTIF(Map!$D:$D,$A45)</f>
        <v>0</v>
      </c>
    </row>
    <row r="46" customFormat="false" ht="15" hidden="false" customHeight="false" outlineLevel="0" collapsed="false">
      <c r="A46" s="2" t="n">
        <v>45</v>
      </c>
      <c r="B46" s="2" t="s">
        <v>28</v>
      </c>
      <c r="C46" s="2" t="s">
        <v>62</v>
      </c>
      <c r="D46" s="2" t="s">
        <v>13</v>
      </c>
      <c r="E46" s="2"/>
      <c r="F46" s="2" t="n">
        <v>45</v>
      </c>
      <c r="G46" s="2" t="n">
        <f aca="false">COUNTIFS(Map!$D:$D,$A46,Map!$F:$F,"Y")</f>
        <v>0</v>
      </c>
      <c r="H46" s="2" t="str">
        <f aca="false">IF(G46&gt;=Settings!$B$3,"High",IF(G46&gt;=Settings!$B$5,"Medium","Low"))</f>
        <v>Low</v>
      </c>
      <c r="I46" s="2" t="n">
        <f aca="false">COUNTIFS(Map!$D:$D,$A46,Map!$G:$G,"Y")</f>
        <v>0</v>
      </c>
      <c r="J46" s="2" t="str">
        <f aca="false">IF(I46&gt;=Settings!$B$4,"High",IF(I46&gt;=Settings!$B$5,"Medium","Low"))</f>
        <v>Low</v>
      </c>
      <c r="K46" s="2" t="n">
        <f aca="false">COUNTIF(Map!$D:$D,$A46)</f>
        <v>2</v>
      </c>
    </row>
    <row r="47" customFormat="false" ht="15" hidden="false" customHeight="false" outlineLevel="0" collapsed="false">
      <c r="A47" s="2" t="n">
        <v>46</v>
      </c>
      <c r="B47" s="2" t="s">
        <v>28</v>
      </c>
      <c r="C47" s="2" t="s">
        <v>63</v>
      </c>
      <c r="D47" s="2" t="s">
        <v>13</v>
      </c>
      <c r="E47" s="2"/>
      <c r="F47" s="2" t="n">
        <v>46</v>
      </c>
      <c r="G47" s="2" t="n">
        <f aca="false">COUNTIFS(Map!$D:$D,$A47,Map!$F:$F,"Y")</f>
        <v>0</v>
      </c>
      <c r="H47" s="2" t="str">
        <f aca="false">IF(G47&gt;=Settings!$B$3,"High",IF(G47&gt;=Settings!$B$5,"Medium","Low"))</f>
        <v>Low</v>
      </c>
      <c r="I47" s="2" t="n">
        <f aca="false">COUNTIFS(Map!$D:$D,$A47,Map!$G:$G,"Y")</f>
        <v>0</v>
      </c>
      <c r="J47" s="2" t="str">
        <f aca="false">IF(I47&gt;=Settings!$B$4,"High",IF(I47&gt;=Settings!$B$5,"Medium","Low"))</f>
        <v>Low</v>
      </c>
      <c r="K47" s="2" t="n">
        <f aca="false">COUNTIF(Map!$D:$D,$A47)</f>
        <v>0</v>
      </c>
    </row>
    <row r="48" customFormat="false" ht="15" hidden="false" customHeight="false" outlineLevel="0" collapsed="false">
      <c r="A48" s="2" t="n">
        <v>47</v>
      </c>
      <c r="B48" s="2" t="s">
        <v>28</v>
      </c>
      <c r="C48" s="2" t="s">
        <v>64</v>
      </c>
      <c r="D48" s="2" t="s">
        <v>13</v>
      </c>
      <c r="E48" s="2"/>
      <c r="F48" s="2" t="n">
        <v>47</v>
      </c>
      <c r="G48" s="2" t="n">
        <f aca="false">COUNTIFS(Map!$D:$D,$A48,Map!$F:$F,"Y")</f>
        <v>0</v>
      </c>
      <c r="H48" s="2" t="str">
        <f aca="false">IF(G48&gt;=Settings!$B$3,"High",IF(G48&gt;=Settings!$B$5,"Medium","Low"))</f>
        <v>Low</v>
      </c>
      <c r="I48" s="2" t="n">
        <f aca="false">COUNTIFS(Map!$D:$D,$A48,Map!$G:$G,"Y")</f>
        <v>0</v>
      </c>
      <c r="J48" s="2" t="str">
        <f aca="false">IF(I48&gt;=Settings!$B$4,"High",IF(I48&gt;=Settings!$B$5,"Medium","Low"))</f>
        <v>Low</v>
      </c>
      <c r="K48" s="2" t="n">
        <f aca="false">COUNTIF(Map!$D:$D,$A48)</f>
        <v>2</v>
      </c>
    </row>
    <row r="49" customFormat="false" ht="15" hidden="false" customHeight="false" outlineLevel="0" collapsed="false">
      <c r="A49" s="2" t="n">
        <v>48</v>
      </c>
      <c r="B49" s="2" t="s">
        <v>28</v>
      </c>
      <c r="C49" s="2" t="s">
        <v>65</v>
      </c>
      <c r="D49" s="2" t="s">
        <v>13</v>
      </c>
      <c r="E49" s="2"/>
      <c r="F49" s="2" t="n">
        <v>48</v>
      </c>
      <c r="G49" s="2" t="n">
        <f aca="false">COUNTIFS(Map!$D:$D,$A49,Map!$F:$F,"Y")</f>
        <v>1</v>
      </c>
      <c r="H49" s="2" t="str">
        <f aca="false">IF(G49&gt;=Settings!$B$3,"High",IF(G49&gt;=Settings!$B$5,"Medium","Low"))</f>
        <v>Medium</v>
      </c>
      <c r="I49" s="2" t="n">
        <f aca="false">COUNTIFS(Map!$D:$D,$A49,Map!$G:$G,"Y")</f>
        <v>1</v>
      </c>
      <c r="J49" s="2" t="str">
        <f aca="false">IF(I49&gt;=Settings!$B$4,"High",IF(I49&gt;=Settings!$B$5,"Medium","Low"))</f>
        <v>Medium</v>
      </c>
      <c r="K49" s="2" t="n">
        <f aca="false">COUNTIF(Map!$D:$D,$A49)</f>
        <v>2</v>
      </c>
    </row>
    <row r="50" customFormat="false" ht="15" hidden="false" customHeight="false" outlineLevel="0" collapsed="false">
      <c r="A50" s="2" t="n">
        <v>49</v>
      </c>
      <c r="B50" s="2" t="s">
        <v>28</v>
      </c>
      <c r="C50" s="2" t="s">
        <v>66</v>
      </c>
      <c r="D50" s="2" t="s">
        <v>13</v>
      </c>
      <c r="E50" s="2"/>
      <c r="F50" s="2" t="n">
        <v>49</v>
      </c>
      <c r="G50" s="2" t="n">
        <f aca="false">COUNTIFS(Map!$D:$D,$A50,Map!$F:$F,"Y")</f>
        <v>0</v>
      </c>
      <c r="H50" s="2" t="str">
        <f aca="false">IF(G50&gt;=Settings!$B$3,"High",IF(G50&gt;=Settings!$B$5,"Medium","Low"))</f>
        <v>Low</v>
      </c>
      <c r="I50" s="2" t="n">
        <f aca="false">COUNTIFS(Map!$D:$D,$A50,Map!$G:$G,"Y")</f>
        <v>0</v>
      </c>
      <c r="J50" s="2" t="str">
        <f aca="false">IF(I50&gt;=Settings!$B$4,"High",IF(I50&gt;=Settings!$B$5,"Medium","Low"))</f>
        <v>Low</v>
      </c>
      <c r="K50" s="2" t="n">
        <f aca="false">COUNTIF(Map!$D:$D,$A50)</f>
        <v>1</v>
      </c>
    </row>
    <row r="51" customFormat="false" ht="15" hidden="false" customHeight="false" outlineLevel="0" collapsed="false">
      <c r="A51" s="2" t="n">
        <v>50</v>
      </c>
      <c r="B51" s="2" t="s">
        <v>28</v>
      </c>
      <c r="C51" s="2" t="s">
        <v>67</v>
      </c>
      <c r="D51" s="2" t="s">
        <v>13</v>
      </c>
      <c r="E51" s="2"/>
      <c r="F51" s="2" t="n">
        <v>50</v>
      </c>
      <c r="G51" s="2" t="n">
        <f aca="false">COUNTIFS(Map!$D:$D,$A51,Map!$F:$F,"Y")</f>
        <v>0</v>
      </c>
      <c r="H51" s="2" t="str">
        <f aca="false">IF(G51&gt;=Settings!$B$3,"High",IF(G51&gt;=Settings!$B$5,"Medium","Low"))</f>
        <v>Low</v>
      </c>
      <c r="I51" s="2" t="n">
        <f aca="false">COUNTIFS(Map!$D:$D,$A51,Map!$G:$G,"Y")</f>
        <v>0</v>
      </c>
      <c r="J51" s="2" t="str">
        <f aca="false">IF(I51&gt;=Settings!$B$4,"High",IF(I51&gt;=Settings!$B$5,"Medium","Low"))</f>
        <v>Low</v>
      </c>
      <c r="K51" s="2" t="n">
        <f aca="false">COUNTIF(Map!$D:$D,$A51)</f>
        <v>0</v>
      </c>
    </row>
    <row r="52" customFormat="false" ht="15" hidden="false" customHeight="false" outlineLevel="0" collapsed="false">
      <c r="A52" s="2" t="n">
        <v>51</v>
      </c>
      <c r="B52" s="2" t="s">
        <v>28</v>
      </c>
      <c r="C52" s="2" t="s">
        <v>68</v>
      </c>
      <c r="D52" s="2" t="s">
        <v>13</v>
      </c>
      <c r="E52" s="2"/>
      <c r="F52" s="2" t="n">
        <v>51</v>
      </c>
      <c r="G52" s="2" t="n">
        <f aca="false">COUNTIFS(Map!$D:$D,$A52,Map!$F:$F,"Y")</f>
        <v>0</v>
      </c>
      <c r="H52" s="2" t="str">
        <f aca="false">IF(G52&gt;=Settings!$B$3,"High",IF(G52&gt;=Settings!$B$5,"Medium","Low"))</f>
        <v>Low</v>
      </c>
      <c r="I52" s="2" t="n">
        <f aca="false">COUNTIFS(Map!$D:$D,$A52,Map!$G:$G,"Y")</f>
        <v>0</v>
      </c>
      <c r="J52" s="2" t="str">
        <f aca="false">IF(I52&gt;=Settings!$B$4,"High",IF(I52&gt;=Settings!$B$5,"Medium","Low"))</f>
        <v>Low</v>
      </c>
      <c r="K52" s="2" t="n">
        <f aca="false">COUNTIF(Map!$D:$D,$A52)</f>
        <v>1</v>
      </c>
    </row>
    <row r="53" customFormat="false" ht="15" hidden="false" customHeight="false" outlineLevel="0" collapsed="false">
      <c r="A53" s="2" t="n">
        <v>52</v>
      </c>
      <c r="B53" s="2" t="s">
        <v>28</v>
      </c>
      <c r="C53" s="2" t="s">
        <v>69</v>
      </c>
      <c r="D53" s="2" t="s">
        <v>13</v>
      </c>
      <c r="E53" s="2"/>
      <c r="F53" s="2" t="n">
        <v>52</v>
      </c>
      <c r="G53" s="2" t="n">
        <f aca="false">COUNTIFS(Map!$D:$D,$A53,Map!$F:$F,"Y")</f>
        <v>0</v>
      </c>
      <c r="H53" s="2" t="str">
        <f aca="false">IF(G53&gt;=Settings!$B$3,"High",IF(G53&gt;=Settings!$B$5,"Medium","Low"))</f>
        <v>Low</v>
      </c>
      <c r="I53" s="2" t="n">
        <f aca="false">COUNTIFS(Map!$D:$D,$A53,Map!$G:$G,"Y")</f>
        <v>0</v>
      </c>
      <c r="J53" s="2" t="str">
        <f aca="false">IF(I53&gt;=Settings!$B$4,"High",IF(I53&gt;=Settings!$B$5,"Medium","Low"))</f>
        <v>Low</v>
      </c>
      <c r="K53" s="2" t="n">
        <f aca="false">COUNTIF(Map!$D:$D,$A53)</f>
        <v>0</v>
      </c>
    </row>
    <row r="54" customFormat="false" ht="15" hidden="false" customHeight="false" outlineLevel="0" collapsed="false">
      <c r="A54" s="2" t="n">
        <v>53</v>
      </c>
      <c r="B54" s="2" t="s">
        <v>28</v>
      </c>
      <c r="C54" s="2" t="s">
        <v>70</v>
      </c>
      <c r="D54" s="2" t="s">
        <v>13</v>
      </c>
      <c r="E54" s="2"/>
      <c r="F54" s="2" t="n">
        <v>53</v>
      </c>
      <c r="G54" s="2" t="n">
        <f aca="false">COUNTIFS(Map!$D:$D,$A54,Map!$F:$F,"Y")</f>
        <v>0</v>
      </c>
      <c r="H54" s="2" t="str">
        <f aca="false">IF(G54&gt;=Settings!$B$3,"High",IF(G54&gt;=Settings!$B$5,"Medium","Low"))</f>
        <v>Low</v>
      </c>
      <c r="I54" s="2" t="n">
        <f aca="false">COUNTIFS(Map!$D:$D,$A54,Map!$G:$G,"Y")</f>
        <v>0</v>
      </c>
      <c r="J54" s="2" t="str">
        <f aca="false">IF(I54&gt;=Settings!$B$4,"High",IF(I54&gt;=Settings!$B$5,"Medium","Low"))</f>
        <v>Low</v>
      </c>
      <c r="K54" s="2" t="n">
        <f aca="false">COUNTIF(Map!$D:$D,$A54)</f>
        <v>2</v>
      </c>
    </row>
    <row r="55" customFormat="false" ht="15" hidden="false" customHeight="false" outlineLevel="0" collapsed="false">
      <c r="A55" s="2" t="n">
        <v>54</v>
      </c>
      <c r="B55" s="2" t="s">
        <v>28</v>
      </c>
      <c r="C55" s="2" t="s">
        <v>71</v>
      </c>
      <c r="D55" s="2" t="s">
        <v>13</v>
      </c>
      <c r="E55" s="2"/>
      <c r="F55" s="2" t="n">
        <v>54</v>
      </c>
      <c r="G55" s="2" t="n">
        <f aca="false">COUNTIFS(Map!$D:$D,$A55,Map!$F:$F,"Y")</f>
        <v>0</v>
      </c>
      <c r="H55" s="2" t="str">
        <f aca="false">IF(G55&gt;=Settings!$B$3,"High",IF(G55&gt;=Settings!$B$5,"Medium","Low"))</f>
        <v>Low</v>
      </c>
      <c r="I55" s="2" t="n">
        <f aca="false">COUNTIFS(Map!$D:$D,$A55,Map!$G:$G,"Y")</f>
        <v>0</v>
      </c>
      <c r="J55" s="2" t="str">
        <f aca="false">IF(I55&gt;=Settings!$B$4,"High",IF(I55&gt;=Settings!$B$5,"Medium","Low"))</f>
        <v>Low</v>
      </c>
      <c r="K55" s="2" t="n">
        <f aca="false">COUNTIF(Map!$D:$D,$A55)</f>
        <v>0</v>
      </c>
    </row>
    <row r="56" customFormat="false" ht="15" hidden="false" customHeight="false" outlineLevel="0" collapsed="false">
      <c r="A56" s="2" t="n">
        <v>55</v>
      </c>
      <c r="B56" s="2" t="s">
        <v>72</v>
      </c>
      <c r="C56" s="2" t="s">
        <v>73</v>
      </c>
      <c r="D56" s="2" t="s">
        <v>13</v>
      </c>
      <c r="E56" s="2"/>
      <c r="F56" s="2" t="n">
        <v>55</v>
      </c>
      <c r="G56" s="2" t="n">
        <f aca="false">COUNTIFS(Map!$D:$D,$A56,Map!$F:$F,"Y")</f>
        <v>0</v>
      </c>
      <c r="H56" s="2" t="str">
        <f aca="false">IF(G56&gt;=Settings!$B$3,"High",IF(G56&gt;=Settings!$B$5,"Medium","Low"))</f>
        <v>Low</v>
      </c>
      <c r="I56" s="2" t="n">
        <f aca="false">COUNTIFS(Map!$D:$D,$A56,Map!$G:$G,"Y")</f>
        <v>0</v>
      </c>
      <c r="J56" s="2" t="str">
        <f aca="false">IF(I56&gt;=Settings!$B$4,"High",IF(I56&gt;=Settings!$B$5,"Medium","Low"))</f>
        <v>Low</v>
      </c>
      <c r="K56" s="2" t="n">
        <f aca="false">COUNTIF(Map!$D:$D,$A56)</f>
        <v>3</v>
      </c>
    </row>
    <row r="57" customFormat="false" ht="15" hidden="false" customHeight="false" outlineLevel="0" collapsed="false">
      <c r="A57" s="2" t="n">
        <v>56</v>
      </c>
      <c r="B57" s="2" t="s">
        <v>72</v>
      </c>
      <c r="C57" s="2" t="s">
        <v>74</v>
      </c>
      <c r="D57" s="2" t="s">
        <v>13</v>
      </c>
      <c r="E57" s="2"/>
      <c r="F57" s="2" t="n">
        <v>56</v>
      </c>
      <c r="G57" s="2" t="n">
        <f aca="false">COUNTIFS(Map!$D:$D,$A57,Map!$F:$F,"Y")</f>
        <v>0</v>
      </c>
      <c r="H57" s="2" t="str">
        <f aca="false">IF(G57&gt;=Settings!$B$3,"High",IF(G57&gt;=Settings!$B$5,"Medium","Low"))</f>
        <v>Low</v>
      </c>
      <c r="I57" s="2" t="n">
        <f aca="false">COUNTIFS(Map!$D:$D,$A57,Map!$G:$G,"Y")</f>
        <v>0</v>
      </c>
      <c r="J57" s="2" t="str">
        <f aca="false">IF(I57&gt;=Settings!$B$4,"High",IF(I57&gt;=Settings!$B$5,"Medium","Low"))</f>
        <v>Low</v>
      </c>
      <c r="K57" s="2" t="n">
        <f aca="false">COUNTIF(Map!$D:$D,$A57)</f>
        <v>2</v>
      </c>
    </row>
    <row r="58" customFormat="false" ht="15" hidden="false" customHeight="false" outlineLevel="0" collapsed="false">
      <c r="A58" s="2" t="n">
        <v>57</v>
      </c>
      <c r="B58" s="2" t="s">
        <v>72</v>
      </c>
      <c r="C58" s="2" t="s">
        <v>75</v>
      </c>
      <c r="D58" s="2" t="s">
        <v>13</v>
      </c>
      <c r="E58" s="2"/>
      <c r="F58" s="2" t="n">
        <v>57</v>
      </c>
      <c r="G58" s="2" t="n">
        <f aca="false">COUNTIFS(Map!$D:$D,$A58,Map!$F:$F,"Y")</f>
        <v>3</v>
      </c>
      <c r="H58" s="2" t="str">
        <f aca="false">IF(G58&gt;=Settings!$B$3,"High",IF(G58&gt;=Settings!$B$5,"Medium","Low"))</f>
        <v>Medium</v>
      </c>
      <c r="I58" s="2" t="n">
        <f aca="false">COUNTIFS(Map!$D:$D,$A58,Map!$G:$G,"Y")</f>
        <v>5</v>
      </c>
      <c r="J58" s="2" t="str">
        <f aca="false">IF(I58&gt;=Settings!$B$4,"High",IF(I58&gt;=Settings!$B$5,"Medium","Low"))</f>
        <v>Medium</v>
      </c>
      <c r="K58" s="2" t="n">
        <f aca="false">COUNTIF(Map!$D:$D,$A58)</f>
        <v>19</v>
      </c>
    </row>
    <row r="59" customFormat="false" ht="15" hidden="false" customHeight="false" outlineLevel="0" collapsed="false">
      <c r="A59" s="2" t="n">
        <v>58</v>
      </c>
      <c r="B59" s="2" t="s">
        <v>72</v>
      </c>
      <c r="C59" s="2" t="s">
        <v>76</v>
      </c>
      <c r="D59" s="2" t="s">
        <v>13</v>
      </c>
      <c r="E59" s="2"/>
      <c r="F59" s="2" t="n">
        <v>58</v>
      </c>
      <c r="G59" s="2" t="n">
        <f aca="false">COUNTIFS(Map!$D:$D,$A59,Map!$F:$F,"Y")</f>
        <v>0</v>
      </c>
      <c r="H59" s="2" t="str">
        <f aca="false">IF(G59&gt;=Settings!$B$3,"High",IF(G59&gt;=Settings!$B$5,"Medium","Low"))</f>
        <v>Low</v>
      </c>
      <c r="I59" s="2" t="n">
        <f aca="false">COUNTIFS(Map!$D:$D,$A59,Map!$G:$G,"Y")</f>
        <v>1</v>
      </c>
      <c r="J59" s="2" t="str">
        <f aca="false">IF(I59&gt;=Settings!$B$4,"High",IF(I59&gt;=Settings!$B$5,"Medium","Low"))</f>
        <v>Medium</v>
      </c>
      <c r="K59" s="2" t="n">
        <f aca="false">COUNTIF(Map!$D:$D,$A59)</f>
        <v>5</v>
      </c>
    </row>
    <row r="60" customFormat="false" ht="15" hidden="false" customHeight="false" outlineLevel="0" collapsed="false">
      <c r="A60" s="2" t="n">
        <v>59</v>
      </c>
      <c r="B60" s="2" t="s">
        <v>72</v>
      </c>
      <c r="C60" s="2" t="s">
        <v>77</v>
      </c>
      <c r="D60" s="2" t="s">
        <v>13</v>
      </c>
      <c r="E60" s="2"/>
      <c r="F60" s="2" t="n">
        <v>59</v>
      </c>
      <c r="G60" s="2" t="n">
        <f aca="false">COUNTIFS(Map!$D:$D,$A60,Map!$F:$F,"Y")</f>
        <v>1</v>
      </c>
      <c r="H60" s="2" t="str">
        <f aca="false">IF(G60&gt;=Settings!$B$3,"High",IF(G60&gt;=Settings!$B$5,"Medium","Low"))</f>
        <v>Medium</v>
      </c>
      <c r="I60" s="2" t="n">
        <f aca="false">COUNTIFS(Map!$D:$D,$A60,Map!$G:$G,"Y")</f>
        <v>1</v>
      </c>
      <c r="J60" s="2" t="str">
        <f aca="false">IF(I60&gt;=Settings!$B$4,"High",IF(I60&gt;=Settings!$B$5,"Medium","Low"))</f>
        <v>Medium</v>
      </c>
      <c r="K60" s="2" t="n">
        <f aca="false">COUNTIF(Map!$D:$D,$A60)</f>
        <v>3</v>
      </c>
    </row>
    <row r="61" customFormat="false" ht="15" hidden="false" customHeight="false" outlineLevel="0" collapsed="false">
      <c r="A61" s="2" t="n">
        <v>60</v>
      </c>
      <c r="B61" s="2" t="s">
        <v>78</v>
      </c>
      <c r="C61" s="2" t="s">
        <v>79</v>
      </c>
      <c r="D61" s="2" t="s">
        <v>13</v>
      </c>
      <c r="E61" s="2"/>
      <c r="F61" s="2" t="n">
        <v>60</v>
      </c>
      <c r="G61" s="2" t="n">
        <f aca="false">COUNTIFS(Map!$D:$D,$A61,Map!$F:$F,"Y")</f>
        <v>0</v>
      </c>
      <c r="H61" s="2" t="str">
        <f aca="false">IF(G61&gt;=Settings!$B$3,"High",IF(G61&gt;=Settings!$B$5,"Medium","Low"))</f>
        <v>Low</v>
      </c>
      <c r="I61" s="2" t="n">
        <f aca="false">COUNTIFS(Map!$D:$D,$A61,Map!$G:$G,"Y")</f>
        <v>0</v>
      </c>
      <c r="J61" s="2" t="str">
        <f aca="false">IF(I61&gt;=Settings!$B$4,"High",IF(I61&gt;=Settings!$B$5,"Medium","Low"))</f>
        <v>Low</v>
      </c>
      <c r="K61" s="2" t="n">
        <f aca="false">COUNTIF(Map!$D:$D,$A61)</f>
        <v>3</v>
      </c>
    </row>
    <row r="62" customFormat="false" ht="15" hidden="false" customHeight="false" outlineLevel="0" collapsed="false">
      <c r="A62" s="2" t="n">
        <v>61</v>
      </c>
      <c r="B62" s="2" t="s">
        <v>78</v>
      </c>
      <c r="C62" s="2" t="s">
        <v>80</v>
      </c>
      <c r="D62" s="2" t="s">
        <v>13</v>
      </c>
      <c r="E62" s="2"/>
      <c r="F62" s="2" t="n">
        <v>61</v>
      </c>
      <c r="G62" s="2" t="n">
        <f aca="false">COUNTIFS(Map!$D:$D,$A62,Map!$F:$F,"Y")</f>
        <v>0</v>
      </c>
      <c r="H62" s="2" t="str">
        <f aca="false">IF(G62&gt;=Settings!$B$3,"High",IF(G62&gt;=Settings!$B$5,"Medium","Low"))</f>
        <v>Low</v>
      </c>
      <c r="I62" s="2" t="n">
        <f aca="false">COUNTIFS(Map!$D:$D,$A62,Map!$G:$G,"Y")</f>
        <v>0</v>
      </c>
      <c r="J62" s="2" t="str">
        <f aca="false">IF(I62&gt;=Settings!$B$4,"High",IF(I62&gt;=Settings!$B$5,"Medium","Low"))</f>
        <v>Low</v>
      </c>
      <c r="K62" s="2" t="n">
        <f aca="false">COUNTIF(Map!$D:$D,$A62)</f>
        <v>0</v>
      </c>
    </row>
    <row r="63" customFormat="false" ht="15" hidden="false" customHeight="false" outlineLevel="0" collapsed="false">
      <c r="A63" s="2" t="n">
        <v>62</v>
      </c>
      <c r="B63" s="2" t="s">
        <v>81</v>
      </c>
      <c r="C63" s="2" t="s">
        <v>82</v>
      </c>
      <c r="D63" s="2" t="s">
        <v>13</v>
      </c>
      <c r="E63" s="2"/>
      <c r="F63" s="2" t="n">
        <v>62</v>
      </c>
      <c r="G63" s="2" t="n">
        <f aca="false">COUNTIFS(Map!$D:$D,$A63,Map!$F:$F,"Y")</f>
        <v>0</v>
      </c>
      <c r="H63" s="2" t="str">
        <f aca="false">IF(G63&gt;=Settings!$B$3,"High",IF(G63&gt;=Settings!$B$5,"Medium","Low"))</f>
        <v>Low</v>
      </c>
      <c r="I63" s="2" t="n">
        <f aca="false">COUNTIFS(Map!$D:$D,$A63,Map!$G:$G,"Y")</f>
        <v>0</v>
      </c>
      <c r="J63" s="2" t="str">
        <f aca="false">IF(I63&gt;=Settings!$B$4,"High",IF(I63&gt;=Settings!$B$5,"Medium","Low"))</f>
        <v>Low</v>
      </c>
      <c r="K63" s="2" t="n">
        <f aca="false">COUNTIF(Map!$D:$D,$A63)</f>
        <v>1</v>
      </c>
    </row>
    <row r="64" customFormat="false" ht="15" hidden="false" customHeight="false" outlineLevel="0" collapsed="false">
      <c r="A64" s="2" t="n">
        <v>63</v>
      </c>
      <c r="B64" s="2" t="s">
        <v>81</v>
      </c>
      <c r="C64" s="2" t="s">
        <v>83</v>
      </c>
      <c r="D64" s="2" t="s">
        <v>13</v>
      </c>
      <c r="E64" s="2"/>
      <c r="F64" s="2" t="n">
        <v>63</v>
      </c>
      <c r="G64" s="2" t="n">
        <f aca="false">COUNTIFS(Map!$D:$D,$A64,Map!$F:$F,"Y")</f>
        <v>0</v>
      </c>
      <c r="H64" s="2" t="str">
        <f aca="false">IF(G64&gt;=Settings!$B$3,"High",IF(G64&gt;=Settings!$B$5,"Medium","Low"))</f>
        <v>Low</v>
      </c>
      <c r="I64" s="2" t="n">
        <f aca="false">COUNTIFS(Map!$D:$D,$A64,Map!$G:$G,"Y")</f>
        <v>0</v>
      </c>
      <c r="J64" s="2" t="str">
        <f aca="false">IF(I64&gt;=Settings!$B$4,"High",IF(I64&gt;=Settings!$B$5,"Medium","Low"))</f>
        <v>Low</v>
      </c>
      <c r="K64" s="2" t="n">
        <f aca="false">COUNTIF(Map!$D:$D,$A64)</f>
        <v>0</v>
      </c>
    </row>
    <row r="65" customFormat="false" ht="15" hidden="false" customHeight="false" outlineLevel="0" collapsed="false">
      <c r="A65" s="2" t="n">
        <v>64</v>
      </c>
      <c r="B65" s="2" t="s">
        <v>81</v>
      </c>
      <c r="C65" s="2" t="s">
        <v>84</v>
      </c>
      <c r="D65" s="2" t="s">
        <v>13</v>
      </c>
      <c r="E65" s="2"/>
      <c r="F65" s="2" t="n">
        <v>64</v>
      </c>
      <c r="G65" s="2" t="n">
        <f aca="false">COUNTIFS(Map!$D:$D,$A65,Map!$F:$F,"Y")</f>
        <v>0</v>
      </c>
      <c r="H65" s="2" t="str">
        <f aca="false">IF(G65&gt;=Settings!$B$3,"High",IF(G65&gt;=Settings!$B$5,"Medium","Low"))</f>
        <v>Low</v>
      </c>
      <c r="I65" s="2" t="n">
        <f aca="false">COUNTIFS(Map!$D:$D,$A65,Map!$G:$G,"Y")</f>
        <v>0</v>
      </c>
      <c r="J65" s="2" t="str">
        <f aca="false">IF(I65&gt;=Settings!$B$4,"High",IF(I65&gt;=Settings!$B$5,"Medium","Low"))</f>
        <v>Low</v>
      </c>
      <c r="K65" s="2" t="n">
        <f aca="false">COUNTIF(Map!$D:$D,$A65)</f>
        <v>0</v>
      </c>
    </row>
    <row r="66" customFormat="false" ht="15" hidden="false" customHeight="false" outlineLevel="0" collapsed="false">
      <c r="A66" s="2" t="n">
        <v>65</v>
      </c>
      <c r="B66" s="2" t="s">
        <v>81</v>
      </c>
      <c r="C66" s="2" t="s">
        <v>85</v>
      </c>
      <c r="D66" s="2" t="s">
        <v>13</v>
      </c>
      <c r="E66" s="2"/>
      <c r="F66" s="2" t="n">
        <v>65</v>
      </c>
      <c r="G66" s="2" t="n">
        <f aca="false">COUNTIFS(Map!$D:$D,$A66,Map!$F:$F,"Y")</f>
        <v>0</v>
      </c>
      <c r="H66" s="2" t="str">
        <f aca="false">IF(G66&gt;=Settings!$B$3,"High",IF(G66&gt;=Settings!$B$5,"Medium","Low"))</f>
        <v>Low</v>
      </c>
      <c r="I66" s="2" t="n">
        <f aca="false">COUNTIFS(Map!$D:$D,$A66,Map!$G:$G,"Y")</f>
        <v>1</v>
      </c>
      <c r="J66" s="2" t="str">
        <f aca="false">IF(I66&gt;=Settings!$B$4,"High",IF(I66&gt;=Settings!$B$5,"Medium","Low"))</f>
        <v>Medium</v>
      </c>
      <c r="K66" s="2" t="n">
        <f aca="false">COUNTIF(Map!$D:$D,$A66)</f>
        <v>10</v>
      </c>
    </row>
    <row r="67" customFormat="false" ht="15" hidden="false" customHeight="false" outlineLevel="0" collapsed="false">
      <c r="A67" s="2" t="n">
        <v>66</v>
      </c>
      <c r="B67" s="2" t="s">
        <v>81</v>
      </c>
      <c r="C67" s="2" t="s">
        <v>86</v>
      </c>
      <c r="D67" s="2" t="s">
        <v>13</v>
      </c>
      <c r="E67" s="2"/>
      <c r="F67" s="2" t="n">
        <v>66</v>
      </c>
      <c r="G67" s="2" t="n">
        <f aca="false">COUNTIFS(Map!$D:$D,$A67,Map!$F:$F,"Y")</f>
        <v>0</v>
      </c>
      <c r="H67" s="2" t="str">
        <f aca="false">IF(G67&gt;=Settings!$B$3,"High",IF(G67&gt;=Settings!$B$5,"Medium","Low"))</f>
        <v>Low</v>
      </c>
      <c r="I67" s="2" t="n">
        <f aca="false">COUNTIFS(Map!$D:$D,$A67,Map!$G:$G,"Y")</f>
        <v>0</v>
      </c>
      <c r="J67" s="2" t="str">
        <f aca="false">IF(I67&gt;=Settings!$B$4,"High",IF(I67&gt;=Settings!$B$5,"Medium","Low"))</f>
        <v>Low</v>
      </c>
      <c r="K67" s="2" t="n">
        <f aca="false">COUNTIF(Map!$D:$D,$A67)</f>
        <v>0</v>
      </c>
    </row>
    <row r="68" customFormat="false" ht="15" hidden="false" customHeight="false" outlineLevel="0" collapsed="false">
      <c r="A68" s="2" t="n">
        <v>67</v>
      </c>
      <c r="B68" s="2" t="s">
        <v>81</v>
      </c>
      <c r="C68" s="2" t="s">
        <v>87</v>
      </c>
      <c r="D68" s="2" t="s">
        <v>13</v>
      </c>
      <c r="E68" s="2"/>
      <c r="F68" s="2" t="n">
        <v>67</v>
      </c>
      <c r="G68" s="2" t="n">
        <f aca="false">COUNTIFS(Map!$D:$D,$A68,Map!$F:$F,"Y")</f>
        <v>0</v>
      </c>
      <c r="H68" s="2" t="str">
        <f aca="false">IF(G68&gt;=Settings!$B$3,"High",IF(G68&gt;=Settings!$B$5,"Medium","Low"))</f>
        <v>Low</v>
      </c>
      <c r="I68" s="2" t="n">
        <f aca="false">COUNTIFS(Map!$D:$D,$A68,Map!$G:$G,"Y")</f>
        <v>0</v>
      </c>
      <c r="J68" s="2" t="str">
        <f aca="false">IF(I68&gt;=Settings!$B$4,"High",IF(I68&gt;=Settings!$B$5,"Medium","Low"))</f>
        <v>Low</v>
      </c>
      <c r="K68" s="2" t="n">
        <f aca="false">COUNTIF(Map!$D:$D,$A68)</f>
        <v>1</v>
      </c>
    </row>
    <row r="69" customFormat="false" ht="15" hidden="false" customHeight="false" outlineLevel="0" collapsed="false">
      <c r="A69" s="2" t="n">
        <v>68</v>
      </c>
      <c r="B69" s="2" t="s">
        <v>81</v>
      </c>
      <c r="C69" s="2" t="s">
        <v>88</v>
      </c>
      <c r="D69" s="2" t="s">
        <v>13</v>
      </c>
      <c r="E69" s="2"/>
      <c r="F69" s="2" t="n">
        <v>68</v>
      </c>
      <c r="G69" s="2" t="n">
        <f aca="false">COUNTIFS(Map!$D:$D,$A69,Map!$F:$F,"Y")</f>
        <v>0</v>
      </c>
      <c r="H69" s="2" t="str">
        <f aca="false">IF(G69&gt;=Settings!$B$3,"High",IF(G69&gt;=Settings!$B$5,"Medium","Low"))</f>
        <v>Low</v>
      </c>
      <c r="I69" s="2" t="n">
        <f aca="false">COUNTIFS(Map!$D:$D,$A69,Map!$G:$G,"Y")</f>
        <v>0</v>
      </c>
      <c r="J69" s="2" t="str">
        <f aca="false">IF(I69&gt;=Settings!$B$4,"High",IF(I69&gt;=Settings!$B$5,"Medium","Low"))</f>
        <v>Low</v>
      </c>
      <c r="K69" s="2" t="n">
        <f aca="false">COUNTIF(Map!$D:$D,$A69)</f>
        <v>0</v>
      </c>
    </row>
    <row r="70" customFormat="false" ht="15" hidden="false" customHeight="false" outlineLevel="0" collapsed="false">
      <c r="A70" s="2" t="n">
        <v>69</v>
      </c>
      <c r="B70" s="2" t="s">
        <v>89</v>
      </c>
      <c r="C70" s="2" t="s">
        <v>90</v>
      </c>
      <c r="D70" s="2" t="s">
        <v>13</v>
      </c>
      <c r="E70" s="2"/>
      <c r="F70" s="2" t="n">
        <v>69</v>
      </c>
      <c r="G70" s="2" t="n">
        <f aca="false">COUNTIFS(Map!$D:$D,$A70,Map!$F:$F,"Y")</f>
        <v>0</v>
      </c>
      <c r="H70" s="2" t="str">
        <f aca="false">IF(G70&gt;=Settings!$B$3,"High",IF(G70&gt;=Settings!$B$5,"Medium","Low"))</f>
        <v>Low</v>
      </c>
      <c r="I70" s="2" t="n">
        <f aca="false">COUNTIFS(Map!$D:$D,$A70,Map!$G:$G,"Y")</f>
        <v>0</v>
      </c>
      <c r="J70" s="2" t="str">
        <f aca="false">IF(I70&gt;=Settings!$B$4,"High",IF(I70&gt;=Settings!$B$5,"Medium","Low"))</f>
        <v>Low</v>
      </c>
      <c r="K70" s="2" t="n">
        <f aca="false">COUNTIF(Map!$D:$D,$A70)</f>
        <v>0</v>
      </c>
    </row>
    <row r="71" customFormat="false" ht="15" hidden="false" customHeight="false" outlineLevel="0" collapsed="false">
      <c r="A71" s="2" t="n">
        <v>70</v>
      </c>
      <c r="B71" s="2" t="s">
        <v>89</v>
      </c>
      <c r="C71" s="2" t="s">
        <v>91</v>
      </c>
      <c r="D71" s="2" t="s">
        <v>13</v>
      </c>
      <c r="E71" s="2"/>
      <c r="F71" s="2" t="n">
        <v>70</v>
      </c>
      <c r="G71" s="2" t="n">
        <f aca="false">COUNTIFS(Map!$D:$D,$A71,Map!$F:$F,"Y")</f>
        <v>0</v>
      </c>
      <c r="H71" s="2" t="str">
        <f aca="false">IF(G71&gt;=Settings!$B$3,"High",IF(G71&gt;=Settings!$B$5,"Medium","Low"))</f>
        <v>Low</v>
      </c>
      <c r="I71" s="2" t="n">
        <f aca="false">COUNTIFS(Map!$D:$D,$A71,Map!$G:$G,"Y")</f>
        <v>0</v>
      </c>
      <c r="J71" s="2" t="str">
        <f aca="false">IF(I71&gt;=Settings!$B$4,"High",IF(I71&gt;=Settings!$B$5,"Medium","Low"))</f>
        <v>Low</v>
      </c>
      <c r="K71" s="2" t="n">
        <f aca="false">COUNTIF(Map!$D:$D,$A71)</f>
        <v>0</v>
      </c>
    </row>
    <row r="72" customFormat="false" ht="15" hidden="false" customHeight="false" outlineLevel="0" collapsed="false">
      <c r="A72" s="2" t="n">
        <v>71</v>
      </c>
      <c r="B72" s="2" t="s">
        <v>89</v>
      </c>
      <c r="C72" s="2" t="s">
        <v>92</v>
      </c>
      <c r="D72" s="2" t="s">
        <v>13</v>
      </c>
      <c r="E72" s="2"/>
      <c r="F72" s="2" t="n">
        <v>71</v>
      </c>
      <c r="G72" s="2" t="n">
        <f aca="false">COUNTIFS(Map!$D:$D,$A72,Map!$F:$F,"Y")</f>
        <v>0</v>
      </c>
      <c r="H72" s="2" t="str">
        <f aca="false">IF(G72&gt;=Settings!$B$3,"High",IF(G72&gt;=Settings!$B$5,"Medium","Low"))</f>
        <v>Low</v>
      </c>
      <c r="I72" s="2" t="n">
        <f aca="false">COUNTIFS(Map!$D:$D,$A72,Map!$G:$G,"Y")</f>
        <v>0</v>
      </c>
      <c r="J72" s="2" t="str">
        <f aca="false">IF(I72&gt;=Settings!$B$4,"High",IF(I72&gt;=Settings!$B$5,"Medium","Low"))</f>
        <v>Low</v>
      </c>
      <c r="K72" s="2" t="n">
        <f aca="false">COUNTIF(Map!$D:$D,$A72)</f>
        <v>0</v>
      </c>
    </row>
    <row r="73" customFormat="false" ht="15" hidden="false" customHeight="false" outlineLevel="0" collapsed="false">
      <c r="A73" s="2" t="n">
        <v>72</v>
      </c>
      <c r="B73" s="2" t="s">
        <v>89</v>
      </c>
      <c r="C73" s="2" t="s">
        <v>93</v>
      </c>
      <c r="D73" s="2" t="s">
        <v>13</v>
      </c>
      <c r="E73" s="2"/>
      <c r="F73" s="2" t="n">
        <v>72</v>
      </c>
      <c r="G73" s="2" t="n">
        <f aca="false">COUNTIFS(Map!$D:$D,$A73,Map!$F:$F,"Y")</f>
        <v>0</v>
      </c>
      <c r="H73" s="2" t="str">
        <f aca="false">IF(G73&gt;=Settings!$B$3,"High",IF(G73&gt;=Settings!$B$5,"Medium","Low"))</f>
        <v>Low</v>
      </c>
      <c r="I73" s="2" t="n">
        <f aca="false">COUNTIFS(Map!$D:$D,$A73,Map!$G:$G,"Y")</f>
        <v>0</v>
      </c>
      <c r="J73" s="2" t="str">
        <f aca="false">IF(I73&gt;=Settings!$B$4,"High",IF(I73&gt;=Settings!$B$5,"Medium","Low"))</f>
        <v>Low</v>
      </c>
      <c r="K73" s="2" t="n">
        <f aca="false">COUNTIF(Map!$D:$D,$A73)</f>
        <v>0</v>
      </c>
    </row>
    <row r="74" customFormat="false" ht="15" hidden="false" customHeight="false" outlineLevel="0" collapsed="false">
      <c r="A74" s="2" t="n">
        <v>73</v>
      </c>
      <c r="B74" s="2" t="s">
        <v>89</v>
      </c>
      <c r="C74" s="2" t="s">
        <v>94</v>
      </c>
      <c r="D74" s="2" t="s">
        <v>13</v>
      </c>
      <c r="E74" s="2"/>
      <c r="F74" s="2" t="n">
        <v>73</v>
      </c>
      <c r="G74" s="2" t="n">
        <f aca="false">COUNTIFS(Map!$D:$D,$A74,Map!$F:$F,"Y")</f>
        <v>0</v>
      </c>
      <c r="H74" s="2" t="str">
        <f aca="false">IF(G74&gt;=Settings!$B$3,"High",IF(G74&gt;=Settings!$B$5,"Medium","Low"))</f>
        <v>Low</v>
      </c>
      <c r="I74" s="2" t="n">
        <f aca="false">COUNTIFS(Map!$D:$D,$A74,Map!$G:$G,"Y")</f>
        <v>0</v>
      </c>
      <c r="J74" s="2" t="str">
        <f aca="false">IF(I74&gt;=Settings!$B$4,"High",IF(I74&gt;=Settings!$B$5,"Medium","Low"))</f>
        <v>Low</v>
      </c>
      <c r="K74" s="2" t="n">
        <f aca="false">COUNTIF(Map!$D:$D,$A74)</f>
        <v>1</v>
      </c>
    </row>
    <row r="75" customFormat="false" ht="15" hidden="false" customHeight="false" outlineLevel="0" collapsed="false">
      <c r="A75" s="2" t="n">
        <v>74</v>
      </c>
      <c r="B75" s="2" t="s">
        <v>95</v>
      </c>
      <c r="C75" s="2" t="s">
        <v>96</v>
      </c>
      <c r="D75" s="2" t="s">
        <v>13</v>
      </c>
      <c r="E75" s="2"/>
      <c r="F75" s="2" t="n">
        <v>74</v>
      </c>
      <c r="G75" s="2" t="n">
        <f aca="false">COUNTIFS(Map!$D:$D,$A75,Map!$F:$F,"Y")</f>
        <v>7</v>
      </c>
      <c r="H75" s="2" t="str">
        <f aca="false">IF(G75&gt;=Settings!$B$3,"High",IF(G75&gt;=Settings!$B$5,"Medium","Low"))</f>
        <v>High</v>
      </c>
      <c r="I75" s="2" t="n">
        <f aca="false">COUNTIFS(Map!$D:$D,$A75,Map!$G:$G,"Y")</f>
        <v>5</v>
      </c>
      <c r="J75" s="2" t="str">
        <f aca="false">IF(I75&gt;=Settings!$B$4,"High",IF(I75&gt;=Settings!$B$5,"Medium","Low"))</f>
        <v>Medium</v>
      </c>
      <c r="K75" s="2" t="n">
        <f aca="false">COUNTIF(Map!$D:$D,$A75)</f>
        <v>25</v>
      </c>
    </row>
    <row r="76" customFormat="false" ht="15" hidden="false" customHeight="false" outlineLevel="0" collapsed="false">
      <c r="A76" s="2" t="n">
        <v>75</v>
      </c>
      <c r="B76" s="2" t="s">
        <v>95</v>
      </c>
      <c r="C76" s="2" t="s">
        <v>97</v>
      </c>
      <c r="D76" s="2" t="s">
        <v>13</v>
      </c>
      <c r="E76" s="2"/>
      <c r="F76" s="2" t="n">
        <v>75</v>
      </c>
      <c r="G76" s="2" t="n">
        <f aca="false">COUNTIFS(Map!$D:$D,$A76,Map!$F:$F,"Y")</f>
        <v>0</v>
      </c>
      <c r="H76" s="2" t="str">
        <f aca="false">IF(G76&gt;=Settings!$B$3,"High",IF(G76&gt;=Settings!$B$5,"Medium","Low"))</f>
        <v>Low</v>
      </c>
      <c r="I76" s="2" t="n">
        <f aca="false">COUNTIFS(Map!$D:$D,$A76,Map!$G:$G,"Y")</f>
        <v>0</v>
      </c>
      <c r="J76" s="2" t="str">
        <f aca="false">IF(I76&gt;=Settings!$B$4,"High",IF(I76&gt;=Settings!$B$5,"Medium","Low"))</f>
        <v>Low</v>
      </c>
      <c r="K76" s="2" t="n">
        <f aca="false">COUNTIF(Map!$D:$D,$A76)</f>
        <v>2</v>
      </c>
    </row>
    <row r="77" customFormat="false" ht="23.85" hidden="false" customHeight="false" outlineLevel="0" collapsed="false">
      <c r="A77" s="2" t="n">
        <v>76</v>
      </c>
      <c r="B77" s="2" t="s">
        <v>95</v>
      </c>
      <c r="C77" s="2" t="s">
        <v>98</v>
      </c>
      <c r="D77" s="2" t="s">
        <v>13</v>
      </c>
      <c r="E77" s="2"/>
      <c r="F77" s="2" t="n">
        <v>76</v>
      </c>
      <c r="G77" s="2" t="n">
        <f aca="false">COUNTIFS(Map!$D:$D,$A77,Map!$F:$F,"Y")</f>
        <v>4</v>
      </c>
      <c r="H77" s="2" t="str">
        <f aca="false">IF(G77&gt;=Settings!$B$3,"High",IF(G77&gt;=Settings!$B$5,"Medium","Low"))</f>
        <v>Medium</v>
      </c>
      <c r="I77" s="2" t="n">
        <f aca="false">COUNTIFS(Map!$D:$D,$A77,Map!$G:$G,"Y")</f>
        <v>4</v>
      </c>
      <c r="J77" s="2" t="str">
        <f aca="false">IF(I77&gt;=Settings!$B$4,"High",IF(I77&gt;=Settings!$B$5,"Medium","Low"))</f>
        <v>Medium</v>
      </c>
      <c r="K77" s="2" t="n">
        <f aca="false">COUNTIF(Map!$D:$D,$A77)</f>
        <v>11</v>
      </c>
    </row>
    <row r="78" customFormat="false" ht="15" hidden="false" customHeight="false" outlineLevel="0" collapsed="false">
      <c r="A78" s="2" t="n">
        <v>77</v>
      </c>
      <c r="B78" s="2" t="s">
        <v>95</v>
      </c>
      <c r="C78" s="2" t="s">
        <v>99</v>
      </c>
      <c r="D78" s="2" t="s">
        <v>13</v>
      </c>
      <c r="E78" s="2"/>
      <c r="F78" s="2" t="n">
        <v>77</v>
      </c>
      <c r="G78" s="2" t="n">
        <f aca="false">COUNTIFS(Map!$D:$D,$A78,Map!$F:$F,"Y")</f>
        <v>0</v>
      </c>
      <c r="H78" s="2" t="str">
        <f aca="false">IF(G78&gt;=Settings!$B$3,"High",IF(G78&gt;=Settings!$B$5,"Medium","Low"))</f>
        <v>Low</v>
      </c>
      <c r="I78" s="2" t="n">
        <f aca="false">COUNTIFS(Map!$D:$D,$A78,Map!$G:$G,"Y")</f>
        <v>0</v>
      </c>
      <c r="J78" s="2" t="str">
        <f aca="false">IF(I78&gt;=Settings!$B$4,"High",IF(I78&gt;=Settings!$B$5,"Medium","Low"))</f>
        <v>Low</v>
      </c>
      <c r="K78" s="2" t="n">
        <f aca="false">COUNTIF(Map!$D:$D,$A78)</f>
        <v>6</v>
      </c>
    </row>
    <row r="79" customFormat="false" ht="15" hidden="false" customHeight="false" outlineLevel="0" collapsed="false">
      <c r="A79" s="2" t="n">
        <v>78</v>
      </c>
      <c r="B79" s="2" t="s">
        <v>95</v>
      </c>
      <c r="C79" s="2" t="s">
        <v>100</v>
      </c>
      <c r="D79" s="2" t="s">
        <v>13</v>
      </c>
      <c r="E79" s="2"/>
      <c r="F79" s="2" t="n">
        <v>78</v>
      </c>
      <c r="G79" s="2" t="n">
        <f aca="false">COUNTIFS(Map!$D:$D,$A79,Map!$F:$F,"Y")</f>
        <v>0</v>
      </c>
      <c r="H79" s="2" t="str">
        <f aca="false">IF(G79&gt;=Settings!$B$3,"High",IF(G79&gt;=Settings!$B$5,"Medium","Low"))</f>
        <v>Low</v>
      </c>
      <c r="I79" s="2" t="n">
        <f aca="false">COUNTIFS(Map!$D:$D,$A79,Map!$G:$G,"Y")</f>
        <v>0</v>
      </c>
      <c r="J79" s="2" t="str">
        <f aca="false">IF(I79&gt;=Settings!$B$4,"High",IF(I79&gt;=Settings!$B$5,"Medium","Low"))</f>
        <v>Low</v>
      </c>
      <c r="K79" s="2" t="n">
        <f aca="false">COUNTIF(Map!$D:$D,$A79)</f>
        <v>1</v>
      </c>
    </row>
    <row r="80" customFormat="false" ht="15" hidden="false" customHeight="false" outlineLevel="0" collapsed="false">
      <c r="A80" s="2" t="n">
        <v>79</v>
      </c>
      <c r="B80" s="2" t="s">
        <v>95</v>
      </c>
      <c r="C80" s="2" t="s">
        <v>101</v>
      </c>
      <c r="D80" s="2" t="s">
        <v>13</v>
      </c>
      <c r="E80" s="2"/>
      <c r="F80" s="2" t="n">
        <v>79</v>
      </c>
      <c r="G80" s="2" t="n">
        <f aca="false">COUNTIFS(Map!$D:$D,$A80,Map!$F:$F,"Y")</f>
        <v>0</v>
      </c>
      <c r="H80" s="2" t="str">
        <f aca="false">IF(G80&gt;=Settings!$B$3,"High",IF(G80&gt;=Settings!$B$5,"Medium","Low"))</f>
        <v>Low</v>
      </c>
      <c r="I80" s="2" t="n">
        <f aca="false">COUNTIFS(Map!$D:$D,$A80,Map!$G:$G,"Y")</f>
        <v>1</v>
      </c>
      <c r="J80" s="2" t="str">
        <f aca="false">IF(I80&gt;=Settings!$B$4,"High",IF(I80&gt;=Settings!$B$5,"Medium","Low"))</f>
        <v>Medium</v>
      </c>
      <c r="K80" s="2" t="n">
        <f aca="false">COUNTIF(Map!$D:$D,$A80)</f>
        <v>2</v>
      </c>
    </row>
    <row r="81" customFormat="false" ht="15" hidden="false" customHeight="false" outlineLevel="0" collapsed="false">
      <c r="A81" s="2" t="n">
        <v>80</v>
      </c>
      <c r="B81" s="2" t="s">
        <v>102</v>
      </c>
      <c r="C81" s="2" t="s">
        <v>103</v>
      </c>
      <c r="D81" s="2" t="s">
        <v>13</v>
      </c>
      <c r="E81" s="2"/>
      <c r="F81" s="2" t="n">
        <v>80</v>
      </c>
      <c r="G81" s="2" t="n">
        <f aca="false">COUNTIFS(Map!$D:$D,$A81,Map!$F:$F,"Y")</f>
        <v>11</v>
      </c>
      <c r="H81" s="2" t="str">
        <f aca="false">IF(G81&gt;=Settings!$B$3,"High",IF(G81&gt;=Settings!$B$5,"Medium","Low"))</f>
        <v>High</v>
      </c>
      <c r="I81" s="2" t="n">
        <f aca="false">COUNTIFS(Map!$D:$D,$A81,Map!$G:$G,"Y")</f>
        <v>9</v>
      </c>
      <c r="J81" s="2" t="str">
        <f aca="false">IF(I81&gt;=Settings!$B$4,"High",IF(I81&gt;=Settings!$B$5,"Medium","Low"))</f>
        <v>High</v>
      </c>
      <c r="K81" s="2" t="n">
        <f aca="false">COUNTIF(Map!$D:$D,$A81)</f>
        <v>33</v>
      </c>
    </row>
    <row r="82" customFormat="false" ht="15" hidden="false" customHeight="false" outlineLevel="0" collapsed="false">
      <c r="A82" s="2" t="n">
        <v>81</v>
      </c>
      <c r="B82" s="2" t="s">
        <v>102</v>
      </c>
      <c r="C82" s="2" t="s">
        <v>104</v>
      </c>
      <c r="D82" s="2" t="s">
        <v>13</v>
      </c>
      <c r="E82" s="2"/>
      <c r="F82" s="2" t="n">
        <v>81</v>
      </c>
      <c r="G82" s="2" t="n">
        <f aca="false">COUNTIFS(Map!$D:$D,$A82,Map!$F:$F,"Y")</f>
        <v>1</v>
      </c>
      <c r="H82" s="2" t="str">
        <f aca="false">IF(G82&gt;=Settings!$B$3,"High",IF(G82&gt;=Settings!$B$5,"Medium","Low"))</f>
        <v>Medium</v>
      </c>
      <c r="I82" s="2" t="n">
        <f aca="false">COUNTIFS(Map!$D:$D,$A82,Map!$G:$G,"Y")</f>
        <v>1</v>
      </c>
      <c r="J82" s="2" t="str">
        <f aca="false">IF(I82&gt;=Settings!$B$4,"High",IF(I82&gt;=Settings!$B$5,"Medium","Low"))</f>
        <v>Medium</v>
      </c>
      <c r="K82" s="2" t="n">
        <f aca="false">COUNTIF(Map!$D:$D,$A82)</f>
        <v>7</v>
      </c>
    </row>
    <row r="83" customFormat="false" ht="15" hidden="false" customHeight="false" outlineLevel="0" collapsed="false">
      <c r="A83" s="2" t="n">
        <v>82</v>
      </c>
      <c r="B83" s="2" t="s">
        <v>102</v>
      </c>
      <c r="C83" s="2" t="s">
        <v>105</v>
      </c>
      <c r="D83" s="2" t="s">
        <v>13</v>
      </c>
      <c r="E83" s="2"/>
      <c r="F83" s="2" t="n">
        <v>82</v>
      </c>
      <c r="G83" s="2" t="n">
        <f aca="false">COUNTIFS(Map!$D:$D,$A83,Map!$F:$F,"Y")</f>
        <v>0</v>
      </c>
      <c r="H83" s="2" t="str">
        <f aca="false">IF(G83&gt;=Settings!$B$3,"High",IF(G83&gt;=Settings!$B$5,"Medium","Low"))</f>
        <v>Low</v>
      </c>
      <c r="I83" s="2" t="n">
        <f aca="false">COUNTIFS(Map!$D:$D,$A83,Map!$G:$G,"Y")</f>
        <v>0</v>
      </c>
      <c r="J83" s="2" t="str">
        <f aca="false">IF(I83&gt;=Settings!$B$4,"High",IF(I83&gt;=Settings!$B$5,"Medium","Low"))</f>
        <v>Low</v>
      </c>
      <c r="K83" s="2" t="n">
        <f aca="false">COUNTIF(Map!$D:$D,$A83)</f>
        <v>0</v>
      </c>
    </row>
    <row r="84" customFormat="false" ht="15" hidden="false" customHeight="false" outlineLevel="0" collapsed="false">
      <c r="A84" s="2" t="n">
        <v>83</v>
      </c>
      <c r="B84" s="2" t="s">
        <v>102</v>
      </c>
      <c r="C84" s="2" t="s">
        <v>106</v>
      </c>
      <c r="D84" s="2" t="s">
        <v>13</v>
      </c>
      <c r="E84" s="2"/>
      <c r="F84" s="2" t="n">
        <v>83</v>
      </c>
      <c r="G84" s="2" t="n">
        <f aca="false">COUNTIFS(Map!$D:$D,$A84,Map!$F:$F,"Y")</f>
        <v>0</v>
      </c>
      <c r="H84" s="2" t="str">
        <f aca="false">IF(G84&gt;=Settings!$B$3,"High",IF(G84&gt;=Settings!$B$5,"Medium","Low"))</f>
        <v>Low</v>
      </c>
      <c r="I84" s="2" t="n">
        <f aca="false">COUNTIFS(Map!$D:$D,$A84,Map!$G:$G,"Y")</f>
        <v>0</v>
      </c>
      <c r="J84" s="2" t="str">
        <f aca="false">IF(I84&gt;=Settings!$B$4,"High",IF(I84&gt;=Settings!$B$5,"Medium","Low"))</f>
        <v>Low</v>
      </c>
      <c r="K84" s="2" t="n">
        <f aca="false">COUNTIF(Map!$D:$D,$A84)</f>
        <v>0</v>
      </c>
    </row>
    <row r="85" customFormat="false" ht="15" hidden="false" customHeight="false" outlineLevel="0" collapsed="false">
      <c r="A85" s="2" t="n">
        <v>84</v>
      </c>
      <c r="B85" s="2" t="s">
        <v>102</v>
      </c>
      <c r="C85" s="2" t="s">
        <v>107</v>
      </c>
      <c r="D85" s="2" t="s">
        <v>13</v>
      </c>
      <c r="E85" s="2"/>
      <c r="F85" s="2" t="n">
        <v>84</v>
      </c>
      <c r="G85" s="2" t="n">
        <f aca="false">COUNTIFS(Map!$D:$D,$A85,Map!$F:$F,"Y")</f>
        <v>0</v>
      </c>
      <c r="H85" s="2" t="str">
        <f aca="false">IF(G85&gt;=Settings!$B$3,"High",IF(G85&gt;=Settings!$B$5,"Medium","Low"))</f>
        <v>Low</v>
      </c>
      <c r="I85" s="2" t="n">
        <f aca="false">COUNTIFS(Map!$D:$D,$A85,Map!$G:$G,"Y")</f>
        <v>0</v>
      </c>
      <c r="J85" s="2" t="str">
        <f aca="false">IF(I85&gt;=Settings!$B$4,"High",IF(I85&gt;=Settings!$B$5,"Medium","Low"))</f>
        <v>Low</v>
      </c>
      <c r="K85" s="2" t="n">
        <f aca="false">COUNTIF(Map!$D:$D,$A85)</f>
        <v>0</v>
      </c>
    </row>
    <row r="86" customFormat="false" ht="15" hidden="false" customHeight="false" outlineLevel="0" collapsed="false">
      <c r="A86" s="2" t="n">
        <v>85</v>
      </c>
      <c r="B86" s="2" t="s">
        <v>102</v>
      </c>
      <c r="C86" s="2" t="s">
        <v>108</v>
      </c>
      <c r="D86" s="2" t="s">
        <v>13</v>
      </c>
      <c r="E86" s="2"/>
      <c r="F86" s="2" t="n">
        <v>85</v>
      </c>
      <c r="G86" s="2" t="n">
        <f aca="false">COUNTIFS(Map!$D:$D,$A86,Map!$F:$F,"Y")</f>
        <v>0</v>
      </c>
      <c r="H86" s="2" t="str">
        <f aca="false">IF(G86&gt;=Settings!$B$3,"High",IF(G86&gt;=Settings!$B$5,"Medium","Low"))</f>
        <v>Low</v>
      </c>
      <c r="I86" s="2" t="n">
        <f aca="false">COUNTIFS(Map!$D:$D,$A86,Map!$G:$G,"Y")</f>
        <v>0</v>
      </c>
      <c r="J86" s="2" t="str">
        <f aca="false">IF(I86&gt;=Settings!$B$4,"High",IF(I86&gt;=Settings!$B$5,"Medium","Low"))</f>
        <v>Low</v>
      </c>
      <c r="K86" s="2" t="n">
        <f aca="false">COUNTIF(Map!$D:$D,$A86)</f>
        <v>0</v>
      </c>
    </row>
    <row r="87" customFormat="false" ht="23.85" hidden="false" customHeight="false" outlineLevel="0" collapsed="false">
      <c r="A87" s="2" t="n">
        <v>86</v>
      </c>
      <c r="B87" s="2" t="s">
        <v>102</v>
      </c>
      <c r="C87" s="2" t="s">
        <v>109</v>
      </c>
      <c r="D87" s="2" t="s">
        <v>13</v>
      </c>
      <c r="E87" s="2"/>
      <c r="F87" s="2" t="n">
        <v>86</v>
      </c>
      <c r="G87" s="2" t="n">
        <f aca="false">COUNTIFS(Map!$D:$D,$A87,Map!$F:$F,"Y")</f>
        <v>0</v>
      </c>
      <c r="H87" s="2" t="str">
        <f aca="false">IF(G87&gt;=Settings!$B$3,"High",IF(G87&gt;=Settings!$B$5,"Medium","Low"))</f>
        <v>Low</v>
      </c>
      <c r="I87" s="2" t="n">
        <f aca="false">COUNTIFS(Map!$D:$D,$A87,Map!$G:$G,"Y")</f>
        <v>0</v>
      </c>
      <c r="J87" s="2" t="str">
        <f aca="false">IF(I87&gt;=Settings!$B$4,"High",IF(I87&gt;=Settings!$B$5,"Medium","Low"))</f>
        <v>Low</v>
      </c>
      <c r="K87" s="2" t="n">
        <f aca="false">COUNTIF(Map!$D:$D,$A87)</f>
        <v>1</v>
      </c>
    </row>
    <row r="88" customFormat="false" ht="15" hidden="false" customHeight="false" outlineLevel="0" collapsed="false">
      <c r="A88" s="2" t="n">
        <v>87</v>
      </c>
      <c r="B88" s="2" t="s">
        <v>110</v>
      </c>
      <c r="C88" s="2" t="s">
        <v>111</v>
      </c>
      <c r="D88" s="2" t="s">
        <v>13</v>
      </c>
      <c r="E88" s="2"/>
      <c r="F88" s="2" t="n">
        <v>87</v>
      </c>
      <c r="G88" s="2" t="n">
        <f aca="false">COUNTIFS(Map!$D:$D,$A88,Map!$F:$F,"Y")</f>
        <v>2</v>
      </c>
      <c r="H88" s="2" t="str">
        <f aca="false">IF(G88&gt;=Settings!$B$3,"High",IF(G88&gt;=Settings!$B$5,"Medium","Low"))</f>
        <v>Medium</v>
      </c>
      <c r="I88" s="2" t="n">
        <f aca="false">COUNTIFS(Map!$D:$D,$A88,Map!$G:$G,"Y")</f>
        <v>2</v>
      </c>
      <c r="J88" s="2" t="str">
        <f aca="false">IF(I88&gt;=Settings!$B$4,"High",IF(I88&gt;=Settings!$B$5,"Medium","Low"))</f>
        <v>Medium</v>
      </c>
      <c r="K88" s="2" t="n">
        <f aca="false">COUNTIF(Map!$D:$D,$A88)</f>
        <v>3</v>
      </c>
    </row>
    <row r="89" customFormat="false" ht="23.85" hidden="false" customHeight="false" outlineLevel="0" collapsed="false">
      <c r="A89" s="2" t="n">
        <v>88</v>
      </c>
      <c r="B89" s="2" t="s">
        <v>110</v>
      </c>
      <c r="C89" s="2" t="s">
        <v>112</v>
      </c>
      <c r="D89" s="2" t="s">
        <v>13</v>
      </c>
      <c r="E89" s="2"/>
      <c r="F89" s="2" t="n">
        <v>88</v>
      </c>
      <c r="G89" s="2" t="n">
        <f aca="false">COUNTIFS(Map!$D:$D,$A89,Map!$F:$F,"Y")</f>
        <v>3</v>
      </c>
      <c r="H89" s="2" t="str">
        <f aca="false">IF(G89&gt;=Settings!$B$3,"High",IF(G89&gt;=Settings!$B$5,"Medium","Low"))</f>
        <v>Medium</v>
      </c>
      <c r="I89" s="2" t="n">
        <f aca="false">COUNTIFS(Map!$D:$D,$A89,Map!$G:$G,"Y")</f>
        <v>2</v>
      </c>
      <c r="J89" s="2" t="str">
        <f aca="false">IF(I89&gt;=Settings!$B$4,"High",IF(I89&gt;=Settings!$B$5,"Medium","Low"))</f>
        <v>Medium</v>
      </c>
      <c r="K89" s="2" t="n">
        <f aca="false">COUNTIF(Map!$D:$D,$A89)</f>
        <v>4</v>
      </c>
    </row>
    <row r="90" customFormat="false" ht="15" hidden="false" customHeight="false" outlineLevel="0" collapsed="false">
      <c r="A90" s="2" t="n">
        <v>89</v>
      </c>
      <c r="B90" s="2" t="s">
        <v>110</v>
      </c>
      <c r="C90" s="2" t="s">
        <v>113</v>
      </c>
      <c r="D90" s="2" t="s">
        <v>13</v>
      </c>
      <c r="E90" s="2"/>
      <c r="F90" s="2" t="n">
        <v>89</v>
      </c>
      <c r="G90" s="2" t="n">
        <f aca="false">COUNTIFS(Map!$D:$D,$A90,Map!$F:$F,"Y")</f>
        <v>0</v>
      </c>
      <c r="H90" s="2" t="str">
        <f aca="false">IF(G90&gt;=Settings!$B$3,"High",IF(G90&gt;=Settings!$B$5,"Medium","Low"))</f>
        <v>Low</v>
      </c>
      <c r="I90" s="2" t="n">
        <f aca="false">COUNTIFS(Map!$D:$D,$A90,Map!$G:$G,"Y")</f>
        <v>0</v>
      </c>
      <c r="J90" s="2" t="str">
        <f aca="false">IF(I90&gt;=Settings!$B$4,"High",IF(I90&gt;=Settings!$B$5,"Medium","Low"))</f>
        <v>Low</v>
      </c>
      <c r="K90" s="2" t="n">
        <f aca="false">COUNTIF(Map!$D:$D,$A90)</f>
        <v>0</v>
      </c>
    </row>
    <row r="91" customFormat="false" ht="15" hidden="false" customHeight="false" outlineLevel="0" collapsed="false">
      <c r="A91" s="2" t="n">
        <v>90</v>
      </c>
      <c r="B91" s="2" t="s">
        <v>110</v>
      </c>
      <c r="C91" s="2" t="s">
        <v>114</v>
      </c>
      <c r="D91" s="2" t="s">
        <v>13</v>
      </c>
      <c r="E91" s="2"/>
      <c r="F91" s="2" t="n">
        <v>90</v>
      </c>
      <c r="G91" s="2" t="n">
        <f aca="false">COUNTIFS(Map!$D:$D,$A91,Map!$F:$F,"Y")</f>
        <v>1</v>
      </c>
      <c r="H91" s="2" t="str">
        <f aca="false">IF(G91&gt;=Settings!$B$3,"High",IF(G91&gt;=Settings!$B$5,"Medium","Low"))</f>
        <v>Medium</v>
      </c>
      <c r="I91" s="2" t="n">
        <f aca="false">COUNTIFS(Map!$D:$D,$A91,Map!$G:$G,"Y")</f>
        <v>1</v>
      </c>
      <c r="J91" s="2" t="str">
        <f aca="false">IF(I91&gt;=Settings!$B$4,"High",IF(I91&gt;=Settings!$B$5,"Medium","Low"))</f>
        <v>Medium</v>
      </c>
      <c r="K91" s="2" t="n">
        <f aca="false">COUNTIF(Map!$D:$D,$A91)</f>
        <v>2</v>
      </c>
    </row>
    <row r="92" customFormat="false" ht="23.85" hidden="false" customHeight="false" outlineLevel="0" collapsed="false">
      <c r="A92" s="2" t="n">
        <v>91</v>
      </c>
      <c r="B92" s="2" t="s">
        <v>110</v>
      </c>
      <c r="C92" s="2" t="s">
        <v>115</v>
      </c>
      <c r="D92" s="2" t="s">
        <v>13</v>
      </c>
      <c r="E92" s="2"/>
      <c r="F92" s="2" t="n">
        <v>91</v>
      </c>
      <c r="G92" s="2" t="n">
        <f aca="false">COUNTIFS(Map!$D:$D,$A92,Map!$F:$F,"Y")</f>
        <v>0</v>
      </c>
      <c r="H92" s="2" t="str">
        <f aca="false">IF(G92&gt;=Settings!$B$3,"High",IF(G92&gt;=Settings!$B$5,"Medium","Low"))</f>
        <v>Low</v>
      </c>
      <c r="I92" s="2" t="n">
        <f aca="false">COUNTIFS(Map!$D:$D,$A92,Map!$G:$G,"Y")</f>
        <v>0</v>
      </c>
      <c r="J92" s="2" t="str">
        <f aca="false">IF(I92&gt;=Settings!$B$4,"High",IF(I92&gt;=Settings!$B$5,"Medium","Low"))</f>
        <v>Low</v>
      </c>
      <c r="K92" s="2" t="n">
        <f aca="false">COUNTIF(Map!$D:$D,$A92)</f>
        <v>0</v>
      </c>
    </row>
    <row r="93" customFormat="false" ht="15" hidden="false" customHeight="false" outlineLevel="0" collapsed="false">
      <c r="A93" s="2" t="n">
        <v>92</v>
      </c>
      <c r="B93" s="2" t="s">
        <v>110</v>
      </c>
      <c r="C93" s="2" t="s">
        <v>116</v>
      </c>
      <c r="D93" s="2" t="s">
        <v>13</v>
      </c>
      <c r="E93" s="2"/>
      <c r="F93" s="2" t="n">
        <v>92</v>
      </c>
      <c r="G93" s="2" t="n">
        <f aca="false">COUNTIFS(Map!$D:$D,$A93,Map!$F:$F,"Y")</f>
        <v>3</v>
      </c>
      <c r="H93" s="2" t="str">
        <f aca="false">IF(G93&gt;=Settings!$B$3,"High",IF(G93&gt;=Settings!$B$5,"Medium","Low"))</f>
        <v>Medium</v>
      </c>
      <c r="I93" s="2" t="n">
        <f aca="false">COUNTIFS(Map!$D:$D,$A93,Map!$G:$G,"Y")</f>
        <v>2</v>
      </c>
      <c r="J93" s="2" t="str">
        <f aca="false">IF(I93&gt;=Settings!$B$4,"High",IF(I93&gt;=Settings!$B$5,"Medium","Low"))</f>
        <v>Medium</v>
      </c>
      <c r="K93" s="2" t="n">
        <f aca="false">COUNTIF(Map!$D:$D,$A93)</f>
        <v>5</v>
      </c>
    </row>
    <row r="94" customFormat="false" ht="15" hidden="false" customHeight="false" outlineLevel="0" collapsed="false">
      <c r="A94" s="2" t="n">
        <v>93</v>
      </c>
      <c r="B94" s="2" t="s">
        <v>110</v>
      </c>
      <c r="C94" s="2" t="s">
        <v>117</v>
      </c>
      <c r="D94" s="2" t="s">
        <v>13</v>
      </c>
      <c r="E94" s="2"/>
      <c r="F94" s="2" t="n">
        <v>93</v>
      </c>
      <c r="G94" s="2" t="n">
        <f aca="false">COUNTIFS(Map!$D:$D,$A94,Map!$F:$F,"Y")</f>
        <v>5</v>
      </c>
      <c r="H94" s="2" t="str">
        <f aca="false">IF(G94&gt;=Settings!$B$3,"High",IF(G94&gt;=Settings!$B$5,"Medium","Low"))</f>
        <v>Medium</v>
      </c>
      <c r="I94" s="2" t="n">
        <f aca="false">COUNTIFS(Map!$D:$D,$A94,Map!$G:$G,"Y")</f>
        <v>3</v>
      </c>
      <c r="J94" s="2" t="str">
        <f aca="false">IF(I94&gt;=Settings!$B$4,"High",IF(I94&gt;=Settings!$B$5,"Medium","Low"))</f>
        <v>Medium</v>
      </c>
      <c r="K94" s="2" t="n">
        <f aca="false">COUNTIF(Map!$D:$D,$A94)</f>
        <v>9</v>
      </c>
    </row>
    <row r="95" customFormat="false" ht="23.85" hidden="false" customHeight="false" outlineLevel="0" collapsed="false">
      <c r="A95" s="2" t="n">
        <v>94</v>
      </c>
      <c r="B95" s="2" t="s">
        <v>110</v>
      </c>
      <c r="C95" s="2" t="s">
        <v>118</v>
      </c>
      <c r="D95" s="2" t="s">
        <v>13</v>
      </c>
      <c r="E95" s="2"/>
      <c r="F95" s="2" t="n">
        <v>94</v>
      </c>
      <c r="G95" s="2" t="n">
        <f aca="false">COUNTIFS(Map!$D:$D,$A95,Map!$F:$F,"Y")</f>
        <v>5</v>
      </c>
      <c r="H95" s="2" t="str">
        <f aca="false">IF(G95&gt;=Settings!$B$3,"High",IF(G95&gt;=Settings!$B$5,"Medium","Low"))</f>
        <v>Medium</v>
      </c>
      <c r="I95" s="2" t="n">
        <f aca="false">COUNTIFS(Map!$D:$D,$A95,Map!$G:$G,"Y")</f>
        <v>5</v>
      </c>
      <c r="J95" s="2" t="str">
        <f aca="false">IF(I95&gt;=Settings!$B$4,"High",IF(I95&gt;=Settings!$B$5,"Medium","Low"))</f>
        <v>Medium</v>
      </c>
      <c r="K95" s="2" t="n">
        <f aca="false">COUNTIF(Map!$D:$D,$A95)</f>
        <v>8</v>
      </c>
    </row>
    <row r="96" customFormat="false" ht="15" hidden="false" customHeight="false" outlineLevel="0" collapsed="false">
      <c r="A96" s="2" t="n">
        <v>95</v>
      </c>
      <c r="B96" s="2" t="s">
        <v>110</v>
      </c>
      <c r="C96" s="2" t="s">
        <v>119</v>
      </c>
      <c r="D96" s="2" t="s">
        <v>13</v>
      </c>
      <c r="E96" s="2"/>
      <c r="F96" s="2" t="n">
        <v>95</v>
      </c>
      <c r="G96" s="2" t="n">
        <f aca="false">COUNTIFS(Map!$D:$D,$A96,Map!$F:$F,"Y")</f>
        <v>0</v>
      </c>
      <c r="H96" s="2" t="str">
        <f aca="false">IF(G96&gt;=Settings!$B$3,"High",IF(G96&gt;=Settings!$B$5,"Medium","Low"))</f>
        <v>Low</v>
      </c>
      <c r="I96" s="2" t="n">
        <f aca="false">COUNTIFS(Map!$D:$D,$A96,Map!$G:$G,"Y")</f>
        <v>0</v>
      </c>
      <c r="J96" s="2" t="str">
        <f aca="false">IF(I96&gt;=Settings!$B$4,"High",IF(I96&gt;=Settings!$B$5,"Medium","Low"))</f>
        <v>Low</v>
      </c>
      <c r="K96" s="2" t="n">
        <f aca="false">COUNTIF(Map!$D:$D,$A96)</f>
        <v>0</v>
      </c>
    </row>
    <row r="97" customFormat="false" ht="15" hidden="false" customHeight="false" outlineLevel="0" collapsed="false">
      <c r="A97" s="2" t="n">
        <v>96</v>
      </c>
      <c r="B97" s="2" t="s">
        <v>120</v>
      </c>
      <c r="C97" s="2" t="s">
        <v>121</v>
      </c>
      <c r="D97" s="2" t="s">
        <v>13</v>
      </c>
      <c r="E97" s="2"/>
      <c r="F97" s="2" t="n">
        <v>96</v>
      </c>
      <c r="G97" s="2" t="n">
        <f aca="false">COUNTIFS(Map!$D:$D,$A97,Map!$F:$F,"Y")</f>
        <v>4</v>
      </c>
      <c r="H97" s="2" t="str">
        <f aca="false">IF(G97&gt;=Settings!$B$3,"High",IF(G97&gt;=Settings!$B$5,"Medium","Low"))</f>
        <v>Medium</v>
      </c>
      <c r="I97" s="2" t="n">
        <f aca="false">COUNTIFS(Map!$D:$D,$A97,Map!$G:$G,"Y")</f>
        <v>4</v>
      </c>
      <c r="J97" s="2" t="str">
        <f aca="false">IF(I97&gt;=Settings!$B$4,"High",IF(I97&gt;=Settings!$B$5,"Medium","Low"))</f>
        <v>Medium</v>
      </c>
      <c r="K97" s="2" t="n">
        <f aca="false">COUNTIF(Map!$D:$D,$A97)</f>
        <v>14</v>
      </c>
    </row>
    <row r="98" customFormat="false" ht="15" hidden="false" customHeight="false" outlineLevel="0" collapsed="false">
      <c r="A98" s="2" t="n">
        <v>97</v>
      </c>
      <c r="B98" s="2" t="s">
        <v>120</v>
      </c>
      <c r="C98" s="2" t="s">
        <v>122</v>
      </c>
      <c r="D98" s="2" t="s">
        <v>13</v>
      </c>
      <c r="E98" s="2"/>
      <c r="F98" s="2" t="n">
        <v>97</v>
      </c>
      <c r="G98" s="2" t="n">
        <f aca="false">COUNTIFS(Map!$D:$D,$A98,Map!$F:$F,"Y")</f>
        <v>1</v>
      </c>
      <c r="H98" s="2" t="str">
        <f aca="false">IF(G98&gt;=Settings!$B$3,"High",IF(G98&gt;=Settings!$B$5,"Medium","Low"))</f>
        <v>Medium</v>
      </c>
      <c r="I98" s="2" t="n">
        <f aca="false">COUNTIFS(Map!$D:$D,$A98,Map!$G:$G,"Y")</f>
        <v>2</v>
      </c>
      <c r="J98" s="2" t="str">
        <f aca="false">IF(I98&gt;=Settings!$B$4,"High",IF(I98&gt;=Settings!$B$5,"Medium","Low"))</f>
        <v>Medium</v>
      </c>
      <c r="K98" s="2" t="n">
        <f aca="false">COUNTIF(Map!$D:$D,$A98)</f>
        <v>4</v>
      </c>
    </row>
    <row r="99" customFormat="false" ht="15" hidden="false" customHeight="false" outlineLevel="0" collapsed="false">
      <c r="A99" s="2" t="n">
        <v>98</v>
      </c>
      <c r="B99" s="2" t="s">
        <v>120</v>
      </c>
      <c r="C99" s="2" t="s">
        <v>123</v>
      </c>
      <c r="D99" s="2" t="s">
        <v>13</v>
      </c>
      <c r="E99" s="2"/>
      <c r="F99" s="2" t="n">
        <v>98</v>
      </c>
      <c r="G99" s="2" t="n">
        <f aca="false">COUNTIFS(Map!$D:$D,$A99,Map!$F:$F,"Y")</f>
        <v>0</v>
      </c>
      <c r="H99" s="2" t="str">
        <f aca="false">IF(G99&gt;=Settings!$B$3,"High",IF(G99&gt;=Settings!$B$5,"Medium","Low"))</f>
        <v>Low</v>
      </c>
      <c r="I99" s="2" t="n">
        <f aca="false">COUNTIFS(Map!$D:$D,$A99,Map!$G:$G,"Y")</f>
        <v>0</v>
      </c>
      <c r="J99" s="2" t="str">
        <f aca="false">IF(I99&gt;=Settings!$B$4,"High",IF(I99&gt;=Settings!$B$5,"Medium","Low"))</f>
        <v>Low</v>
      </c>
      <c r="K99" s="2" t="n">
        <f aca="false">COUNTIF(Map!$D:$D,$A99)</f>
        <v>2</v>
      </c>
    </row>
    <row r="100" customFormat="false" ht="57.45" hidden="false" customHeight="false" outlineLevel="0" collapsed="false">
      <c r="A100" s="2" t="n">
        <v>99</v>
      </c>
      <c r="B100" s="2" t="s">
        <v>120</v>
      </c>
      <c r="C100" s="2" t="s">
        <v>124</v>
      </c>
      <c r="D100" s="2" t="s">
        <v>125</v>
      </c>
      <c r="E100" s="2" t="s">
        <v>126</v>
      </c>
      <c r="F100" s="2"/>
      <c r="G100" s="2" t="n">
        <f aca="false">COUNTIFS(Map!$D:$D,$A100,Map!$F:$F,"Y")</f>
        <v>6</v>
      </c>
      <c r="H100" s="2" t="str">
        <f aca="false">IF(G100&gt;=Settings!$B$3,"High",IF(G100&gt;=Settings!$B$5,"Medium","Low"))</f>
        <v>Medium</v>
      </c>
      <c r="I100" s="2" t="n">
        <f aca="false">COUNTIFS(Map!$D:$D,$A100,Map!$G:$G,"Y")</f>
        <v>6</v>
      </c>
      <c r="J100" s="2" t="str">
        <f aca="false">IF(I100&gt;=Settings!$B$4,"High",IF(I100&gt;=Settings!$B$5,"Medium","Low"))</f>
        <v>Medium</v>
      </c>
      <c r="K100" s="2" t="n">
        <f aca="false">COUNTIF(Map!$D:$D,$A100)</f>
        <v>12</v>
      </c>
    </row>
    <row r="101" customFormat="false" ht="23.85" hidden="false" customHeight="false" outlineLevel="0" collapsed="false">
      <c r="A101" s="2" t="n">
        <v>100</v>
      </c>
      <c r="B101" s="2" t="s">
        <v>120</v>
      </c>
      <c r="C101" s="2" t="s">
        <v>127</v>
      </c>
      <c r="D101" s="2" t="s">
        <v>125</v>
      </c>
      <c r="E101" s="2" t="s">
        <v>128</v>
      </c>
      <c r="F101" s="2"/>
      <c r="G101" s="2" t="n">
        <f aca="false">COUNTIFS(Map!$D:$D,$A101,Map!$F:$F,"Y")</f>
        <v>1</v>
      </c>
      <c r="H101" s="2" t="str">
        <f aca="false">IF(G101&gt;=Settings!$B$3,"High",IF(G101&gt;=Settings!$B$5,"Medium","Low"))</f>
        <v>Medium</v>
      </c>
      <c r="I101" s="2" t="n">
        <f aca="false">COUNTIFS(Map!$D:$D,$A101,Map!$G:$G,"Y")</f>
        <v>0</v>
      </c>
      <c r="J101" s="2" t="str">
        <f aca="false">IF(I101&gt;=Settings!$B$4,"High",IF(I101&gt;=Settings!$B$5,"Medium","Low"))</f>
        <v>Low</v>
      </c>
      <c r="K101" s="2" t="n">
        <f aca="false">COUNTIF(Map!$D:$D,$A101)</f>
        <v>4</v>
      </c>
    </row>
    <row r="102" customFormat="false" ht="23.85" hidden="false" customHeight="false" outlineLevel="0" collapsed="false">
      <c r="A102" s="2" t="n">
        <v>101</v>
      </c>
      <c r="B102" s="2" t="s">
        <v>120</v>
      </c>
      <c r="C102" s="2" t="s">
        <v>129</v>
      </c>
      <c r="D102" s="2" t="s">
        <v>125</v>
      </c>
      <c r="E102" s="2" t="s">
        <v>130</v>
      </c>
      <c r="F102" s="2"/>
      <c r="G102" s="2" t="n">
        <f aca="false">COUNTIFS(Map!$D:$D,$A102,Map!$F:$F,"Y")</f>
        <v>4</v>
      </c>
      <c r="H102" s="2" t="str">
        <f aca="false">IF(G102&gt;=Settings!$B$3,"High",IF(G102&gt;=Settings!$B$5,"Medium","Low"))</f>
        <v>Medium</v>
      </c>
      <c r="I102" s="2" t="n">
        <f aca="false">COUNTIFS(Map!$D:$D,$A102,Map!$G:$G,"Y")</f>
        <v>4</v>
      </c>
      <c r="J102" s="2" t="str">
        <f aca="false">IF(I102&gt;=Settings!$B$4,"High",IF(I102&gt;=Settings!$B$5,"Medium","Low"))</f>
        <v>Medium</v>
      </c>
      <c r="K102" s="2" t="n">
        <f aca="false">COUNTIF(Map!$D:$D,$A102)</f>
        <v>6</v>
      </c>
    </row>
    <row r="103" customFormat="false" ht="15" hidden="false" customHeight="false" outlineLevel="0" collapsed="false">
      <c r="A103" s="2" t="n">
        <v>102</v>
      </c>
      <c r="B103" s="2" t="s">
        <v>120</v>
      </c>
      <c r="C103" s="2" t="s">
        <v>131</v>
      </c>
      <c r="D103" s="2" t="s">
        <v>125</v>
      </c>
      <c r="E103" s="2" t="s">
        <v>132</v>
      </c>
      <c r="F103" s="2"/>
      <c r="G103" s="2" t="n">
        <f aca="false">COUNTIFS(Map!$D:$D,$A103,Map!$F:$F,"Y")</f>
        <v>1</v>
      </c>
      <c r="H103" s="2" t="str">
        <f aca="false">IF(G103&gt;=Settings!$B$3,"High",IF(G103&gt;=Settings!$B$5,"Medium","Low"))</f>
        <v>Medium</v>
      </c>
      <c r="I103" s="2" t="n">
        <f aca="false">COUNTIFS(Map!$D:$D,$A103,Map!$G:$G,"Y")</f>
        <v>1</v>
      </c>
      <c r="J103" s="2" t="str">
        <f aca="false">IF(I103&gt;=Settings!$B$4,"High",IF(I103&gt;=Settings!$B$5,"Medium","Low"))</f>
        <v>Medium</v>
      </c>
      <c r="K103" s="2" t="n">
        <f aca="false">COUNTIF(Map!$D:$D,$A103)</f>
        <v>1</v>
      </c>
    </row>
    <row r="104" customFormat="false" ht="15" hidden="false" customHeight="false" outlineLevel="0" collapsed="false">
      <c r="A104" s="2" t="n">
        <v>103</v>
      </c>
      <c r="B104" s="2" t="s">
        <v>133</v>
      </c>
      <c r="C104" s="2" t="s">
        <v>134</v>
      </c>
      <c r="D104" s="2" t="s">
        <v>13</v>
      </c>
      <c r="E104" s="2"/>
      <c r="F104" s="2" t="n">
        <v>99</v>
      </c>
      <c r="G104" s="2" t="n">
        <f aca="false">COUNTIFS(Map!$D:$D,$A104,Map!$F:$F,"Y")</f>
        <v>8</v>
      </c>
      <c r="H104" s="2" t="str">
        <f aca="false">IF(G104&gt;=Settings!$B$3,"High",IF(G104&gt;=Settings!$B$5,"Medium","Low"))</f>
        <v>High</v>
      </c>
      <c r="I104" s="2" t="n">
        <f aca="false">COUNTIFS(Map!$D:$D,$A104,Map!$G:$G,"Y")</f>
        <v>7</v>
      </c>
      <c r="J104" s="2" t="str">
        <f aca="false">IF(I104&gt;=Settings!$B$4,"High",IF(I104&gt;=Settings!$B$5,"Medium","Low"))</f>
        <v>High</v>
      </c>
      <c r="K104" s="2" t="n">
        <f aca="false">COUNTIF(Map!$D:$D,$A104)</f>
        <v>27</v>
      </c>
    </row>
    <row r="105" customFormat="false" ht="15" hidden="false" customHeight="false" outlineLevel="0" collapsed="false">
      <c r="A105" s="2" t="n">
        <v>104</v>
      </c>
      <c r="B105" s="2" t="s">
        <v>133</v>
      </c>
      <c r="C105" s="2" t="s">
        <v>135</v>
      </c>
      <c r="D105" s="2" t="s">
        <v>13</v>
      </c>
      <c r="E105" s="2"/>
      <c r="F105" s="2" t="n">
        <v>100</v>
      </c>
      <c r="G105" s="2" t="n">
        <f aca="false">COUNTIFS(Map!$D:$D,$A105,Map!$F:$F,"Y")</f>
        <v>1</v>
      </c>
      <c r="H105" s="2" t="str">
        <f aca="false">IF(G105&gt;=Settings!$B$3,"High",IF(G105&gt;=Settings!$B$5,"Medium","Low"))</f>
        <v>Medium</v>
      </c>
      <c r="I105" s="2" t="n">
        <f aca="false">COUNTIFS(Map!$D:$D,$A105,Map!$G:$G,"Y")</f>
        <v>0</v>
      </c>
      <c r="J105" s="2" t="str">
        <f aca="false">IF(I105&gt;=Settings!$B$4,"High",IF(I105&gt;=Settings!$B$5,"Medium","Low"))</f>
        <v>Low</v>
      </c>
      <c r="K105" s="2" t="n">
        <f aca="false">COUNTIF(Map!$D:$D,$A105)</f>
        <v>1</v>
      </c>
    </row>
    <row r="106" customFormat="false" ht="15" hidden="false" customHeight="false" outlineLevel="0" collapsed="false">
      <c r="A106" s="2" t="n">
        <v>105</v>
      </c>
      <c r="B106" s="2" t="s">
        <v>133</v>
      </c>
      <c r="C106" s="2" t="s">
        <v>136</v>
      </c>
      <c r="D106" s="2" t="s">
        <v>13</v>
      </c>
      <c r="E106" s="2"/>
      <c r="F106" s="2" t="n">
        <v>101</v>
      </c>
      <c r="G106" s="2" t="n">
        <f aca="false">COUNTIFS(Map!$D:$D,$A106,Map!$F:$F,"Y")</f>
        <v>2</v>
      </c>
      <c r="H106" s="2" t="str">
        <f aca="false">IF(G106&gt;=Settings!$B$3,"High",IF(G106&gt;=Settings!$B$5,"Medium","Low"))</f>
        <v>Medium</v>
      </c>
      <c r="I106" s="2" t="n">
        <f aca="false">COUNTIFS(Map!$D:$D,$A106,Map!$G:$G,"Y")</f>
        <v>1</v>
      </c>
      <c r="J106" s="2" t="str">
        <f aca="false">IF(I106&gt;=Settings!$B$4,"High",IF(I106&gt;=Settings!$B$5,"Medium","Low"))</f>
        <v>Medium</v>
      </c>
      <c r="K106" s="2" t="n">
        <f aca="false">COUNTIF(Map!$D:$D,$A106)</f>
        <v>3</v>
      </c>
    </row>
    <row r="107" customFormat="false" ht="15" hidden="false" customHeight="false" outlineLevel="0" collapsed="false">
      <c r="A107" s="2" t="n">
        <v>106</v>
      </c>
      <c r="B107" s="2" t="s">
        <v>133</v>
      </c>
      <c r="C107" s="2" t="s">
        <v>137</v>
      </c>
      <c r="D107" s="2" t="s">
        <v>13</v>
      </c>
      <c r="E107" s="2"/>
      <c r="F107" s="2" t="n">
        <v>102</v>
      </c>
      <c r="G107" s="2" t="n">
        <f aca="false">COUNTIFS(Map!$D:$D,$A107,Map!$F:$F,"Y")</f>
        <v>2</v>
      </c>
      <c r="H107" s="2" t="str">
        <f aca="false">IF(G107&gt;=Settings!$B$3,"High",IF(G107&gt;=Settings!$B$5,"Medium","Low"))</f>
        <v>Medium</v>
      </c>
      <c r="I107" s="2" t="n">
        <f aca="false">COUNTIFS(Map!$D:$D,$A107,Map!$G:$G,"Y")</f>
        <v>1</v>
      </c>
      <c r="J107" s="2" t="str">
        <f aca="false">IF(I107&gt;=Settings!$B$4,"High",IF(I107&gt;=Settings!$B$5,"Medium","Low"))</f>
        <v>Medium</v>
      </c>
      <c r="K107" s="2" t="n">
        <f aca="false">COUNTIF(Map!$D:$D,$A107)</f>
        <v>2</v>
      </c>
    </row>
    <row r="108" customFormat="false" ht="23.85" hidden="false" customHeight="false" outlineLevel="0" collapsed="false">
      <c r="A108" s="2" t="n">
        <v>107</v>
      </c>
      <c r="B108" s="2" t="s">
        <v>133</v>
      </c>
      <c r="C108" s="2" t="s">
        <v>138</v>
      </c>
      <c r="D108" s="2" t="s">
        <v>13</v>
      </c>
      <c r="E108" s="2"/>
      <c r="F108" s="2" t="n">
        <v>103</v>
      </c>
      <c r="G108" s="2" t="n">
        <f aca="false">COUNTIFS(Map!$D:$D,$A108,Map!$F:$F,"Y")</f>
        <v>4</v>
      </c>
      <c r="H108" s="2" t="str">
        <f aca="false">IF(G108&gt;=Settings!$B$3,"High",IF(G108&gt;=Settings!$B$5,"Medium","Low"))</f>
        <v>Medium</v>
      </c>
      <c r="I108" s="2" t="n">
        <f aca="false">COUNTIFS(Map!$D:$D,$A108,Map!$G:$G,"Y")</f>
        <v>3</v>
      </c>
      <c r="J108" s="2" t="str">
        <f aca="false">IF(I108&gt;=Settings!$B$4,"High",IF(I108&gt;=Settings!$B$5,"Medium","Low"))</f>
        <v>Medium</v>
      </c>
      <c r="K108" s="2" t="n">
        <f aca="false">COUNTIF(Map!$D:$D,$A108)</f>
        <v>8</v>
      </c>
    </row>
    <row r="109" customFormat="false" ht="15" hidden="false" customHeight="false" outlineLevel="0" collapsed="false">
      <c r="A109" s="2" t="n">
        <v>108</v>
      </c>
      <c r="B109" s="2" t="s">
        <v>139</v>
      </c>
      <c r="C109" s="2" t="s">
        <v>140</v>
      </c>
      <c r="D109" s="2" t="s">
        <v>13</v>
      </c>
      <c r="E109" s="2"/>
      <c r="F109" s="2" t="n">
        <v>104</v>
      </c>
      <c r="G109" s="2" t="n">
        <f aca="false">COUNTIFS(Map!$D:$D,$A109,Map!$F:$F,"Y")</f>
        <v>3</v>
      </c>
      <c r="H109" s="2" t="str">
        <f aca="false">IF(G109&gt;=Settings!$B$3,"High",IF(G109&gt;=Settings!$B$5,"Medium","Low"))</f>
        <v>Medium</v>
      </c>
      <c r="I109" s="2" t="n">
        <f aca="false">COUNTIFS(Map!$D:$D,$A109,Map!$G:$G,"Y")</f>
        <v>4</v>
      </c>
      <c r="J109" s="2" t="str">
        <f aca="false">IF(I109&gt;=Settings!$B$4,"High",IF(I109&gt;=Settings!$B$5,"Medium","Low"))</f>
        <v>Medium</v>
      </c>
      <c r="K109" s="2" t="n">
        <f aca="false">COUNTIF(Map!$D:$D,$A109)</f>
        <v>12</v>
      </c>
    </row>
    <row r="110" customFormat="false" ht="15" hidden="false" customHeight="false" outlineLevel="0" collapsed="false">
      <c r="A110" s="2" t="n">
        <v>109</v>
      </c>
      <c r="B110" s="2" t="s">
        <v>141</v>
      </c>
      <c r="C110" s="2" t="s">
        <v>142</v>
      </c>
      <c r="D110" s="2" t="s">
        <v>13</v>
      </c>
      <c r="E110" s="2"/>
      <c r="F110" s="2" t="n">
        <v>105</v>
      </c>
      <c r="G110" s="2" t="n">
        <f aca="false">COUNTIFS(Map!$D:$D,$A110,Map!$F:$F,"Y")</f>
        <v>2</v>
      </c>
      <c r="H110" s="2" t="str">
        <f aca="false">IF(G110&gt;=Settings!$B$3,"High",IF(G110&gt;=Settings!$B$5,"Medium","Low"))</f>
        <v>Medium</v>
      </c>
      <c r="I110" s="2" t="n">
        <f aca="false">COUNTIFS(Map!$D:$D,$A110,Map!$G:$G,"Y")</f>
        <v>2</v>
      </c>
      <c r="J110" s="2" t="str">
        <f aca="false">IF(I110&gt;=Settings!$B$4,"High",IF(I110&gt;=Settings!$B$5,"Medium","Low"))</f>
        <v>Medium</v>
      </c>
      <c r="K110" s="2" t="n">
        <f aca="false">COUNTIF(Map!$D:$D,$A110)</f>
        <v>16</v>
      </c>
    </row>
    <row r="111" customFormat="false" ht="15" hidden="false" customHeight="false" outlineLevel="0" collapsed="false">
      <c r="A111" s="2" t="n">
        <v>110</v>
      </c>
      <c r="B111" s="2" t="s">
        <v>141</v>
      </c>
      <c r="C111" s="2" t="s">
        <v>143</v>
      </c>
      <c r="D111" s="2" t="s">
        <v>13</v>
      </c>
      <c r="E111" s="2"/>
      <c r="F111" s="2" t="n">
        <v>106</v>
      </c>
      <c r="G111" s="2" t="n">
        <f aca="false">COUNTIFS(Map!$D:$D,$A111,Map!$F:$F,"Y")</f>
        <v>0</v>
      </c>
      <c r="H111" s="2" t="str">
        <f aca="false">IF(G111&gt;=Settings!$B$3,"High",IF(G111&gt;=Settings!$B$5,"Medium","Low"))</f>
        <v>Low</v>
      </c>
      <c r="I111" s="2" t="n">
        <f aca="false">COUNTIFS(Map!$D:$D,$A111,Map!$G:$G,"Y")</f>
        <v>0</v>
      </c>
      <c r="J111" s="2" t="str">
        <f aca="false">IF(I111&gt;=Settings!$B$4,"High",IF(I111&gt;=Settings!$B$5,"Medium","Low"))</f>
        <v>Low</v>
      </c>
      <c r="K111" s="2" t="n">
        <f aca="false">COUNTIF(Map!$D:$D,$A111)</f>
        <v>0</v>
      </c>
    </row>
    <row r="112" customFormat="false" ht="15" hidden="false" customHeight="false" outlineLevel="0" collapsed="false">
      <c r="A112" s="2" t="n">
        <v>111</v>
      </c>
      <c r="B112" s="2" t="s">
        <v>141</v>
      </c>
      <c r="C112" s="2" t="s">
        <v>144</v>
      </c>
      <c r="D112" s="2" t="s">
        <v>13</v>
      </c>
      <c r="E112" s="2"/>
      <c r="F112" s="2" t="n">
        <v>107</v>
      </c>
      <c r="G112" s="2" t="n">
        <f aca="false">COUNTIFS(Map!$D:$D,$A112,Map!$F:$F,"Y")</f>
        <v>0</v>
      </c>
      <c r="H112" s="2" t="str">
        <f aca="false">IF(G112&gt;=Settings!$B$3,"High",IF(G112&gt;=Settings!$B$5,"Medium","Low"))</f>
        <v>Low</v>
      </c>
      <c r="I112" s="2" t="n">
        <f aca="false">COUNTIFS(Map!$D:$D,$A112,Map!$G:$G,"Y")</f>
        <v>0</v>
      </c>
      <c r="J112" s="2" t="str">
        <f aca="false">IF(I112&gt;=Settings!$B$4,"High",IF(I112&gt;=Settings!$B$5,"Medium","Low"))</f>
        <v>Low</v>
      </c>
      <c r="K112" s="2" t="n">
        <f aca="false">COUNTIF(Map!$D:$D,$A112)</f>
        <v>1</v>
      </c>
    </row>
    <row r="113" customFormat="false" ht="15" hidden="false" customHeight="false" outlineLevel="0" collapsed="false">
      <c r="A113" s="2" t="n">
        <v>112</v>
      </c>
      <c r="B113" s="2" t="s">
        <v>141</v>
      </c>
      <c r="C113" s="2" t="s">
        <v>145</v>
      </c>
      <c r="D113" s="2" t="s">
        <v>13</v>
      </c>
      <c r="E113" s="2"/>
      <c r="F113" s="2" t="n">
        <v>108</v>
      </c>
      <c r="G113" s="2" t="n">
        <f aca="false">COUNTIFS(Map!$D:$D,$A113,Map!$F:$F,"Y")</f>
        <v>0</v>
      </c>
      <c r="H113" s="2" t="str">
        <f aca="false">IF(G113&gt;=Settings!$B$3,"High",IF(G113&gt;=Settings!$B$5,"Medium","Low"))</f>
        <v>Low</v>
      </c>
      <c r="I113" s="2" t="n">
        <f aca="false">COUNTIFS(Map!$D:$D,$A113,Map!$G:$G,"Y")</f>
        <v>0</v>
      </c>
      <c r="J113" s="2" t="str">
        <f aca="false">IF(I113&gt;=Settings!$B$4,"High",IF(I113&gt;=Settings!$B$5,"Medium","Low"))</f>
        <v>Low</v>
      </c>
      <c r="K113" s="2" t="n">
        <f aca="false">COUNTIF(Map!$D:$D,$A113)</f>
        <v>0</v>
      </c>
    </row>
    <row r="114" customFormat="false" ht="15" hidden="false" customHeight="false" outlineLevel="0" collapsed="false">
      <c r="A114" s="2" t="n">
        <v>113</v>
      </c>
      <c r="B114" s="2" t="s">
        <v>141</v>
      </c>
      <c r="C114" s="2" t="s">
        <v>146</v>
      </c>
      <c r="D114" s="2" t="s">
        <v>13</v>
      </c>
      <c r="E114" s="2"/>
      <c r="F114" s="2" t="n">
        <v>109</v>
      </c>
      <c r="G114" s="2" t="n">
        <f aca="false">COUNTIFS(Map!$D:$D,$A114,Map!$F:$F,"Y")</f>
        <v>0</v>
      </c>
      <c r="H114" s="2" t="str">
        <f aca="false">IF(G114&gt;=Settings!$B$3,"High",IF(G114&gt;=Settings!$B$5,"Medium","Low"))</f>
        <v>Low</v>
      </c>
      <c r="I114" s="2" t="n">
        <f aca="false">COUNTIFS(Map!$D:$D,$A114,Map!$G:$G,"Y")</f>
        <v>0</v>
      </c>
      <c r="J114" s="2" t="str">
        <f aca="false">IF(I114&gt;=Settings!$B$4,"High",IF(I114&gt;=Settings!$B$5,"Medium","Low"))</f>
        <v>Low</v>
      </c>
      <c r="K114" s="2" t="n">
        <f aca="false">COUNTIF(Map!$D:$D,$A114)</f>
        <v>0</v>
      </c>
    </row>
    <row r="115" customFormat="false" ht="15" hidden="false" customHeight="false" outlineLevel="0" collapsed="false">
      <c r="A115" s="2" t="n">
        <v>114</v>
      </c>
      <c r="B115" s="2" t="s">
        <v>141</v>
      </c>
      <c r="C115" s="2" t="s">
        <v>147</v>
      </c>
      <c r="D115" s="2" t="s">
        <v>13</v>
      </c>
      <c r="E115" s="2"/>
      <c r="F115" s="2" t="n">
        <v>110</v>
      </c>
      <c r="G115" s="2" t="n">
        <f aca="false">COUNTIFS(Map!$D:$D,$A115,Map!$F:$F,"Y")</f>
        <v>0</v>
      </c>
      <c r="H115" s="2" t="str">
        <f aca="false">IF(G115&gt;=Settings!$B$3,"High",IF(G115&gt;=Settings!$B$5,"Medium","Low"))</f>
        <v>Low</v>
      </c>
      <c r="I115" s="2" t="n">
        <f aca="false">COUNTIFS(Map!$D:$D,$A115,Map!$G:$G,"Y")</f>
        <v>0</v>
      </c>
      <c r="J115" s="2" t="str">
        <f aca="false">IF(I115&gt;=Settings!$B$4,"High",IF(I115&gt;=Settings!$B$5,"Medium","Low"))</f>
        <v>Low</v>
      </c>
      <c r="K115" s="2" t="n">
        <f aca="false">COUNTIF(Map!$D:$D,$A115)</f>
        <v>1</v>
      </c>
    </row>
    <row r="116" customFormat="false" ht="23.85" hidden="false" customHeight="false" outlineLevel="0" collapsed="false">
      <c r="A116" s="2" t="n">
        <v>115</v>
      </c>
      <c r="B116" s="2" t="s">
        <v>141</v>
      </c>
      <c r="C116" s="2" t="s">
        <v>148</v>
      </c>
      <c r="D116" s="2" t="s">
        <v>13</v>
      </c>
      <c r="E116" s="2"/>
      <c r="F116" s="2" t="n">
        <v>111</v>
      </c>
      <c r="G116" s="2" t="n">
        <f aca="false">COUNTIFS(Map!$D:$D,$A116,Map!$F:$F,"Y")</f>
        <v>0</v>
      </c>
      <c r="H116" s="2" t="str">
        <f aca="false">IF(G116&gt;=Settings!$B$3,"High",IF(G116&gt;=Settings!$B$5,"Medium","Low"))</f>
        <v>Low</v>
      </c>
      <c r="I116" s="2" t="n">
        <f aca="false">COUNTIFS(Map!$D:$D,$A116,Map!$G:$G,"Y")</f>
        <v>0</v>
      </c>
      <c r="J116" s="2" t="str">
        <f aca="false">IF(I116&gt;=Settings!$B$4,"High",IF(I116&gt;=Settings!$B$5,"Medium","Low"))</f>
        <v>Low</v>
      </c>
      <c r="K116" s="2" t="n">
        <f aca="false">COUNTIF(Map!$D:$D,$A116)</f>
        <v>0</v>
      </c>
    </row>
    <row r="117" customFormat="false" ht="23.85" hidden="false" customHeight="false" outlineLevel="0" collapsed="false">
      <c r="A117" s="2" t="n">
        <v>116</v>
      </c>
      <c r="B117" s="2" t="s">
        <v>141</v>
      </c>
      <c r="C117" s="2" t="s">
        <v>149</v>
      </c>
      <c r="D117" s="2" t="s">
        <v>13</v>
      </c>
      <c r="E117" s="2"/>
      <c r="F117" s="2" t="n">
        <v>112</v>
      </c>
      <c r="G117" s="2" t="n">
        <f aca="false">COUNTIFS(Map!$D:$D,$A117,Map!$F:$F,"Y")</f>
        <v>0</v>
      </c>
      <c r="H117" s="2" t="str">
        <f aca="false">IF(G117&gt;=Settings!$B$3,"High",IF(G117&gt;=Settings!$B$5,"Medium","Low"))</f>
        <v>Low</v>
      </c>
      <c r="I117" s="2" t="n">
        <f aca="false">COUNTIFS(Map!$D:$D,$A117,Map!$G:$G,"Y")</f>
        <v>0</v>
      </c>
      <c r="J117" s="2" t="str">
        <f aca="false">IF(I117&gt;=Settings!$B$4,"High",IF(I117&gt;=Settings!$B$5,"Medium","Low"))</f>
        <v>Low</v>
      </c>
      <c r="K117" s="2" t="n">
        <f aca="false">COUNTIF(Map!$D:$D,$A117)</f>
        <v>1</v>
      </c>
    </row>
    <row r="118" customFormat="false" ht="15" hidden="false" customHeight="false" outlineLevel="0" collapsed="false">
      <c r="A118" s="2" t="n">
        <v>117</v>
      </c>
      <c r="B118" s="2" t="s">
        <v>150</v>
      </c>
      <c r="C118" s="2" t="s">
        <v>151</v>
      </c>
      <c r="D118" s="2" t="s">
        <v>13</v>
      </c>
      <c r="E118" s="2"/>
      <c r="F118" s="2" t="n">
        <v>113</v>
      </c>
      <c r="G118" s="2" t="n">
        <f aca="false">COUNTIFS(Map!$D:$D,$A118,Map!$F:$F,"Y")</f>
        <v>1</v>
      </c>
      <c r="H118" s="2" t="str">
        <f aca="false">IF(G118&gt;=Settings!$B$3,"High",IF(G118&gt;=Settings!$B$5,"Medium","Low"))</f>
        <v>Medium</v>
      </c>
      <c r="I118" s="2" t="n">
        <f aca="false">COUNTIFS(Map!$D:$D,$A118,Map!$G:$G,"Y")</f>
        <v>0</v>
      </c>
      <c r="J118" s="2" t="str">
        <f aca="false">IF(I118&gt;=Settings!$B$4,"High",IF(I118&gt;=Settings!$B$5,"Medium","Low"))</f>
        <v>Low</v>
      </c>
      <c r="K118" s="2" t="n">
        <f aca="false">COUNTIF(Map!$D:$D,$A118)</f>
        <v>3</v>
      </c>
    </row>
    <row r="119" customFormat="false" ht="15" hidden="false" customHeight="false" outlineLevel="0" collapsed="false">
      <c r="A119" s="2" t="n">
        <v>118</v>
      </c>
      <c r="B119" s="2" t="s">
        <v>150</v>
      </c>
      <c r="C119" s="2" t="s">
        <v>152</v>
      </c>
      <c r="D119" s="2" t="s">
        <v>13</v>
      </c>
      <c r="E119" s="2"/>
      <c r="F119" s="2" t="n">
        <v>114</v>
      </c>
      <c r="G119" s="2" t="n">
        <f aca="false">COUNTIFS(Map!$D:$D,$A119,Map!$F:$F,"Y")</f>
        <v>0</v>
      </c>
      <c r="H119" s="2" t="str">
        <f aca="false">IF(G119&gt;=Settings!$B$3,"High",IF(G119&gt;=Settings!$B$5,"Medium","Low"))</f>
        <v>Low</v>
      </c>
      <c r="I119" s="2" t="n">
        <f aca="false">COUNTIFS(Map!$D:$D,$A119,Map!$G:$G,"Y")</f>
        <v>0</v>
      </c>
      <c r="J119" s="2" t="str">
        <f aca="false">IF(I119&gt;=Settings!$B$4,"High",IF(I119&gt;=Settings!$B$5,"Medium","Low"))</f>
        <v>Low</v>
      </c>
      <c r="K119" s="2" t="n">
        <f aca="false">COUNTIF(Map!$D:$D,$A119)</f>
        <v>1</v>
      </c>
    </row>
    <row r="120" customFormat="false" ht="15" hidden="false" customHeight="false" outlineLevel="0" collapsed="false">
      <c r="A120" s="2" t="n">
        <v>119</v>
      </c>
      <c r="B120" s="2" t="s">
        <v>150</v>
      </c>
      <c r="C120" s="2" t="s">
        <v>153</v>
      </c>
      <c r="D120" s="2" t="s">
        <v>13</v>
      </c>
      <c r="E120" s="2"/>
      <c r="F120" s="2" t="n">
        <v>115</v>
      </c>
      <c r="G120" s="2" t="n">
        <f aca="false">COUNTIFS(Map!$D:$D,$A120,Map!$F:$F,"Y")</f>
        <v>0</v>
      </c>
      <c r="H120" s="2" t="str">
        <f aca="false">IF(G120&gt;=Settings!$B$3,"High",IF(G120&gt;=Settings!$B$5,"Medium","Low"))</f>
        <v>Low</v>
      </c>
      <c r="I120" s="2" t="n">
        <f aca="false">COUNTIFS(Map!$D:$D,$A120,Map!$G:$G,"Y")</f>
        <v>0</v>
      </c>
      <c r="J120" s="2" t="str">
        <f aca="false">IF(I120&gt;=Settings!$B$4,"High",IF(I120&gt;=Settings!$B$5,"Medium","Low"))</f>
        <v>Low</v>
      </c>
      <c r="K120" s="2" t="n">
        <f aca="false">COUNTIF(Map!$D:$D,$A120)</f>
        <v>14</v>
      </c>
    </row>
    <row r="121" customFormat="false" ht="15" hidden="false" customHeight="false" outlineLevel="0" collapsed="false">
      <c r="A121" s="2" t="n">
        <v>120</v>
      </c>
      <c r="B121" s="2" t="s">
        <v>150</v>
      </c>
      <c r="C121" s="2" t="s">
        <v>154</v>
      </c>
      <c r="D121" s="2" t="s">
        <v>13</v>
      </c>
      <c r="E121" s="2"/>
      <c r="F121" s="2" t="n">
        <v>116</v>
      </c>
      <c r="G121" s="2" t="n">
        <f aca="false">COUNTIFS(Map!$D:$D,$A121,Map!$F:$F,"Y")</f>
        <v>0</v>
      </c>
      <c r="H121" s="2" t="str">
        <f aca="false">IF(G121&gt;=Settings!$B$3,"High",IF(G121&gt;=Settings!$B$5,"Medium","Low"))</f>
        <v>Low</v>
      </c>
      <c r="I121" s="2" t="n">
        <f aca="false">COUNTIFS(Map!$D:$D,$A121,Map!$G:$G,"Y")</f>
        <v>0</v>
      </c>
      <c r="J121" s="2" t="str">
        <f aca="false">IF(I121&gt;=Settings!$B$4,"High",IF(I121&gt;=Settings!$B$5,"Medium","Low"))</f>
        <v>Low</v>
      </c>
      <c r="K121" s="2" t="n">
        <f aca="false">COUNTIF(Map!$D:$D,$A121)</f>
        <v>1</v>
      </c>
    </row>
    <row r="122" customFormat="false" ht="15" hidden="false" customHeight="false" outlineLevel="0" collapsed="false">
      <c r="A122" s="2" t="n">
        <v>121</v>
      </c>
      <c r="B122" s="2" t="s">
        <v>150</v>
      </c>
      <c r="C122" s="2" t="s">
        <v>155</v>
      </c>
      <c r="D122" s="2" t="s">
        <v>13</v>
      </c>
      <c r="E122" s="2"/>
      <c r="F122" s="2" t="n">
        <v>117</v>
      </c>
      <c r="G122" s="2" t="n">
        <f aca="false">COUNTIFS(Map!$D:$D,$A122,Map!$F:$F,"Y")</f>
        <v>0</v>
      </c>
      <c r="H122" s="2" t="str">
        <f aca="false">IF(G122&gt;=Settings!$B$3,"High",IF(G122&gt;=Settings!$B$5,"Medium","Low"))</f>
        <v>Low</v>
      </c>
      <c r="I122" s="2" t="n">
        <f aca="false">COUNTIFS(Map!$D:$D,$A122,Map!$G:$G,"Y")</f>
        <v>0</v>
      </c>
      <c r="J122" s="2" t="str">
        <f aca="false">IF(I122&gt;=Settings!$B$4,"High",IF(I122&gt;=Settings!$B$5,"Medium","Low"))</f>
        <v>Low</v>
      </c>
      <c r="K122" s="2" t="n">
        <f aca="false">COUNTIF(Map!$D:$D,$A122)</f>
        <v>0</v>
      </c>
    </row>
    <row r="123" customFormat="false" ht="15" hidden="false" customHeight="false" outlineLevel="0" collapsed="false">
      <c r="A123" s="2" t="n">
        <v>122</v>
      </c>
      <c r="B123" s="2" t="s">
        <v>150</v>
      </c>
      <c r="C123" s="2" t="s">
        <v>156</v>
      </c>
      <c r="D123" s="2" t="s">
        <v>13</v>
      </c>
      <c r="E123" s="2"/>
      <c r="F123" s="2" t="n">
        <v>118</v>
      </c>
      <c r="G123" s="2" t="n">
        <f aca="false">COUNTIFS(Map!$D:$D,$A123,Map!$F:$F,"Y")</f>
        <v>0</v>
      </c>
      <c r="H123" s="2" t="str">
        <f aca="false">IF(G123&gt;=Settings!$B$3,"High",IF(G123&gt;=Settings!$B$5,"Medium","Low"))</f>
        <v>Low</v>
      </c>
      <c r="I123" s="2" t="n">
        <f aca="false">COUNTIFS(Map!$D:$D,$A123,Map!$G:$G,"Y")</f>
        <v>0</v>
      </c>
      <c r="J123" s="2" t="str">
        <f aca="false">IF(I123&gt;=Settings!$B$4,"High",IF(I123&gt;=Settings!$B$5,"Medium","Low"))</f>
        <v>Low</v>
      </c>
      <c r="K123" s="2" t="n">
        <f aca="false">COUNTIF(Map!$D:$D,$A123)</f>
        <v>1</v>
      </c>
    </row>
    <row r="124" customFormat="false" ht="15" hidden="false" customHeight="false" outlineLevel="0" collapsed="false">
      <c r="A124" s="2" t="n">
        <v>123</v>
      </c>
      <c r="B124" s="2" t="s">
        <v>150</v>
      </c>
      <c r="C124" s="2" t="s">
        <v>157</v>
      </c>
      <c r="D124" s="2" t="s">
        <v>13</v>
      </c>
      <c r="E124" s="2"/>
      <c r="F124" s="2" t="n">
        <v>119</v>
      </c>
      <c r="G124" s="2" t="n">
        <f aca="false">COUNTIFS(Map!$D:$D,$A124,Map!$F:$F,"Y")</f>
        <v>0</v>
      </c>
      <c r="H124" s="2" t="str">
        <f aca="false">IF(G124&gt;=Settings!$B$3,"High",IF(G124&gt;=Settings!$B$5,"Medium","Low"))</f>
        <v>Low</v>
      </c>
      <c r="I124" s="2" t="n">
        <f aca="false">COUNTIFS(Map!$D:$D,$A124,Map!$G:$G,"Y")</f>
        <v>0</v>
      </c>
      <c r="J124" s="2" t="str">
        <f aca="false">IF(I124&gt;=Settings!$B$4,"High",IF(I124&gt;=Settings!$B$5,"Medium","Low"))</f>
        <v>Low</v>
      </c>
      <c r="K124" s="2" t="n">
        <f aca="false">COUNTIF(Map!$D:$D,$A124)</f>
        <v>2</v>
      </c>
    </row>
    <row r="125" customFormat="false" ht="15" hidden="false" customHeight="false" outlineLevel="0" collapsed="false">
      <c r="A125" s="2" t="n">
        <v>124</v>
      </c>
      <c r="B125" s="2" t="s">
        <v>150</v>
      </c>
      <c r="C125" s="2" t="s">
        <v>158</v>
      </c>
      <c r="D125" s="2" t="s">
        <v>13</v>
      </c>
      <c r="E125" s="2"/>
      <c r="F125" s="2" t="n">
        <v>120</v>
      </c>
      <c r="G125" s="2" t="n">
        <f aca="false">COUNTIFS(Map!$D:$D,$A125,Map!$F:$F,"Y")</f>
        <v>0</v>
      </c>
      <c r="H125" s="2" t="str">
        <f aca="false">IF(G125&gt;=Settings!$B$3,"High",IF(G125&gt;=Settings!$B$5,"Medium","Low"))</f>
        <v>Low</v>
      </c>
      <c r="I125" s="2" t="n">
        <f aca="false">COUNTIFS(Map!$D:$D,$A125,Map!$G:$G,"Y")</f>
        <v>1</v>
      </c>
      <c r="J125" s="2" t="str">
        <f aca="false">IF(I125&gt;=Settings!$B$4,"High",IF(I125&gt;=Settings!$B$5,"Medium","Low"))</f>
        <v>Medium</v>
      </c>
      <c r="K125" s="2" t="n">
        <f aca="false">COUNTIF(Map!$D:$D,$A125)</f>
        <v>1</v>
      </c>
    </row>
    <row r="126" customFormat="false" ht="15" hidden="false" customHeight="false" outlineLevel="0" collapsed="false">
      <c r="A126" s="2" t="n">
        <v>125</v>
      </c>
      <c r="B126" s="2" t="s">
        <v>150</v>
      </c>
      <c r="C126" s="2" t="s">
        <v>159</v>
      </c>
      <c r="D126" s="2" t="s">
        <v>13</v>
      </c>
      <c r="E126" s="2"/>
      <c r="F126" s="2" t="n">
        <v>121</v>
      </c>
      <c r="G126" s="2" t="n">
        <f aca="false">COUNTIFS(Map!$D:$D,$A126,Map!$F:$F,"Y")</f>
        <v>1</v>
      </c>
      <c r="H126" s="2" t="str">
        <f aca="false">IF(G126&gt;=Settings!$B$3,"High",IF(G126&gt;=Settings!$B$5,"Medium","Low"))</f>
        <v>Medium</v>
      </c>
      <c r="I126" s="2" t="n">
        <f aca="false">COUNTIFS(Map!$D:$D,$A126,Map!$G:$G,"Y")</f>
        <v>0</v>
      </c>
      <c r="J126" s="2" t="str">
        <f aca="false">IF(I126&gt;=Settings!$B$4,"High",IF(I126&gt;=Settings!$B$5,"Medium","Low"))</f>
        <v>Low</v>
      </c>
      <c r="K126" s="2" t="n">
        <f aca="false">COUNTIF(Map!$D:$D,$A126)</f>
        <v>4</v>
      </c>
    </row>
    <row r="127" customFormat="false" ht="15" hidden="false" customHeight="false" outlineLevel="0" collapsed="false">
      <c r="A127" s="2" t="n">
        <v>126</v>
      </c>
      <c r="B127" s="2" t="s">
        <v>160</v>
      </c>
      <c r="C127" s="2" t="s">
        <v>161</v>
      </c>
      <c r="D127" s="2" t="s">
        <v>13</v>
      </c>
      <c r="E127" s="2"/>
      <c r="F127" s="2" t="n">
        <v>122</v>
      </c>
      <c r="G127" s="2" t="n">
        <f aca="false">COUNTIFS(Map!$D:$D,$A127,Map!$F:$F,"Y")</f>
        <v>0</v>
      </c>
      <c r="H127" s="2" t="str">
        <f aca="false">IF(G127&gt;=Settings!$B$3,"High",IF(G127&gt;=Settings!$B$5,"Medium","Low"))</f>
        <v>Low</v>
      </c>
      <c r="I127" s="2" t="n">
        <f aca="false">COUNTIFS(Map!$D:$D,$A127,Map!$G:$G,"Y")</f>
        <v>0</v>
      </c>
      <c r="J127" s="2" t="str">
        <f aca="false">IF(I127&gt;=Settings!$B$4,"High",IF(I127&gt;=Settings!$B$5,"Medium","Low"))</f>
        <v>Low</v>
      </c>
      <c r="K127" s="2" t="n">
        <f aca="false">COUNTIF(Map!$D:$D,$A127)</f>
        <v>4</v>
      </c>
    </row>
    <row r="128" customFormat="false" ht="15" hidden="false" customHeight="false" outlineLevel="0" collapsed="false">
      <c r="A128" s="2" t="n">
        <v>127</v>
      </c>
      <c r="B128" s="2" t="s">
        <v>160</v>
      </c>
      <c r="C128" s="2" t="s">
        <v>162</v>
      </c>
      <c r="D128" s="2" t="s">
        <v>13</v>
      </c>
      <c r="E128" s="2"/>
      <c r="F128" s="2" t="n">
        <v>123</v>
      </c>
      <c r="G128" s="2" t="n">
        <f aca="false">COUNTIFS(Map!$D:$D,$A128,Map!$F:$F,"Y")</f>
        <v>0</v>
      </c>
      <c r="H128" s="2" t="str">
        <f aca="false">IF(G128&gt;=Settings!$B$3,"High",IF(G128&gt;=Settings!$B$5,"Medium","Low"))</f>
        <v>Low</v>
      </c>
      <c r="I128" s="2" t="n">
        <f aca="false">COUNTIFS(Map!$D:$D,$A128,Map!$G:$G,"Y")</f>
        <v>0</v>
      </c>
      <c r="J128" s="2" t="str">
        <f aca="false">IF(I128&gt;=Settings!$B$4,"High",IF(I128&gt;=Settings!$B$5,"Medium","Low"))</f>
        <v>Low</v>
      </c>
      <c r="K128" s="2" t="n">
        <f aca="false">COUNTIF(Map!$D:$D,$A128)</f>
        <v>1</v>
      </c>
    </row>
    <row r="129" customFormat="false" ht="23.85" hidden="false" customHeight="false" outlineLevel="0" collapsed="false">
      <c r="A129" s="2" t="n">
        <v>128</v>
      </c>
      <c r="B129" s="2" t="s">
        <v>160</v>
      </c>
      <c r="C129" s="2" t="s">
        <v>163</v>
      </c>
      <c r="D129" s="2" t="s">
        <v>13</v>
      </c>
      <c r="E129" s="2"/>
      <c r="F129" s="2" t="n">
        <v>124</v>
      </c>
      <c r="G129" s="2" t="n">
        <f aca="false">COUNTIFS(Map!$D:$D,$A129,Map!$F:$F,"Y")</f>
        <v>0</v>
      </c>
      <c r="H129" s="2" t="str">
        <f aca="false">IF(G129&gt;=Settings!$B$3,"High",IF(G129&gt;=Settings!$B$5,"Medium","Low"))</f>
        <v>Low</v>
      </c>
      <c r="I129" s="2" t="n">
        <f aca="false">COUNTIFS(Map!$D:$D,$A129,Map!$G:$G,"Y")</f>
        <v>0</v>
      </c>
      <c r="J129" s="2" t="str">
        <f aca="false">IF(I129&gt;=Settings!$B$4,"High",IF(I129&gt;=Settings!$B$5,"Medium","Low"))</f>
        <v>Low</v>
      </c>
      <c r="K129" s="2" t="n">
        <f aca="false">COUNTIF(Map!$D:$D,$A129)</f>
        <v>0</v>
      </c>
    </row>
    <row r="130" customFormat="false" ht="15" hidden="false" customHeight="false" outlineLevel="0" collapsed="false">
      <c r="A130" s="2" t="n">
        <v>129</v>
      </c>
      <c r="B130" s="2" t="s">
        <v>160</v>
      </c>
      <c r="C130" s="2" t="s">
        <v>164</v>
      </c>
      <c r="D130" s="2" t="s">
        <v>13</v>
      </c>
      <c r="E130" s="2"/>
      <c r="F130" s="2" t="n">
        <v>125</v>
      </c>
      <c r="G130" s="2" t="n">
        <f aca="false">COUNTIFS(Map!$D:$D,$A130,Map!$F:$F,"Y")</f>
        <v>0</v>
      </c>
      <c r="H130" s="2" t="str">
        <f aca="false">IF(G130&gt;=Settings!$B$3,"High",IF(G130&gt;=Settings!$B$5,"Medium","Low"))</f>
        <v>Low</v>
      </c>
      <c r="I130" s="2" t="n">
        <f aca="false">COUNTIFS(Map!$D:$D,$A130,Map!$G:$G,"Y")</f>
        <v>0</v>
      </c>
      <c r="J130" s="2" t="str">
        <f aca="false">IF(I130&gt;=Settings!$B$4,"High",IF(I130&gt;=Settings!$B$5,"Medium","Low"))</f>
        <v>Low</v>
      </c>
      <c r="K130" s="2" t="n">
        <f aca="false">COUNTIF(Map!$D:$D,$A130)</f>
        <v>0</v>
      </c>
    </row>
    <row r="131" customFormat="false" ht="15" hidden="false" customHeight="false" outlineLevel="0" collapsed="false">
      <c r="A131" s="2" t="n">
        <v>130</v>
      </c>
      <c r="B131" s="2" t="s">
        <v>160</v>
      </c>
      <c r="C131" s="2" t="s">
        <v>165</v>
      </c>
      <c r="D131" s="2" t="s">
        <v>13</v>
      </c>
      <c r="E131" s="2"/>
      <c r="F131" s="2" t="n">
        <v>126</v>
      </c>
      <c r="G131" s="2" t="n">
        <f aca="false">COUNTIFS(Map!$D:$D,$A131,Map!$F:$F,"Y")</f>
        <v>0</v>
      </c>
      <c r="H131" s="2" t="str">
        <f aca="false">IF(G131&gt;=Settings!$B$3,"High",IF(G131&gt;=Settings!$B$5,"Medium","Low"))</f>
        <v>Low</v>
      </c>
      <c r="I131" s="2" t="n">
        <f aca="false">COUNTIFS(Map!$D:$D,$A131,Map!$G:$G,"Y")</f>
        <v>0</v>
      </c>
      <c r="J131" s="2" t="str">
        <f aca="false">IF(I131&gt;=Settings!$B$4,"High",IF(I131&gt;=Settings!$B$5,"Medium","Low"))</f>
        <v>Low</v>
      </c>
      <c r="K131" s="2" t="n">
        <f aca="false">COUNTIF(Map!$D:$D,$A131)</f>
        <v>7</v>
      </c>
    </row>
    <row r="132" customFormat="false" ht="15" hidden="false" customHeight="false" outlineLevel="0" collapsed="false">
      <c r="A132" s="2" t="n">
        <v>131</v>
      </c>
      <c r="B132" s="2" t="s">
        <v>160</v>
      </c>
      <c r="C132" s="2" t="s">
        <v>166</v>
      </c>
      <c r="D132" s="2" t="s">
        <v>13</v>
      </c>
      <c r="E132" s="2"/>
      <c r="F132" s="2" t="n">
        <v>127</v>
      </c>
      <c r="G132" s="2" t="n">
        <f aca="false">COUNTIFS(Map!$D:$D,$A132,Map!$F:$F,"Y")</f>
        <v>0</v>
      </c>
      <c r="H132" s="2" t="str">
        <f aca="false">IF(G132&gt;=Settings!$B$3,"High",IF(G132&gt;=Settings!$B$5,"Medium","Low"))</f>
        <v>Low</v>
      </c>
      <c r="I132" s="2" t="n">
        <f aca="false">COUNTIFS(Map!$D:$D,$A132,Map!$G:$G,"Y")</f>
        <v>0</v>
      </c>
      <c r="J132" s="2" t="str">
        <f aca="false">IF(I132&gt;=Settings!$B$4,"High",IF(I132&gt;=Settings!$B$5,"Medium","Low"))</f>
        <v>Low</v>
      </c>
      <c r="K132" s="2" t="n">
        <f aca="false">COUNTIF(Map!$D:$D,$A132)</f>
        <v>0</v>
      </c>
    </row>
    <row r="133" customFormat="false" ht="15" hidden="false" customHeight="false" outlineLevel="0" collapsed="false">
      <c r="A133" s="2" t="n">
        <v>132</v>
      </c>
      <c r="B133" s="2" t="s">
        <v>160</v>
      </c>
      <c r="C133" s="2" t="s">
        <v>167</v>
      </c>
      <c r="D133" s="2" t="s">
        <v>13</v>
      </c>
      <c r="E133" s="2"/>
      <c r="F133" s="2" t="n">
        <v>128</v>
      </c>
      <c r="G133" s="2" t="n">
        <f aca="false">COUNTIFS(Map!$D:$D,$A133,Map!$F:$F,"Y")</f>
        <v>0</v>
      </c>
      <c r="H133" s="2" t="str">
        <f aca="false">IF(G133&gt;=Settings!$B$3,"High",IF(G133&gt;=Settings!$B$5,"Medium","Low"))</f>
        <v>Low</v>
      </c>
      <c r="I133" s="2" t="n">
        <f aca="false">COUNTIFS(Map!$D:$D,$A133,Map!$G:$G,"Y")</f>
        <v>0</v>
      </c>
      <c r="J133" s="2" t="str">
        <f aca="false">IF(I133&gt;=Settings!$B$4,"High",IF(I133&gt;=Settings!$B$5,"Medium","Low"))</f>
        <v>Low</v>
      </c>
      <c r="K133" s="2" t="n">
        <f aca="false">COUNTIF(Map!$D:$D,$A133)</f>
        <v>1</v>
      </c>
    </row>
    <row r="134" customFormat="false" ht="15" hidden="false" customHeight="false" outlineLevel="0" collapsed="false">
      <c r="A134" s="2" t="n">
        <v>133</v>
      </c>
      <c r="B134" s="2" t="s">
        <v>160</v>
      </c>
      <c r="C134" s="2" t="s">
        <v>168</v>
      </c>
      <c r="D134" s="2" t="s">
        <v>13</v>
      </c>
      <c r="E134" s="2"/>
      <c r="F134" s="2" t="n">
        <v>129</v>
      </c>
      <c r="G134" s="2" t="n">
        <f aca="false">COUNTIFS(Map!$D:$D,$A134,Map!$F:$F,"Y")</f>
        <v>0</v>
      </c>
      <c r="H134" s="2" t="str">
        <f aca="false">IF(G134&gt;=Settings!$B$3,"High",IF(G134&gt;=Settings!$B$5,"Medium","Low"))</f>
        <v>Low</v>
      </c>
      <c r="I134" s="2" t="n">
        <f aca="false">COUNTIFS(Map!$D:$D,$A134,Map!$G:$G,"Y")</f>
        <v>0</v>
      </c>
      <c r="J134" s="2" t="str">
        <f aca="false">IF(I134&gt;=Settings!$B$4,"High",IF(I134&gt;=Settings!$B$5,"Medium","Low"))</f>
        <v>Low</v>
      </c>
      <c r="K134" s="2" t="n">
        <f aca="false">COUNTIF(Map!$D:$D,$A134)</f>
        <v>8</v>
      </c>
    </row>
    <row r="135" customFormat="false" ht="15" hidden="false" customHeight="false" outlineLevel="0" collapsed="false">
      <c r="A135" s="2" t="n">
        <v>134</v>
      </c>
      <c r="B135" s="2" t="s">
        <v>160</v>
      </c>
      <c r="C135" s="2" t="s">
        <v>169</v>
      </c>
      <c r="D135" s="2" t="s">
        <v>13</v>
      </c>
      <c r="E135" s="2"/>
      <c r="F135" s="2" t="n">
        <v>130</v>
      </c>
      <c r="G135" s="2" t="n">
        <f aca="false">COUNTIFS(Map!$D:$D,$A135,Map!$F:$F,"Y")</f>
        <v>0</v>
      </c>
      <c r="H135" s="2" t="str">
        <f aca="false">IF(G135&gt;=Settings!$B$3,"High",IF(G135&gt;=Settings!$B$5,"Medium","Low"))</f>
        <v>Low</v>
      </c>
      <c r="I135" s="2" t="n">
        <f aca="false">COUNTIFS(Map!$D:$D,$A135,Map!$G:$G,"Y")</f>
        <v>0</v>
      </c>
      <c r="J135" s="2" t="str">
        <f aca="false">IF(I135&gt;=Settings!$B$4,"High",IF(I135&gt;=Settings!$B$5,"Medium","Low"))</f>
        <v>Low</v>
      </c>
      <c r="K135" s="2" t="n">
        <f aca="false">COUNTIF(Map!$D:$D,$A135)</f>
        <v>1</v>
      </c>
    </row>
    <row r="136" customFormat="false" ht="15" hidden="false" customHeight="false" outlineLevel="0" collapsed="false">
      <c r="A136" s="2" t="n">
        <v>135</v>
      </c>
      <c r="B136" s="2" t="s">
        <v>160</v>
      </c>
      <c r="C136" s="2" t="s">
        <v>170</v>
      </c>
      <c r="D136" s="2" t="s">
        <v>13</v>
      </c>
      <c r="E136" s="2"/>
      <c r="F136" s="2" t="n">
        <v>131</v>
      </c>
      <c r="G136" s="2" t="n">
        <f aca="false">COUNTIFS(Map!$D:$D,$A136,Map!$F:$F,"Y")</f>
        <v>0</v>
      </c>
      <c r="H136" s="2" t="str">
        <f aca="false">IF(G136&gt;=Settings!$B$3,"High",IF(G136&gt;=Settings!$B$5,"Medium","Low"))</f>
        <v>Low</v>
      </c>
      <c r="I136" s="2" t="n">
        <f aca="false">COUNTIFS(Map!$D:$D,$A136,Map!$G:$G,"Y")</f>
        <v>0</v>
      </c>
      <c r="J136" s="2" t="str">
        <f aca="false">IF(I136&gt;=Settings!$B$4,"High",IF(I136&gt;=Settings!$B$5,"Medium","Low"))</f>
        <v>Low</v>
      </c>
      <c r="K136" s="2" t="n">
        <f aca="false">COUNTIF(Map!$D:$D,$A136)</f>
        <v>1</v>
      </c>
    </row>
    <row r="137" customFormat="false" ht="15" hidden="false" customHeight="false" outlineLevel="0" collapsed="false">
      <c r="A137" s="2" t="n">
        <v>136</v>
      </c>
      <c r="B137" s="2" t="s">
        <v>160</v>
      </c>
      <c r="C137" s="2" t="s">
        <v>171</v>
      </c>
      <c r="D137" s="2" t="s">
        <v>13</v>
      </c>
      <c r="E137" s="2"/>
      <c r="F137" s="2" t="n">
        <v>132</v>
      </c>
      <c r="G137" s="2" t="n">
        <f aca="false">COUNTIFS(Map!$D:$D,$A137,Map!$F:$F,"Y")</f>
        <v>0</v>
      </c>
      <c r="H137" s="2" t="str">
        <f aca="false">IF(G137&gt;=Settings!$B$3,"High",IF(G137&gt;=Settings!$B$5,"Medium","Low"))</f>
        <v>Low</v>
      </c>
      <c r="I137" s="2" t="n">
        <f aca="false">COUNTIFS(Map!$D:$D,$A137,Map!$G:$G,"Y")</f>
        <v>0</v>
      </c>
      <c r="J137" s="2" t="str">
        <f aca="false">IF(I137&gt;=Settings!$B$4,"High",IF(I137&gt;=Settings!$B$5,"Medium","Low"))</f>
        <v>Low</v>
      </c>
      <c r="K137" s="2" t="n">
        <f aca="false">COUNTIF(Map!$D:$D,$A137)</f>
        <v>2</v>
      </c>
    </row>
    <row r="138" customFormat="false" ht="15" hidden="false" customHeight="false" outlineLevel="0" collapsed="false">
      <c r="A138" s="2" t="n">
        <v>137</v>
      </c>
      <c r="B138" s="2" t="s">
        <v>160</v>
      </c>
      <c r="C138" s="2" t="s">
        <v>172</v>
      </c>
      <c r="D138" s="2" t="s">
        <v>13</v>
      </c>
      <c r="E138" s="2"/>
      <c r="F138" s="2" t="n">
        <v>133</v>
      </c>
      <c r="G138" s="2" t="n">
        <f aca="false">COUNTIFS(Map!$D:$D,$A138,Map!$F:$F,"Y")</f>
        <v>0</v>
      </c>
      <c r="H138" s="2" t="str">
        <f aca="false">IF(G138&gt;=Settings!$B$3,"High",IF(G138&gt;=Settings!$B$5,"Medium","Low"))</f>
        <v>Low</v>
      </c>
      <c r="I138" s="2" t="n">
        <f aca="false">COUNTIFS(Map!$D:$D,$A138,Map!$G:$G,"Y")</f>
        <v>0</v>
      </c>
      <c r="J138" s="2" t="str">
        <f aca="false">IF(I138&gt;=Settings!$B$4,"High",IF(I138&gt;=Settings!$B$5,"Medium","Low"))</f>
        <v>Low</v>
      </c>
      <c r="K138" s="2" t="n">
        <f aca="false">COUNTIF(Map!$D:$D,$A138)</f>
        <v>2</v>
      </c>
    </row>
    <row r="139" customFormat="false" ht="15" hidden="false" customHeight="false" outlineLevel="0" collapsed="false">
      <c r="A139" s="2" t="n">
        <v>138</v>
      </c>
      <c r="B139" s="2" t="s">
        <v>173</v>
      </c>
      <c r="C139" s="2" t="s">
        <v>174</v>
      </c>
      <c r="D139" s="2" t="s">
        <v>13</v>
      </c>
      <c r="E139" s="2"/>
      <c r="F139" s="2" t="n">
        <v>134</v>
      </c>
      <c r="G139" s="2" t="n">
        <f aca="false">COUNTIFS(Map!$D:$D,$A139,Map!$F:$F,"Y")</f>
        <v>0</v>
      </c>
      <c r="H139" s="2" t="str">
        <f aca="false">IF(G139&gt;=Settings!$B$3,"High",IF(G139&gt;=Settings!$B$5,"Medium","Low"))</f>
        <v>Low</v>
      </c>
      <c r="I139" s="2" t="n">
        <f aca="false">COUNTIFS(Map!$D:$D,$A139,Map!$G:$G,"Y")</f>
        <v>0</v>
      </c>
      <c r="J139" s="2" t="str">
        <f aca="false">IF(I139&gt;=Settings!$B$4,"High",IF(I139&gt;=Settings!$B$5,"Medium","Low"))</f>
        <v>Low</v>
      </c>
      <c r="K139" s="2" t="n">
        <f aca="false">COUNTIF(Map!$D:$D,$A139)</f>
        <v>0</v>
      </c>
    </row>
    <row r="140" customFormat="false" ht="15" hidden="false" customHeight="false" outlineLevel="0" collapsed="false">
      <c r="A140" s="2" t="n">
        <v>139</v>
      </c>
      <c r="B140" s="2" t="s">
        <v>173</v>
      </c>
      <c r="C140" s="2" t="s">
        <v>175</v>
      </c>
      <c r="D140" s="2" t="s">
        <v>13</v>
      </c>
      <c r="E140" s="2"/>
      <c r="F140" s="2" t="n">
        <v>135</v>
      </c>
      <c r="G140" s="2" t="n">
        <f aca="false">COUNTIFS(Map!$D:$D,$A140,Map!$F:$F,"Y")</f>
        <v>1</v>
      </c>
      <c r="H140" s="2" t="str">
        <f aca="false">IF(G140&gt;=Settings!$B$3,"High",IF(G140&gt;=Settings!$B$5,"Medium","Low"))</f>
        <v>Medium</v>
      </c>
      <c r="I140" s="2" t="n">
        <f aca="false">COUNTIFS(Map!$D:$D,$A140,Map!$G:$G,"Y")</f>
        <v>1</v>
      </c>
      <c r="J140" s="2" t="str">
        <f aca="false">IF(I140&gt;=Settings!$B$4,"High",IF(I140&gt;=Settings!$B$5,"Medium","Low"))</f>
        <v>Medium</v>
      </c>
      <c r="K140" s="2" t="n">
        <f aca="false">COUNTIF(Map!$D:$D,$A140)</f>
        <v>5</v>
      </c>
    </row>
  </sheetData>
  <autoFilter ref="A1:K140"/>
  <conditionalFormatting sqref="H2:H140">
    <cfRule type="cellIs" priority="2" operator="equal" aboveAverage="0" equalAverage="0" bottom="0" percent="0" rank="0" text="" dxfId="6">
      <formula>"High"</formula>
    </cfRule>
    <cfRule type="cellIs" priority="3" operator="equal" aboveAverage="0" equalAverage="0" bottom="0" percent="0" rank="0" text="" dxfId="7">
      <formula>"Medium"</formula>
    </cfRule>
    <cfRule type="cellIs" priority="4" operator="equal" aboveAverage="0" equalAverage="0" bottom="0" percent="0" rank="0" text="" dxfId="8">
      <formula>"Low"</formula>
    </cfRule>
  </conditionalFormatting>
  <conditionalFormatting sqref="J2:J140">
    <cfRule type="cellIs" priority="5" operator="equal" aboveAverage="0" equalAverage="0" bottom="0" percent="0" rank="0" text="" dxfId="6">
      <formula>"High"</formula>
    </cfRule>
    <cfRule type="cellIs" priority="6" operator="equal" aboveAverage="0" equalAverage="0" bottom="0" percent="0" rank="0" text="" dxfId="7">
      <formula>"Medium"</formula>
    </cfRule>
    <cfRule type="cellIs" priority="7" operator="equal" aboveAverage="0" equalAverage="0" bottom="0" percent="0" rank="0" text="" dxfId="8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8" style="0" width="100"/>
  </cols>
  <sheetData>
    <row r="1" customFormat="false" ht="23.85" hidden="false" customHeight="false" outlineLevel="0" collapsed="false">
      <c r="A1" s="1" t="s">
        <v>176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</row>
    <row r="2" customFormat="false" ht="15" hidden="false" customHeight="false" outlineLevel="0" collapsed="false">
      <c r="A2" s="3" t="s">
        <v>184</v>
      </c>
      <c r="B2" s="3" t="n">
        <v>1</v>
      </c>
      <c r="C2" s="3" t="s">
        <v>185</v>
      </c>
      <c r="D2" s="3" t="n">
        <v>65</v>
      </c>
      <c r="E2" s="3" t="s">
        <v>186</v>
      </c>
      <c r="F2" s="3" t="s">
        <v>187</v>
      </c>
      <c r="G2" s="3" t="s">
        <v>187</v>
      </c>
      <c r="H2" s="3" t="s">
        <v>188</v>
      </c>
    </row>
    <row r="3" customFormat="false" ht="15" hidden="false" customHeight="false" outlineLevel="0" collapsed="false">
      <c r="A3" s="3" t="s">
        <v>184</v>
      </c>
      <c r="B3" s="3" t="n">
        <v>1</v>
      </c>
      <c r="C3" s="3" t="s">
        <v>185</v>
      </c>
      <c r="D3" s="3" t="n">
        <v>32</v>
      </c>
      <c r="E3" s="3" t="s">
        <v>189</v>
      </c>
      <c r="F3" s="3" t="s">
        <v>187</v>
      </c>
      <c r="G3" s="3" t="s">
        <v>187</v>
      </c>
      <c r="H3" s="3" t="s">
        <v>188</v>
      </c>
    </row>
    <row r="4" customFormat="false" ht="15" hidden="false" customHeight="false" outlineLevel="0" collapsed="false">
      <c r="A4" s="3" t="s">
        <v>184</v>
      </c>
      <c r="B4" s="3" t="n">
        <v>2</v>
      </c>
      <c r="C4" s="3" t="s">
        <v>185</v>
      </c>
      <c r="D4" s="3" t="n">
        <v>36</v>
      </c>
      <c r="E4" s="3" t="s">
        <v>186</v>
      </c>
      <c r="F4" s="3" t="s">
        <v>187</v>
      </c>
      <c r="G4" s="3" t="s">
        <v>187</v>
      </c>
      <c r="H4" s="3" t="s">
        <v>190</v>
      </c>
    </row>
    <row r="5" customFormat="false" ht="15" hidden="false" customHeight="false" outlineLevel="0" collapsed="false">
      <c r="A5" s="3" t="s">
        <v>184</v>
      </c>
      <c r="B5" s="3" t="n">
        <v>2</v>
      </c>
      <c r="C5" s="3" t="s">
        <v>185</v>
      </c>
      <c r="D5" s="3" t="n">
        <v>12</v>
      </c>
      <c r="E5" s="3" t="s">
        <v>189</v>
      </c>
      <c r="F5" s="3" t="s">
        <v>187</v>
      </c>
      <c r="G5" s="3" t="s">
        <v>187</v>
      </c>
      <c r="H5" s="3" t="s">
        <v>190</v>
      </c>
    </row>
    <row r="6" customFormat="false" ht="15" hidden="false" customHeight="false" outlineLevel="0" collapsed="false">
      <c r="A6" s="3" t="s">
        <v>184</v>
      </c>
      <c r="B6" s="3" t="n">
        <v>3</v>
      </c>
      <c r="C6" s="3" t="s">
        <v>185</v>
      </c>
      <c r="D6" s="3" t="n">
        <v>11</v>
      </c>
      <c r="E6" s="3" t="s">
        <v>186</v>
      </c>
      <c r="F6" s="3" t="s">
        <v>187</v>
      </c>
      <c r="G6" s="3" t="s">
        <v>187</v>
      </c>
      <c r="H6" s="3" t="s">
        <v>191</v>
      </c>
    </row>
    <row r="7" customFormat="false" ht="15" hidden="false" customHeight="false" outlineLevel="0" collapsed="false">
      <c r="A7" s="3" t="s">
        <v>184</v>
      </c>
      <c r="B7" s="3" t="n">
        <v>3</v>
      </c>
      <c r="C7" s="3" t="s">
        <v>185</v>
      </c>
      <c r="D7" s="3" t="n">
        <v>103</v>
      </c>
      <c r="E7" s="3" t="s">
        <v>189</v>
      </c>
      <c r="F7" s="3" t="s">
        <v>187</v>
      </c>
      <c r="G7" s="3" t="s">
        <v>187</v>
      </c>
      <c r="H7" s="3" t="s">
        <v>191</v>
      </c>
    </row>
    <row r="8" customFormat="false" ht="15" hidden="false" customHeight="false" outlineLevel="0" collapsed="false">
      <c r="A8" s="3" t="s">
        <v>184</v>
      </c>
      <c r="B8" s="3" t="n">
        <v>3</v>
      </c>
      <c r="C8" s="3" t="s">
        <v>185</v>
      </c>
      <c r="D8" s="3" t="n">
        <v>30</v>
      </c>
      <c r="E8" s="3" t="s">
        <v>189</v>
      </c>
      <c r="F8" s="3" t="s">
        <v>187</v>
      </c>
      <c r="G8" s="3" t="s">
        <v>187</v>
      </c>
      <c r="H8" s="3" t="s">
        <v>191</v>
      </c>
    </row>
    <row r="9" customFormat="false" ht="15" hidden="false" customHeight="false" outlineLevel="0" collapsed="false">
      <c r="A9" s="3" t="s">
        <v>184</v>
      </c>
      <c r="B9" s="3" t="n">
        <v>4</v>
      </c>
      <c r="C9" s="3" t="s">
        <v>185</v>
      </c>
      <c r="D9" s="3" t="n">
        <v>11</v>
      </c>
      <c r="E9" s="3" t="s">
        <v>186</v>
      </c>
      <c r="F9" s="3" t="s">
        <v>187</v>
      </c>
      <c r="G9" s="3" t="s">
        <v>187</v>
      </c>
      <c r="H9" s="3" t="s">
        <v>192</v>
      </c>
    </row>
    <row r="10" customFormat="false" ht="15" hidden="false" customHeight="false" outlineLevel="0" collapsed="false">
      <c r="A10" s="3" t="s">
        <v>184</v>
      </c>
      <c r="B10" s="3" t="n">
        <v>4</v>
      </c>
      <c r="C10" s="3" t="s">
        <v>185</v>
      </c>
      <c r="D10" s="3" t="n">
        <v>18</v>
      </c>
      <c r="E10" s="3" t="s">
        <v>189</v>
      </c>
      <c r="F10" s="3" t="s">
        <v>187</v>
      </c>
      <c r="G10" s="3" t="s">
        <v>187</v>
      </c>
      <c r="H10" s="3" t="s">
        <v>192</v>
      </c>
    </row>
    <row r="11" customFormat="false" ht="15" hidden="false" customHeight="false" outlineLevel="0" collapsed="false">
      <c r="A11" s="3" t="s">
        <v>184</v>
      </c>
      <c r="B11" s="3" t="n">
        <v>5</v>
      </c>
      <c r="C11" s="3" t="s">
        <v>185</v>
      </c>
      <c r="D11" s="3" t="n">
        <v>11</v>
      </c>
      <c r="E11" s="3" t="s">
        <v>186</v>
      </c>
      <c r="F11" s="3" t="s">
        <v>187</v>
      </c>
      <c r="G11" s="3" t="s">
        <v>187</v>
      </c>
      <c r="H11" s="3" t="s">
        <v>193</v>
      </c>
    </row>
    <row r="12" customFormat="false" ht="15" hidden="false" customHeight="false" outlineLevel="0" collapsed="false">
      <c r="A12" s="3" t="s">
        <v>184</v>
      </c>
      <c r="B12" s="3" t="n">
        <v>6</v>
      </c>
      <c r="C12" s="3" t="s">
        <v>185</v>
      </c>
      <c r="D12" s="3" t="n">
        <v>11</v>
      </c>
      <c r="E12" s="3" t="s">
        <v>186</v>
      </c>
      <c r="F12" s="3" t="s">
        <v>187</v>
      </c>
      <c r="G12" s="3" t="s">
        <v>187</v>
      </c>
      <c r="H12" s="3" t="s">
        <v>194</v>
      </c>
    </row>
    <row r="13" customFormat="false" ht="15" hidden="false" customHeight="false" outlineLevel="0" collapsed="false">
      <c r="A13" s="3" t="s">
        <v>184</v>
      </c>
      <c r="B13" s="3" t="n">
        <v>6</v>
      </c>
      <c r="C13" s="3" t="s">
        <v>185</v>
      </c>
      <c r="D13" s="3" t="n">
        <v>30</v>
      </c>
      <c r="E13" s="3" t="s">
        <v>189</v>
      </c>
      <c r="F13" s="3" t="s">
        <v>187</v>
      </c>
      <c r="G13" s="3" t="s">
        <v>187</v>
      </c>
      <c r="H13" s="3" t="s">
        <v>194</v>
      </c>
    </row>
    <row r="14" customFormat="false" ht="15" hidden="false" customHeight="false" outlineLevel="0" collapsed="false">
      <c r="A14" s="3" t="s">
        <v>184</v>
      </c>
      <c r="B14" s="3" t="n">
        <v>7</v>
      </c>
      <c r="C14" s="3" t="s">
        <v>185</v>
      </c>
      <c r="D14" s="3" t="n">
        <v>40</v>
      </c>
      <c r="E14" s="3" t="s">
        <v>186</v>
      </c>
      <c r="F14" s="3" t="s">
        <v>187</v>
      </c>
      <c r="G14" s="3" t="s">
        <v>187</v>
      </c>
      <c r="H14" s="3" t="s">
        <v>195</v>
      </c>
    </row>
    <row r="15" customFormat="false" ht="15" hidden="false" customHeight="false" outlineLevel="0" collapsed="false">
      <c r="A15" s="3" t="s">
        <v>184</v>
      </c>
      <c r="B15" s="3" t="n">
        <v>7</v>
      </c>
      <c r="C15" s="3" t="s">
        <v>185</v>
      </c>
      <c r="D15" s="3" t="n">
        <v>58</v>
      </c>
      <c r="E15" s="3" t="s">
        <v>189</v>
      </c>
      <c r="F15" s="3" t="s">
        <v>187</v>
      </c>
      <c r="G15" s="3" t="s">
        <v>187</v>
      </c>
      <c r="H15" s="3" t="s">
        <v>195</v>
      </c>
    </row>
    <row r="16" customFormat="false" ht="15" hidden="false" customHeight="false" outlineLevel="0" collapsed="false">
      <c r="A16" s="3" t="s">
        <v>184</v>
      </c>
      <c r="B16" s="3" t="n">
        <v>8</v>
      </c>
      <c r="C16" s="3" t="s">
        <v>185</v>
      </c>
      <c r="D16" s="3" t="n">
        <v>57</v>
      </c>
      <c r="E16" s="3" t="s">
        <v>186</v>
      </c>
      <c r="F16" s="3" t="s">
        <v>187</v>
      </c>
      <c r="G16" s="3" t="s">
        <v>187</v>
      </c>
      <c r="H16" s="3" t="s">
        <v>196</v>
      </c>
    </row>
    <row r="17" customFormat="false" ht="15" hidden="false" customHeight="false" outlineLevel="0" collapsed="false">
      <c r="A17" s="3" t="s">
        <v>184</v>
      </c>
      <c r="B17" s="3" t="n">
        <v>9</v>
      </c>
      <c r="C17" s="3" t="s">
        <v>185</v>
      </c>
      <c r="D17" s="3" t="n">
        <v>57</v>
      </c>
      <c r="E17" s="3" t="s">
        <v>186</v>
      </c>
      <c r="F17" s="3" t="s">
        <v>187</v>
      </c>
      <c r="G17" s="3" t="s">
        <v>187</v>
      </c>
      <c r="H17" s="3" t="s">
        <v>197</v>
      </c>
    </row>
    <row r="18" customFormat="false" ht="15" hidden="false" customHeight="false" outlineLevel="0" collapsed="false">
      <c r="A18" s="3" t="s">
        <v>184</v>
      </c>
      <c r="B18" s="3" t="n">
        <v>9</v>
      </c>
      <c r="C18" s="3" t="s">
        <v>185</v>
      </c>
      <c r="D18" s="3" t="n">
        <v>15</v>
      </c>
      <c r="E18" s="3" t="s">
        <v>189</v>
      </c>
      <c r="F18" s="3" t="s">
        <v>187</v>
      </c>
      <c r="G18" s="3" t="s">
        <v>187</v>
      </c>
      <c r="H18" s="3" t="s">
        <v>197</v>
      </c>
    </row>
    <row r="19" customFormat="false" ht="15" hidden="false" customHeight="false" outlineLevel="0" collapsed="false">
      <c r="A19" s="3" t="s">
        <v>184</v>
      </c>
      <c r="B19" s="3" t="n">
        <v>10</v>
      </c>
      <c r="C19" s="3" t="s">
        <v>185</v>
      </c>
      <c r="D19" s="3" t="n">
        <v>57</v>
      </c>
      <c r="E19" s="3" t="s">
        <v>186</v>
      </c>
      <c r="F19" s="3" t="s">
        <v>187</v>
      </c>
      <c r="G19" s="3" t="s">
        <v>187</v>
      </c>
      <c r="H19" s="3" t="s">
        <v>198</v>
      </c>
    </row>
    <row r="20" customFormat="false" ht="15" hidden="false" customHeight="false" outlineLevel="0" collapsed="false">
      <c r="A20" s="3" t="s">
        <v>184</v>
      </c>
      <c r="B20" s="3" t="n">
        <v>11</v>
      </c>
      <c r="C20" s="3" t="s">
        <v>185</v>
      </c>
      <c r="D20" s="3" t="n">
        <v>55</v>
      </c>
      <c r="E20" s="3" t="s">
        <v>186</v>
      </c>
      <c r="F20" s="3" t="s">
        <v>187</v>
      </c>
      <c r="G20" s="3" t="s">
        <v>187</v>
      </c>
      <c r="H20" s="3" t="s">
        <v>199</v>
      </c>
    </row>
    <row r="21" customFormat="false" ht="15" hidden="false" customHeight="false" outlineLevel="0" collapsed="false">
      <c r="A21" s="3" t="s">
        <v>184</v>
      </c>
      <c r="B21" s="3" t="n">
        <v>12</v>
      </c>
      <c r="C21" s="3" t="s">
        <v>185</v>
      </c>
      <c r="D21" s="3" t="n">
        <v>47</v>
      </c>
      <c r="E21" s="3" t="s">
        <v>186</v>
      </c>
      <c r="F21" s="3" t="s">
        <v>187</v>
      </c>
      <c r="G21" s="3" t="s">
        <v>187</v>
      </c>
      <c r="H21" s="3" t="s">
        <v>200</v>
      </c>
    </row>
    <row r="22" customFormat="false" ht="15" hidden="false" customHeight="false" outlineLevel="0" collapsed="false">
      <c r="A22" s="3" t="s">
        <v>184</v>
      </c>
      <c r="B22" s="3" t="n">
        <v>12</v>
      </c>
      <c r="C22" s="3" t="s">
        <v>185</v>
      </c>
      <c r="D22" s="3" t="n">
        <v>5</v>
      </c>
      <c r="E22" s="3" t="s">
        <v>189</v>
      </c>
      <c r="F22" s="3" t="s">
        <v>187</v>
      </c>
      <c r="G22" s="3" t="s">
        <v>187</v>
      </c>
      <c r="H22" s="3" t="s">
        <v>200</v>
      </c>
    </row>
    <row r="23" customFormat="false" ht="15" hidden="false" customHeight="false" outlineLevel="0" collapsed="false">
      <c r="A23" s="3" t="s">
        <v>184</v>
      </c>
      <c r="B23" s="3" t="n">
        <v>13</v>
      </c>
      <c r="C23" s="3" t="s">
        <v>185</v>
      </c>
      <c r="D23" s="3" t="n">
        <v>51</v>
      </c>
      <c r="E23" s="3" t="s">
        <v>186</v>
      </c>
      <c r="F23" s="3" t="s">
        <v>187</v>
      </c>
      <c r="G23" s="3" t="s">
        <v>187</v>
      </c>
      <c r="H23" s="3" t="s">
        <v>201</v>
      </c>
    </row>
    <row r="24" customFormat="false" ht="15" hidden="false" customHeight="false" outlineLevel="0" collapsed="false">
      <c r="A24" s="3" t="s">
        <v>184</v>
      </c>
      <c r="B24" s="3" t="n">
        <v>13</v>
      </c>
      <c r="C24" s="3" t="s">
        <v>185</v>
      </c>
      <c r="D24" s="3" t="n">
        <v>111</v>
      </c>
      <c r="E24" s="3" t="s">
        <v>189</v>
      </c>
      <c r="F24" s="3" t="s">
        <v>187</v>
      </c>
      <c r="G24" s="3" t="s">
        <v>187</v>
      </c>
      <c r="H24" s="3" t="s">
        <v>201</v>
      </c>
    </row>
    <row r="25" customFormat="false" ht="15" hidden="false" customHeight="false" outlineLevel="0" collapsed="false">
      <c r="A25" s="3" t="s">
        <v>184</v>
      </c>
      <c r="B25" s="3" t="n">
        <v>14</v>
      </c>
      <c r="C25" s="3" t="s">
        <v>185</v>
      </c>
      <c r="D25" s="3" t="n">
        <v>77</v>
      </c>
      <c r="E25" s="3" t="s">
        <v>186</v>
      </c>
      <c r="F25" s="3" t="s">
        <v>187</v>
      </c>
      <c r="G25" s="3" t="s">
        <v>187</v>
      </c>
      <c r="H25" s="3" t="s">
        <v>202</v>
      </c>
    </row>
    <row r="26" customFormat="false" ht="15" hidden="false" customHeight="false" outlineLevel="0" collapsed="false">
      <c r="A26" s="3" t="s">
        <v>184</v>
      </c>
      <c r="B26" s="3" t="n">
        <v>14</v>
      </c>
      <c r="C26" s="3" t="s">
        <v>185</v>
      </c>
      <c r="D26" s="3" t="n">
        <v>76</v>
      </c>
      <c r="E26" s="3" t="s">
        <v>189</v>
      </c>
      <c r="F26" s="3" t="s">
        <v>187</v>
      </c>
      <c r="G26" s="3" t="s">
        <v>187</v>
      </c>
      <c r="H26" s="3" t="s">
        <v>202</v>
      </c>
    </row>
    <row r="27" customFormat="false" ht="15" hidden="false" customHeight="false" outlineLevel="0" collapsed="false">
      <c r="A27" s="3" t="s">
        <v>184</v>
      </c>
      <c r="B27" s="3" t="n">
        <v>15</v>
      </c>
      <c r="C27" s="3" t="s">
        <v>185</v>
      </c>
      <c r="D27" s="3" t="n">
        <v>74</v>
      </c>
      <c r="E27" s="3" t="s">
        <v>186</v>
      </c>
      <c r="F27" s="3" t="s">
        <v>187</v>
      </c>
      <c r="G27" s="3" t="s">
        <v>187</v>
      </c>
      <c r="H27" s="3" t="s">
        <v>203</v>
      </c>
    </row>
    <row r="28" customFormat="false" ht="15" hidden="false" customHeight="false" outlineLevel="0" collapsed="false">
      <c r="A28" s="3" t="s">
        <v>184</v>
      </c>
      <c r="B28" s="3" t="n">
        <v>15</v>
      </c>
      <c r="C28" s="3" t="s">
        <v>185</v>
      </c>
      <c r="D28" s="3" t="n">
        <v>80</v>
      </c>
      <c r="E28" s="3" t="s">
        <v>189</v>
      </c>
      <c r="F28" s="3" t="s">
        <v>187</v>
      </c>
      <c r="G28" s="3" t="s">
        <v>187</v>
      </c>
      <c r="H28" s="3" t="s">
        <v>203</v>
      </c>
    </row>
    <row r="29" customFormat="false" ht="15" hidden="false" customHeight="false" outlineLevel="0" collapsed="false">
      <c r="A29" s="3" t="s">
        <v>184</v>
      </c>
      <c r="B29" s="3" t="n">
        <v>16</v>
      </c>
      <c r="C29" s="3" t="s">
        <v>185</v>
      </c>
      <c r="D29" s="3" t="n">
        <v>80</v>
      </c>
      <c r="E29" s="3" t="s">
        <v>186</v>
      </c>
      <c r="F29" s="3" t="s">
        <v>187</v>
      </c>
      <c r="G29" s="3" t="s">
        <v>187</v>
      </c>
      <c r="H29" s="3" t="s">
        <v>204</v>
      </c>
    </row>
    <row r="30" customFormat="false" ht="15" hidden="false" customHeight="false" outlineLevel="0" collapsed="false">
      <c r="A30" s="3" t="s">
        <v>184</v>
      </c>
      <c r="B30" s="3" t="n">
        <v>16</v>
      </c>
      <c r="C30" s="3" t="s">
        <v>185</v>
      </c>
      <c r="D30" s="3" t="n">
        <v>5</v>
      </c>
      <c r="E30" s="3" t="s">
        <v>189</v>
      </c>
      <c r="F30" s="3" t="s">
        <v>187</v>
      </c>
      <c r="G30" s="3" t="s">
        <v>187</v>
      </c>
      <c r="H30" s="3" t="s">
        <v>204</v>
      </c>
    </row>
    <row r="31" customFormat="false" ht="15" hidden="false" customHeight="false" outlineLevel="0" collapsed="false">
      <c r="A31" s="3" t="s">
        <v>184</v>
      </c>
      <c r="B31" s="3" t="n">
        <v>17</v>
      </c>
      <c r="C31" s="3" t="s">
        <v>185</v>
      </c>
      <c r="D31" s="3" t="n">
        <v>77</v>
      </c>
      <c r="E31" s="3" t="s">
        <v>186</v>
      </c>
      <c r="F31" s="3" t="s">
        <v>187</v>
      </c>
      <c r="G31" s="3" t="s">
        <v>187</v>
      </c>
      <c r="H31" s="3" t="s">
        <v>205</v>
      </c>
    </row>
    <row r="32" customFormat="false" ht="15" hidden="false" customHeight="false" outlineLevel="0" collapsed="false">
      <c r="A32" s="3" t="s">
        <v>184</v>
      </c>
      <c r="B32" s="3" t="n">
        <v>17</v>
      </c>
      <c r="C32" s="3" t="s">
        <v>185</v>
      </c>
      <c r="D32" s="3" t="n">
        <v>81</v>
      </c>
      <c r="E32" s="3" t="s">
        <v>189</v>
      </c>
      <c r="F32" s="3" t="s">
        <v>187</v>
      </c>
      <c r="G32" s="3" t="s">
        <v>187</v>
      </c>
      <c r="H32" s="3" t="s">
        <v>205</v>
      </c>
    </row>
    <row r="33" customFormat="false" ht="15" hidden="false" customHeight="false" outlineLevel="0" collapsed="false">
      <c r="A33" s="3" t="s">
        <v>184</v>
      </c>
      <c r="B33" s="3" t="n">
        <v>18</v>
      </c>
      <c r="C33" s="3" t="s">
        <v>185</v>
      </c>
      <c r="D33" s="3" t="n">
        <v>11</v>
      </c>
      <c r="E33" s="3" t="s">
        <v>186</v>
      </c>
      <c r="F33" s="3" t="s">
        <v>187</v>
      </c>
      <c r="G33" s="3" t="s">
        <v>187</v>
      </c>
      <c r="H33" s="3" t="s">
        <v>206</v>
      </c>
    </row>
    <row r="34" customFormat="false" ht="15" hidden="false" customHeight="false" outlineLevel="0" collapsed="false">
      <c r="A34" s="3" t="s">
        <v>184</v>
      </c>
      <c r="B34" s="3" t="n">
        <v>18</v>
      </c>
      <c r="C34" s="3" t="s">
        <v>185</v>
      </c>
      <c r="D34" s="3" t="n">
        <v>45</v>
      </c>
      <c r="E34" s="3" t="s">
        <v>189</v>
      </c>
      <c r="F34" s="3" t="s">
        <v>187</v>
      </c>
      <c r="G34" s="3" t="s">
        <v>187</v>
      </c>
      <c r="H34" s="3" t="s">
        <v>206</v>
      </c>
    </row>
    <row r="35" customFormat="false" ht="15" hidden="false" customHeight="false" outlineLevel="0" collapsed="false">
      <c r="A35" s="3" t="s">
        <v>184</v>
      </c>
      <c r="B35" s="3" t="n">
        <v>19</v>
      </c>
      <c r="C35" s="3" t="s">
        <v>185</v>
      </c>
      <c r="D35" s="3" t="n">
        <v>10</v>
      </c>
      <c r="E35" s="3" t="s">
        <v>186</v>
      </c>
      <c r="F35" s="3" t="s">
        <v>187</v>
      </c>
      <c r="G35" s="3" t="s">
        <v>187</v>
      </c>
      <c r="H35" s="3" t="s">
        <v>207</v>
      </c>
    </row>
    <row r="36" customFormat="false" ht="15" hidden="false" customHeight="false" outlineLevel="0" collapsed="false">
      <c r="A36" s="3" t="s">
        <v>184</v>
      </c>
      <c r="B36" s="3" t="n">
        <v>20</v>
      </c>
      <c r="C36" s="3" t="s">
        <v>185</v>
      </c>
      <c r="D36" s="3" t="n">
        <v>96</v>
      </c>
      <c r="E36" s="3" t="s">
        <v>186</v>
      </c>
      <c r="F36" s="3" t="s">
        <v>187</v>
      </c>
      <c r="G36" s="3" t="s">
        <v>187</v>
      </c>
      <c r="H36" s="3" t="s">
        <v>208</v>
      </c>
    </row>
    <row r="37" customFormat="false" ht="15" hidden="false" customHeight="false" outlineLevel="0" collapsed="false">
      <c r="A37" s="3" t="s">
        <v>184</v>
      </c>
      <c r="B37" s="3" t="n">
        <v>20</v>
      </c>
      <c r="C37" s="3" t="s">
        <v>185</v>
      </c>
      <c r="D37" s="3" t="n">
        <v>53</v>
      </c>
      <c r="E37" s="3" t="s">
        <v>189</v>
      </c>
      <c r="F37" s="3" t="s">
        <v>187</v>
      </c>
      <c r="G37" s="3" t="s">
        <v>187</v>
      </c>
      <c r="H37" s="3" t="s">
        <v>208</v>
      </c>
    </row>
    <row r="38" customFormat="false" ht="15" hidden="false" customHeight="false" outlineLevel="0" collapsed="false">
      <c r="A38" s="3" t="s">
        <v>184</v>
      </c>
      <c r="B38" s="3" t="n">
        <v>21</v>
      </c>
      <c r="C38" s="3" t="s">
        <v>185</v>
      </c>
      <c r="D38" s="3" t="n">
        <v>96</v>
      </c>
      <c r="E38" s="3" t="s">
        <v>186</v>
      </c>
      <c r="F38" s="3" t="s">
        <v>187</v>
      </c>
      <c r="G38" s="3" t="s">
        <v>187</v>
      </c>
      <c r="H38" s="3" t="s">
        <v>209</v>
      </c>
    </row>
    <row r="39" customFormat="false" ht="15" hidden="false" customHeight="false" outlineLevel="0" collapsed="false">
      <c r="A39" s="3" t="s">
        <v>184</v>
      </c>
      <c r="B39" s="3" t="n">
        <v>22</v>
      </c>
      <c r="C39" s="3" t="s">
        <v>185</v>
      </c>
      <c r="D39" s="3" t="n">
        <v>99</v>
      </c>
      <c r="E39" s="3" t="s">
        <v>186</v>
      </c>
      <c r="F39" s="3" t="s">
        <v>187</v>
      </c>
      <c r="G39" s="3" t="s">
        <v>187</v>
      </c>
      <c r="H39" s="3" t="s">
        <v>210</v>
      </c>
    </row>
    <row r="40" customFormat="false" ht="15" hidden="false" customHeight="false" outlineLevel="0" collapsed="false">
      <c r="A40" s="3" t="s">
        <v>184</v>
      </c>
      <c r="B40" s="3" t="n">
        <v>23</v>
      </c>
      <c r="C40" s="3" t="s">
        <v>185</v>
      </c>
      <c r="D40" s="3" t="n">
        <v>97</v>
      </c>
      <c r="E40" s="3" t="s">
        <v>186</v>
      </c>
      <c r="F40" s="3" t="s">
        <v>187</v>
      </c>
      <c r="G40" s="3" t="s">
        <v>187</v>
      </c>
      <c r="H40" s="3" t="s">
        <v>211</v>
      </c>
    </row>
    <row r="41" customFormat="false" ht="15" hidden="false" customHeight="false" outlineLevel="0" collapsed="false">
      <c r="A41" s="3" t="s">
        <v>184</v>
      </c>
      <c r="B41" s="3" t="n">
        <v>24</v>
      </c>
      <c r="C41" s="3" t="s">
        <v>185</v>
      </c>
      <c r="D41" s="3" t="n">
        <v>99</v>
      </c>
      <c r="E41" s="3" t="s">
        <v>186</v>
      </c>
      <c r="F41" s="3" t="s">
        <v>187</v>
      </c>
      <c r="G41" s="3" t="s">
        <v>187</v>
      </c>
      <c r="H41" s="3" t="s">
        <v>212</v>
      </c>
    </row>
    <row r="42" customFormat="false" ht="15" hidden="false" customHeight="false" outlineLevel="0" collapsed="false">
      <c r="A42" s="3" t="s">
        <v>184</v>
      </c>
      <c r="B42" s="3" t="n">
        <v>25</v>
      </c>
      <c r="C42" s="3" t="s">
        <v>185</v>
      </c>
      <c r="D42" s="3" t="n">
        <v>125</v>
      </c>
      <c r="E42" s="3" t="s">
        <v>186</v>
      </c>
      <c r="F42" s="3" t="s">
        <v>187</v>
      </c>
      <c r="G42" s="3" t="s">
        <v>187</v>
      </c>
      <c r="H42" s="3" t="s">
        <v>213</v>
      </c>
    </row>
    <row r="43" customFormat="false" ht="15" hidden="false" customHeight="false" outlineLevel="0" collapsed="false">
      <c r="A43" s="3" t="s">
        <v>184</v>
      </c>
      <c r="B43" s="3" t="n">
        <v>25</v>
      </c>
      <c r="C43" s="3" t="s">
        <v>185</v>
      </c>
      <c r="D43" s="3" t="n">
        <v>103</v>
      </c>
      <c r="E43" s="3" t="s">
        <v>189</v>
      </c>
      <c r="F43" s="3" t="s">
        <v>187</v>
      </c>
      <c r="G43" s="3" t="s">
        <v>187</v>
      </c>
      <c r="H43" s="3" t="s">
        <v>213</v>
      </c>
    </row>
    <row r="44" customFormat="false" ht="15" hidden="false" customHeight="false" outlineLevel="0" collapsed="false">
      <c r="A44" s="3" t="s">
        <v>184</v>
      </c>
      <c r="B44" s="3" t="n">
        <v>26</v>
      </c>
      <c r="C44" s="3" t="s">
        <v>185</v>
      </c>
      <c r="D44" s="3" t="n">
        <v>103</v>
      </c>
      <c r="E44" s="3" t="s">
        <v>186</v>
      </c>
      <c r="F44" s="3" t="s">
        <v>187</v>
      </c>
      <c r="G44" s="3" t="s">
        <v>187</v>
      </c>
      <c r="H44" s="3" t="s">
        <v>214</v>
      </c>
    </row>
    <row r="45" customFormat="false" ht="15" hidden="false" customHeight="false" outlineLevel="0" collapsed="false">
      <c r="A45" s="3" t="s">
        <v>184</v>
      </c>
      <c r="B45" s="3" t="n">
        <v>27</v>
      </c>
      <c r="C45" s="3" t="s">
        <v>185</v>
      </c>
      <c r="D45" s="3" t="n">
        <v>109</v>
      </c>
      <c r="E45" s="3" t="s">
        <v>186</v>
      </c>
      <c r="F45" s="3" t="s">
        <v>187</v>
      </c>
      <c r="G45" s="3" t="s">
        <v>187</v>
      </c>
      <c r="H45" s="3" t="s">
        <v>215</v>
      </c>
    </row>
    <row r="46" customFormat="false" ht="15" hidden="false" customHeight="false" outlineLevel="0" collapsed="false">
      <c r="A46" s="3" t="s">
        <v>184</v>
      </c>
      <c r="B46" s="3" t="n">
        <v>28</v>
      </c>
      <c r="C46" s="3" t="s">
        <v>185</v>
      </c>
      <c r="D46" s="3" t="n">
        <v>109</v>
      </c>
      <c r="E46" s="3" t="s">
        <v>186</v>
      </c>
      <c r="F46" s="3" t="s">
        <v>187</v>
      </c>
      <c r="G46" s="3" t="s">
        <v>187</v>
      </c>
      <c r="H46" s="3" t="s">
        <v>216</v>
      </c>
    </row>
    <row r="47" customFormat="false" ht="15" hidden="false" customHeight="false" outlineLevel="0" collapsed="false">
      <c r="A47" s="3" t="s">
        <v>184</v>
      </c>
      <c r="B47" s="3" t="n">
        <v>28</v>
      </c>
      <c r="C47" s="3" t="s">
        <v>185</v>
      </c>
      <c r="D47" s="3" t="n">
        <v>36</v>
      </c>
      <c r="E47" s="3" t="s">
        <v>189</v>
      </c>
      <c r="F47" s="3" t="s">
        <v>187</v>
      </c>
      <c r="G47" s="3" t="s">
        <v>187</v>
      </c>
      <c r="H47" s="3" t="s">
        <v>216</v>
      </c>
    </row>
    <row r="48" customFormat="false" ht="15" hidden="false" customHeight="false" outlineLevel="0" collapsed="false">
      <c r="A48" s="3" t="s">
        <v>184</v>
      </c>
      <c r="B48" s="3" t="n">
        <v>29</v>
      </c>
      <c r="C48" s="3" t="s">
        <v>185</v>
      </c>
      <c r="D48" s="3" t="n">
        <v>119</v>
      </c>
      <c r="E48" s="3" t="s">
        <v>186</v>
      </c>
      <c r="F48" s="3" t="s">
        <v>187</v>
      </c>
      <c r="G48" s="3" t="s">
        <v>187</v>
      </c>
      <c r="H48" s="3" t="s">
        <v>217</v>
      </c>
    </row>
    <row r="49" customFormat="false" ht="15" hidden="false" customHeight="false" outlineLevel="0" collapsed="false">
      <c r="A49" s="3" t="s">
        <v>184</v>
      </c>
      <c r="B49" s="3" t="n">
        <v>30</v>
      </c>
      <c r="C49" s="3" t="s">
        <v>185</v>
      </c>
      <c r="D49" s="3" t="n">
        <v>136</v>
      </c>
      <c r="E49" s="3" t="s">
        <v>186</v>
      </c>
      <c r="F49" s="3" t="s">
        <v>187</v>
      </c>
      <c r="G49" s="3" t="s">
        <v>187</v>
      </c>
      <c r="H49" s="3" t="s">
        <v>218</v>
      </c>
    </row>
    <row r="50" customFormat="false" ht="15" hidden="false" customHeight="false" outlineLevel="0" collapsed="false">
      <c r="A50" s="3" t="s">
        <v>184</v>
      </c>
      <c r="B50" s="3" t="n">
        <v>31</v>
      </c>
      <c r="C50" s="3" t="s">
        <v>185</v>
      </c>
      <c r="D50" s="3" t="n">
        <v>130</v>
      </c>
      <c r="E50" s="3" t="s">
        <v>186</v>
      </c>
      <c r="F50" s="3" t="s">
        <v>187</v>
      </c>
      <c r="G50" s="3" t="s">
        <v>187</v>
      </c>
      <c r="H50" s="3" t="s">
        <v>219</v>
      </c>
    </row>
    <row r="51" customFormat="false" ht="15" hidden="false" customHeight="false" outlineLevel="0" collapsed="false">
      <c r="A51" s="3" t="s">
        <v>184</v>
      </c>
      <c r="B51" s="3" t="n">
        <v>31</v>
      </c>
      <c r="C51" s="3" t="s">
        <v>185</v>
      </c>
      <c r="D51" s="3" t="n">
        <v>133</v>
      </c>
      <c r="E51" s="3" t="s">
        <v>189</v>
      </c>
      <c r="F51" s="3" t="s">
        <v>187</v>
      </c>
      <c r="G51" s="3" t="s">
        <v>187</v>
      </c>
      <c r="H51" s="3" t="s">
        <v>219</v>
      </c>
    </row>
    <row r="52" customFormat="false" ht="15" hidden="false" customHeight="false" outlineLevel="0" collapsed="false">
      <c r="A52" s="3" t="s">
        <v>220</v>
      </c>
      <c r="B52" s="3" t="n">
        <v>1</v>
      </c>
      <c r="C52" s="3" t="s">
        <v>185</v>
      </c>
      <c r="D52" s="3" t="n">
        <v>39</v>
      </c>
      <c r="E52" s="3" t="s">
        <v>186</v>
      </c>
      <c r="F52" s="3" t="s">
        <v>187</v>
      </c>
      <c r="G52" s="3" t="s">
        <v>187</v>
      </c>
      <c r="H52" s="3" t="s">
        <v>221</v>
      </c>
    </row>
    <row r="53" customFormat="false" ht="15" hidden="false" customHeight="false" outlineLevel="0" collapsed="false">
      <c r="A53" s="3" t="s">
        <v>220</v>
      </c>
      <c r="B53" s="3" t="n">
        <v>1</v>
      </c>
      <c r="C53" s="3" t="s">
        <v>185</v>
      </c>
      <c r="D53" s="3" t="n">
        <v>41</v>
      </c>
      <c r="E53" s="3" t="s">
        <v>189</v>
      </c>
      <c r="F53" s="3" t="s">
        <v>187</v>
      </c>
      <c r="G53" s="3" t="s">
        <v>187</v>
      </c>
      <c r="H53" s="3" t="s">
        <v>221</v>
      </c>
    </row>
    <row r="54" customFormat="false" ht="15" hidden="false" customHeight="false" outlineLevel="0" collapsed="false">
      <c r="A54" s="3" t="s">
        <v>220</v>
      </c>
      <c r="B54" s="3" t="n">
        <v>2</v>
      </c>
      <c r="C54" s="3" t="s">
        <v>185</v>
      </c>
      <c r="D54" s="3" t="n">
        <v>11</v>
      </c>
      <c r="E54" s="3" t="s">
        <v>186</v>
      </c>
      <c r="F54" s="3" t="s">
        <v>187</v>
      </c>
      <c r="G54" s="3" t="s">
        <v>187</v>
      </c>
      <c r="H54" s="3" t="s">
        <v>222</v>
      </c>
    </row>
    <row r="55" customFormat="false" ht="15" hidden="false" customHeight="false" outlineLevel="0" collapsed="false">
      <c r="A55" s="3" t="s">
        <v>220</v>
      </c>
      <c r="B55" s="3" t="n">
        <v>2</v>
      </c>
      <c r="C55" s="3" t="s">
        <v>185</v>
      </c>
      <c r="D55" s="3" t="n">
        <v>45</v>
      </c>
      <c r="E55" s="3" t="s">
        <v>189</v>
      </c>
      <c r="F55" s="3" t="s">
        <v>187</v>
      </c>
      <c r="G55" s="3" t="s">
        <v>187</v>
      </c>
      <c r="H55" s="3" t="s">
        <v>222</v>
      </c>
    </row>
    <row r="56" customFormat="false" ht="15" hidden="false" customHeight="false" outlineLevel="0" collapsed="false">
      <c r="A56" s="3" t="s">
        <v>220</v>
      </c>
      <c r="B56" s="3" t="n">
        <v>2</v>
      </c>
      <c r="C56" s="3" t="s">
        <v>185</v>
      </c>
      <c r="D56" s="3" t="n">
        <v>18</v>
      </c>
      <c r="E56" s="3" t="s">
        <v>189</v>
      </c>
      <c r="F56" s="3" t="s">
        <v>187</v>
      </c>
      <c r="G56" s="3" t="s">
        <v>187</v>
      </c>
      <c r="H56" s="3" t="s">
        <v>222</v>
      </c>
    </row>
    <row r="57" customFormat="false" ht="15" hidden="false" customHeight="false" outlineLevel="0" collapsed="false">
      <c r="A57" s="3" t="s">
        <v>220</v>
      </c>
      <c r="B57" s="3" t="n">
        <v>3</v>
      </c>
      <c r="C57" s="3" t="s">
        <v>185</v>
      </c>
      <c r="D57" s="3" t="n">
        <v>11</v>
      </c>
      <c r="E57" s="3" t="s">
        <v>186</v>
      </c>
      <c r="F57" s="3" t="s">
        <v>187</v>
      </c>
      <c r="G57" s="3" t="s">
        <v>187</v>
      </c>
      <c r="H57" s="3" t="s">
        <v>223</v>
      </c>
    </row>
    <row r="58" customFormat="false" ht="15" hidden="false" customHeight="false" outlineLevel="0" collapsed="false">
      <c r="A58" s="3" t="s">
        <v>220</v>
      </c>
      <c r="B58" s="3" t="n">
        <v>3</v>
      </c>
      <c r="C58" s="3" t="s">
        <v>185</v>
      </c>
      <c r="D58" s="3" t="n">
        <v>5</v>
      </c>
      <c r="E58" s="3" t="s">
        <v>189</v>
      </c>
      <c r="F58" s="3" t="s">
        <v>187</v>
      </c>
      <c r="G58" s="3" t="s">
        <v>187</v>
      </c>
      <c r="H58" s="3" t="s">
        <v>223</v>
      </c>
    </row>
    <row r="59" customFormat="false" ht="15" hidden="false" customHeight="false" outlineLevel="0" collapsed="false">
      <c r="A59" s="3" t="s">
        <v>220</v>
      </c>
      <c r="B59" s="3" t="n">
        <v>4</v>
      </c>
      <c r="C59" s="3" t="s">
        <v>185</v>
      </c>
      <c r="D59" s="3" t="n">
        <v>58</v>
      </c>
      <c r="E59" s="3" t="s">
        <v>186</v>
      </c>
      <c r="F59" s="3" t="s">
        <v>187</v>
      </c>
      <c r="G59" s="3" t="s">
        <v>187</v>
      </c>
      <c r="H59" s="3" t="s">
        <v>224</v>
      </c>
    </row>
    <row r="60" customFormat="false" ht="15" hidden="false" customHeight="false" outlineLevel="0" collapsed="false">
      <c r="A60" s="3" t="s">
        <v>220</v>
      </c>
      <c r="B60" s="3" t="n">
        <v>5</v>
      </c>
      <c r="C60" s="3" t="s">
        <v>185</v>
      </c>
      <c r="D60" s="3" t="n">
        <v>60</v>
      </c>
      <c r="E60" s="3" t="s">
        <v>186</v>
      </c>
      <c r="F60" s="3" t="s">
        <v>187</v>
      </c>
      <c r="G60" s="3" t="s">
        <v>187</v>
      </c>
      <c r="H60" s="3" t="s">
        <v>225</v>
      </c>
    </row>
    <row r="61" customFormat="false" ht="15" hidden="false" customHeight="false" outlineLevel="0" collapsed="false">
      <c r="A61" s="3" t="s">
        <v>220</v>
      </c>
      <c r="B61" s="3" t="n">
        <v>6</v>
      </c>
      <c r="C61" s="3" t="s">
        <v>185</v>
      </c>
      <c r="D61" s="3" t="n">
        <v>73</v>
      </c>
      <c r="E61" s="3" t="s">
        <v>186</v>
      </c>
      <c r="F61" s="3" t="s">
        <v>187</v>
      </c>
      <c r="G61" s="3" t="s">
        <v>187</v>
      </c>
      <c r="H61" s="3" t="s">
        <v>226</v>
      </c>
    </row>
    <row r="62" customFormat="false" ht="15" hidden="false" customHeight="false" outlineLevel="0" collapsed="false">
      <c r="A62" s="3" t="s">
        <v>220</v>
      </c>
      <c r="B62" s="3" t="n">
        <v>6</v>
      </c>
      <c r="C62" s="3" t="s">
        <v>185</v>
      </c>
      <c r="D62" s="3" t="n">
        <v>11</v>
      </c>
      <c r="E62" s="3" t="s">
        <v>189</v>
      </c>
      <c r="F62" s="3" t="s">
        <v>187</v>
      </c>
      <c r="G62" s="3" t="s">
        <v>187</v>
      </c>
      <c r="H62" s="3" t="s">
        <v>226</v>
      </c>
    </row>
    <row r="63" customFormat="false" ht="15" hidden="false" customHeight="false" outlineLevel="0" collapsed="false">
      <c r="A63" s="3" t="s">
        <v>220</v>
      </c>
      <c r="B63" s="3" t="n">
        <v>7</v>
      </c>
      <c r="C63" s="3" t="s">
        <v>185</v>
      </c>
      <c r="D63" s="3" t="n">
        <v>74</v>
      </c>
      <c r="E63" s="3" t="s">
        <v>186</v>
      </c>
      <c r="F63" s="3" t="s">
        <v>187</v>
      </c>
      <c r="G63" s="3" t="s">
        <v>187</v>
      </c>
      <c r="H63" s="3" t="s">
        <v>227</v>
      </c>
    </row>
    <row r="64" customFormat="false" ht="15" hidden="false" customHeight="false" outlineLevel="0" collapsed="false">
      <c r="A64" s="3" t="s">
        <v>220</v>
      </c>
      <c r="B64" s="3" t="n">
        <v>7</v>
      </c>
      <c r="C64" s="3" t="s">
        <v>185</v>
      </c>
      <c r="D64" s="3" t="n">
        <v>80</v>
      </c>
      <c r="E64" s="3" t="s">
        <v>189</v>
      </c>
      <c r="F64" s="3" t="s">
        <v>187</v>
      </c>
      <c r="G64" s="3" t="s">
        <v>187</v>
      </c>
      <c r="H64" s="3" t="s">
        <v>227</v>
      </c>
    </row>
    <row r="65" customFormat="false" ht="15" hidden="false" customHeight="false" outlineLevel="0" collapsed="false">
      <c r="A65" s="3" t="s">
        <v>220</v>
      </c>
      <c r="B65" s="3" t="n">
        <v>7</v>
      </c>
      <c r="C65" s="3" t="s">
        <v>185</v>
      </c>
      <c r="D65" s="3" t="n">
        <v>76</v>
      </c>
      <c r="E65" s="3" t="s">
        <v>189</v>
      </c>
      <c r="F65" s="3" t="s">
        <v>187</v>
      </c>
      <c r="G65" s="3" t="s">
        <v>187</v>
      </c>
      <c r="H65" s="3" t="s">
        <v>227</v>
      </c>
    </row>
    <row r="66" customFormat="false" ht="15" hidden="false" customHeight="false" outlineLevel="0" collapsed="false">
      <c r="A66" s="3" t="s">
        <v>220</v>
      </c>
      <c r="B66" s="3" t="n">
        <v>8</v>
      </c>
      <c r="C66" s="3" t="s">
        <v>185</v>
      </c>
      <c r="D66" s="3" t="n">
        <v>96</v>
      </c>
      <c r="E66" s="3" t="s">
        <v>186</v>
      </c>
      <c r="F66" s="3" t="s">
        <v>187</v>
      </c>
      <c r="G66" s="3" t="s">
        <v>187</v>
      </c>
      <c r="H66" s="3"/>
    </row>
    <row r="67" customFormat="false" ht="15" hidden="false" customHeight="false" outlineLevel="0" collapsed="false">
      <c r="A67" s="3" t="s">
        <v>220</v>
      </c>
      <c r="B67" s="3" t="n">
        <v>8</v>
      </c>
      <c r="C67" s="3" t="s">
        <v>185</v>
      </c>
      <c r="D67" s="3" t="n">
        <v>98</v>
      </c>
      <c r="E67" s="3" t="s">
        <v>189</v>
      </c>
      <c r="F67" s="3" t="s">
        <v>187</v>
      </c>
      <c r="G67" s="3" t="s">
        <v>187</v>
      </c>
      <c r="H67" s="3"/>
    </row>
    <row r="68" customFormat="false" ht="15" hidden="false" customHeight="false" outlineLevel="0" collapsed="false">
      <c r="A68" s="3" t="s">
        <v>220</v>
      </c>
      <c r="B68" s="3" t="n">
        <v>9</v>
      </c>
      <c r="C68" s="3" t="s">
        <v>185</v>
      </c>
      <c r="D68" s="3" t="n">
        <v>103</v>
      </c>
      <c r="E68" s="3" t="s">
        <v>186</v>
      </c>
      <c r="F68" s="3" t="s">
        <v>187</v>
      </c>
      <c r="G68" s="3" t="s">
        <v>187</v>
      </c>
      <c r="H68" s="3" t="s">
        <v>228</v>
      </c>
    </row>
    <row r="69" customFormat="false" ht="15" hidden="false" customHeight="false" outlineLevel="0" collapsed="false">
      <c r="A69" s="3" t="s">
        <v>220</v>
      </c>
      <c r="B69" s="3" t="n">
        <v>9</v>
      </c>
      <c r="C69" s="3" t="s">
        <v>185</v>
      </c>
      <c r="D69" s="3" t="n">
        <v>11</v>
      </c>
      <c r="E69" s="3" t="s">
        <v>189</v>
      </c>
      <c r="F69" s="3" t="s">
        <v>187</v>
      </c>
      <c r="G69" s="3" t="s">
        <v>187</v>
      </c>
      <c r="H69" s="3" t="s">
        <v>228</v>
      </c>
    </row>
    <row r="70" customFormat="false" ht="15" hidden="false" customHeight="false" outlineLevel="0" collapsed="false">
      <c r="A70" s="3" t="s">
        <v>220</v>
      </c>
      <c r="B70" s="3" t="n">
        <v>9</v>
      </c>
      <c r="C70" s="3" t="s">
        <v>185</v>
      </c>
      <c r="D70" s="3" t="n">
        <v>5</v>
      </c>
      <c r="E70" s="3" t="s">
        <v>189</v>
      </c>
      <c r="F70" s="3" t="s">
        <v>187</v>
      </c>
      <c r="G70" s="3" t="s">
        <v>187</v>
      </c>
      <c r="H70" s="3" t="s">
        <v>228</v>
      </c>
    </row>
    <row r="71" customFormat="false" ht="15" hidden="false" customHeight="false" outlineLevel="0" collapsed="false">
      <c r="A71" s="3" t="s">
        <v>220</v>
      </c>
      <c r="B71" s="3" t="n">
        <v>10</v>
      </c>
      <c r="C71" s="3" t="s">
        <v>185</v>
      </c>
      <c r="D71" s="3" t="n">
        <v>96</v>
      </c>
      <c r="E71" s="3" t="s">
        <v>186</v>
      </c>
      <c r="F71" s="3" t="s">
        <v>187</v>
      </c>
      <c r="G71" s="3" t="s">
        <v>187</v>
      </c>
      <c r="H71" s="3" t="s">
        <v>229</v>
      </c>
    </row>
    <row r="72" customFormat="false" ht="15" hidden="false" customHeight="false" outlineLevel="0" collapsed="false">
      <c r="A72" s="3" t="s">
        <v>220</v>
      </c>
      <c r="B72" s="3" t="n">
        <v>10</v>
      </c>
      <c r="C72" s="3" t="s">
        <v>185</v>
      </c>
      <c r="D72" s="3" t="n">
        <v>103</v>
      </c>
      <c r="E72" s="3" t="s">
        <v>189</v>
      </c>
      <c r="F72" s="3" t="s">
        <v>187</v>
      </c>
      <c r="G72" s="3" t="s">
        <v>187</v>
      </c>
      <c r="H72" s="3" t="s">
        <v>229</v>
      </c>
    </row>
    <row r="73" customFormat="false" ht="15" hidden="false" customHeight="false" outlineLevel="0" collapsed="false">
      <c r="A73" s="3" t="s">
        <v>220</v>
      </c>
      <c r="B73" s="3" t="n">
        <v>11</v>
      </c>
      <c r="C73" s="3" t="s">
        <v>185</v>
      </c>
      <c r="D73" s="3" t="n">
        <v>108</v>
      </c>
      <c r="E73" s="3" t="s">
        <v>186</v>
      </c>
      <c r="F73" s="3" t="s">
        <v>187</v>
      </c>
      <c r="G73" s="3" t="s">
        <v>187</v>
      </c>
      <c r="H73" s="3" t="s">
        <v>230</v>
      </c>
    </row>
    <row r="74" customFormat="false" ht="15" hidden="false" customHeight="false" outlineLevel="0" collapsed="false">
      <c r="A74" s="3" t="s">
        <v>220</v>
      </c>
      <c r="B74" s="3" t="n">
        <v>12</v>
      </c>
      <c r="C74" s="3" t="s">
        <v>185</v>
      </c>
      <c r="D74" s="3" t="n">
        <v>122</v>
      </c>
      <c r="E74" s="3" t="s">
        <v>186</v>
      </c>
      <c r="F74" s="3" t="s">
        <v>187</v>
      </c>
      <c r="G74" s="3" t="s">
        <v>187</v>
      </c>
      <c r="H74" s="3" t="s">
        <v>231</v>
      </c>
    </row>
    <row r="75" customFormat="false" ht="15" hidden="false" customHeight="false" outlineLevel="0" collapsed="false">
      <c r="A75" s="3" t="s">
        <v>220</v>
      </c>
      <c r="B75" s="3" t="n">
        <v>12</v>
      </c>
      <c r="C75" s="3" t="s">
        <v>185</v>
      </c>
      <c r="D75" s="3" t="n">
        <v>119</v>
      </c>
      <c r="E75" s="3" t="s">
        <v>189</v>
      </c>
      <c r="F75" s="3" t="s">
        <v>187</v>
      </c>
      <c r="G75" s="3" t="s">
        <v>187</v>
      </c>
      <c r="H75" s="3" t="s">
        <v>231</v>
      </c>
    </row>
    <row r="76" customFormat="false" ht="15" hidden="false" customHeight="false" outlineLevel="0" collapsed="false">
      <c r="A76" s="3" t="s">
        <v>220</v>
      </c>
      <c r="B76" s="3" t="n">
        <v>13</v>
      </c>
      <c r="C76" s="3" t="s">
        <v>185</v>
      </c>
      <c r="D76" s="3" t="n">
        <v>109</v>
      </c>
      <c r="E76" s="3" t="s">
        <v>186</v>
      </c>
      <c r="F76" s="3" t="s">
        <v>187</v>
      </c>
      <c r="G76" s="3" t="s">
        <v>187</v>
      </c>
      <c r="H76" s="3" t="s">
        <v>232</v>
      </c>
    </row>
    <row r="77" customFormat="false" ht="15" hidden="false" customHeight="false" outlineLevel="0" collapsed="false">
      <c r="A77" s="3" t="s">
        <v>220</v>
      </c>
      <c r="B77" s="3" t="n">
        <v>14</v>
      </c>
      <c r="C77" s="3" t="s">
        <v>185</v>
      </c>
      <c r="D77" s="3" t="n">
        <v>119</v>
      </c>
      <c r="E77" s="3" t="s">
        <v>186</v>
      </c>
      <c r="F77" s="3" t="s">
        <v>187</v>
      </c>
      <c r="G77" s="3" t="s">
        <v>187</v>
      </c>
      <c r="H77" s="3" t="s">
        <v>233</v>
      </c>
    </row>
    <row r="78" customFormat="false" ht="15" hidden="false" customHeight="false" outlineLevel="0" collapsed="false">
      <c r="A78" s="3" t="s">
        <v>220</v>
      </c>
      <c r="B78" s="3" t="n">
        <v>15</v>
      </c>
      <c r="C78" s="3" t="s">
        <v>185</v>
      </c>
      <c r="D78" s="3" t="n">
        <v>136</v>
      </c>
      <c r="E78" s="3" t="s">
        <v>186</v>
      </c>
      <c r="F78" s="3" t="s">
        <v>187</v>
      </c>
      <c r="G78" s="3" t="s">
        <v>187</v>
      </c>
      <c r="H78" s="3" t="s">
        <v>234</v>
      </c>
    </row>
    <row r="79" customFormat="false" ht="15" hidden="false" customHeight="false" outlineLevel="0" collapsed="false">
      <c r="A79" s="3" t="s">
        <v>220</v>
      </c>
      <c r="B79" s="3" t="n">
        <v>15</v>
      </c>
      <c r="C79" s="3" t="s">
        <v>185</v>
      </c>
      <c r="D79" s="3" t="n">
        <v>103</v>
      </c>
      <c r="E79" s="3" t="s">
        <v>189</v>
      </c>
      <c r="F79" s="3" t="s">
        <v>187</v>
      </c>
      <c r="G79" s="3" t="s">
        <v>187</v>
      </c>
      <c r="H79" s="3" t="s">
        <v>234</v>
      </c>
    </row>
    <row r="80" customFormat="false" ht="15" hidden="false" customHeight="false" outlineLevel="0" collapsed="false">
      <c r="A80" s="3" t="s">
        <v>220</v>
      </c>
      <c r="B80" s="3" t="n">
        <v>16</v>
      </c>
      <c r="C80" s="3" t="s">
        <v>185</v>
      </c>
      <c r="D80" s="3" t="n">
        <v>126</v>
      </c>
      <c r="E80" s="3" t="s">
        <v>186</v>
      </c>
      <c r="F80" s="3" t="s">
        <v>187</v>
      </c>
      <c r="G80" s="3" t="s">
        <v>187</v>
      </c>
      <c r="H80" s="3" t="s">
        <v>235</v>
      </c>
    </row>
    <row r="81" customFormat="false" ht="15" hidden="false" customHeight="false" outlineLevel="0" collapsed="false">
      <c r="A81" s="3" t="s">
        <v>220</v>
      </c>
      <c r="B81" s="3" t="n">
        <v>16</v>
      </c>
      <c r="C81" s="3" t="s">
        <v>185</v>
      </c>
      <c r="D81" s="3" t="n">
        <v>109</v>
      </c>
      <c r="E81" s="3" t="s">
        <v>189</v>
      </c>
      <c r="F81" s="3" t="s">
        <v>187</v>
      </c>
      <c r="G81" s="3" t="s">
        <v>187</v>
      </c>
      <c r="H81" s="3" t="s">
        <v>235</v>
      </c>
    </row>
    <row r="82" customFormat="false" ht="15" hidden="false" customHeight="false" outlineLevel="0" collapsed="false">
      <c r="A82" s="3" t="s">
        <v>220</v>
      </c>
      <c r="B82" s="3" t="n">
        <v>17</v>
      </c>
      <c r="C82" s="3" t="s">
        <v>185</v>
      </c>
      <c r="D82" s="3" t="n">
        <v>133</v>
      </c>
      <c r="E82" s="3" t="s">
        <v>186</v>
      </c>
      <c r="F82" s="3" t="s">
        <v>187</v>
      </c>
      <c r="G82" s="3" t="s">
        <v>187</v>
      </c>
      <c r="H82" s="3" t="s">
        <v>236</v>
      </c>
    </row>
    <row r="83" customFormat="false" ht="15" hidden="false" customHeight="false" outlineLevel="0" collapsed="false">
      <c r="A83" s="3" t="s">
        <v>220</v>
      </c>
      <c r="B83" s="3" t="n">
        <v>17</v>
      </c>
      <c r="C83" s="3" t="s">
        <v>185</v>
      </c>
      <c r="D83" s="3" t="n">
        <v>130</v>
      </c>
      <c r="E83" s="3" t="s">
        <v>189</v>
      </c>
      <c r="F83" s="3" t="s">
        <v>187</v>
      </c>
      <c r="G83" s="3" t="s">
        <v>187</v>
      </c>
      <c r="H83" s="3" t="s">
        <v>236</v>
      </c>
    </row>
    <row r="84" customFormat="false" ht="15" hidden="false" customHeight="false" outlineLevel="0" collapsed="false">
      <c r="A84" s="3" t="s">
        <v>220</v>
      </c>
      <c r="B84" s="3" t="n">
        <v>18</v>
      </c>
      <c r="C84" s="3" t="s">
        <v>185</v>
      </c>
      <c r="D84" s="3" t="n">
        <v>49</v>
      </c>
      <c r="E84" s="3" t="s">
        <v>186</v>
      </c>
      <c r="F84" s="3" t="s">
        <v>187</v>
      </c>
      <c r="G84" s="3" t="s">
        <v>187</v>
      </c>
      <c r="H84" s="3" t="s">
        <v>237</v>
      </c>
    </row>
    <row r="85" customFormat="false" ht="15" hidden="false" customHeight="false" outlineLevel="0" collapsed="false">
      <c r="A85" s="3" t="s">
        <v>220</v>
      </c>
      <c r="B85" s="3" t="n">
        <v>19</v>
      </c>
      <c r="C85" s="3" t="s">
        <v>185</v>
      </c>
      <c r="D85" s="3" t="n">
        <v>100</v>
      </c>
      <c r="E85" s="3" t="s">
        <v>186</v>
      </c>
      <c r="F85" s="3" t="s">
        <v>187</v>
      </c>
      <c r="G85" s="3" t="s">
        <v>187</v>
      </c>
      <c r="H85" s="3" t="s">
        <v>238</v>
      </c>
    </row>
    <row r="86" customFormat="false" ht="15" hidden="false" customHeight="false" outlineLevel="0" collapsed="false">
      <c r="A86" s="3" t="s">
        <v>220</v>
      </c>
      <c r="B86" s="3" t="n">
        <v>21</v>
      </c>
      <c r="C86" s="3" t="s">
        <v>185</v>
      </c>
      <c r="D86" s="3" t="n">
        <v>101</v>
      </c>
      <c r="E86" s="3" t="s">
        <v>186</v>
      </c>
      <c r="F86" s="3" t="s">
        <v>187</v>
      </c>
      <c r="G86" s="3" t="s">
        <v>187</v>
      </c>
      <c r="H86" s="3" t="s">
        <v>239</v>
      </c>
    </row>
    <row r="87" customFormat="false" ht="15" hidden="false" customHeight="false" outlineLevel="0" collapsed="false">
      <c r="A87" s="3" t="s">
        <v>220</v>
      </c>
      <c r="B87" s="3" t="n">
        <v>22</v>
      </c>
      <c r="C87" s="3" t="s">
        <v>185</v>
      </c>
      <c r="D87" s="3" t="n">
        <v>139</v>
      </c>
      <c r="E87" s="3" t="s">
        <v>186</v>
      </c>
      <c r="F87" s="3" t="s">
        <v>187</v>
      </c>
      <c r="G87" s="3" t="s">
        <v>187</v>
      </c>
      <c r="H87" s="3" t="s">
        <v>240</v>
      </c>
    </row>
    <row r="88" customFormat="false" ht="15" hidden="false" customHeight="false" outlineLevel="0" collapsed="false">
      <c r="A88" s="3" t="s">
        <v>220</v>
      </c>
      <c r="B88" s="3" t="n">
        <v>22</v>
      </c>
      <c r="C88" s="3" t="s">
        <v>185</v>
      </c>
      <c r="D88" s="3" t="n">
        <v>103</v>
      </c>
      <c r="E88" s="3" t="s">
        <v>189</v>
      </c>
      <c r="F88" s="3" t="s">
        <v>187</v>
      </c>
      <c r="G88" s="3" t="s">
        <v>187</v>
      </c>
      <c r="H88" s="3" t="s">
        <v>240</v>
      </c>
    </row>
    <row r="89" customFormat="false" ht="15" hidden="false" customHeight="false" outlineLevel="0" collapsed="false">
      <c r="A89" s="3" t="s">
        <v>220</v>
      </c>
      <c r="B89" s="3" t="n">
        <v>23</v>
      </c>
      <c r="C89" s="3" t="s">
        <v>185</v>
      </c>
      <c r="D89" s="3" t="n">
        <v>77</v>
      </c>
      <c r="E89" s="3" t="s">
        <v>186</v>
      </c>
      <c r="F89" s="3" t="s">
        <v>187</v>
      </c>
      <c r="G89" s="3" t="s">
        <v>187</v>
      </c>
      <c r="H89" s="3" t="s">
        <v>241</v>
      </c>
    </row>
    <row r="90" customFormat="false" ht="15" hidden="false" customHeight="false" outlineLevel="0" collapsed="false">
      <c r="A90" s="3" t="s">
        <v>220</v>
      </c>
      <c r="B90" s="3" t="n">
        <v>23</v>
      </c>
      <c r="C90" s="3" t="s">
        <v>185</v>
      </c>
      <c r="D90" s="3" t="n">
        <v>76</v>
      </c>
      <c r="E90" s="3" t="s">
        <v>189</v>
      </c>
      <c r="F90" s="3" t="s">
        <v>187</v>
      </c>
      <c r="G90" s="3" t="s">
        <v>187</v>
      </c>
      <c r="H90" s="3" t="s">
        <v>241</v>
      </c>
    </row>
    <row r="91" customFormat="false" ht="15" hidden="false" customHeight="false" outlineLevel="0" collapsed="false">
      <c r="A91" s="3" t="s">
        <v>220</v>
      </c>
      <c r="B91" s="3" t="n">
        <v>24</v>
      </c>
      <c r="C91" s="3" t="s">
        <v>185</v>
      </c>
      <c r="D91" s="3" t="n">
        <v>77</v>
      </c>
      <c r="E91" s="3" t="s">
        <v>186</v>
      </c>
      <c r="F91" s="3" t="s">
        <v>187</v>
      </c>
      <c r="G91" s="3" t="s">
        <v>187</v>
      </c>
      <c r="H91" s="3" t="s">
        <v>242</v>
      </c>
    </row>
    <row r="92" customFormat="false" ht="15" hidden="false" customHeight="false" outlineLevel="0" collapsed="false">
      <c r="A92" s="3" t="s">
        <v>220</v>
      </c>
      <c r="B92" s="3" t="n">
        <v>24</v>
      </c>
      <c r="C92" s="3" t="s">
        <v>185</v>
      </c>
      <c r="D92" s="3" t="n">
        <v>81</v>
      </c>
      <c r="E92" s="3" t="s">
        <v>189</v>
      </c>
      <c r="F92" s="3" t="s">
        <v>187</v>
      </c>
      <c r="G92" s="3" t="s">
        <v>187</v>
      </c>
      <c r="H92" s="3" t="s">
        <v>242</v>
      </c>
    </row>
    <row r="93" customFormat="false" ht="15" hidden="false" customHeight="false" outlineLevel="0" collapsed="false">
      <c r="A93" s="3" t="s">
        <v>220</v>
      </c>
      <c r="B93" s="3" t="n">
        <v>25</v>
      </c>
      <c r="C93" s="3" t="s">
        <v>185</v>
      </c>
      <c r="D93" s="3" t="n">
        <v>117</v>
      </c>
      <c r="E93" s="3" t="s">
        <v>186</v>
      </c>
      <c r="F93" s="3" t="s">
        <v>187</v>
      </c>
      <c r="G93" s="3" t="s">
        <v>187</v>
      </c>
      <c r="H93" s="3" t="s">
        <v>243</v>
      </c>
    </row>
    <row r="94" customFormat="false" ht="15" hidden="false" customHeight="false" outlineLevel="0" collapsed="false">
      <c r="A94" s="3" t="s">
        <v>220</v>
      </c>
      <c r="B94" s="3" t="n">
        <v>25</v>
      </c>
      <c r="C94" s="3" t="s">
        <v>185</v>
      </c>
      <c r="D94" s="3" t="n">
        <v>77</v>
      </c>
      <c r="E94" s="3" t="s">
        <v>189</v>
      </c>
      <c r="F94" s="3" t="s">
        <v>187</v>
      </c>
      <c r="G94" s="3" t="s">
        <v>187</v>
      </c>
      <c r="H94" s="3" t="s">
        <v>243</v>
      </c>
    </row>
    <row r="95" customFormat="false" ht="15" hidden="false" customHeight="false" outlineLevel="0" collapsed="false">
      <c r="A95" s="3" t="s">
        <v>220</v>
      </c>
      <c r="B95" s="3" t="n">
        <v>26</v>
      </c>
      <c r="C95" s="3" t="s">
        <v>185</v>
      </c>
      <c r="D95" s="3" t="n">
        <v>11</v>
      </c>
      <c r="E95" s="3" t="s">
        <v>186</v>
      </c>
      <c r="F95" s="3" t="s">
        <v>187</v>
      </c>
      <c r="G95" s="3" t="s">
        <v>187</v>
      </c>
      <c r="H95" s="3" t="s">
        <v>244</v>
      </c>
    </row>
    <row r="96" customFormat="false" ht="15" hidden="false" customHeight="false" outlineLevel="0" collapsed="false">
      <c r="A96" s="3" t="s">
        <v>220</v>
      </c>
      <c r="B96" s="3" t="n">
        <v>26</v>
      </c>
      <c r="C96" s="3" t="s">
        <v>185</v>
      </c>
      <c r="D96" s="3" t="n">
        <v>65</v>
      </c>
      <c r="E96" s="3" t="s">
        <v>189</v>
      </c>
      <c r="F96" s="3" t="s">
        <v>187</v>
      </c>
      <c r="G96" s="3" t="s">
        <v>187</v>
      </c>
      <c r="H96" s="3" t="s">
        <v>244</v>
      </c>
    </row>
    <row r="97" customFormat="false" ht="15" hidden="false" customHeight="false" outlineLevel="0" collapsed="false">
      <c r="A97" s="3" t="s">
        <v>220</v>
      </c>
      <c r="B97" s="3" t="n">
        <v>27</v>
      </c>
      <c r="C97" s="3" t="s">
        <v>185</v>
      </c>
      <c r="D97" s="3" t="n">
        <v>57</v>
      </c>
      <c r="E97" s="3" t="s">
        <v>186</v>
      </c>
      <c r="F97" s="3" t="s">
        <v>187</v>
      </c>
      <c r="G97" s="3" t="s">
        <v>187</v>
      </c>
      <c r="H97" s="3" t="s">
        <v>245</v>
      </c>
    </row>
    <row r="98" customFormat="false" ht="15" hidden="false" customHeight="false" outlineLevel="0" collapsed="false">
      <c r="A98" s="3" t="s">
        <v>220</v>
      </c>
      <c r="B98" s="3" t="n">
        <v>28</v>
      </c>
      <c r="C98" s="3" t="s">
        <v>185</v>
      </c>
      <c r="D98" s="3" t="n">
        <v>65</v>
      </c>
      <c r="E98" s="3" t="s">
        <v>186</v>
      </c>
      <c r="F98" s="3" t="s">
        <v>187</v>
      </c>
      <c r="G98" s="3" t="s">
        <v>187</v>
      </c>
      <c r="H98" s="3" t="s">
        <v>246</v>
      </c>
    </row>
    <row r="99" customFormat="false" ht="15" hidden="false" customHeight="false" outlineLevel="0" collapsed="false">
      <c r="A99" s="3" t="s">
        <v>220</v>
      </c>
      <c r="B99" s="3" t="n">
        <v>28</v>
      </c>
      <c r="C99" s="3" t="s">
        <v>185</v>
      </c>
      <c r="D99" s="3" t="n">
        <v>32</v>
      </c>
      <c r="E99" s="3" t="s">
        <v>189</v>
      </c>
      <c r="F99" s="3" t="s">
        <v>187</v>
      </c>
      <c r="G99" s="3" t="s">
        <v>187</v>
      </c>
      <c r="H99" s="3" t="s">
        <v>246</v>
      </c>
    </row>
    <row r="100" customFormat="false" ht="15" hidden="false" customHeight="false" outlineLevel="0" collapsed="false">
      <c r="A100" s="3" t="s">
        <v>220</v>
      </c>
      <c r="B100" s="3" t="n">
        <v>29</v>
      </c>
      <c r="C100" s="3" t="s">
        <v>185</v>
      </c>
      <c r="D100" s="3" t="n">
        <v>139</v>
      </c>
      <c r="E100" s="3" t="s">
        <v>186</v>
      </c>
      <c r="F100" s="3" t="s">
        <v>187</v>
      </c>
      <c r="G100" s="3" t="s">
        <v>187</v>
      </c>
      <c r="H100" s="3" t="s">
        <v>247</v>
      </c>
    </row>
    <row r="101" customFormat="false" ht="15" hidden="false" customHeight="false" outlineLevel="0" collapsed="false">
      <c r="A101" s="3" t="s">
        <v>220</v>
      </c>
      <c r="B101" s="3" t="n">
        <v>29</v>
      </c>
      <c r="C101" s="3" t="s">
        <v>185</v>
      </c>
      <c r="D101" s="3" t="n">
        <v>59</v>
      </c>
      <c r="E101" s="3" t="s">
        <v>189</v>
      </c>
      <c r="F101" s="3" t="s">
        <v>187</v>
      </c>
      <c r="G101" s="3" t="s">
        <v>187</v>
      </c>
      <c r="H101" s="3" t="s">
        <v>247</v>
      </c>
    </row>
    <row r="102" customFormat="false" ht="15" hidden="false" customHeight="false" outlineLevel="0" collapsed="false">
      <c r="A102" s="3" t="s">
        <v>220</v>
      </c>
      <c r="B102" s="3" t="n">
        <v>30</v>
      </c>
      <c r="C102" s="3" t="s">
        <v>185</v>
      </c>
      <c r="D102" s="3" t="n">
        <v>65</v>
      </c>
      <c r="E102" s="3" t="s">
        <v>186</v>
      </c>
      <c r="F102" s="3" t="s">
        <v>187</v>
      </c>
      <c r="G102" s="3" t="s">
        <v>187</v>
      </c>
      <c r="H102" s="3" t="s">
        <v>248</v>
      </c>
    </row>
    <row r="103" customFormat="false" ht="15" hidden="false" customHeight="false" outlineLevel="0" collapsed="false">
      <c r="A103" s="3" t="s">
        <v>220</v>
      </c>
      <c r="B103" s="3" t="n">
        <v>30</v>
      </c>
      <c r="C103" s="3" t="s">
        <v>185</v>
      </c>
      <c r="D103" s="3" t="n">
        <v>57</v>
      </c>
      <c r="E103" s="3" t="s">
        <v>189</v>
      </c>
      <c r="F103" s="3" t="s">
        <v>187</v>
      </c>
      <c r="G103" s="3" t="s">
        <v>187</v>
      </c>
      <c r="H103" s="3" t="s">
        <v>248</v>
      </c>
    </row>
    <row r="104" customFormat="false" ht="15" hidden="false" customHeight="false" outlineLevel="0" collapsed="false">
      <c r="A104" s="3" t="s">
        <v>220</v>
      </c>
      <c r="B104" s="3" t="n">
        <v>31</v>
      </c>
      <c r="C104" s="3" t="s">
        <v>185</v>
      </c>
      <c r="D104" s="3" t="n">
        <v>60</v>
      </c>
      <c r="E104" s="3" t="s">
        <v>186</v>
      </c>
      <c r="F104" s="3" t="s">
        <v>187</v>
      </c>
      <c r="G104" s="3" t="s">
        <v>187</v>
      </c>
      <c r="H104" s="3" t="s">
        <v>249</v>
      </c>
    </row>
    <row r="105" customFormat="false" ht="15" hidden="false" customHeight="false" outlineLevel="0" collapsed="false">
      <c r="A105" s="3" t="s">
        <v>220</v>
      </c>
      <c r="B105" s="3" t="n">
        <v>32</v>
      </c>
      <c r="C105" s="3" t="s">
        <v>185</v>
      </c>
      <c r="D105" s="3" t="n">
        <v>75</v>
      </c>
      <c r="E105" s="3" t="s">
        <v>186</v>
      </c>
      <c r="F105" s="3" t="s">
        <v>187</v>
      </c>
      <c r="G105" s="3" t="s">
        <v>187</v>
      </c>
      <c r="H105" s="3" t="s">
        <v>250</v>
      </c>
    </row>
    <row r="106" customFormat="false" ht="15" hidden="false" customHeight="false" outlineLevel="0" collapsed="false">
      <c r="A106" s="3" t="s">
        <v>220</v>
      </c>
      <c r="B106" s="3" t="n">
        <v>33</v>
      </c>
      <c r="C106" s="3" t="s">
        <v>185</v>
      </c>
      <c r="D106" s="3" t="n">
        <v>126</v>
      </c>
      <c r="E106" s="3" t="s">
        <v>186</v>
      </c>
      <c r="F106" s="3" t="s">
        <v>187</v>
      </c>
      <c r="G106" s="3" t="s">
        <v>187</v>
      </c>
      <c r="H106" s="3" t="s">
        <v>251</v>
      </c>
    </row>
    <row r="107" customFormat="false" ht="15" hidden="false" customHeight="false" outlineLevel="0" collapsed="false">
      <c r="A107" s="3" t="s">
        <v>220</v>
      </c>
      <c r="B107" s="3" t="n">
        <v>33</v>
      </c>
      <c r="C107" s="3" t="s">
        <v>185</v>
      </c>
      <c r="D107" s="3" t="n">
        <v>127</v>
      </c>
      <c r="E107" s="3" t="s">
        <v>189</v>
      </c>
      <c r="F107" s="3" t="s">
        <v>187</v>
      </c>
      <c r="G107" s="3" t="s">
        <v>187</v>
      </c>
      <c r="H107" s="3" t="s">
        <v>251</v>
      </c>
    </row>
    <row r="108" customFormat="false" ht="15" hidden="false" customHeight="false" outlineLevel="0" collapsed="false">
      <c r="A108" s="3" t="s">
        <v>220</v>
      </c>
      <c r="B108" s="3" t="n">
        <v>34</v>
      </c>
      <c r="C108" s="3" t="s">
        <v>185</v>
      </c>
      <c r="D108" s="3" t="n">
        <v>80</v>
      </c>
      <c r="E108" s="3" t="s">
        <v>186</v>
      </c>
      <c r="F108" s="3" t="s">
        <v>187</v>
      </c>
      <c r="G108" s="3" t="s">
        <v>187</v>
      </c>
      <c r="H108" s="3" t="s">
        <v>252</v>
      </c>
    </row>
    <row r="109" customFormat="false" ht="15" hidden="false" customHeight="false" outlineLevel="0" collapsed="false">
      <c r="A109" s="3" t="s">
        <v>220</v>
      </c>
      <c r="B109" s="3" t="n">
        <v>34</v>
      </c>
      <c r="C109" s="3" t="s">
        <v>185</v>
      </c>
      <c r="D109" s="3" t="n">
        <v>126</v>
      </c>
      <c r="E109" s="3" t="s">
        <v>189</v>
      </c>
      <c r="F109" s="3" t="s">
        <v>187</v>
      </c>
      <c r="G109" s="3" t="s">
        <v>187</v>
      </c>
      <c r="H109" s="3" t="s">
        <v>252</v>
      </c>
    </row>
    <row r="110" customFormat="false" ht="15" hidden="false" customHeight="false" outlineLevel="0" collapsed="false">
      <c r="A110" s="3" t="s">
        <v>220</v>
      </c>
      <c r="B110" s="3" t="n">
        <v>34</v>
      </c>
      <c r="C110" s="3" t="s">
        <v>185</v>
      </c>
      <c r="D110" s="3" t="n">
        <v>74</v>
      </c>
      <c r="E110" s="3" t="s">
        <v>189</v>
      </c>
      <c r="F110" s="3" t="s">
        <v>187</v>
      </c>
      <c r="G110" s="3" t="s">
        <v>187</v>
      </c>
      <c r="H110" s="3" t="s">
        <v>252</v>
      </c>
    </row>
    <row r="111" customFormat="false" ht="15" hidden="false" customHeight="false" outlineLevel="0" collapsed="false">
      <c r="A111" s="3" t="s">
        <v>220</v>
      </c>
      <c r="B111" s="3" t="n">
        <v>35</v>
      </c>
      <c r="C111" s="3" t="s">
        <v>185</v>
      </c>
      <c r="D111" s="3" t="n">
        <v>109</v>
      </c>
      <c r="E111" s="3" t="s">
        <v>186</v>
      </c>
      <c r="F111" s="3" t="s">
        <v>187</v>
      </c>
      <c r="G111" s="3" t="s">
        <v>187</v>
      </c>
      <c r="H111" s="3" t="s">
        <v>253</v>
      </c>
    </row>
    <row r="112" customFormat="false" ht="15" hidden="false" customHeight="false" outlineLevel="0" collapsed="false">
      <c r="A112" s="3" t="s">
        <v>220</v>
      </c>
      <c r="B112" s="3" t="n">
        <v>36</v>
      </c>
      <c r="C112" s="3" t="s">
        <v>185</v>
      </c>
      <c r="D112" s="3" t="n">
        <v>130</v>
      </c>
      <c r="E112" s="3" t="s">
        <v>186</v>
      </c>
      <c r="F112" s="3" t="s">
        <v>187</v>
      </c>
      <c r="G112" s="3" t="s">
        <v>187</v>
      </c>
      <c r="H112" s="3" t="s">
        <v>254</v>
      </c>
    </row>
    <row r="113" customFormat="false" ht="15" hidden="false" customHeight="false" outlineLevel="0" collapsed="false">
      <c r="A113" s="3" t="s">
        <v>220</v>
      </c>
      <c r="B113" s="3" t="n">
        <v>36</v>
      </c>
      <c r="C113" s="3" t="s">
        <v>185</v>
      </c>
      <c r="D113" s="3" t="n">
        <v>109</v>
      </c>
      <c r="E113" s="3" t="s">
        <v>189</v>
      </c>
      <c r="F113" s="3" t="s">
        <v>187</v>
      </c>
      <c r="G113" s="3" t="s">
        <v>187</v>
      </c>
      <c r="H113" s="3" t="s">
        <v>254</v>
      </c>
    </row>
    <row r="114" customFormat="false" ht="15" hidden="false" customHeight="false" outlineLevel="0" collapsed="false">
      <c r="A114" s="3" t="s">
        <v>220</v>
      </c>
      <c r="B114" s="3" t="n">
        <v>37</v>
      </c>
      <c r="C114" s="3" t="s">
        <v>185</v>
      </c>
      <c r="D114" s="3" t="n">
        <v>133</v>
      </c>
      <c r="E114" s="3" t="s">
        <v>186</v>
      </c>
      <c r="F114" s="3" t="s">
        <v>187</v>
      </c>
      <c r="G114" s="3" t="s">
        <v>187</v>
      </c>
      <c r="H114" s="3" t="s">
        <v>255</v>
      </c>
    </row>
    <row r="115" customFormat="false" ht="15" hidden="false" customHeight="false" outlineLevel="0" collapsed="false">
      <c r="A115" s="3" t="s">
        <v>220</v>
      </c>
      <c r="B115" s="3" t="n">
        <v>37</v>
      </c>
      <c r="C115" s="3" t="s">
        <v>185</v>
      </c>
      <c r="D115" s="3" t="n">
        <v>35</v>
      </c>
      <c r="E115" s="3" t="s">
        <v>189</v>
      </c>
      <c r="F115" s="3" t="s">
        <v>187</v>
      </c>
      <c r="G115" s="3" t="s">
        <v>187</v>
      </c>
      <c r="H115" s="3" t="s">
        <v>255</v>
      </c>
    </row>
    <row r="116" customFormat="false" ht="15" hidden="false" customHeight="false" outlineLevel="0" collapsed="false">
      <c r="A116" s="3" t="s">
        <v>220</v>
      </c>
      <c r="B116" s="3" t="n">
        <v>38</v>
      </c>
      <c r="C116" s="3" t="s">
        <v>185</v>
      </c>
      <c r="D116" s="3" t="n">
        <v>137</v>
      </c>
      <c r="E116" s="3" t="s">
        <v>186</v>
      </c>
      <c r="F116" s="3" t="s">
        <v>187</v>
      </c>
      <c r="G116" s="3" t="s">
        <v>187</v>
      </c>
      <c r="H116" s="3" t="s">
        <v>256</v>
      </c>
    </row>
    <row r="117" customFormat="false" ht="15" hidden="false" customHeight="false" outlineLevel="0" collapsed="false">
      <c r="A117" s="3" t="s">
        <v>220</v>
      </c>
      <c r="B117" s="3" t="n">
        <v>39</v>
      </c>
      <c r="C117" s="3" t="s">
        <v>185</v>
      </c>
      <c r="D117" s="3" t="n">
        <v>103</v>
      </c>
      <c r="E117" s="3" t="s">
        <v>186</v>
      </c>
      <c r="F117" s="3" t="s">
        <v>187</v>
      </c>
      <c r="G117" s="3" t="s">
        <v>187</v>
      </c>
      <c r="H117" s="3" t="s">
        <v>257</v>
      </c>
    </row>
    <row r="118" customFormat="false" ht="15" hidden="false" customHeight="false" outlineLevel="0" collapsed="false">
      <c r="A118" s="3" t="s">
        <v>220</v>
      </c>
      <c r="B118" s="3" t="n">
        <v>39</v>
      </c>
      <c r="C118" s="3" t="s">
        <v>185</v>
      </c>
      <c r="D118" s="3" t="n">
        <v>11</v>
      </c>
      <c r="E118" s="3" t="s">
        <v>189</v>
      </c>
      <c r="F118" s="3" t="s">
        <v>187</v>
      </c>
      <c r="G118" s="3" t="s">
        <v>187</v>
      </c>
      <c r="H118" s="3" t="s">
        <v>257</v>
      </c>
    </row>
    <row r="119" customFormat="false" ht="15" hidden="false" customHeight="false" outlineLevel="0" collapsed="false">
      <c r="A119" s="3" t="s">
        <v>220</v>
      </c>
      <c r="B119" s="3" t="n">
        <v>40</v>
      </c>
      <c r="C119" s="3" t="s">
        <v>185</v>
      </c>
      <c r="D119" s="3" t="n">
        <v>62</v>
      </c>
      <c r="E119" s="3" t="s">
        <v>186</v>
      </c>
      <c r="F119" s="3" t="s">
        <v>187</v>
      </c>
      <c r="G119" s="3" t="s">
        <v>187</v>
      </c>
      <c r="H119" s="3" t="s">
        <v>258</v>
      </c>
    </row>
    <row r="120" customFormat="false" ht="15" hidden="false" customHeight="false" outlineLevel="0" collapsed="false">
      <c r="A120" s="3" t="s">
        <v>220</v>
      </c>
      <c r="B120" s="3" t="n">
        <v>40</v>
      </c>
      <c r="C120" s="3" t="s">
        <v>185</v>
      </c>
      <c r="D120" s="3" t="n">
        <v>32</v>
      </c>
      <c r="E120" s="3" t="s">
        <v>189</v>
      </c>
      <c r="F120" s="3" t="s">
        <v>187</v>
      </c>
      <c r="G120" s="3" t="s">
        <v>187</v>
      </c>
      <c r="H120" s="3" t="s">
        <v>258</v>
      </c>
    </row>
    <row r="121" customFormat="false" ht="15" hidden="false" customHeight="false" outlineLevel="0" collapsed="false">
      <c r="A121" s="3" t="s">
        <v>220</v>
      </c>
      <c r="B121" s="3" t="n">
        <v>40</v>
      </c>
      <c r="C121" s="3" t="s">
        <v>185</v>
      </c>
      <c r="D121" s="3" t="n">
        <v>65</v>
      </c>
      <c r="E121" s="3" t="s">
        <v>189</v>
      </c>
      <c r="F121" s="3" t="s">
        <v>187</v>
      </c>
      <c r="G121" s="3" t="s">
        <v>187</v>
      </c>
      <c r="H121" s="3" t="s">
        <v>258</v>
      </c>
    </row>
    <row r="122" customFormat="false" ht="15" hidden="false" customHeight="false" outlineLevel="0" collapsed="false">
      <c r="A122" s="3" t="s">
        <v>220</v>
      </c>
      <c r="B122" s="3" t="n">
        <v>40</v>
      </c>
      <c r="C122" s="3" t="s">
        <v>185</v>
      </c>
      <c r="D122" s="3" t="n">
        <v>67</v>
      </c>
      <c r="E122" s="3" t="s">
        <v>189</v>
      </c>
      <c r="F122" s="3" t="s">
        <v>187</v>
      </c>
      <c r="G122" s="3" t="s">
        <v>187</v>
      </c>
      <c r="H122" s="3" t="s">
        <v>258</v>
      </c>
    </row>
    <row r="123" customFormat="false" ht="15" hidden="false" customHeight="false" outlineLevel="0" collapsed="false">
      <c r="A123" s="3" t="s">
        <v>220</v>
      </c>
      <c r="B123" s="3" t="n">
        <v>41</v>
      </c>
      <c r="C123" s="3" t="s">
        <v>185</v>
      </c>
      <c r="D123" s="3" t="n">
        <v>11</v>
      </c>
      <c r="E123" s="3" t="s">
        <v>186</v>
      </c>
      <c r="F123" s="3" t="s">
        <v>187</v>
      </c>
      <c r="G123" s="3" t="s">
        <v>187</v>
      </c>
      <c r="H123" s="3" t="s">
        <v>259</v>
      </c>
    </row>
    <row r="124" customFormat="false" ht="15" hidden="false" customHeight="false" outlineLevel="0" collapsed="false">
      <c r="A124" s="3" t="s">
        <v>260</v>
      </c>
      <c r="B124" s="3" t="n">
        <v>1</v>
      </c>
      <c r="C124" s="3" t="s">
        <v>185</v>
      </c>
      <c r="D124" s="3" t="n">
        <v>76</v>
      </c>
      <c r="E124" s="3" t="s">
        <v>186</v>
      </c>
      <c r="F124" s="3" t="s">
        <v>261</v>
      </c>
      <c r="G124" s="3" t="s">
        <v>261</v>
      </c>
      <c r="H124" s="3" t="s">
        <v>262</v>
      </c>
    </row>
    <row r="125" customFormat="false" ht="15" hidden="false" customHeight="false" outlineLevel="0" collapsed="false">
      <c r="A125" s="3" t="s">
        <v>260</v>
      </c>
      <c r="B125" s="3" t="n">
        <v>1</v>
      </c>
      <c r="C125" s="3" t="s">
        <v>185</v>
      </c>
      <c r="D125" s="3" t="n">
        <v>80</v>
      </c>
      <c r="E125" s="3" t="s">
        <v>189</v>
      </c>
      <c r="F125" s="3" t="s">
        <v>261</v>
      </c>
      <c r="G125" s="3" t="s">
        <v>261</v>
      </c>
      <c r="H125" s="3" t="s">
        <v>262</v>
      </c>
    </row>
    <row r="126" customFormat="false" ht="15" hidden="false" customHeight="false" outlineLevel="0" collapsed="false">
      <c r="A126" s="3" t="s">
        <v>260</v>
      </c>
      <c r="B126" s="3" t="n">
        <v>2</v>
      </c>
      <c r="C126" s="3" t="s">
        <v>185</v>
      </c>
      <c r="D126" s="3" t="n">
        <v>96</v>
      </c>
      <c r="E126" s="3" t="s">
        <v>186</v>
      </c>
      <c r="F126" s="3" t="s">
        <v>261</v>
      </c>
      <c r="G126" s="3" t="s">
        <v>261</v>
      </c>
      <c r="H126" s="3" t="s">
        <v>263</v>
      </c>
    </row>
    <row r="127" customFormat="false" ht="15" hidden="false" customHeight="false" outlineLevel="0" collapsed="false">
      <c r="A127" s="3" t="s">
        <v>260</v>
      </c>
      <c r="B127" s="3" t="n">
        <v>3</v>
      </c>
      <c r="C127" s="3" t="s">
        <v>185</v>
      </c>
      <c r="D127" s="3" t="n">
        <v>109</v>
      </c>
      <c r="E127" s="3" t="s">
        <v>186</v>
      </c>
      <c r="F127" s="3" t="s">
        <v>261</v>
      </c>
      <c r="G127" s="3" t="s">
        <v>261</v>
      </c>
      <c r="H127" s="3" t="s">
        <v>264</v>
      </c>
    </row>
    <row r="128" customFormat="false" ht="15" hidden="false" customHeight="false" outlineLevel="0" collapsed="false">
      <c r="A128" s="3" t="s">
        <v>260</v>
      </c>
      <c r="B128" s="3" t="n">
        <v>3</v>
      </c>
      <c r="C128" s="3" t="s">
        <v>185</v>
      </c>
      <c r="D128" s="3" t="n">
        <v>76</v>
      </c>
      <c r="E128" s="3" t="s">
        <v>189</v>
      </c>
      <c r="F128" s="3" t="s">
        <v>261</v>
      </c>
      <c r="G128" s="3" t="s">
        <v>261</v>
      </c>
      <c r="H128" s="3" t="s">
        <v>264</v>
      </c>
    </row>
    <row r="129" customFormat="false" ht="15" hidden="false" customHeight="false" outlineLevel="0" collapsed="false">
      <c r="A129" s="3" t="s">
        <v>260</v>
      </c>
      <c r="B129" s="3" t="n">
        <v>3</v>
      </c>
      <c r="C129" s="3" t="s">
        <v>185</v>
      </c>
      <c r="D129" s="3" t="n">
        <v>80</v>
      </c>
      <c r="E129" s="3" t="s">
        <v>189</v>
      </c>
      <c r="F129" s="3" t="s">
        <v>261</v>
      </c>
      <c r="G129" s="3" t="s">
        <v>261</v>
      </c>
      <c r="H129" s="3" t="s">
        <v>264</v>
      </c>
    </row>
    <row r="130" customFormat="false" ht="15" hidden="false" customHeight="false" outlineLevel="0" collapsed="false">
      <c r="A130" s="3" t="s">
        <v>260</v>
      </c>
      <c r="B130" s="3" t="n">
        <v>4</v>
      </c>
      <c r="C130" s="3" t="s">
        <v>185</v>
      </c>
      <c r="D130" s="3" t="n">
        <v>94</v>
      </c>
      <c r="E130" s="3" t="s">
        <v>186</v>
      </c>
      <c r="F130" s="3" t="s">
        <v>261</v>
      </c>
      <c r="G130" s="3" t="s">
        <v>261</v>
      </c>
      <c r="H130" s="3" t="s">
        <v>265</v>
      </c>
    </row>
    <row r="131" customFormat="false" ht="15" hidden="false" customHeight="false" outlineLevel="0" collapsed="false">
      <c r="A131" s="3" t="s">
        <v>260</v>
      </c>
      <c r="B131" s="3" t="n">
        <v>4</v>
      </c>
      <c r="C131" s="3" t="s">
        <v>185</v>
      </c>
      <c r="D131" s="3" t="n">
        <v>92</v>
      </c>
      <c r="E131" s="3" t="s">
        <v>189</v>
      </c>
      <c r="F131" s="3" t="s">
        <v>261</v>
      </c>
      <c r="G131" s="3" t="s">
        <v>261</v>
      </c>
      <c r="H131" s="3" t="s">
        <v>265</v>
      </c>
    </row>
    <row r="132" customFormat="false" ht="15" hidden="false" customHeight="false" outlineLevel="0" collapsed="false">
      <c r="A132" s="3" t="s">
        <v>260</v>
      </c>
      <c r="B132" s="3" t="n">
        <v>5</v>
      </c>
      <c r="C132" s="3" t="s">
        <v>185</v>
      </c>
      <c r="D132" s="3" t="n">
        <v>76</v>
      </c>
      <c r="E132" s="3" t="s">
        <v>186</v>
      </c>
      <c r="F132" s="3" t="s">
        <v>261</v>
      </c>
      <c r="G132" s="3" t="s">
        <v>261</v>
      </c>
      <c r="H132" s="3" t="s">
        <v>266</v>
      </c>
    </row>
    <row r="133" customFormat="false" ht="15" hidden="false" customHeight="false" outlineLevel="0" collapsed="false">
      <c r="A133" s="3" t="s">
        <v>260</v>
      </c>
      <c r="B133" s="3" t="n">
        <v>5</v>
      </c>
      <c r="C133" s="3" t="s">
        <v>185</v>
      </c>
      <c r="D133" s="3" t="n">
        <v>81</v>
      </c>
      <c r="E133" s="3" t="s">
        <v>189</v>
      </c>
      <c r="F133" s="3" t="s">
        <v>261</v>
      </c>
      <c r="G133" s="3" t="s">
        <v>261</v>
      </c>
      <c r="H133" s="3" t="s">
        <v>266</v>
      </c>
    </row>
    <row r="134" customFormat="false" ht="15" hidden="false" customHeight="false" outlineLevel="0" collapsed="false">
      <c r="A134" s="3" t="s">
        <v>260</v>
      </c>
      <c r="B134" s="3" t="n">
        <v>5</v>
      </c>
      <c r="C134" s="3" t="s">
        <v>185</v>
      </c>
      <c r="D134" s="3" t="n">
        <v>109</v>
      </c>
      <c r="E134" s="3" t="s">
        <v>189</v>
      </c>
      <c r="F134" s="3" t="s">
        <v>261</v>
      </c>
      <c r="G134" s="3" t="s">
        <v>261</v>
      </c>
      <c r="H134" s="3" t="s">
        <v>266</v>
      </c>
    </row>
    <row r="135" customFormat="false" ht="15" hidden="false" customHeight="false" outlineLevel="0" collapsed="false">
      <c r="A135" s="3" t="s">
        <v>260</v>
      </c>
      <c r="B135" s="3" t="n">
        <v>6</v>
      </c>
      <c r="C135" s="3" t="s">
        <v>185</v>
      </c>
      <c r="D135" s="3" t="n">
        <v>101</v>
      </c>
      <c r="E135" s="3" t="s">
        <v>186</v>
      </c>
      <c r="F135" s="3" t="s">
        <v>261</v>
      </c>
      <c r="G135" s="3" t="s">
        <v>261</v>
      </c>
      <c r="H135" s="3" t="s">
        <v>267</v>
      </c>
    </row>
    <row r="136" customFormat="false" ht="15" hidden="false" customHeight="false" outlineLevel="0" collapsed="false">
      <c r="A136" s="3" t="s">
        <v>260</v>
      </c>
      <c r="B136" s="3" t="n">
        <v>9</v>
      </c>
      <c r="C136" s="3" t="s">
        <v>185</v>
      </c>
      <c r="D136" s="3" t="n">
        <v>99</v>
      </c>
      <c r="E136" s="3" t="s">
        <v>186</v>
      </c>
      <c r="F136" s="3" t="s">
        <v>261</v>
      </c>
      <c r="G136" s="3" t="s">
        <v>261</v>
      </c>
      <c r="H136" s="3" t="s">
        <v>268</v>
      </c>
    </row>
    <row r="137" customFormat="false" ht="15" hidden="false" customHeight="false" outlineLevel="0" collapsed="false">
      <c r="A137" s="3" t="s">
        <v>260</v>
      </c>
      <c r="B137" s="3" t="n">
        <v>11</v>
      </c>
      <c r="C137" s="3" t="s">
        <v>185</v>
      </c>
      <c r="D137" s="3" t="n">
        <v>87</v>
      </c>
      <c r="E137" s="3" t="s">
        <v>186</v>
      </c>
      <c r="F137" s="3" t="s">
        <v>261</v>
      </c>
      <c r="G137" s="3" t="s">
        <v>261</v>
      </c>
      <c r="H137" s="3" t="s">
        <v>269</v>
      </c>
    </row>
    <row r="138" customFormat="false" ht="15" hidden="false" customHeight="false" outlineLevel="0" collapsed="false">
      <c r="A138" s="3" t="s">
        <v>260</v>
      </c>
      <c r="B138" s="3" t="n">
        <v>12</v>
      </c>
      <c r="C138" s="3" t="s">
        <v>185</v>
      </c>
      <c r="D138" s="3" t="n">
        <v>21</v>
      </c>
      <c r="E138" s="3" t="s">
        <v>186</v>
      </c>
      <c r="F138" s="3" t="s">
        <v>261</v>
      </c>
      <c r="G138" s="3" t="s">
        <v>261</v>
      </c>
      <c r="H138" s="3" t="s">
        <v>270</v>
      </c>
    </row>
    <row r="139" customFormat="false" ht="15" hidden="false" customHeight="false" outlineLevel="0" collapsed="false">
      <c r="A139" s="3" t="s">
        <v>260</v>
      </c>
      <c r="B139" s="3" t="n">
        <v>13</v>
      </c>
      <c r="C139" s="3" t="s">
        <v>185</v>
      </c>
      <c r="D139" s="3" t="n">
        <v>105</v>
      </c>
      <c r="E139" s="3" t="s">
        <v>186</v>
      </c>
      <c r="F139" s="3" t="s">
        <v>261</v>
      </c>
      <c r="G139" s="3" t="s">
        <v>261</v>
      </c>
      <c r="H139" s="3" t="s">
        <v>271</v>
      </c>
    </row>
    <row r="140" customFormat="false" ht="15" hidden="false" customHeight="false" outlineLevel="0" collapsed="false">
      <c r="A140" s="3" t="s">
        <v>260</v>
      </c>
      <c r="B140" s="3" t="n">
        <v>13</v>
      </c>
      <c r="C140" s="3" t="s">
        <v>185</v>
      </c>
      <c r="D140" s="3" t="n">
        <v>106</v>
      </c>
      <c r="E140" s="3" t="s">
        <v>189</v>
      </c>
      <c r="F140" s="3" t="s">
        <v>261</v>
      </c>
      <c r="G140" s="3" t="s">
        <v>261</v>
      </c>
      <c r="H140" s="3" t="s">
        <v>271</v>
      </c>
    </row>
    <row r="141" customFormat="false" ht="15" hidden="false" customHeight="false" outlineLevel="0" collapsed="false">
      <c r="A141" s="3" t="s">
        <v>260</v>
      </c>
      <c r="B141" s="3" t="n">
        <v>13</v>
      </c>
      <c r="C141" s="3" t="s">
        <v>185</v>
      </c>
      <c r="D141" s="3" t="n">
        <v>74</v>
      </c>
      <c r="E141" s="3" t="s">
        <v>189</v>
      </c>
      <c r="F141" s="3" t="s">
        <v>261</v>
      </c>
      <c r="G141" s="3" t="s">
        <v>261</v>
      </c>
      <c r="H141" s="3" t="s">
        <v>271</v>
      </c>
    </row>
    <row r="142" customFormat="false" ht="15" hidden="false" customHeight="false" outlineLevel="0" collapsed="false">
      <c r="A142" s="3" t="s">
        <v>260</v>
      </c>
      <c r="B142" s="3" t="n">
        <v>13</v>
      </c>
      <c r="C142" s="3" t="s">
        <v>185</v>
      </c>
      <c r="D142" s="3" t="n">
        <v>80</v>
      </c>
      <c r="E142" s="3" t="s">
        <v>189</v>
      </c>
      <c r="F142" s="3" t="s">
        <v>261</v>
      </c>
      <c r="G142" s="3" t="s">
        <v>261</v>
      </c>
      <c r="H142" s="3" t="s">
        <v>271</v>
      </c>
    </row>
    <row r="143" customFormat="false" ht="15" hidden="false" customHeight="false" outlineLevel="0" collapsed="false">
      <c r="A143" s="3" t="s">
        <v>260</v>
      </c>
      <c r="B143" s="3" t="n">
        <v>14</v>
      </c>
      <c r="C143" s="3" t="s">
        <v>185</v>
      </c>
      <c r="D143" s="3" t="n">
        <v>99</v>
      </c>
      <c r="E143" s="3" t="s">
        <v>186</v>
      </c>
      <c r="F143" s="3" t="s">
        <v>261</v>
      </c>
      <c r="G143" s="3" t="s">
        <v>261</v>
      </c>
      <c r="H143" s="3" t="s">
        <v>272</v>
      </c>
    </row>
    <row r="144" customFormat="false" ht="15" hidden="false" customHeight="false" outlineLevel="0" collapsed="false">
      <c r="A144" s="3" t="s">
        <v>273</v>
      </c>
      <c r="B144" s="3" t="n">
        <v>1</v>
      </c>
      <c r="C144" s="3" t="s">
        <v>185</v>
      </c>
      <c r="D144" s="3" t="n">
        <v>77</v>
      </c>
      <c r="E144" s="3" t="s">
        <v>186</v>
      </c>
      <c r="F144" s="3" t="s">
        <v>187</v>
      </c>
      <c r="G144" s="3" t="s">
        <v>187</v>
      </c>
      <c r="H144" s="3" t="s">
        <v>274</v>
      </c>
    </row>
    <row r="145" customFormat="false" ht="15" hidden="false" customHeight="false" outlineLevel="0" collapsed="false">
      <c r="A145" s="3" t="s">
        <v>273</v>
      </c>
      <c r="B145" s="3" t="n">
        <v>1</v>
      </c>
      <c r="C145" s="3" t="s">
        <v>185</v>
      </c>
      <c r="D145" s="3" t="n">
        <v>81</v>
      </c>
      <c r="E145" s="3" t="s">
        <v>189</v>
      </c>
      <c r="F145" s="3" t="s">
        <v>187</v>
      </c>
      <c r="G145" s="3" t="s">
        <v>187</v>
      </c>
      <c r="H145" s="3" t="s">
        <v>274</v>
      </c>
    </row>
    <row r="146" customFormat="false" ht="15" hidden="false" customHeight="false" outlineLevel="0" collapsed="false">
      <c r="A146" s="3" t="s">
        <v>273</v>
      </c>
      <c r="B146" s="3" t="n">
        <v>2</v>
      </c>
      <c r="C146" s="3" t="s">
        <v>185</v>
      </c>
      <c r="D146" s="3" t="n">
        <v>74</v>
      </c>
      <c r="E146" s="3" t="s">
        <v>186</v>
      </c>
      <c r="F146" s="3" t="s">
        <v>187</v>
      </c>
      <c r="G146" s="3" t="s">
        <v>187</v>
      </c>
      <c r="H146" s="3" t="s">
        <v>275</v>
      </c>
    </row>
    <row r="147" customFormat="false" ht="15" hidden="false" customHeight="false" outlineLevel="0" collapsed="false">
      <c r="A147" s="3" t="s">
        <v>273</v>
      </c>
      <c r="B147" s="3" t="n">
        <v>2</v>
      </c>
      <c r="C147" s="3" t="s">
        <v>185</v>
      </c>
      <c r="D147" s="3" t="n">
        <v>80</v>
      </c>
      <c r="E147" s="3" t="s">
        <v>189</v>
      </c>
      <c r="F147" s="3" t="s">
        <v>187</v>
      </c>
      <c r="G147" s="3" t="s">
        <v>187</v>
      </c>
      <c r="H147" s="3" t="s">
        <v>275</v>
      </c>
    </row>
    <row r="148" customFormat="false" ht="15" hidden="false" customHeight="false" outlineLevel="0" collapsed="false">
      <c r="A148" s="3" t="s">
        <v>273</v>
      </c>
      <c r="B148" s="3" t="n">
        <v>3</v>
      </c>
      <c r="C148" s="3" t="s">
        <v>185</v>
      </c>
      <c r="D148" s="3" t="n">
        <v>123</v>
      </c>
      <c r="E148" s="3" t="s">
        <v>186</v>
      </c>
      <c r="F148" s="3" t="s">
        <v>187</v>
      </c>
      <c r="G148" s="3" t="s">
        <v>187</v>
      </c>
      <c r="H148" s="3" t="s">
        <v>276</v>
      </c>
    </row>
    <row r="149" customFormat="false" ht="15" hidden="false" customHeight="false" outlineLevel="0" collapsed="false">
      <c r="A149" s="3" t="s">
        <v>273</v>
      </c>
      <c r="B149" s="3" t="n">
        <v>3</v>
      </c>
      <c r="C149" s="3" t="s">
        <v>185</v>
      </c>
      <c r="D149" s="3" t="n">
        <v>119</v>
      </c>
      <c r="E149" s="3" t="s">
        <v>189</v>
      </c>
      <c r="F149" s="3" t="s">
        <v>187</v>
      </c>
      <c r="G149" s="3" t="s">
        <v>187</v>
      </c>
      <c r="H149" s="3" t="s">
        <v>276</v>
      </c>
    </row>
    <row r="150" customFormat="false" ht="15" hidden="false" customHeight="false" outlineLevel="0" collapsed="false">
      <c r="A150" s="3" t="s">
        <v>273</v>
      </c>
      <c r="B150" s="3" t="n">
        <v>4</v>
      </c>
      <c r="C150" s="3" t="s">
        <v>185</v>
      </c>
      <c r="D150" s="3" t="n">
        <v>76</v>
      </c>
      <c r="E150" s="3" t="s">
        <v>186</v>
      </c>
      <c r="F150" s="3" t="s">
        <v>187</v>
      </c>
      <c r="G150" s="3" t="s">
        <v>187</v>
      </c>
      <c r="H150" s="3" t="s">
        <v>277</v>
      </c>
    </row>
    <row r="151" customFormat="false" ht="15" hidden="false" customHeight="false" outlineLevel="0" collapsed="false">
      <c r="A151" s="3" t="s">
        <v>273</v>
      </c>
      <c r="B151" s="3" t="n">
        <v>4</v>
      </c>
      <c r="C151" s="3" t="s">
        <v>185</v>
      </c>
      <c r="D151" s="3" t="n">
        <v>81</v>
      </c>
      <c r="E151" s="3" t="s">
        <v>189</v>
      </c>
      <c r="F151" s="3" t="s">
        <v>187</v>
      </c>
      <c r="G151" s="3" t="s">
        <v>187</v>
      </c>
      <c r="H151" s="3" t="s">
        <v>277</v>
      </c>
    </row>
    <row r="152" customFormat="false" ht="15" hidden="false" customHeight="false" outlineLevel="0" collapsed="false">
      <c r="A152" s="3" t="s">
        <v>273</v>
      </c>
      <c r="B152" s="3" t="n">
        <v>5</v>
      </c>
      <c r="C152" s="3" t="s">
        <v>185</v>
      </c>
      <c r="D152" s="3" t="n">
        <v>33</v>
      </c>
      <c r="E152" s="3" t="s">
        <v>186</v>
      </c>
      <c r="F152" s="3" t="s">
        <v>187</v>
      </c>
      <c r="G152" s="3" t="s">
        <v>187</v>
      </c>
      <c r="H152" s="3" t="s">
        <v>278</v>
      </c>
    </row>
    <row r="153" customFormat="false" ht="15" hidden="false" customHeight="false" outlineLevel="0" collapsed="false">
      <c r="A153" s="3" t="s">
        <v>273</v>
      </c>
      <c r="B153" s="3" t="n">
        <v>5</v>
      </c>
      <c r="C153" s="3" t="s">
        <v>185</v>
      </c>
      <c r="D153" s="3" t="n">
        <v>103</v>
      </c>
      <c r="E153" s="3" t="s">
        <v>189</v>
      </c>
      <c r="F153" s="3" t="s">
        <v>187</v>
      </c>
      <c r="G153" s="3" t="s">
        <v>187</v>
      </c>
      <c r="H153" s="3" t="s">
        <v>278</v>
      </c>
    </row>
    <row r="154" customFormat="false" ht="15" hidden="false" customHeight="false" outlineLevel="0" collapsed="false">
      <c r="A154" s="3" t="s">
        <v>273</v>
      </c>
      <c r="B154" s="3" t="n">
        <v>5</v>
      </c>
      <c r="C154" s="3" t="s">
        <v>185</v>
      </c>
      <c r="D154" s="3" t="n">
        <v>108</v>
      </c>
      <c r="E154" s="3" t="s">
        <v>189</v>
      </c>
      <c r="F154" s="3" t="s">
        <v>187</v>
      </c>
      <c r="G154" s="3" t="s">
        <v>187</v>
      </c>
      <c r="H154" s="3" t="s">
        <v>278</v>
      </c>
    </row>
    <row r="155" customFormat="false" ht="15" hidden="false" customHeight="false" outlineLevel="0" collapsed="false">
      <c r="A155" s="3" t="s">
        <v>273</v>
      </c>
      <c r="B155" s="3" t="n">
        <v>6</v>
      </c>
      <c r="C155" s="3" t="s">
        <v>185</v>
      </c>
      <c r="D155" s="3" t="n">
        <v>119</v>
      </c>
      <c r="E155" s="3" t="s">
        <v>186</v>
      </c>
      <c r="F155" s="3" t="s">
        <v>187</v>
      </c>
      <c r="G155" s="3" t="s">
        <v>187</v>
      </c>
      <c r="H155" s="3" t="s">
        <v>279</v>
      </c>
    </row>
    <row r="156" customFormat="false" ht="15" hidden="false" customHeight="false" outlineLevel="0" collapsed="false">
      <c r="A156" s="3" t="s">
        <v>273</v>
      </c>
      <c r="B156" s="3" t="n">
        <v>6</v>
      </c>
      <c r="C156" s="3" t="s">
        <v>185</v>
      </c>
      <c r="D156" s="3" t="n">
        <v>53</v>
      </c>
      <c r="E156" s="3" t="s">
        <v>189</v>
      </c>
      <c r="F156" s="3" t="s">
        <v>187</v>
      </c>
      <c r="G156" s="3" t="s">
        <v>187</v>
      </c>
      <c r="H156" s="3" t="s">
        <v>279</v>
      </c>
    </row>
    <row r="157" customFormat="false" ht="15" hidden="false" customHeight="false" outlineLevel="0" collapsed="false">
      <c r="A157" s="3" t="s">
        <v>273</v>
      </c>
      <c r="B157" s="3" t="n">
        <v>7</v>
      </c>
      <c r="C157" s="3" t="s">
        <v>185</v>
      </c>
      <c r="D157" s="3" t="n">
        <v>125</v>
      </c>
      <c r="E157" s="3" t="s">
        <v>186</v>
      </c>
      <c r="F157" s="3" t="s">
        <v>187</v>
      </c>
      <c r="G157" s="3" t="s">
        <v>187</v>
      </c>
      <c r="H157" s="3" t="s">
        <v>280</v>
      </c>
    </row>
    <row r="158" customFormat="false" ht="15" hidden="false" customHeight="false" outlineLevel="0" collapsed="false">
      <c r="A158" s="3" t="s">
        <v>273</v>
      </c>
      <c r="B158" s="3" t="n">
        <v>8</v>
      </c>
      <c r="C158" s="3" t="s">
        <v>185</v>
      </c>
      <c r="D158" s="3" t="n">
        <v>119</v>
      </c>
      <c r="E158" s="3" t="s">
        <v>186</v>
      </c>
      <c r="F158" s="3" t="s">
        <v>187</v>
      </c>
      <c r="G158" s="3" t="s">
        <v>187</v>
      </c>
      <c r="H158" s="3" t="s">
        <v>281</v>
      </c>
    </row>
    <row r="159" customFormat="false" ht="15" hidden="false" customHeight="false" outlineLevel="0" collapsed="false">
      <c r="A159" s="3" t="s">
        <v>273</v>
      </c>
      <c r="B159" s="3" t="n">
        <v>9</v>
      </c>
      <c r="C159" s="3" t="s">
        <v>185</v>
      </c>
      <c r="D159" s="3" t="n">
        <v>123</v>
      </c>
      <c r="E159" s="3" t="s">
        <v>186</v>
      </c>
      <c r="F159" s="3" t="s">
        <v>187</v>
      </c>
      <c r="G159" s="3" t="s">
        <v>187</v>
      </c>
      <c r="H159" s="3" t="s">
        <v>282</v>
      </c>
    </row>
    <row r="160" customFormat="false" ht="15" hidden="false" customHeight="false" outlineLevel="0" collapsed="false">
      <c r="A160" s="3" t="s">
        <v>273</v>
      </c>
      <c r="B160" s="3" t="n">
        <v>10</v>
      </c>
      <c r="C160" s="3" t="s">
        <v>185</v>
      </c>
      <c r="D160" s="3" t="n">
        <v>103</v>
      </c>
      <c r="E160" s="3" t="s">
        <v>186</v>
      </c>
      <c r="F160" s="3" t="s">
        <v>187</v>
      </c>
      <c r="G160" s="3" t="s">
        <v>187</v>
      </c>
      <c r="H160" s="3" t="s">
        <v>283</v>
      </c>
    </row>
    <row r="161" customFormat="false" ht="15" hidden="false" customHeight="false" outlineLevel="0" collapsed="false">
      <c r="A161" s="3" t="s">
        <v>273</v>
      </c>
      <c r="B161" s="3" t="n">
        <v>10</v>
      </c>
      <c r="C161" s="3" t="s">
        <v>185</v>
      </c>
      <c r="D161" s="3" t="n">
        <v>57</v>
      </c>
      <c r="E161" s="3" t="s">
        <v>189</v>
      </c>
      <c r="F161" s="3" t="s">
        <v>187</v>
      </c>
      <c r="G161" s="3" t="s">
        <v>187</v>
      </c>
      <c r="H161" s="3" t="s">
        <v>283</v>
      </c>
    </row>
    <row r="162" customFormat="false" ht="15" hidden="false" customHeight="false" outlineLevel="0" collapsed="false">
      <c r="A162" s="3" t="s">
        <v>273</v>
      </c>
      <c r="B162" s="3" t="n">
        <v>11</v>
      </c>
      <c r="C162" s="3" t="s">
        <v>185</v>
      </c>
      <c r="D162" s="3" t="n">
        <v>86</v>
      </c>
      <c r="E162" s="3" t="s">
        <v>186</v>
      </c>
      <c r="F162" s="3" t="s">
        <v>187</v>
      </c>
      <c r="G162" s="3" t="s">
        <v>187</v>
      </c>
      <c r="H162" s="3" t="s">
        <v>284</v>
      </c>
    </row>
    <row r="163" customFormat="false" ht="15" hidden="false" customHeight="false" outlineLevel="0" collapsed="false">
      <c r="A163" s="3" t="s">
        <v>273</v>
      </c>
      <c r="B163" s="3" t="n">
        <v>12</v>
      </c>
      <c r="C163" s="3" t="s">
        <v>185</v>
      </c>
      <c r="D163" s="3" t="n">
        <v>74</v>
      </c>
      <c r="E163" s="3" t="s">
        <v>186</v>
      </c>
      <c r="F163" s="3" t="s">
        <v>187</v>
      </c>
      <c r="G163" s="3" t="s">
        <v>187</v>
      </c>
      <c r="H163" s="3" t="s">
        <v>285</v>
      </c>
    </row>
    <row r="164" customFormat="false" ht="15" hidden="false" customHeight="false" outlineLevel="0" collapsed="false">
      <c r="A164" s="3" t="s">
        <v>273</v>
      </c>
      <c r="B164" s="3" t="n">
        <v>12</v>
      </c>
      <c r="C164" s="3" t="s">
        <v>185</v>
      </c>
      <c r="D164" s="3" t="n">
        <v>109</v>
      </c>
      <c r="E164" s="3" t="s">
        <v>189</v>
      </c>
      <c r="F164" s="3" t="s">
        <v>187</v>
      </c>
      <c r="G164" s="3" t="s">
        <v>187</v>
      </c>
      <c r="H164" s="3" t="s">
        <v>285</v>
      </c>
    </row>
    <row r="165" customFormat="false" ht="15" hidden="false" customHeight="false" outlineLevel="0" collapsed="false">
      <c r="A165" s="3" t="s">
        <v>273</v>
      </c>
      <c r="B165" s="3" t="n">
        <v>13</v>
      </c>
      <c r="C165" s="3" t="s">
        <v>185</v>
      </c>
      <c r="D165" s="3" t="n">
        <v>60</v>
      </c>
      <c r="E165" s="3" t="s">
        <v>186</v>
      </c>
      <c r="F165" s="3" t="s">
        <v>187</v>
      </c>
      <c r="G165" s="3" t="s">
        <v>187</v>
      </c>
      <c r="H165" s="3" t="s">
        <v>286</v>
      </c>
    </row>
    <row r="166" customFormat="false" ht="15" hidden="false" customHeight="false" outlineLevel="0" collapsed="false">
      <c r="A166" s="3" t="s">
        <v>273</v>
      </c>
      <c r="B166" s="3" t="n">
        <v>14</v>
      </c>
      <c r="C166" s="3" t="s">
        <v>185</v>
      </c>
      <c r="D166" s="3" t="n">
        <v>65</v>
      </c>
      <c r="E166" s="3" t="s">
        <v>186</v>
      </c>
      <c r="F166" s="3" t="s">
        <v>187</v>
      </c>
      <c r="G166" s="3" t="s">
        <v>187</v>
      </c>
      <c r="H166" s="3" t="s">
        <v>287</v>
      </c>
    </row>
    <row r="167" customFormat="false" ht="15" hidden="false" customHeight="false" outlineLevel="0" collapsed="false">
      <c r="A167" s="3" t="s">
        <v>273</v>
      </c>
      <c r="B167" s="3" t="n">
        <v>14</v>
      </c>
      <c r="C167" s="3" t="s">
        <v>185</v>
      </c>
      <c r="D167" s="3" t="n">
        <v>41</v>
      </c>
      <c r="E167" s="3" t="s">
        <v>189</v>
      </c>
      <c r="F167" s="3" t="s">
        <v>187</v>
      </c>
      <c r="G167" s="3" t="s">
        <v>187</v>
      </c>
      <c r="H167" s="3" t="s">
        <v>287</v>
      </c>
    </row>
    <row r="168" customFormat="false" ht="15" hidden="false" customHeight="false" outlineLevel="0" collapsed="false">
      <c r="A168" s="3" t="s">
        <v>273</v>
      </c>
      <c r="B168" s="3" t="n">
        <v>15</v>
      </c>
      <c r="C168" s="3" t="s">
        <v>185</v>
      </c>
      <c r="D168" s="3" t="n">
        <v>92</v>
      </c>
      <c r="E168" s="3" t="s">
        <v>186</v>
      </c>
      <c r="F168" s="3" t="s">
        <v>187</v>
      </c>
      <c r="G168" s="3" t="s">
        <v>187</v>
      </c>
      <c r="H168" s="3" t="s">
        <v>288</v>
      </c>
    </row>
    <row r="169" customFormat="false" ht="15" hidden="false" customHeight="false" outlineLevel="0" collapsed="false">
      <c r="A169" s="3" t="s">
        <v>273</v>
      </c>
      <c r="B169" s="3" t="n">
        <v>16</v>
      </c>
      <c r="C169" s="3" t="s">
        <v>185</v>
      </c>
      <c r="D169" s="3" t="n">
        <v>80</v>
      </c>
      <c r="E169" s="3" t="s">
        <v>186</v>
      </c>
      <c r="F169" s="3" t="s">
        <v>187</v>
      </c>
      <c r="G169" s="3" t="s">
        <v>187</v>
      </c>
      <c r="H169" s="3" t="s">
        <v>289</v>
      </c>
    </row>
    <row r="170" customFormat="false" ht="15" hidden="false" customHeight="false" outlineLevel="0" collapsed="false">
      <c r="A170" s="3" t="s">
        <v>273</v>
      </c>
      <c r="B170" s="3" t="n">
        <v>16</v>
      </c>
      <c r="C170" s="3" t="s">
        <v>185</v>
      </c>
      <c r="D170" s="3" t="n">
        <v>109</v>
      </c>
      <c r="E170" s="3" t="s">
        <v>189</v>
      </c>
      <c r="F170" s="3" t="s">
        <v>187</v>
      </c>
      <c r="G170" s="3" t="s">
        <v>187</v>
      </c>
      <c r="H170" s="3" t="s">
        <v>289</v>
      </c>
    </row>
    <row r="171" customFormat="false" ht="15" hidden="false" customHeight="false" outlineLevel="0" collapsed="false">
      <c r="A171" s="3" t="s">
        <v>273</v>
      </c>
      <c r="B171" s="3" t="n">
        <v>17</v>
      </c>
      <c r="C171" s="3" t="s">
        <v>185</v>
      </c>
      <c r="D171" s="3" t="n">
        <v>39</v>
      </c>
      <c r="E171" s="3" t="s">
        <v>186</v>
      </c>
      <c r="F171" s="3" t="s">
        <v>187</v>
      </c>
      <c r="G171" s="3" t="s">
        <v>187</v>
      </c>
      <c r="H171" s="3" t="s">
        <v>290</v>
      </c>
    </row>
    <row r="172" customFormat="false" ht="15" hidden="false" customHeight="false" outlineLevel="0" collapsed="false">
      <c r="A172" s="3" t="s">
        <v>273</v>
      </c>
      <c r="B172" s="3" t="n">
        <v>17</v>
      </c>
      <c r="C172" s="3" t="s">
        <v>185</v>
      </c>
      <c r="D172" s="3" t="n">
        <v>74</v>
      </c>
      <c r="E172" s="3" t="s">
        <v>189</v>
      </c>
      <c r="F172" s="3" t="s">
        <v>187</v>
      </c>
      <c r="G172" s="3" t="s">
        <v>187</v>
      </c>
      <c r="H172" s="3" t="s">
        <v>290</v>
      </c>
    </row>
    <row r="173" customFormat="false" ht="15" hidden="false" customHeight="false" outlineLevel="0" collapsed="false">
      <c r="A173" s="3" t="s">
        <v>273</v>
      </c>
      <c r="B173" s="3" t="n">
        <v>18</v>
      </c>
      <c r="C173" s="3" t="s">
        <v>185</v>
      </c>
      <c r="D173" s="3" t="n">
        <v>80</v>
      </c>
      <c r="E173" s="3" t="s">
        <v>186</v>
      </c>
      <c r="F173" s="3" t="s">
        <v>187</v>
      </c>
      <c r="G173" s="3" t="s">
        <v>187</v>
      </c>
      <c r="H173" s="3" t="s">
        <v>291</v>
      </c>
    </row>
    <row r="174" customFormat="false" ht="15" hidden="false" customHeight="false" outlineLevel="0" collapsed="false">
      <c r="A174" s="3" t="s">
        <v>273</v>
      </c>
      <c r="B174" s="3" t="n">
        <v>18</v>
      </c>
      <c r="C174" s="3" t="s">
        <v>185</v>
      </c>
      <c r="D174" s="3" t="n">
        <v>119</v>
      </c>
      <c r="E174" s="3" t="s">
        <v>189</v>
      </c>
      <c r="F174" s="3" t="s">
        <v>187</v>
      </c>
      <c r="G174" s="3" t="s">
        <v>187</v>
      </c>
      <c r="H174" s="3" t="s">
        <v>291</v>
      </c>
    </row>
    <row r="175" customFormat="false" ht="15" hidden="false" customHeight="false" outlineLevel="0" collapsed="false">
      <c r="A175" s="3" t="s">
        <v>273</v>
      </c>
      <c r="B175" s="3" t="n">
        <v>19</v>
      </c>
      <c r="C175" s="3" t="s">
        <v>185</v>
      </c>
      <c r="D175" s="3" t="n">
        <v>105</v>
      </c>
      <c r="E175" s="3" t="s">
        <v>186</v>
      </c>
      <c r="F175" s="3" t="s">
        <v>187</v>
      </c>
      <c r="G175" s="3" t="s">
        <v>187</v>
      </c>
      <c r="H175" s="3" t="s">
        <v>292</v>
      </c>
    </row>
    <row r="176" customFormat="false" ht="15" hidden="false" customHeight="false" outlineLevel="0" collapsed="false">
      <c r="A176" s="3" t="s">
        <v>273</v>
      </c>
      <c r="B176" s="3" t="n">
        <v>20</v>
      </c>
      <c r="C176" s="3" t="s">
        <v>185</v>
      </c>
      <c r="D176" s="3" t="n">
        <v>116</v>
      </c>
      <c r="E176" s="3" t="s">
        <v>186</v>
      </c>
      <c r="F176" s="3" t="s">
        <v>187</v>
      </c>
      <c r="G176" s="3" t="s">
        <v>187</v>
      </c>
      <c r="H176" s="3" t="s">
        <v>293</v>
      </c>
    </row>
    <row r="177" customFormat="false" ht="15" hidden="false" customHeight="false" outlineLevel="0" collapsed="false">
      <c r="A177" s="3" t="s">
        <v>273</v>
      </c>
      <c r="B177" s="3" t="n">
        <v>20</v>
      </c>
      <c r="C177" s="3" t="s">
        <v>185</v>
      </c>
      <c r="D177" s="3" t="n">
        <v>35</v>
      </c>
      <c r="E177" s="3" t="s">
        <v>189</v>
      </c>
      <c r="F177" s="3" t="s">
        <v>187</v>
      </c>
      <c r="G177" s="3" t="s">
        <v>187</v>
      </c>
      <c r="H177" s="3" t="s">
        <v>293</v>
      </c>
    </row>
    <row r="178" customFormat="false" ht="15" hidden="false" customHeight="false" outlineLevel="0" collapsed="false">
      <c r="A178" s="3" t="s">
        <v>273</v>
      </c>
      <c r="B178" s="3" t="n">
        <v>21</v>
      </c>
      <c r="C178" s="3" t="s">
        <v>185</v>
      </c>
      <c r="D178" s="3" t="n">
        <v>100</v>
      </c>
      <c r="E178" s="3" t="s">
        <v>186</v>
      </c>
      <c r="F178" s="3" t="s">
        <v>187</v>
      </c>
      <c r="G178" s="3" t="s">
        <v>187</v>
      </c>
      <c r="H178" s="3" t="s">
        <v>294</v>
      </c>
    </row>
    <row r="179" customFormat="false" ht="15" hidden="false" customHeight="false" outlineLevel="0" collapsed="false">
      <c r="A179" s="3" t="s">
        <v>273</v>
      </c>
      <c r="B179" s="3" t="n">
        <v>21</v>
      </c>
      <c r="C179" s="3" t="s">
        <v>185</v>
      </c>
      <c r="D179" s="3" t="n">
        <v>81</v>
      </c>
      <c r="E179" s="3" t="s">
        <v>189</v>
      </c>
      <c r="F179" s="3" t="s">
        <v>187</v>
      </c>
      <c r="G179" s="3" t="s">
        <v>187</v>
      </c>
      <c r="H179" s="3" t="s">
        <v>294</v>
      </c>
    </row>
    <row r="180" customFormat="false" ht="15" hidden="false" customHeight="false" outlineLevel="0" collapsed="false">
      <c r="A180" s="3" t="s">
        <v>295</v>
      </c>
      <c r="B180" s="3" t="n">
        <v>1</v>
      </c>
      <c r="C180" s="3" t="s">
        <v>185</v>
      </c>
      <c r="D180" s="3" t="n">
        <v>74</v>
      </c>
      <c r="E180" s="3" t="s">
        <v>186</v>
      </c>
      <c r="F180" s="3" t="s">
        <v>187</v>
      </c>
      <c r="G180" s="3" t="s">
        <v>187</v>
      </c>
      <c r="H180" s="3" t="s">
        <v>296</v>
      </c>
    </row>
    <row r="181" customFormat="false" ht="15" hidden="false" customHeight="false" outlineLevel="0" collapsed="false">
      <c r="A181" s="3" t="s">
        <v>295</v>
      </c>
      <c r="B181" s="3" t="n">
        <v>2</v>
      </c>
      <c r="C181" s="3" t="s">
        <v>185</v>
      </c>
      <c r="D181" s="3" t="n">
        <v>100</v>
      </c>
      <c r="E181" s="3" t="s">
        <v>186</v>
      </c>
      <c r="F181" s="3" t="s">
        <v>187</v>
      </c>
      <c r="G181" s="3" t="s">
        <v>187</v>
      </c>
      <c r="H181" s="3" t="s">
        <v>297</v>
      </c>
    </row>
    <row r="182" customFormat="false" ht="15" hidden="false" customHeight="false" outlineLevel="0" collapsed="false">
      <c r="A182" s="3" t="s">
        <v>295</v>
      </c>
      <c r="B182" s="3" t="n">
        <v>3</v>
      </c>
      <c r="C182" s="3" t="s">
        <v>185</v>
      </c>
      <c r="D182" s="3" t="n">
        <v>98</v>
      </c>
      <c r="E182" s="3" t="s">
        <v>186</v>
      </c>
      <c r="F182" s="3" t="s">
        <v>187</v>
      </c>
      <c r="G182" s="3" t="s">
        <v>187</v>
      </c>
      <c r="H182" s="3" t="s">
        <v>298</v>
      </c>
    </row>
    <row r="183" customFormat="false" ht="15" hidden="false" customHeight="false" outlineLevel="0" collapsed="false">
      <c r="A183" s="3" t="s">
        <v>295</v>
      </c>
      <c r="B183" s="3" t="n">
        <v>4</v>
      </c>
      <c r="C183" s="3" t="s">
        <v>185</v>
      </c>
      <c r="D183" s="3" t="n">
        <v>96</v>
      </c>
      <c r="E183" s="3" t="s">
        <v>186</v>
      </c>
      <c r="F183" s="3" t="s">
        <v>187</v>
      </c>
      <c r="G183" s="3" t="s">
        <v>187</v>
      </c>
      <c r="H183" s="3" t="s">
        <v>299</v>
      </c>
    </row>
    <row r="184" customFormat="false" ht="15" hidden="false" customHeight="false" outlineLevel="0" collapsed="false">
      <c r="A184" s="3" t="s">
        <v>295</v>
      </c>
      <c r="B184" s="3" t="n">
        <v>4</v>
      </c>
      <c r="C184" s="3" t="s">
        <v>185</v>
      </c>
      <c r="D184" s="3" t="n">
        <v>119</v>
      </c>
      <c r="E184" s="3" t="s">
        <v>189</v>
      </c>
      <c r="F184" s="3" t="s">
        <v>187</v>
      </c>
      <c r="G184" s="3" t="s">
        <v>187</v>
      </c>
      <c r="H184" s="3" t="s">
        <v>299</v>
      </c>
    </row>
    <row r="185" customFormat="false" ht="15" hidden="false" customHeight="false" outlineLevel="0" collapsed="false">
      <c r="A185" s="3" t="s">
        <v>295</v>
      </c>
      <c r="B185" s="3" t="n">
        <v>5</v>
      </c>
      <c r="C185" s="3" t="s">
        <v>185</v>
      </c>
      <c r="D185" s="3" t="n">
        <v>39</v>
      </c>
      <c r="E185" s="3" t="s">
        <v>186</v>
      </c>
      <c r="F185" s="3" t="s">
        <v>187</v>
      </c>
      <c r="G185" s="3" t="s">
        <v>187</v>
      </c>
      <c r="H185" s="3" t="s">
        <v>300</v>
      </c>
    </row>
    <row r="186" customFormat="false" ht="15" hidden="false" customHeight="false" outlineLevel="0" collapsed="false">
      <c r="A186" s="3" t="s">
        <v>295</v>
      </c>
      <c r="B186" s="3" t="n">
        <v>7</v>
      </c>
      <c r="C186" s="3" t="s">
        <v>185</v>
      </c>
      <c r="D186" s="3" t="n">
        <v>109</v>
      </c>
      <c r="E186" s="3" t="s">
        <v>186</v>
      </c>
      <c r="F186" s="3" t="s">
        <v>187</v>
      </c>
      <c r="G186" s="3" t="s">
        <v>187</v>
      </c>
      <c r="H186" s="3" t="s">
        <v>301</v>
      </c>
    </row>
    <row r="187" customFormat="false" ht="15" hidden="false" customHeight="false" outlineLevel="0" collapsed="false">
      <c r="A187" s="3" t="s">
        <v>295</v>
      </c>
      <c r="B187" s="3" t="n">
        <v>8</v>
      </c>
      <c r="C187" s="3" t="s">
        <v>185</v>
      </c>
      <c r="D187" s="3" t="n">
        <v>97</v>
      </c>
      <c r="E187" s="3" t="s">
        <v>186</v>
      </c>
      <c r="F187" s="3" t="s">
        <v>187</v>
      </c>
      <c r="G187" s="3" t="s">
        <v>187</v>
      </c>
      <c r="H187" s="3" t="s">
        <v>302</v>
      </c>
    </row>
    <row r="188" customFormat="false" ht="15" hidden="false" customHeight="false" outlineLevel="0" collapsed="false">
      <c r="A188" s="3" t="s">
        <v>295</v>
      </c>
      <c r="B188" s="3" t="n">
        <v>9</v>
      </c>
      <c r="C188" s="3" t="s">
        <v>185</v>
      </c>
      <c r="D188" s="3" t="n">
        <v>96</v>
      </c>
      <c r="E188" s="3" t="s">
        <v>186</v>
      </c>
      <c r="F188" s="3" t="s">
        <v>187</v>
      </c>
      <c r="G188" s="3" t="s">
        <v>187</v>
      </c>
      <c r="H188" s="3" t="s">
        <v>303</v>
      </c>
    </row>
    <row r="189" customFormat="false" ht="15" hidden="false" customHeight="false" outlineLevel="0" collapsed="false">
      <c r="A189" s="3" t="s">
        <v>295</v>
      </c>
      <c r="B189" s="3" t="n">
        <v>10</v>
      </c>
      <c r="C189" s="3" t="s">
        <v>185</v>
      </c>
      <c r="D189" s="3" t="n">
        <v>108</v>
      </c>
      <c r="E189" s="3" t="s">
        <v>186</v>
      </c>
      <c r="F189" s="3" t="s">
        <v>187</v>
      </c>
      <c r="G189" s="3" t="s">
        <v>187</v>
      </c>
      <c r="H189" s="3" t="s">
        <v>304</v>
      </c>
    </row>
    <row r="190" customFormat="false" ht="15" hidden="false" customHeight="false" outlineLevel="0" collapsed="false">
      <c r="A190" s="3" t="s">
        <v>295</v>
      </c>
      <c r="B190" s="3" t="n">
        <v>11</v>
      </c>
      <c r="C190" s="3" t="s">
        <v>185</v>
      </c>
      <c r="D190" s="3" t="n">
        <v>96</v>
      </c>
      <c r="E190" s="3" t="s">
        <v>186</v>
      </c>
      <c r="F190" s="3" t="s">
        <v>187</v>
      </c>
      <c r="G190" s="3" t="s">
        <v>187</v>
      </c>
      <c r="H190" s="3" t="s">
        <v>305</v>
      </c>
    </row>
    <row r="191" customFormat="false" ht="15" hidden="false" customHeight="false" outlineLevel="0" collapsed="false">
      <c r="A191" s="3" t="s">
        <v>295</v>
      </c>
      <c r="B191" s="3" t="n">
        <v>12</v>
      </c>
      <c r="C191" s="3" t="s">
        <v>185</v>
      </c>
      <c r="D191" s="3" t="n">
        <v>80</v>
      </c>
      <c r="E191" s="3" t="s">
        <v>186</v>
      </c>
      <c r="F191" s="3" t="s">
        <v>187</v>
      </c>
      <c r="G191" s="3" t="s">
        <v>187</v>
      </c>
      <c r="H191" s="3" t="s">
        <v>306</v>
      </c>
    </row>
    <row r="192" customFormat="false" ht="15" hidden="false" customHeight="false" outlineLevel="0" collapsed="false">
      <c r="A192" s="3" t="s">
        <v>295</v>
      </c>
      <c r="B192" s="3" t="n">
        <v>12</v>
      </c>
      <c r="C192" s="3" t="s">
        <v>185</v>
      </c>
      <c r="D192" s="3" t="n">
        <v>56</v>
      </c>
      <c r="E192" s="3" t="s">
        <v>189</v>
      </c>
      <c r="F192" s="3" t="s">
        <v>187</v>
      </c>
      <c r="G192" s="3" t="s">
        <v>187</v>
      </c>
      <c r="H192" s="3" t="s">
        <v>306</v>
      </c>
    </row>
    <row r="193" customFormat="false" ht="15" hidden="false" customHeight="false" outlineLevel="0" collapsed="false">
      <c r="A193" s="3" t="s">
        <v>295</v>
      </c>
      <c r="B193" s="3" t="n">
        <v>13</v>
      </c>
      <c r="C193" s="3" t="s">
        <v>185</v>
      </c>
      <c r="D193" s="3" t="n">
        <v>93</v>
      </c>
      <c r="E193" s="3" t="s">
        <v>186</v>
      </c>
      <c r="F193" s="3" t="s">
        <v>187</v>
      </c>
      <c r="G193" s="3" t="s">
        <v>187</v>
      </c>
      <c r="H193" s="3" t="s">
        <v>307</v>
      </c>
    </row>
    <row r="194" customFormat="false" ht="15" hidden="false" customHeight="false" outlineLevel="0" collapsed="false">
      <c r="A194" s="3" t="s">
        <v>295</v>
      </c>
      <c r="B194" s="3" t="n">
        <v>14</v>
      </c>
      <c r="C194" s="3" t="s">
        <v>185</v>
      </c>
      <c r="D194" s="3" t="n">
        <v>90</v>
      </c>
      <c r="E194" s="3" t="s">
        <v>186</v>
      </c>
      <c r="F194" s="3" t="s">
        <v>187</v>
      </c>
      <c r="G194" s="3" t="s">
        <v>187</v>
      </c>
      <c r="H194" s="3" t="s">
        <v>308</v>
      </c>
    </row>
    <row r="195" customFormat="false" ht="15" hidden="false" customHeight="false" outlineLevel="0" collapsed="false">
      <c r="A195" s="3" t="s">
        <v>295</v>
      </c>
      <c r="B195" s="3" t="n">
        <v>15</v>
      </c>
      <c r="C195" s="3" t="s">
        <v>185</v>
      </c>
      <c r="D195" s="3" t="n">
        <v>133</v>
      </c>
      <c r="E195" s="3" t="s">
        <v>186</v>
      </c>
      <c r="F195" s="3" t="s">
        <v>187</v>
      </c>
      <c r="G195" s="3" t="s">
        <v>187</v>
      </c>
      <c r="H195" s="3" t="s">
        <v>309</v>
      </c>
    </row>
    <row r="196" customFormat="false" ht="15" hidden="false" customHeight="false" outlineLevel="0" collapsed="false">
      <c r="A196" s="3" t="s">
        <v>295</v>
      </c>
      <c r="B196" s="3" t="n">
        <v>15</v>
      </c>
      <c r="C196" s="3" t="s">
        <v>185</v>
      </c>
      <c r="D196" s="3" t="n">
        <v>130</v>
      </c>
      <c r="E196" s="3" t="s">
        <v>189</v>
      </c>
      <c r="F196" s="3" t="s">
        <v>187</v>
      </c>
      <c r="G196" s="3" t="s">
        <v>187</v>
      </c>
      <c r="H196" s="3" t="s">
        <v>309</v>
      </c>
    </row>
    <row r="197" customFormat="false" ht="15" hidden="false" customHeight="false" outlineLevel="0" collapsed="false">
      <c r="A197" s="3" t="s">
        <v>295</v>
      </c>
      <c r="B197" s="3" t="n">
        <v>16</v>
      </c>
      <c r="C197" s="3" t="s">
        <v>185</v>
      </c>
      <c r="D197" s="3" t="n">
        <v>11</v>
      </c>
      <c r="E197" s="3" t="s">
        <v>186</v>
      </c>
      <c r="F197" s="3" t="s">
        <v>187</v>
      </c>
      <c r="G197" s="3" t="s">
        <v>187</v>
      </c>
      <c r="H197" s="3" t="s">
        <v>310</v>
      </c>
    </row>
    <row r="198" customFormat="false" ht="15" hidden="false" customHeight="false" outlineLevel="0" collapsed="false">
      <c r="A198" s="3" t="s">
        <v>295</v>
      </c>
      <c r="B198" s="3" t="n">
        <v>17</v>
      </c>
      <c r="C198" s="3" t="s">
        <v>185</v>
      </c>
      <c r="D198" s="3" t="n">
        <v>108</v>
      </c>
      <c r="E198" s="3" t="s">
        <v>186</v>
      </c>
      <c r="F198" s="3" t="s">
        <v>187</v>
      </c>
      <c r="G198" s="3" t="s">
        <v>187</v>
      </c>
      <c r="H198" s="3" t="s">
        <v>311</v>
      </c>
    </row>
    <row r="199" customFormat="false" ht="15" hidden="false" customHeight="false" outlineLevel="0" collapsed="false">
      <c r="A199" s="3" t="s">
        <v>295</v>
      </c>
      <c r="B199" s="3" t="n">
        <v>17</v>
      </c>
      <c r="C199" s="3" t="s">
        <v>185</v>
      </c>
      <c r="D199" s="3" t="n">
        <v>57</v>
      </c>
      <c r="E199" s="3" t="s">
        <v>189</v>
      </c>
      <c r="F199" s="3" t="s">
        <v>187</v>
      </c>
      <c r="G199" s="3" t="s">
        <v>187</v>
      </c>
      <c r="H199" s="3" t="s">
        <v>311</v>
      </c>
    </row>
    <row r="200" customFormat="false" ht="15" hidden="false" customHeight="false" outlineLevel="0" collapsed="false">
      <c r="A200" s="3" t="s">
        <v>295</v>
      </c>
      <c r="B200" s="3" t="n">
        <v>18</v>
      </c>
      <c r="C200" s="3" t="s">
        <v>185</v>
      </c>
      <c r="D200" s="3" t="n">
        <v>117</v>
      </c>
      <c r="E200" s="3" t="s">
        <v>186</v>
      </c>
      <c r="F200" s="3" t="s">
        <v>187</v>
      </c>
      <c r="G200" s="3" t="s">
        <v>187</v>
      </c>
      <c r="H200" s="3" t="s">
        <v>312</v>
      </c>
    </row>
    <row r="201" customFormat="false" ht="15" hidden="false" customHeight="false" outlineLevel="0" collapsed="false">
      <c r="A201" s="3" t="s">
        <v>295</v>
      </c>
      <c r="B201" s="3" t="n">
        <v>18</v>
      </c>
      <c r="C201" s="3" t="s">
        <v>185</v>
      </c>
      <c r="D201" s="3" t="n">
        <v>5</v>
      </c>
      <c r="E201" s="3" t="s">
        <v>189</v>
      </c>
      <c r="F201" s="3" t="s">
        <v>187</v>
      </c>
      <c r="G201" s="3" t="s">
        <v>187</v>
      </c>
      <c r="H201" s="3" t="s">
        <v>312</v>
      </c>
    </row>
    <row r="202" customFormat="false" ht="15" hidden="false" customHeight="false" outlineLevel="0" collapsed="false">
      <c r="A202" s="3" t="s">
        <v>295</v>
      </c>
      <c r="B202" s="3" t="n">
        <v>19</v>
      </c>
      <c r="C202" s="3" t="s">
        <v>185</v>
      </c>
      <c r="D202" s="3" t="n">
        <v>65</v>
      </c>
      <c r="E202" s="3" t="s">
        <v>186</v>
      </c>
      <c r="F202" s="3" t="s">
        <v>187</v>
      </c>
      <c r="G202" s="3" t="s">
        <v>187</v>
      </c>
      <c r="H202" s="3" t="s">
        <v>313</v>
      </c>
    </row>
    <row r="203" customFormat="false" ht="15" hidden="false" customHeight="false" outlineLevel="0" collapsed="false">
      <c r="A203" s="3" t="s">
        <v>295</v>
      </c>
      <c r="B203" s="3" t="n">
        <v>20</v>
      </c>
      <c r="C203" s="3" t="s">
        <v>185</v>
      </c>
      <c r="D203" s="3" t="n">
        <v>119</v>
      </c>
      <c r="E203" s="3" t="s">
        <v>186</v>
      </c>
      <c r="F203" s="3" t="s">
        <v>187</v>
      </c>
      <c r="G203" s="3" t="s">
        <v>187</v>
      </c>
      <c r="H203" s="3" t="s">
        <v>314</v>
      </c>
    </row>
    <row r="204" customFormat="false" ht="15" hidden="false" customHeight="false" outlineLevel="0" collapsed="false">
      <c r="A204" s="3" t="s">
        <v>295</v>
      </c>
      <c r="B204" s="3" t="n">
        <v>21</v>
      </c>
      <c r="C204" s="3" t="s">
        <v>185</v>
      </c>
      <c r="D204" s="3" t="n">
        <v>139</v>
      </c>
      <c r="E204" s="3" t="s">
        <v>186</v>
      </c>
      <c r="F204" s="3" t="s">
        <v>187</v>
      </c>
      <c r="G204" s="3" t="s">
        <v>187</v>
      </c>
      <c r="H204" s="3" t="s">
        <v>315</v>
      </c>
    </row>
    <row r="205" customFormat="false" ht="15" hidden="false" customHeight="false" outlineLevel="0" collapsed="false">
      <c r="A205" s="3" t="s">
        <v>295</v>
      </c>
      <c r="B205" s="3" t="n">
        <v>21</v>
      </c>
      <c r="C205" s="3" t="s">
        <v>185</v>
      </c>
      <c r="D205" s="3" t="n">
        <v>65</v>
      </c>
      <c r="E205" s="3" t="s">
        <v>189</v>
      </c>
      <c r="F205" s="3" t="s">
        <v>187</v>
      </c>
      <c r="G205" s="3" t="s">
        <v>187</v>
      </c>
      <c r="H205" s="3" t="s">
        <v>315</v>
      </c>
    </row>
    <row r="206" customFormat="false" ht="15" hidden="false" customHeight="false" outlineLevel="0" collapsed="false">
      <c r="A206" s="3" t="s">
        <v>295</v>
      </c>
      <c r="B206" s="3" t="n">
        <v>22</v>
      </c>
      <c r="C206" s="3" t="s">
        <v>185</v>
      </c>
      <c r="D206" s="3" t="n">
        <v>133</v>
      </c>
      <c r="E206" s="3" t="s">
        <v>186</v>
      </c>
      <c r="F206" s="3" t="s">
        <v>187</v>
      </c>
      <c r="G206" s="3" t="s">
        <v>187</v>
      </c>
      <c r="H206" s="3" t="s">
        <v>316</v>
      </c>
    </row>
    <row r="207" customFormat="false" ht="15" hidden="false" customHeight="false" outlineLevel="0" collapsed="false">
      <c r="A207" s="3" t="s">
        <v>295</v>
      </c>
      <c r="B207" s="3" t="n">
        <v>23</v>
      </c>
      <c r="C207" s="3" t="s">
        <v>185</v>
      </c>
      <c r="D207" s="3" t="n">
        <v>11</v>
      </c>
      <c r="E207" s="3" t="s">
        <v>186</v>
      </c>
      <c r="F207" s="3" t="s">
        <v>187</v>
      </c>
      <c r="G207" s="3" t="s">
        <v>187</v>
      </c>
      <c r="H207" s="3" t="s">
        <v>317</v>
      </c>
    </row>
    <row r="208" customFormat="false" ht="15" hidden="false" customHeight="false" outlineLevel="0" collapsed="false">
      <c r="A208" s="3" t="s">
        <v>295</v>
      </c>
      <c r="B208" s="3" t="n">
        <v>24</v>
      </c>
      <c r="C208" s="3" t="s">
        <v>185</v>
      </c>
      <c r="D208" s="3" t="n">
        <v>119</v>
      </c>
      <c r="E208" s="3" t="s">
        <v>186</v>
      </c>
      <c r="F208" s="3" t="s">
        <v>187</v>
      </c>
      <c r="G208" s="3" t="s">
        <v>187</v>
      </c>
      <c r="H208" s="3" t="s">
        <v>318</v>
      </c>
    </row>
    <row r="209" customFormat="false" ht="15" hidden="false" customHeight="false" outlineLevel="0" collapsed="false">
      <c r="A209" s="3" t="s">
        <v>295</v>
      </c>
      <c r="B209" s="3" t="n">
        <v>24</v>
      </c>
      <c r="C209" s="3" t="s">
        <v>185</v>
      </c>
      <c r="D209" s="3" t="n">
        <v>103</v>
      </c>
      <c r="E209" s="3" t="s">
        <v>189</v>
      </c>
      <c r="F209" s="3" t="s">
        <v>187</v>
      </c>
      <c r="G209" s="3" t="s">
        <v>187</v>
      </c>
      <c r="H209" s="3" t="s">
        <v>318</v>
      </c>
    </row>
    <row r="210" customFormat="false" ht="15" hidden="false" customHeight="false" outlineLevel="0" collapsed="false">
      <c r="A210" s="3" t="s">
        <v>319</v>
      </c>
      <c r="B210" s="3" t="n">
        <v>1</v>
      </c>
      <c r="C210" s="3" t="s">
        <v>185</v>
      </c>
      <c r="D210" s="3" t="n">
        <v>11</v>
      </c>
      <c r="E210" s="3" t="s">
        <v>186</v>
      </c>
      <c r="F210" s="3" t="s">
        <v>261</v>
      </c>
      <c r="G210" s="3" t="s">
        <v>187</v>
      </c>
      <c r="H210" s="3" t="s">
        <v>320</v>
      </c>
    </row>
    <row r="211" customFormat="false" ht="15" hidden="false" customHeight="false" outlineLevel="0" collapsed="false">
      <c r="A211" s="3" t="s">
        <v>319</v>
      </c>
      <c r="B211" s="3" t="n">
        <v>1</v>
      </c>
      <c r="C211" s="3" t="s">
        <v>185</v>
      </c>
      <c r="D211" s="3" t="n">
        <v>40</v>
      </c>
      <c r="E211" s="3" t="s">
        <v>189</v>
      </c>
      <c r="F211" s="3" t="s">
        <v>261</v>
      </c>
      <c r="G211" s="3" t="s">
        <v>187</v>
      </c>
      <c r="H211" s="3" t="s">
        <v>320</v>
      </c>
    </row>
    <row r="212" customFormat="false" ht="15" hidden="false" customHeight="false" outlineLevel="0" collapsed="false">
      <c r="A212" s="3" t="s">
        <v>319</v>
      </c>
      <c r="B212" s="3" t="n">
        <v>2</v>
      </c>
      <c r="C212" s="3" t="s">
        <v>185</v>
      </c>
      <c r="D212" s="3" t="n">
        <v>125</v>
      </c>
      <c r="E212" s="3" t="s">
        <v>186</v>
      </c>
      <c r="F212" s="3" t="s">
        <v>261</v>
      </c>
      <c r="G212" s="3" t="s">
        <v>187</v>
      </c>
      <c r="H212" s="3" t="s">
        <v>321</v>
      </c>
    </row>
    <row r="213" customFormat="false" ht="15" hidden="false" customHeight="false" outlineLevel="0" collapsed="false">
      <c r="A213" s="3" t="s">
        <v>319</v>
      </c>
      <c r="B213" s="3" t="n">
        <v>2</v>
      </c>
      <c r="C213" s="3" t="s">
        <v>185</v>
      </c>
      <c r="D213" s="3" t="n">
        <v>103</v>
      </c>
      <c r="E213" s="3" t="s">
        <v>189</v>
      </c>
      <c r="F213" s="3" t="s">
        <v>261</v>
      </c>
      <c r="G213" s="3" t="s">
        <v>187</v>
      </c>
      <c r="H213" s="3" t="s">
        <v>321</v>
      </c>
    </row>
    <row r="214" customFormat="false" ht="15" hidden="false" customHeight="false" outlineLevel="0" collapsed="false">
      <c r="A214" s="3" t="s">
        <v>319</v>
      </c>
      <c r="B214" s="3" t="n">
        <v>3</v>
      </c>
      <c r="C214" s="3" t="s">
        <v>185</v>
      </c>
      <c r="D214" s="3" t="n">
        <v>39</v>
      </c>
      <c r="E214" s="3" t="s">
        <v>186</v>
      </c>
      <c r="F214" s="3" t="s">
        <v>261</v>
      </c>
      <c r="G214" s="3" t="s">
        <v>187</v>
      </c>
      <c r="H214" s="3" t="s">
        <v>322</v>
      </c>
    </row>
    <row r="215" customFormat="false" ht="15" hidden="false" customHeight="false" outlineLevel="0" collapsed="false">
      <c r="A215" s="3" t="s">
        <v>319</v>
      </c>
      <c r="B215" s="3" t="n">
        <v>3</v>
      </c>
      <c r="C215" s="3" t="s">
        <v>185</v>
      </c>
      <c r="D215" s="3" t="n">
        <v>16</v>
      </c>
      <c r="E215" s="3" t="s">
        <v>189</v>
      </c>
      <c r="F215" s="3" t="s">
        <v>261</v>
      </c>
      <c r="G215" s="3" t="s">
        <v>187</v>
      </c>
      <c r="H215" s="3" t="s">
        <v>322</v>
      </c>
    </row>
    <row r="216" customFormat="false" ht="15" hidden="false" customHeight="false" outlineLevel="0" collapsed="false">
      <c r="A216" s="3" t="s">
        <v>319</v>
      </c>
      <c r="B216" s="3" t="n">
        <v>4</v>
      </c>
      <c r="C216" s="3" t="s">
        <v>185</v>
      </c>
      <c r="D216" s="3" t="n">
        <v>36</v>
      </c>
      <c r="E216" s="3" t="s">
        <v>186</v>
      </c>
      <c r="F216" s="3" t="s">
        <v>261</v>
      </c>
      <c r="G216" s="3" t="s">
        <v>187</v>
      </c>
      <c r="H216" s="3" t="s">
        <v>323</v>
      </c>
    </row>
    <row r="217" customFormat="false" ht="15" hidden="false" customHeight="false" outlineLevel="0" collapsed="false">
      <c r="A217" s="3" t="s">
        <v>319</v>
      </c>
      <c r="B217" s="3" t="n">
        <v>5</v>
      </c>
      <c r="C217" s="3" t="s">
        <v>185</v>
      </c>
      <c r="D217" s="3" t="n">
        <v>105</v>
      </c>
      <c r="E217" s="3" t="s">
        <v>186</v>
      </c>
      <c r="F217" s="3" t="s">
        <v>261</v>
      </c>
      <c r="G217" s="3" t="s">
        <v>187</v>
      </c>
      <c r="H217" s="3" t="s">
        <v>324</v>
      </c>
    </row>
    <row r="218" customFormat="false" ht="15" hidden="false" customHeight="false" outlineLevel="0" collapsed="false">
      <c r="A218" s="3" t="s">
        <v>319</v>
      </c>
      <c r="B218" s="3" t="n">
        <v>5</v>
      </c>
      <c r="C218" s="3" t="s">
        <v>185</v>
      </c>
      <c r="D218" s="3" t="n">
        <v>106</v>
      </c>
      <c r="E218" s="3" t="s">
        <v>189</v>
      </c>
      <c r="F218" s="3" t="s">
        <v>261</v>
      </c>
      <c r="G218" s="3" t="s">
        <v>187</v>
      </c>
      <c r="H218" s="3" t="s">
        <v>324</v>
      </c>
    </row>
    <row r="219" customFormat="false" ht="15" hidden="false" customHeight="false" outlineLevel="0" collapsed="false">
      <c r="A219" s="3" t="s">
        <v>319</v>
      </c>
      <c r="B219" s="3" t="n">
        <v>5</v>
      </c>
      <c r="C219" s="3" t="s">
        <v>185</v>
      </c>
      <c r="D219" s="3" t="n">
        <v>117</v>
      </c>
      <c r="E219" s="3" t="s">
        <v>189</v>
      </c>
      <c r="F219" s="3" t="s">
        <v>261</v>
      </c>
      <c r="G219" s="3" t="s">
        <v>187</v>
      </c>
      <c r="H219" s="3" t="s">
        <v>324</v>
      </c>
    </row>
    <row r="220" customFormat="false" ht="15" hidden="false" customHeight="false" outlineLevel="0" collapsed="false">
      <c r="A220" s="3" t="s">
        <v>319</v>
      </c>
      <c r="B220" s="3" t="n">
        <v>6</v>
      </c>
      <c r="C220" s="3" t="s">
        <v>185</v>
      </c>
      <c r="D220" s="3" t="n">
        <v>88</v>
      </c>
      <c r="E220" s="3" t="s">
        <v>186</v>
      </c>
      <c r="F220" s="3" t="s">
        <v>261</v>
      </c>
      <c r="G220" s="3" t="s">
        <v>187</v>
      </c>
      <c r="H220" s="3" t="s">
        <v>325</v>
      </c>
    </row>
    <row r="221" customFormat="false" ht="15" hidden="false" customHeight="false" outlineLevel="0" collapsed="false">
      <c r="A221" s="3" t="s">
        <v>319</v>
      </c>
      <c r="B221" s="3" t="n">
        <v>7</v>
      </c>
      <c r="C221" s="3" t="s">
        <v>185</v>
      </c>
      <c r="D221" s="3" t="n">
        <v>87</v>
      </c>
      <c r="E221" s="3" t="s">
        <v>186</v>
      </c>
      <c r="F221" s="3" t="s">
        <v>261</v>
      </c>
      <c r="G221" s="3" t="s">
        <v>187</v>
      </c>
      <c r="H221" s="3" t="s">
        <v>326</v>
      </c>
    </row>
    <row r="222" customFormat="false" ht="15" hidden="false" customHeight="false" outlineLevel="0" collapsed="false">
      <c r="A222" s="3" t="s">
        <v>319</v>
      </c>
      <c r="B222" s="3" t="n">
        <v>8</v>
      </c>
      <c r="C222" s="3" t="s">
        <v>185</v>
      </c>
      <c r="D222" s="3" t="n">
        <v>99</v>
      </c>
      <c r="E222" s="3" t="s">
        <v>186</v>
      </c>
      <c r="F222" s="3" t="s">
        <v>261</v>
      </c>
      <c r="G222" s="3" t="s">
        <v>187</v>
      </c>
      <c r="H222" s="3" t="s">
        <v>327</v>
      </c>
    </row>
    <row r="223" customFormat="false" ht="15" hidden="false" customHeight="false" outlineLevel="0" collapsed="false">
      <c r="A223" s="3" t="s">
        <v>319</v>
      </c>
      <c r="B223" s="3" t="n">
        <v>9</v>
      </c>
      <c r="C223" s="3" t="s">
        <v>185</v>
      </c>
      <c r="D223" s="3" t="n">
        <v>57</v>
      </c>
      <c r="E223" s="3" t="s">
        <v>186</v>
      </c>
      <c r="F223" s="3" t="s">
        <v>261</v>
      </c>
      <c r="G223" s="3" t="s">
        <v>187</v>
      </c>
      <c r="H223" s="3" t="s">
        <v>328</v>
      </c>
    </row>
    <row r="224" customFormat="false" ht="15" hidden="false" customHeight="false" outlineLevel="0" collapsed="false">
      <c r="A224" s="3" t="s">
        <v>319</v>
      </c>
      <c r="B224" s="3" t="n">
        <v>10</v>
      </c>
      <c r="C224" s="3" t="s">
        <v>185</v>
      </c>
      <c r="D224" s="3" t="n">
        <v>100</v>
      </c>
      <c r="E224" s="3" t="s">
        <v>186</v>
      </c>
      <c r="F224" s="3" t="s">
        <v>261</v>
      </c>
      <c r="G224" s="3" t="s">
        <v>187</v>
      </c>
      <c r="H224" s="3" t="s">
        <v>329</v>
      </c>
    </row>
    <row r="225" customFormat="false" ht="15" hidden="false" customHeight="false" outlineLevel="0" collapsed="false">
      <c r="A225" s="3" t="s">
        <v>319</v>
      </c>
      <c r="B225" s="3" t="n">
        <v>11</v>
      </c>
      <c r="C225" s="3" t="s">
        <v>185</v>
      </c>
      <c r="D225" s="3" t="n">
        <v>99</v>
      </c>
      <c r="E225" s="3" t="s">
        <v>186</v>
      </c>
      <c r="F225" s="3" t="s">
        <v>261</v>
      </c>
      <c r="G225" s="3" t="s">
        <v>187</v>
      </c>
      <c r="H225" s="3" t="s">
        <v>330</v>
      </c>
    </row>
    <row r="226" customFormat="false" ht="15" hidden="false" customHeight="false" outlineLevel="0" collapsed="false">
      <c r="A226" s="3" t="s">
        <v>319</v>
      </c>
      <c r="B226" s="3" t="n">
        <v>12</v>
      </c>
      <c r="C226" s="3" t="s">
        <v>185</v>
      </c>
      <c r="D226" s="3" t="n">
        <v>107</v>
      </c>
      <c r="E226" s="3" t="s">
        <v>186</v>
      </c>
      <c r="F226" s="3" t="s">
        <v>261</v>
      </c>
      <c r="G226" s="3" t="s">
        <v>187</v>
      </c>
      <c r="H226" s="3" t="s">
        <v>331</v>
      </c>
    </row>
    <row r="227" customFormat="false" ht="15" hidden="false" customHeight="false" outlineLevel="0" collapsed="false">
      <c r="A227" s="3" t="s">
        <v>319</v>
      </c>
      <c r="B227" s="3" t="n">
        <v>13</v>
      </c>
      <c r="C227" s="3" t="s">
        <v>185</v>
      </c>
      <c r="D227" s="3" t="n">
        <v>74</v>
      </c>
      <c r="E227" s="3" t="s">
        <v>186</v>
      </c>
      <c r="F227" s="3" t="s">
        <v>261</v>
      </c>
      <c r="G227" s="3" t="s">
        <v>187</v>
      </c>
      <c r="H227" s="3" t="s">
        <v>332</v>
      </c>
    </row>
    <row r="228" customFormat="false" ht="15" hidden="false" customHeight="false" outlineLevel="0" collapsed="false">
      <c r="A228" s="3" t="s">
        <v>319</v>
      </c>
      <c r="B228" s="3" t="n">
        <v>13</v>
      </c>
      <c r="C228" s="3" t="s">
        <v>185</v>
      </c>
      <c r="D228" s="3" t="n">
        <v>80</v>
      </c>
      <c r="E228" s="3" t="s">
        <v>189</v>
      </c>
      <c r="F228" s="3" t="s">
        <v>261</v>
      </c>
      <c r="G228" s="3" t="s">
        <v>187</v>
      </c>
      <c r="H228" s="3" t="s">
        <v>332</v>
      </c>
    </row>
    <row r="229" customFormat="false" ht="15" hidden="false" customHeight="false" outlineLevel="0" collapsed="false">
      <c r="A229" s="3" t="s">
        <v>319</v>
      </c>
      <c r="B229" s="3" t="n">
        <v>13</v>
      </c>
      <c r="C229" s="3" t="s">
        <v>185</v>
      </c>
      <c r="D229" s="3" t="n">
        <v>103</v>
      </c>
      <c r="E229" s="3" t="s">
        <v>189</v>
      </c>
      <c r="F229" s="3" t="s">
        <v>261</v>
      </c>
      <c r="G229" s="3" t="s">
        <v>187</v>
      </c>
      <c r="H229" s="3" t="s">
        <v>332</v>
      </c>
    </row>
    <row r="230" customFormat="false" ht="15" hidden="false" customHeight="false" outlineLevel="0" collapsed="false">
      <c r="A230" s="3" t="s">
        <v>319</v>
      </c>
      <c r="B230" s="3" t="n">
        <v>14</v>
      </c>
      <c r="C230" s="3" t="s">
        <v>185</v>
      </c>
      <c r="D230" s="3" t="n">
        <v>74</v>
      </c>
      <c r="E230" s="3" t="s">
        <v>186</v>
      </c>
      <c r="F230" s="3" t="s">
        <v>261</v>
      </c>
      <c r="G230" s="3" t="s">
        <v>187</v>
      </c>
      <c r="H230" s="3" t="s">
        <v>333</v>
      </c>
    </row>
    <row r="231" customFormat="false" ht="15" hidden="false" customHeight="false" outlineLevel="0" collapsed="false">
      <c r="A231" s="3" t="s">
        <v>319</v>
      </c>
      <c r="B231" s="3" t="n">
        <v>14</v>
      </c>
      <c r="C231" s="3" t="s">
        <v>185</v>
      </c>
      <c r="D231" s="3" t="n">
        <v>80</v>
      </c>
      <c r="E231" s="3" t="s">
        <v>189</v>
      </c>
      <c r="F231" s="3" t="s">
        <v>261</v>
      </c>
      <c r="G231" s="3" t="s">
        <v>187</v>
      </c>
      <c r="H231" s="3" t="s">
        <v>333</v>
      </c>
    </row>
    <row r="232" customFormat="false" ht="15" hidden="false" customHeight="false" outlineLevel="0" collapsed="false">
      <c r="A232" s="3" t="s">
        <v>319</v>
      </c>
      <c r="B232" s="3" t="n">
        <v>15</v>
      </c>
      <c r="C232" s="3" t="s">
        <v>185</v>
      </c>
      <c r="D232" s="3" t="n">
        <v>94</v>
      </c>
      <c r="E232" s="3" t="s">
        <v>186</v>
      </c>
      <c r="F232" s="3" t="s">
        <v>261</v>
      </c>
      <c r="G232" s="3" t="s">
        <v>187</v>
      </c>
      <c r="H232" s="3" t="s">
        <v>334</v>
      </c>
    </row>
    <row r="233" customFormat="false" ht="15" hidden="false" customHeight="false" outlineLevel="0" collapsed="false">
      <c r="A233" s="3" t="s">
        <v>319</v>
      </c>
      <c r="B233" s="3" t="n">
        <v>16</v>
      </c>
      <c r="C233" s="3" t="s">
        <v>185</v>
      </c>
      <c r="D233" s="3" t="n">
        <v>107</v>
      </c>
      <c r="E233" s="3" t="s">
        <v>186</v>
      </c>
      <c r="F233" s="3" t="s">
        <v>261</v>
      </c>
      <c r="G233" s="3" t="s">
        <v>187</v>
      </c>
      <c r="H233" s="3" t="s">
        <v>335</v>
      </c>
    </row>
    <row r="234" customFormat="false" ht="15" hidden="false" customHeight="false" outlineLevel="0" collapsed="false">
      <c r="A234" s="3" t="s">
        <v>319</v>
      </c>
      <c r="B234" s="3" t="n">
        <v>16</v>
      </c>
      <c r="C234" s="3" t="s">
        <v>185</v>
      </c>
      <c r="D234" s="3" t="n">
        <v>103</v>
      </c>
      <c r="E234" s="3" t="s">
        <v>189</v>
      </c>
      <c r="F234" s="3" t="s">
        <v>261</v>
      </c>
      <c r="G234" s="3" t="s">
        <v>187</v>
      </c>
      <c r="H234" s="3" t="s">
        <v>335</v>
      </c>
    </row>
    <row r="235" customFormat="false" ht="15" hidden="false" customHeight="false" outlineLevel="0" collapsed="false">
      <c r="A235" s="3" t="s">
        <v>319</v>
      </c>
      <c r="B235" s="3" t="n">
        <v>17</v>
      </c>
      <c r="C235" s="3" t="s">
        <v>185</v>
      </c>
      <c r="D235" s="3" t="n">
        <v>101</v>
      </c>
      <c r="E235" s="3" t="s">
        <v>186</v>
      </c>
      <c r="F235" s="3" t="s">
        <v>261</v>
      </c>
      <c r="G235" s="3" t="s">
        <v>187</v>
      </c>
      <c r="H235" s="3" t="s">
        <v>336</v>
      </c>
    </row>
    <row r="236" customFormat="false" ht="15" hidden="false" customHeight="false" outlineLevel="0" collapsed="false">
      <c r="A236" s="3" t="s">
        <v>319</v>
      </c>
      <c r="B236" s="3" t="n">
        <v>18</v>
      </c>
      <c r="C236" s="3" t="s">
        <v>185</v>
      </c>
      <c r="D236" s="3" t="n">
        <v>104</v>
      </c>
      <c r="E236" s="3" t="s">
        <v>186</v>
      </c>
      <c r="F236" s="3" t="s">
        <v>261</v>
      </c>
      <c r="G236" s="3" t="s">
        <v>187</v>
      </c>
      <c r="H236" s="3" t="s">
        <v>337</v>
      </c>
    </row>
    <row r="237" customFormat="false" ht="15" hidden="false" customHeight="false" outlineLevel="0" collapsed="false">
      <c r="A237" s="3" t="s">
        <v>319</v>
      </c>
      <c r="B237" s="3" t="n">
        <v>18</v>
      </c>
      <c r="C237" s="3" t="s">
        <v>185</v>
      </c>
      <c r="D237" s="3" t="n">
        <v>103</v>
      </c>
      <c r="E237" s="3" t="s">
        <v>189</v>
      </c>
      <c r="F237" s="3" t="s">
        <v>261</v>
      </c>
      <c r="G237" s="3" t="s">
        <v>187</v>
      </c>
      <c r="H237" s="3" t="s">
        <v>337</v>
      </c>
    </row>
    <row r="238" customFormat="false" ht="15" hidden="false" customHeight="false" outlineLevel="0" collapsed="false">
      <c r="A238" s="3" t="s">
        <v>319</v>
      </c>
      <c r="B238" s="3" t="n">
        <v>19</v>
      </c>
      <c r="C238" s="3" t="s">
        <v>185</v>
      </c>
      <c r="D238" s="3" t="n">
        <v>92</v>
      </c>
      <c r="E238" s="3" t="s">
        <v>186</v>
      </c>
      <c r="F238" s="3" t="s">
        <v>261</v>
      </c>
      <c r="G238" s="3" t="s">
        <v>187</v>
      </c>
      <c r="H238" s="3" t="s">
        <v>338</v>
      </c>
    </row>
    <row r="239" customFormat="false" ht="15" hidden="false" customHeight="false" outlineLevel="0" collapsed="false">
      <c r="A239" s="3" t="s">
        <v>319</v>
      </c>
      <c r="B239" s="3" t="n">
        <v>20</v>
      </c>
      <c r="C239" s="3" t="s">
        <v>185</v>
      </c>
      <c r="D239" s="3" t="n">
        <v>99</v>
      </c>
      <c r="E239" s="3" t="s">
        <v>186</v>
      </c>
      <c r="F239" s="3" t="s">
        <v>261</v>
      </c>
      <c r="G239" s="3" t="s">
        <v>187</v>
      </c>
      <c r="H239" s="3" t="s">
        <v>339</v>
      </c>
    </row>
    <row r="240" customFormat="false" ht="15" hidden="false" customHeight="false" outlineLevel="0" collapsed="false">
      <c r="A240" s="3" t="s">
        <v>319</v>
      </c>
      <c r="B240" s="3" t="n">
        <v>20</v>
      </c>
      <c r="C240" s="3" t="s">
        <v>185</v>
      </c>
      <c r="D240" s="3" t="n">
        <v>96</v>
      </c>
      <c r="E240" s="3" t="s">
        <v>189</v>
      </c>
      <c r="F240" s="3" t="s">
        <v>261</v>
      </c>
      <c r="G240" s="3" t="s">
        <v>187</v>
      </c>
      <c r="H240" s="3" t="s">
        <v>339</v>
      </c>
    </row>
    <row r="241" customFormat="false" ht="15" hidden="false" customHeight="false" outlineLevel="0" collapsed="false">
      <c r="A241" s="3" t="s">
        <v>319</v>
      </c>
      <c r="B241" s="3" t="n">
        <v>21</v>
      </c>
      <c r="C241" s="3" t="s">
        <v>185</v>
      </c>
      <c r="D241" s="3" t="n">
        <v>103</v>
      </c>
      <c r="E241" s="3" t="s">
        <v>186</v>
      </c>
      <c r="F241" s="3" t="s">
        <v>261</v>
      </c>
      <c r="G241" s="3" t="s">
        <v>187</v>
      </c>
      <c r="H241" s="3" t="s">
        <v>340</v>
      </c>
    </row>
    <row r="242" customFormat="false" ht="15" hidden="false" customHeight="false" outlineLevel="0" collapsed="false">
      <c r="A242" s="3" t="s">
        <v>319</v>
      </c>
      <c r="B242" s="3" t="n">
        <v>21</v>
      </c>
      <c r="C242" s="3" t="s">
        <v>185</v>
      </c>
      <c r="D242" s="3" t="n">
        <v>96</v>
      </c>
      <c r="E242" s="3" t="s">
        <v>189</v>
      </c>
      <c r="F242" s="3" t="s">
        <v>261</v>
      </c>
      <c r="G242" s="3" t="s">
        <v>187</v>
      </c>
      <c r="H242" s="3" t="s">
        <v>340</v>
      </c>
    </row>
    <row r="243" customFormat="false" ht="15" hidden="false" customHeight="false" outlineLevel="0" collapsed="false">
      <c r="A243" s="3" t="s">
        <v>319</v>
      </c>
      <c r="B243" s="3" t="n">
        <v>22</v>
      </c>
      <c r="C243" s="3" t="s">
        <v>185</v>
      </c>
      <c r="D243" s="3" t="n">
        <v>93</v>
      </c>
      <c r="E243" s="3" t="s">
        <v>186</v>
      </c>
      <c r="F243" s="3" t="s">
        <v>261</v>
      </c>
      <c r="G243" s="3" t="s">
        <v>187</v>
      </c>
      <c r="H243" s="3" t="s">
        <v>341</v>
      </c>
    </row>
    <row r="244" customFormat="false" ht="15" hidden="false" customHeight="false" outlineLevel="0" collapsed="false">
      <c r="A244" s="3" t="s">
        <v>319</v>
      </c>
      <c r="B244" s="3" t="n">
        <v>23</v>
      </c>
      <c r="C244" s="3" t="s">
        <v>185</v>
      </c>
      <c r="D244" s="3" t="n">
        <v>88</v>
      </c>
      <c r="E244" s="3" t="s">
        <v>186</v>
      </c>
      <c r="F244" s="3" t="s">
        <v>261</v>
      </c>
      <c r="G244" s="3" t="s">
        <v>187</v>
      </c>
      <c r="H244" s="3" t="s">
        <v>342</v>
      </c>
    </row>
    <row r="245" customFormat="false" ht="15" hidden="false" customHeight="false" outlineLevel="0" collapsed="false">
      <c r="A245" s="3" t="s">
        <v>319</v>
      </c>
      <c r="B245" s="3" t="n">
        <v>24</v>
      </c>
      <c r="C245" s="3" t="s">
        <v>185</v>
      </c>
      <c r="D245" s="3" t="n">
        <v>74</v>
      </c>
      <c r="E245" s="3" t="s">
        <v>186</v>
      </c>
      <c r="F245" s="3" t="s">
        <v>261</v>
      </c>
      <c r="G245" s="3" t="s">
        <v>187</v>
      </c>
      <c r="H245" s="3" t="s">
        <v>343</v>
      </c>
    </row>
    <row r="246" customFormat="false" ht="15" hidden="false" customHeight="false" outlineLevel="0" collapsed="false">
      <c r="A246" s="3" t="s">
        <v>319</v>
      </c>
      <c r="B246" s="3" t="n">
        <v>24</v>
      </c>
      <c r="C246" s="3" t="s">
        <v>185</v>
      </c>
      <c r="D246" s="3" t="n">
        <v>80</v>
      </c>
      <c r="E246" s="3" t="s">
        <v>189</v>
      </c>
      <c r="F246" s="3" t="s">
        <v>261</v>
      </c>
      <c r="G246" s="3" t="s">
        <v>187</v>
      </c>
      <c r="H246" s="3" t="s">
        <v>343</v>
      </c>
    </row>
    <row r="247" customFormat="false" ht="15" hidden="false" customHeight="false" outlineLevel="0" collapsed="false">
      <c r="A247" s="3" t="s">
        <v>319</v>
      </c>
      <c r="B247" s="3" t="n">
        <v>25</v>
      </c>
      <c r="C247" s="3" t="s">
        <v>185</v>
      </c>
      <c r="D247" s="3" t="n">
        <v>11</v>
      </c>
      <c r="E247" s="3" t="s">
        <v>186</v>
      </c>
      <c r="F247" s="3" t="s">
        <v>261</v>
      </c>
      <c r="G247" s="3" t="s">
        <v>187</v>
      </c>
      <c r="H247" s="3" t="s">
        <v>344</v>
      </c>
    </row>
    <row r="248" customFormat="false" ht="15" hidden="false" customHeight="false" outlineLevel="0" collapsed="false">
      <c r="A248" s="3" t="s">
        <v>319</v>
      </c>
      <c r="B248" s="3" t="n">
        <v>25</v>
      </c>
      <c r="C248" s="3" t="s">
        <v>185</v>
      </c>
      <c r="D248" s="3" t="n">
        <v>40</v>
      </c>
      <c r="E248" s="3" t="s">
        <v>189</v>
      </c>
      <c r="F248" s="3" t="s">
        <v>261</v>
      </c>
      <c r="G248" s="3" t="s">
        <v>187</v>
      </c>
      <c r="H248" s="3" t="s">
        <v>344</v>
      </c>
    </row>
    <row r="249" customFormat="false" ht="15" hidden="false" customHeight="false" outlineLevel="0" collapsed="false">
      <c r="A249" s="3" t="s">
        <v>319</v>
      </c>
      <c r="B249" s="3" t="n">
        <v>26</v>
      </c>
      <c r="C249" s="3" t="s">
        <v>185</v>
      </c>
      <c r="D249" s="3" t="n">
        <v>11</v>
      </c>
      <c r="E249" s="3" t="s">
        <v>186</v>
      </c>
      <c r="F249" s="3" t="s">
        <v>261</v>
      </c>
      <c r="G249" s="3" t="s">
        <v>187</v>
      </c>
      <c r="H249" s="3" t="s">
        <v>345</v>
      </c>
    </row>
    <row r="250" customFormat="false" ht="15" hidden="false" customHeight="false" outlineLevel="0" collapsed="false">
      <c r="A250" s="3" t="s">
        <v>319</v>
      </c>
      <c r="B250" s="3" t="n">
        <v>26</v>
      </c>
      <c r="C250" s="3" t="s">
        <v>185</v>
      </c>
      <c r="D250" s="3" t="n">
        <v>30</v>
      </c>
      <c r="E250" s="3" t="s">
        <v>189</v>
      </c>
      <c r="F250" s="3" t="s">
        <v>261</v>
      </c>
      <c r="G250" s="3" t="s">
        <v>187</v>
      </c>
      <c r="H250" s="3" t="s">
        <v>345</v>
      </c>
    </row>
    <row r="251" customFormat="false" ht="15" hidden="false" customHeight="false" outlineLevel="0" collapsed="false">
      <c r="A251" s="3" t="s">
        <v>319</v>
      </c>
      <c r="B251" s="3" t="n">
        <v>27</v>
      </c>
      <c r="C251" s="3" t="s">
        <v>185</v>
      </c>
      <c r="D251" s="3" t="n">
        <v>20</v>
      </c>
      <c r="E251" s="3" t="s">
        <v>186</v>
      </c>
      <c r="F251" s="3" t="s">
        <v>261</v>
      </c>
      <c r="G251" s="3" t="s">
        <v>187</v>
      </c>
      <c r="H251" s="3" t="s">
        <v>346</v>
      </c>
    </row>
    <row r="252" customFormat="false" ht="15" hidden="false" customHeight="false" outlineLevel="0" collapsed="false">
      <c r="A252" s="3" t="s">
        <v>319</v>
      </c>
      <c r="B252" s="3" t="n">
        <v>28</v>
      </c>
      <c r="C252" s="3" t="s">
        <v>185</v>
      </c>
      <c r="D252" s="3" t="n">
        <v>93</v>
      </c>
      <c r="E252" s="3" t="s">
        <v>186</v>
      </c>
      <c r="F252" s="3" t="s">
        <v>261</v>
      </c>
      <c r="G252" s="3" t="s">
        <v>187</v>
      </c>
      <c r="H252" s="3" t="s">
        <v>347</v>
      </c>
    </row>
    <row r="253" customFormat="false" ht="15" hidden="false" customHeight="false" outlineLevel="0" collapsed="false">
      <c r="A253" s="3" t="s">
        <v>348</v>
      </c>
      <c r="B253" s="3" t="n">
        <v>1</v>
      </c>
      <c r="C253" s="3" t="s">
        <v>185</v>
      </c>
      <c r="D253" s="3" t="n">
        <v>39</v>
      </c>
      <c r="E253" s="3" t="s">
        <v>186</v>
      </c>
      <c r="F253" s="3" t="s">
        <v>187</v>
      </c>
      <c r="G253" s="3" t="s">
        <v>261</v>
      </c>
      <c r="H253" s="3" t="s">
        <v>349</v>
      </c>
    </row>
    <row r="254" customFormat="false" ht="15" hidden="false" customHeight="false" outlineLevel="0" collapsed="false">
      <c r="A254" s="3" t="s">
        <v>348</v>
      </c>
      <c r="B254" s="3" t="n">
        <v>2</v>
      </c>
      <c r="C254" s="3" t="s">
        <v>185</v>
      </c>
      <c r="D254" s="3" t="n">
        <v>99</v>
      </c>
      <c r="E254" s="3" t="s">
        <v>186</v>
      </c>
      <c r="F254" s="3" t="s">
        <v>187</v>
      </c>
      <c r="G254" s="3" t="s">
        <v>261</v>
      </c>
      <c r="H254" s="3" t="s">
        <v>350</v>
      </c>
    </row>
    <row r="255" customFormat="false" ht="15" hidden="false" customHeight="false" outlineLevel="0" collapsed="false">
      <c r="A255" s="3" t="s">
        <v>348</v>
      </c>
      <c r="B255" s="3" t="n">
        <v>3</v>
      </c>
      <c r="C255" s="3" t="s">
        <v>185</v>
      </c>
      <c r="D255" s="3" t="n">
        <v>101</v>
      </c>
      <c r="E255" s="3" t="s">
        <v>186</v>
      </c>
      <c r="F255" s="3" t="s">
        <v>187</v>
      </c>
      <c r="G255" s="3" t="s">
        <v>261</v>
      </c>
      <c r="H255" s="3" t="s">
        <v>351</v>
      </c>
    </row>
    <row r="256" customFormat="false" ht="15" hidden="false" customHeight="false" outlineLevel="0" collapsed="false">
      <c r="A256" s="3" t="s">
        <v>348</v>
      </c>
      <c r="B256" s="3" t="n">
        <v>4</v>
      </c>
      <c r="C256" s="3" t="s">
        <v>185</v>
      </c>
      <c r="D256" s="3" t="n">
        <v>57</v>
      </c>
      <c r="E256" s="3" t="s">
        <v>186</v>
      </c>
      <c r="F256" s="3" t="s">
        <v>187</v>
      </c>
      <c r="G256" s="3" t="s">
        <v>261</v>
      </c>
      <c r="H256" s="3" t="s">
        <v>352</v>
      </c>
    </row>
    <row r="257" customFormat="false" ht="15" hidden="false" customHeight="false" outlineLevel="0" collapsed="false">
      <c r="A257" s="3" t="s">
        <v>348</v>
      </c>
      <c r="B257" s="3" t="n">
        <v>5</v>
      </c>
      <c r="C257" s="3" t="s">
        <v>185</v>
      </c>
      <c r="D257" s="3" t="n">
        <v>20</v>
      </c>
      <c r="E257" s="3" t="s">
        <v>186</v>
      </c>
      <c r="F257" s="3" t="s">
        <v>187</v>
      </c>
      <c r="G257" s="3" t="s">
        <v>261</v>
      </c>
      <c r="H257" s="3" t="s">
        <v>353</v>
      </c>
    </row>
    <row r="258" customFormat="false" ht="15" hidden="false" customHeight="false" outlineLevel="0" collapsed="false">
      <c r="A258" s="3" t="s">
        <v>348</v>
      </c>
      <c r="B258" s="3" t="n">
        <v>6</v>
      </c>
      <c r="C258" s="3" t="s">
        <v>185</v>
      </c>
      <c r="D258" s="3" t="n">
        <v>96</v>
      </c>
      <c r="E258" s="3" t="s">
        <v>186</v>
      </c>
      <c r="F258" s="3" t="s">
        <v>187</v>
      </c>
      <c r="G258" s="3" t="s">
        <v>261</v>
      </c>
      <c r="H258" s="3" t="s">
        <v>354</v>
      </c>
    </row>
    <row r="259" customFormat="false" ht="15" hidden="false" customHeight="false" outlineLevel="0" collapsed="false">
      <c r="A259" s="3" t="s">
        <v>348</v>
      </c>
      <c r="B259" s="3" t="n">
        <v>6</v>
      </c>
      <c r="C259" s="3" t="s">
        <v>185</v>
      </c>
      <c r="D259" s="3" t="n">
        <v>93</v>
      </c>
      <c r="E259" s="3" t="s">
        <v>189</v>
      </c>
      <c r="F259" s="3" t="s">
        <v>187</v>
      </c>
      <c r="G259" s="3" t="s">
        <v>261</v>
      </c>
      <c r="H259" s="3" t="s">
        <v>354</v>
      </c>
    </row>
    <row r="260" customFormat="false" ht="15" hidden="false" customHeight="false" outlineLevel="0" collapsed="false">
      <c r="A260" s="3" t="s">
        <v>348</v>
      </c>
      <c r="B260" s="3" t="n">
        <v>7</v>
      </c>
      <c r="C260" s="3" t="s">
        <v>185</v>
      </c>
      <c r="D260" s="3" t="n">
        <v>11</v>
      </c>
      <c r="E260" s="3" t="s">
        <v>186</v>
      </c>
      <c r="F260" s="3" t="s">
        <v>187</v>
      </c>
      <c r="G260" s="3" t="s">
        <v>261</v>
      </c>
      <c r="H260" s="3" t="s">
        <v>355</v>
      </c>
    </row>
    <row r="261" customFormat="false" ht="15" hidden="false" customHeight="false" outlineLevel="0" collapsed="false">
      <c r="A261" s="3" t="s">
        <v>348</v>
      </c>
      <c r="B261" s="3" t="n">
        <v>7</v>
      </c>
      <c r="C261" s="3" t="s">
        <v>185</v>
      </c>
      <c r="D261" s="3" t="n">
        <v>18</v>
      </c>
      <c r="E261" s="3" t="s">
        <v>189</v>
      </c>
      <c r="F261" s="3" t="s">
        <v>187</v>
      </c>
      <c r="G261" s="3" t="s">
        <v>261</v>
      </c>
      <c r="H261" s="3" t="s">
        <v>355</v>
      </c>
    </row>
    <row r="262" customFormat="false" ht="15" hidden="false" customHeight="false" outlineLevel="0" collapsed="false">
      <c r="A262" s="3" t="s">
        <v>348</v>
      </c>
      <c r="B262" s="3" t="n">
        <v>8</v>
      </c>
      <c r="C262" s="3" t="s">
        <v>185</v>
      </c>
      <c r="D262" s="3" t="n">
        <v>96</v>
      </c>
      <c r="E262" s="3" t="s">
        <v>186</v>
      </c>
      <c r="F262" s="3" t="s">
        <v>187</v>
      </c>
      <c r="G262" s="3" t="s">
        <v>261</v>
      </c>
      <c r="H262" s="3" t="s">
        <v>356</v>
      </c>
    </row>
    <row r="263" customFormat="false" ht="15" hidden="false" customHeight="false" outlineLevel="0" collapsed="false">
      <c r="A263" s="3" t="s">
        <v>348</v>
      </c>
      <c r="B263" s="3" t="n">
        <v>9</v>
      </c>
      <c r="C263" s="3" t="s">
        <v>185</v>
      </c>
      <c r="D263" s="3" t="n">
        <v>58</v>
      </c>
      <c r="E263" s="3" t="s">
        <v>186</v>
      </c>
      <c r="F263" s="3" t="s">
        <v>187</v>
      </c>
      <c r="G263" s="3" t="s">
        <v>261</v>
      </c>
      <c r="H263" s="3" t="s">
        <v>357</v>
      </c>
    </row>
    <row r="264" customFormat="false" ht="15" hidden="false" customHeight="false" outlineLevel="0" collapsed="false">
      <c r="A264" s="3" t="s">
        <v>348</v>
      </c>
      <c r="B264" s="3" t="n">
        <v>10</v>
      </c>
      <c r="C264" s="3" t="s">
        <v>185</v>
      </c>
      <c r="D264" s="3" t="n">
        <v>5</v>
      </c>
      <c r="E264" s="3" t="s">
        <v>186</v>
      </c>
      <c r="F264" s="3" t="s">
        <v>187</v>
      </c>
      <c r="G264" s="3" t="s">
        <v>261</v>
      </c>
      <c r="H264" s="3" t="s">
        <v>358</v>
      </c>
    </row>
    <row r="265" customFormat="false" ht="15" hidden="false" customHeight="false" outlineLevel="0" collapsed="false">
      <c r="A265" s="3" t="s">
        <v>348</v>
      </c>
      <c r="B265" s="3" t="n">
        <v>10</v>
      </c>
      <c r="C265" s="3" t="s">
        <v>185</v>
      </c>
      <c r="D265" s="3" t="n">
        <v>36</v>
      </c>
      <c r="E265" s="3" t="s">
        <v>189</v>
      </c>
      <c r="F265" s="3" t="s">
        <v>187</v>
      </c>
      <c r="G265" s="3" t="s">
        <v>261</v>
      </c>
      <c r="H265" s="3" t="s">
        <v>358</v>
      </c>
    </row>
    <row r="266" customFormat="false" ht="15" hidden="false" customHeight="false" outlineLevel="0" collapsed="false">
      <c r="A266" s="3" t="s">
        <v>348</v>
      </c>
      <c r="B266" s="3" t="n">
        <v>11</v>
      </c>
      <c r="C266" s="3" t="s">
        <v>185</v>
      </c>
      <c r="D266" s="3" t="n">
        <v>36</v>
      </c>
      <c r="E266" s="3" t="s">
        <v>186</v>
      </c>
      <c r="F266" s="3" t="s">
        <v>187</v>
      </c>
      <c r="G266" s="3" t="s">
        <v>261</v>
      </c>
      <c r="H266" s="3" t="s">
        <v>359</v>
      </c>
    </row>
    <row r="267" customFormat="false" ht="15" hidden="false" customHeight="false" outlineLevel="0" collapsed="false">
      <c r="A267" s="3" t="s">
        <v>348</v>
      </c>
      <c r="B267" s="3" t="n">
        <v>11</v>
      </c>
      <c r="C267" s="3" t="s">
        <v>185</v>
      </c>
      <c r="D267" s="3" t="n">
        <v>5</v>
      </c>
      <c r="E267" s="3" t="s">
        <v>189</v>
      </c>
      <c r="F267" s="3" t="s">
        <v>187</v>
      </c>
      <c r="G267" s="3" t="s">
        <v>261</v>
      </c>
      <c r="H267" s="3" t="s">
        <v>359</v>
      </c>
    </row>
    <row r="268" customFormat="false" ht="15" hidden="false" customHeight="false" outlineLevel="0" collapsed="false">
      <c r="A268" s="3" t="s">
        <v>348</v>
      </c>
      <c r="B268" s="3" t="n">
        <v>12</v>
      </c>
      <c r="C268" s="3" t="s">
        <v>185</v>
      </c>
      <c r="D268" s="3" t="n">
        <v>97</v>
      </c>
      <c r="E268" s="3" t="s">
        <v>186</v>
      </c>
      <c r="F268" s="3" t="s">
        <v>187</v>
      </c>
      <c r="G268" s="3" t="s">
        <v>261</v>
      </c>
      <c r="H268" s="3" t="s">
        <v>360</v>
      </c>
    </row>
    <row r="269" customFormat="false" ht="15" hidden="false" customHeight="false" outlineLevel="0" collapsed="false">
      <c r="A269" s="3" t="s">
        <v>348</v>
      </c>
      <c r="B269" s="3" t="n">
        <v>13</v>
      </c>
      <c r="C269" s="3" t="s">
        <v>185</v>
      </c>
      <c r="D269" s="3" t="n">
        <v>94</v>
      </c>
      <c r="E269" s="3" t="s">
        <v>186</v>
      </c>
      <c r="F269" s="3" t="s">
        <v>187</v>
      </c>
      <c r="G269" s="3" t="s">
        <v>261</v>
      </c>
      <c r="H269" s="3" t="s">
        <v>361</v>
      </c>
    </row>
    <row r="270" customFormat="false" ht="15" hidden="false" customHeight="false" outlineLevel="0" collapsed="false">
      <c r="A270" s="3" t="s">
        <v>348</v>
      </c>
      <c r="B270" s="3" t="n">
        <v>14</v>
      </c>
      <c r="C270" s="3" t="s">
        <v>185</v>
      </c>
      <c r="D270" s="3" t="n">
        <v>124</v>
      </c>
      <c r="E270" s="3" t="s">
        <v>186</v>
      </c>
      <c r="F270" s="3" t="s">
        <v>187</v>
      </c>
      <c r="G270" s="3" t="s">
        <v>261</v>
      </c>
      <c r="H270" s="3" t="s">
        <v>362</v>
      </c>
    </row>
    <row r="271" customFormat="false" ht="15" hidden="false" customHeight="false" outlineLevel="0" collapsed="false">
      <c r="A271" s="3" t="s">
        <v>348</v>
      </c>
      <c r="B271" s="3" t="n">
        <v>14</v>
      </c>
      <c r="C271" s="3" t="s">
        <v>185</v>
      </c>
      <c r="D271" s="3" t="n">
        <v>103</v>
      </c>
      <c r="E271" s="3" t="s">
        <v>189</v>
      </c>
      <c r="F271" s="3" t="s">
        <v>187</v>
      </c>
      <c r="G271" s="3" t="s">
        <v>261</v>
      </c>
      <c r="H271" s="3" t="s">
        <v>362</v>
      </c>
    </row>
    <row r="272" customFormat="false" ht="15" hidden="false" customHeight="false" outlineLevel="0" collapsed="false">
      <c r="A272" s="3" t="s">
        <v>348</v>
      </c>
      <c r="B272" s="3" t="n">
        <v>15</v>
      </c>
      <c r="C272" s="3" t="s">
        <v>185</v>
      </c>
      <c r="D272" s="3" t="n">
        <v>99</v>
      </c>
      <c r="E272" s="3" t="s">
        <v>186</v>
      </c>
      <c r="F272" s="3" t="s">
        <v>187</v>
      </c>
      <c r="G272" s="3" t="s">
        <v>261</v>
      </c>
      <c r="H272" s="3" t="s">
        <v>363</v>
      </c>
    </row>
    <row r="273" customFormat="false" ht="15" hidden="false" customHeight="false" outlineLevel="0" collapsed="false">
      <c r="A273" s="3" t="s">
        <v>348</v>
      </c>
      <c r="B273" s="3" t="n">
        <v>16</v>
      </c>
      <c r="C273" s="3" t="s">
        <v>185</v>
      </c>
      <c r="D273" s="3" t="n">
        <v>107</v>
      </c>
      <c r="E273" s="3" t="s">
        <v>186</v>
      </c>
      <c r="F273" s="3" t="s">
        <v>187</v>
      </c>
      <c r="G273" s="3" t="s">
        <v>261</v>
      </c>
      <c r="H273" s="3" t="s">
        <v>364</v>
      </c>
    </row>
    <row r="274" customFormat="false" ht="15" hidden="false" customHeight="false" outlineLevel="0" collapsed="false">
      <c r="A274" s="3" t="s">
        <v>348</v>
      </c>
      <c r="B274" s="3" t="n">
        <v>17</v>
      </c>
      <c r="C274" s="3" t="s">
        <v>185</v>
      </c>
      <c r="D274" s="3" t="n">
        <v>87</v>
      </c>
      <c r="E274" s="3" t="s">
        <v>186</v>
      </c>
      <c r="F274" s="3" t="s">
        <v>187</v>
      </c>
      <c r="G274" s="3" t="s">
        <v>261</v>
      </c>
      <c r="H274" s="3" t="s">
        <v>365</v>
      </c>
    </row>
    <row r="275" customFormat="false" ht="15" hidden="false" customHeight="false" outlineLevel="0" collapsed="false">
      <c r="A275" s="3" t="s">
        <v>348</v>
      </c>
      <c r="B275" s="3" t="n">
        <v>17</v>
      </c>
      <c r="C275" s="3" t="s">
        <v>185</v>
      </c>
      <c r="D275" s="3" t="n">
        <v>99</v>
      </c>
      <c r="E275" s="3" t="s">
        <v>189</v>
      </c>
      <c r="F275" s="3" t="s">
        <v>187</v>
      </c>
      <c r="G275" s="3" t="s">
        <v>261</v>
      </c>
      <c r="H275" s="3" t="s">
        <v>365</v>
      </c>
    </row>
    <row r="276" customFormat="false" ht="15" hidden="false" customHeight="false" outlineLevel="0" collapsed="false">
      <c r="A276" s="3" t="s">
        <v>348</v>
      </c>
      <c r="B276" s="3" t="n">
        <v>18</v>
      </c>
      <c r="C276" s="3" t="s">
        <v>185</v>
      </c>
      <c r="D276" s="3" t="n">
        <v>40</v>
      </c>
      <c r="E276" s="3" t="s">
        <v>186</v>
      </c>
      <c r="F276" s="3" t="s">
        <v>187</v>
      </c>
      <c r="G276" s="3" t="s">
        <v>261</v>
      </c>
      <c r="H276" s="3" t="s">
        <v>366</v>
      </c>
    </row>
    <row r="277" customFormat="false" ht="15" hidden="false" customHeight="false" outlineLevel="0" collapsed="false">
      <c r="A277" s="3" t="s">
        <v>348</v>
      </c>
      <c r="B277" s="3" t="n">
        <v>18</v>
      </c>
      <c r="C277" s="3" t="s">
        <v>185</v>
      </c>
      <c r="D277" s="3" t="n">
        <v>36</v>
      </c>
      <c r="E277" s="3" t="s">
        <v>189</v>
      </c>
      <c r="F277" s="3" t="s">
        <v>187</v>
      </c>
      <c r="G277" s="3" t="s">
        <v>261</v>
      </c>
      <c r="H277" s="3" t="s">
        <v>366</v>
      </c>
    </row>
    <row r="278" customFormat="false" ht="15" hidden="false" customHeight="false" outlineLevel="0" collapsed="false">
      <c r="A278" s="3" t="s">
        <v>348</v>
      </c>
      <c r="B278" s="3" t="n">
        <v>19</v>
      </c>
      <c r="C278" s="3" t="s">
        <v>185</v>
      </c>
      <c r="D278" s="3" t="n">
        <v>11</v>
      </c>
      <c r="E278" s="3" t="s">
        <v>186</v>
      </c>
      <c r="F278" s="3" t="s">
        <v>187</v>
      </c>
      <c r="G278" s="3" t="s">
        <v>261</v>
      </c>
      <c r="H278" s="3" t="s">
        <v>367</v>
      </c>
    </row>
    <row r="279" customFormat="false" ht="15" hidden="false" customHeight="false" outlineLevel="0" collapsed="false">
      <c r="A279" s="3" t="s">
        <v>348</v>
      </c>
      <c r="B279" s="3" t="n">
        <v>19</v>
      </c>
      <c r="C279" s="3" t="s">
        <v>185</v>
      </c>
      <c r="D279" s="3" t="n">
        <v>5</v>
      </c>
      <c r="E279" s="3" t="s">
        <v>189</v>
      </c>
      <c r="F279" s="3" t="s">
        <v>187</v>
      </c>
      <c r="G279" s="3" t="s">
        <v>261</v>
      </c>
      <c r="H279" s="3" t="s">
        <v>367</v>
      </c>
    </row>
    <row r="280" customFormat="false" ht="15" hidden="false" customHeight="false" outlineLevel="0" collapsed="false">
      <c r="A280" s="3" t="s">
        <v>348</v>
      </c>
      <c r="B280" s="3" t="n">
        <v>20</v>
      </c>
      <c r="C280" s="3" t="s">
        <v>185</v>
      </c>
      <c r="D280" s="3" t="n">
        <v>103</v>
      </c>
      <c r="E280" s="3" t="s">
        <v>186</v>
      </c>
      <c r="F280" s="3" t="s">
        <v>187</v>
      </c>
      <c r="G280" s="3" t="s">
        <v>261</v>
      </c>
      <c r="H280" s="3" t="s">
        <v>368</v>
      </c>
    </row>
    <row r="281" customFormat="false" ht="15" hidden="false" customHeight="false" outlineLevel="0" collapsed="false">
      <c r="A281" s="3" t="s">
        <v>348</v>
      </c>
      <c r="B281" s="3" t="n">
        <v>21</v>
      </c>
      <c r="C281" s="3" t="s">
        <v>185</v>
      </c>
      <c r="D281" s="3" t="n">
        <v>40</v>
      </c>
      <c r="E281" s="3" t="s">
        <v>186</v>
      </c>
      <c r="F281" s="3" t="s">
        <v>187</v>
      </c>
      <c r="G281" s="3" t="s">
        <v>261</v>
      </c>
      <c r="H281" s="3" t="s">
        <v>369</v>
      </c>
    </row>
    <row r="282" customFormat="false" ht="15" hidden="false" customHeight="false" outlineLevel="0" collapsed="false">
      <c r="A282" s="3" t="s">
        <v>348</v>
      </c>
      <c r="B282" s="3" t="n">
        <v>21</v>
      </c>
      <c r="C282" s="3" t="s">
        <v>185</v>
      </c>
      <c r="D282" s="3" t="n">
        <v>11</v>
      </c>
      <c r="E282" s="3" t="s">
        <v>189</v>
      </c>
      <c r="F282" s="3" t="s">
        <v>187</v>
      </c>
      <c r="G282" s="3" t="s">
        <v>261</v>
      </c>
      <c r="H282" s="3" t="s">
        <v>369</v>
      </c>
    </row>
    <row r="283" customFormat="false" ht="15" hidden="false" customHeight="false" outlineLevel="0" collapsed="false">
      <c r="A283" s="3" t="s">
        <v>348</v>
      </c>
      <c r="B283" s="3" t="n">
        <v>22</v>
      </c>
      <c r="C283" s="3" t="s">
        <v>185</v>
      </c>
      <c r="D283" s="3" t="n">
        <v>96</v>
      </c>
      <c r="E283" s="3" t="s">
        <v>186</v>
      </c>
      <c r="F283" s="3" t="s">
        <v>187</v>
      </c>
      <c r="G283" s="3" t="s">
        <v>261</v>
      </c>
      <c r="H283" s="3" t="s">
        <v>370</v>
      </c>
    </row>
    <row r="284" customFormat="false" ht="15" hidden="false" customHeight="false" outlineLevel="0" collapsed="false">
      <c r="A284" s="3" t="s">
        <v>348</v>
      </c>
      <c r="B284" s="3" t="n">
        <v>22</v>
      </c>
      <c r="C284" s="3" t="s">
        <v>185</v>
      </c>
      <c r="D284" s="3" t="n">
        <v>103</v>
      </c>
      <c r="E284" s="3" t="s">
        <v>189</v>
      </c>
      <c r="F284" s="3" t="s">
        <v>187</v>
      </c>
      <c r="G284" s="3" t="s">
        <v>261</v>
      </c>
      <c r="H284" s="3" t="s">
        <v>370</v>
      </c>
    </row>
    <row r="285" customFormat="false" ht="15" hidden="false" customHeight="false" outlineLevel="0" collapsed="false">
      <c r="A285" s="3" t="s">
        <v>348</v>
      </c>
      <c r="B285" s="3" t="n">
        <v>23</v>
      </c>
      <c r="C285" s="3" t="s">
        <v>185</v>
      </c>
      <c r="D285" s="3" t="n">
        <v>92</v>
      </c>
      <c r="E285" s="3" t="s">
        <v>186</v>
      </c>
      <c r="F285" s="3" t="s">
        <v>187</v>
      </c>
      <c r="G285" s="3" t="s">
        <v>261</v>
      </c>
      <c r="H285" s="3" t="s">
        <v>371</v>
      </c>
    </row>
    <row r="286" customFormat="false" ht="15" hidden="false" customHeight="false" outlineLevel="0" collapsed="false">
      <c r="A286" s="3" t="s">
        <v>348</v>
      </c>
      <c r="B286" s="3" t="n">
        <v>24</v>
      </c>
      <c r="C286" s="3" t="s">
        <v>185</v>
      </c>
      <c r="D286" s="3" t="n">
        <v>39</v>
      </c>
      <c r="E286" s="3" t="s">
        <v>186</v>
      </c>
      <c r="F286" s="3" t="s">
        <v>187</v>
      </c>
      <c r="G286" s="3" t="s">
        <v>261</v>
      </c>
      <c r="H286" s="3" t="s">
        <v>372</v>
      </c>
    </row>
    <row r="287" customFormat="false" ht="15" hidden="false" customHeight="false" outlineLevel="0" collapsed="false">
      <c r="A287" s="3" t="s">
        <v>348</v>
      </c>
      <c r="B287" s="3" t="n">
        <v>24</v>
      </c>
      <c r="C287" s="3" t="s">
        <v>185</v>
      </c>
      <c r="D287" s="3" t="n">
        <v>30</v>
      </c>
      <c r="E287" s="3" t="s">
        <v>189</v>
      </c>
      <c r="F287" s="3" t="s">
        <v>187</v>
      </c>
      <c r="G287" s="3" t="s">
        <v>261</v>
      </c>
      <c r="H287" s="3" t="s">
        <v>372</v>
      </c>
    </row>
    <row r="288" customFormat="false" ht="15" hidden="false" customHeight="false" outlineLevel="0" collapsed="false">
      <c r="A288" s="3" t="s">
        <v>348</v>
      </c>
      <c r="B288" s="3" t="n">
        <v>25</v>
      </c>
      <c r="C288" s="3" t="s">
        <v>185</v>
      </c>
      <c r="D288" s="3" t="n">
        <v>93</v>
      </c>
      <c r="E288" s="3" t="s">
        <v>186</v>
      </c>
      <c r="F288" s="3" t="s">
        <v>187</v>
      </c>
      <c r="G288" s="3" t="s">
        <v>261</v>
      </c>
      <c r="H288" s="3" t="s">
        <v>373</v>
      </c>
    </row>
    <row r="289" customFormat="false" ht="15" hidden="false" customHeight="false" outlineLevel="0" collapsed="false">
      <c r="A289" s="3" t="s">
        <v>348</v>
      </c>
      <c r="B289" s="3" t="n">
        <v>26</v>
      </c>
      <c r="C289" s="3" t="s">
        <v>185</v>
      </c>
      <c r="D289" s="3" t="n">
        <v>36</v>
      </c>
      <c r="E289" s="3" t="s">
        <v>186</v>
      </c>
      <c r="F289" s="3" t="s">
        <v>187</v>
      </c>
      <c r="G289" s="3" t="s">
        <v>261</v>
      </c>
      <c r="H289" s="3" t="s">
        <v>374</v>
      </c>
    </row>
    <row r="290" customFormat="false" ht="15" hidden="false" customHeight="false" outlineLevel="0" collapsed="false">
      <c r="A290" s="3" t="s">
        <v>348</v>
      </c>
      <c r="B290" s="3" t="n">
        <v>28</v>
      </c>
      <c r="C290" s="3" t="s">
        <v>185</v>
      </c>
      <c r="D290" s="3" t="n">
        <v>74</v>
      </c>
      <c r="E290" s="3" t="s">
        <v>186</v>
      </c>
      <c r="F290" s="3" t="s">
        <v>187</v>
      </c>
      <c r="G290" s="3" t="s">
        <v>261</v>
      </c>
      <c r="H290" s="3" t="s">
        <v>375</v>
      </c>
    </row>
    <row r="291" customFormat="false" ht="15" hidden="false" customHeight="false" outlineLevel="0" collapsed="false">
      <c r="A291" s="3" t="s">
        <v>348</v>
      </c>
      <c r="B291" s="3" t="n">
        <v>28</v>
      </c>
      <c r="C291" s="3" t="s">
        <v>185</v>
      </c>
      <c r="D291" s="3" t="n">
        <v>80</v>
      </c>
      <c r="E291" s="3" t="s">
        <v>189</v>
      </c>
      <c r="F291" s="3" t="s">
        <v>187</v>
      </c>
      <c r="G291" s="3" t="s">
        <v>261</v>
      </c>
      <c r="H291" s="3" t="s">
        <v>375</v>
      </c>
    </row>
    <row r="292" customFormat="false" ht="15" hidden="false" customHeight="false" outlineLevel="0" collapsed="false">
      <c r="A292" s="3" t="s">
        <v>348</v>
      </c>
      <c r="B292" s="3" t="n">
        <v>29</v>
      </c>
      <c r="C292" s="3" t="s">
        <v>185</v>
      </c>
      <c r="D292" s="3" t="n">
        <v>103</v>
      </c>
      <c r="E292" s="3" t="s">
        <v>186</v>
      </c>
      <c r="F292" s="3" t="s">
        <v>187</v>
      </c>
      <c r="G292" s="3" t="s">
        <v>261</v>
      </c>
      <c r="H292" s="3" t="s">
        <v>376</v>
      </c>
    </row>
    <row r="293" customFormat="false" ht="15" hidden="false" customHeight="false" outlineLevel="0" collapsed="false">
      <c r="A293" s="3" t="s">
        <v>348</v>
      </c>
      <c r="B293" s="3" t="n">
        <v>29</v>
      </c>
      <c r="C293" s="3" t="s">
        <v>185</v>
      </c>
      <c r="D293" s="3" t="n">
        <v>11</v>
      </c>
      <c r="E293" s="3" t="s">
        <v>189</v>
      </c>
      <c r="F293" s="3" t="s">
        <v>187</v>
      </c>
      <c r="G293" s="3" t="s">
        <v>261</v>
      </c>
      <c r="H293" s="3" t="s">
        <v>376</v>
      </c>
    </row>
    <row r="294" customFormat="false" ht="15" hidden="false" customHeight="false" outlineLevel="0" collapsed="false">
      <c r="A294" s="3" t="s">
        <v>348</v>
      </c>
      <c r="B294" s="3" t="n">
        <v>30</v>
      </c>
      <c r="C294" s="3" t="s">
        <v>185</v>
      </c>
      <c r="D294" s="3" t="n">
        <v>108</v>
      </c>
      <c r="E294" s="3" t="s">
        <v>186</v>
      </c>
      <c r="F294" s="3" t="s">
        <v>187</v>
      </c>
      <c r="G294" s="3" t="s">
        <v>261</v>
      </c>
      <c r="H294" s="3" t="s">
        <v>377</v>
      </c>
    </row>
    <row r="295" customFormat="false" ht="15" hidden="false" customHeight="false" outlineLevel="0" collapsed="false">
      <c r="A295" s="3" t="s">
        <v>348</v>
      </c>
      <c r="B295" s="3" t="n">
        <v>30</v>
      </c>
      <c r="C295" s="3" t="s">
        <v>185</v>
      </c>
      <c r="D295" s="3" t="n">
        <v>59</v>
      </c>
      <c r="E295" s="3" t="s">
        <v>189</v>
      </c>
      <c r="F295" s="3" t="s">
        <v>187</v>
      </c>
      <c r="G295" s="3" t="s">
        <v>261</v>
      </c>
      <c r="H295" s="3" t="s">
        <v>377</v>
      </c>
    </row>
    <row r="296" customFormat="false" ht="15" hidden="false" customHeight="false" outlineLevel="0" collapsed="false">
      <c r="A296" s="3" t="s">
        <v>348</v>
      </c>
      <c r="B296" s="3" t="n">
        <v>31</v>
      </c>
      <c r="C296" s="3" t="s">
        <v>185</v>
      </c>
      <c r="D296" s="3" t="n">
        <v>11</v>
      </c>
      <c r="E296" s="3" t="s">
        <v>186</v>
      </c>
      <c r="F296" s="3" t="s">
        <v>187</v>
      </c>
      <c r="G296" s="3" t="s">
        <v>261</v>
      </c>
      <c r="H296" s="3" t="s">
        <v>378</v>
      </c>
    </row>
    <row r="297" customFormat="false" ht="15" hidden="false" customHeight="false" outlineLevel="0" collapsed="false">
      <c r="A297" s="3" t="s">
        <v>348</v>
      </c>
      <c r="B297" s="3" t="n">
        <v>32</v>
      </c>
      <c r="C297" s="3" t="s">
        <v>185</v>
      </c>
      <c r="D297" s="3" t="n">
        <v>107</v>
      </c>
      <c r="E297" s="3" t="s">
        <v>186</v>
      </c>
      <c r="F297" s="3" t="s">
        <v>187</v>
      </c>
      <c r="G297" s="3" t="s">
        <v>261</v>
      </c>
      <c r="H297" s="3" t="s">
        <v>379</v>
      </c>
    </row>
    <row r="298" customFormat="false" ht="15" hidden="false" customHeight="false" outlineLevel="0" collapsed="false">
      <c r="A298" s="3" t="s">
        <v>348</v>
      </c>
      <c r="B298" s="3" t="n">
        <v>32</v>
      </c>
      <c r="C298" s="3" t="s">
        <v>185</v>
      </c>
      <c r="D298" s="3" t="n">
        <v>103</v>
      </c>
      <c r="E298" s="3" t="s">
        <v>189</v>
      </c>
      <c r="F298" s="3" t="s">
        <v>187</v>
      </c>
      <c r="G298" s="3" t="s">
        <v>261</v>
      </c>
      <c r="H298" s="3" t="s">
        <v>379</v>
      </c>
    </row>
    <row r="299" customFormat="false" ht="15" hidden="false" customHeight="false" outlineLevel="0" collapsed="false">
      <c r="A299" s="3" t="s">
        <v>348</v>
      </c>
      <c r="B299" s="3" t="n">
        <v>33</v>
      </c>
      <c r="C299" s="3" t="s">
        <v>185</v>
      </c>
      <c r="D299" s="3" t="n">
        <v>108</v>
      </c>
      <c r="E299" s="3" t="s">
        <v>186</v>
      </c>
      <c r="F299" s="3" t="s">
        <v>187</v>
      </c>
      <c r="G299" s="3" t="s">
        <v>261</v>
      </c>
      <c r="H299" s="3" t="s">
        <v>380</v>
      </c>
    </row>
    <row r="300" customFormat="false" ht="15" hidden="false" customHeight="false" outlineLevel="0" collapsed="false">
      <c r="A300" s="3" t="s">
        <v>348</v>
      </c>
      <c r="B300" s="3" t="n">
        <v>33</v>
      </c>
      <c r="C300" s="3" t="s">
        <v>185</v>
      </c>
      <c r="D300" s="3" t="n">
        <v>74</v>
      </c>
      <c r="E300" s="3" t="s">
        <v>189</v>
      </c>
      <c r="F300" s="3" t="s">
        <v>187</v>
      </c>
      <c r="G300" s="3" t="s">
        <v>261</v>
      </c>
      <c r="H300" s="3" t="s">
        <v>380</v>
      </c>
    </row>
    <row r="301" customFormat="false" ht="15" hidden="false" customHeight="false" outlineLevel="0" collapsed="false">
      <c r="A301" s="3" t="s">
        <v>348</v>
      </c>
      <c r="B301" s="3" t="n">
        <v>33</v>
      </c>
      <c r="C301" s="3" t="s">
        <v>185</v>
      </c>
      <c r="D301" s="3" t="n">
        <v>80</v>
      </c>
      <c r="E301" s="3" t="s">
        <v>189</v>
      </c>
      <c r="F301" s="3" t="s">
        <v>187</v>
      </c>
      <c r="G301" s="3" t="s">
        <v>261</v>
      </c>
      <c r="H301" s="3" t="s">
        <v>380</v>
      </c>
    </row>
    <row r="302" customFormat="false" ht="15" hidden="false" customHeight="false" outlineLevel="0" collapsed="false">
      <c r="A302" s="3" t="s">
        <v>348</v>
      </c>
      <c r="B302" s="3" t="n">
        <v>34</v>
      </c>
      <c r="C302" s="3" t="s">
        <v>185</v>
      </c>
      <c r="D302" s="3" t="n">
        <v>11</v>
      </c>
      <c r="E302" s="3" t="s">
        <v>186</v>
      </c>
      <c r="F302" s="3" t="s">
        <v>187</v>
      </c>
      <c r="G302" s="3" t="s">
        <v>261</v>
      </c>
      <c r="H302" s="3" t="s">
        <v>381</v>
      </c>
    </row>
    <row r="303" customFormat="false" ht="15" hidden="false" customHeight="false" outlineLevel="0" collapsed="false">
      <c r="A303" s="3" t="s">
        <v>348</v>
      </c>
      <c r="B303" s="3" t="n">
        <v>35</v>
      </c>
      <c r="C303" s="3" t="s">
        <v>185</v>
      </c>
      <c r="D303" s="3" t="n">
        <v>93</v>
      </c>
      <c r="E303" s="3" t="s">
        <v>186</v>
      </c>
      <c r="F303" s="3" t="s">
        <v>187</v>
      </c>
      <c r="G303" s="3" t="s">
        <v>261</v>
      </c>
      <c r="H303" s="3" t="s">
        <v>382</v>
      </c>
    </row>
    <row r="304" customFormat="false" ht="15" hidden="false" customHeight="false" outlineLevel="0" collapsed="false">
      <c r="A304" s="3" t="s">
        <v>348</v>
      </c>
      <c r="B304" s="3" t="n">
        <v>36</v>
      </c>
      <c r="C304" s="3" t="s">
        <v>185</v>
      </c>
      <c r="D304" s="3" t="n">
        <v>94</v>
      </c>
      <c r="E304" s="3" t="s">
        <v>186</v>
      </c>
      <c r="F304" s="3" t="s">
        <v>187</v>
      </c>
      <c r="G304" s="3" t="s">
        <v>261</v>
      </c>
      <c r="H304" s="3" t="s">
        <v>383</v>
      </c>
    </row>
    <row r="305" customFormat="false" ht="15" hidden="false" customHeight="false" outlineLevel="0" collapsed="false">
      <c r="A305" s="3" t="s">
        <v>348</v>
      </c>
      <c r="B305" s="3" t="n">
        <v>37</v>
      </c>
      <c r="C305" s="3" t="s">
        <v>185</v>
      </c>
      <c r="D305" s="3" t="n">
        <v>108</v>
      </c>
      <c r="E305" s="3" t="s">
        <v>186</v>
      </c>
      <c r="F305" s="3" t="s">
        <v>187</v>
      </c>
      <c r="G305" s="3" t="s">
        <v>261</v>
      </c>
      <c r="H305" s="3" t="s">
        <v>384</v>
      </c>
    </row>
    <row r="306" customFormat="false" ht="15" hidden="false" customHeight="false" outlineLevel="0" collapsed="false">
      <c r="A306" s="3" t="s">
        <v>348</v>
      </c>
      <c r="B306" s="3" t="n">
        <v>37</v>
      </c>
      <c r="C306" s="3" t="s">
        <v>185</v>
      </c>
      <c r="D306" s="3" t="n">
        <v>74</v>
      </c>
      <c r="E306" s="3" t="s">
        <v>189</v>
      </c>
      <c r="F306" s="3" t="s">
        <v>187</v>
      </c>
      <c r="G306" s="3" t="s">
        <v>261</v>
      </c>
      <c r="H306" s="3" t="s">
        <v>384</v>
      </c>
    </row>
    <row r="307" customFormat="false" ht="15" hidden="false" customHeight="false" outlineLevel="0" collapsed="false">
      <c r="A307" s="3" t="s">
        <v>348</v>
      </c>
      <c r="B307" s="3" t="n">
        <v>37</v>
      </c>
      <c r="C307" s="3" t="s">
        <v>185</v>
      </c>
      <c r="D307" s="3" t="n">
        <v>80</v>
      </c>
      <c r="E307" s="3" t="s">
        <v>189</v>
      </c>
      <c r="F307" s="3" t="s">
        <v>187</v>
      </c>
      <c r="G307" s="3" t="s">
        <v>261</v>
      </c>
      <c r="H307" s="3" t="s">
        <v>384</v>
      </c>
    </row>
    <row r="308" customFormat="false" ht="15" hidden="false" customHeight="false" outlineLevel="0" collapsed="false">
      <c r="A308" s="3" t="s">
        <v>348</v>
      </c>
      <c r="B308" s="3" t="n">
        <v>38</v>
      </c>
      <c r="C308" s="3" t="s">
        <v>185</v>
      </c>
      <c r="D308" s="3" t="n">
        <v>79</v>
      </c>
      <c r="E308" s="3" t="s">
        <v>186</v>
      </c>
      <c r="F308" s="3" t="s">
        <v>187</v>
      </c>
      <c r="G308" s="3" t="s">
        <v>261</v>
      </c>
      <c r="H308" s="3" t="s">
        <v>385</v>
      </c>
    </row>
    <row r="309" customFormat="false" ht="15" hidden="false" customHeight="false" outlineLevel="0" collapsed="false">
      <c r="A309" s="3" t="s">
        <v>348</v>
      </c>
      <c r="B309" s="3" t="n">
        <v>38</v>
      </c>
      <c r="C309" s="3" t="s">
        <v>185</v>
      </c>
      <c r="D309" s="3" t="n">
        <v>80</v>
      </c>
      <c r="E309" s="3" t="s">
        <v>189</v>
      </c>
      <c r="F309" s="3" t="s">
        <v>187</v>
      </c>
      <c r="G309" s="3" t="s">
        <v>261</v>
      </c>
      <c r="H309" s="3" t="s">
        <v>385</v>
      </c>
    </row>
    <row r="310" customFormat="false" ht="15" hidden="false" customHeight="false" outlineLevel="0" collapsed="false">
      <c r="A310" s="3" t="s">
        <v>348</v>
      </c>
      <c r="B310" s="3" t="n">
        <v>39</v>
      </c>
      <c r="C310" s="3" t="s">
        <v>185</v>
      </c>
      <c r="D310" s="3" t="n">
        <v>57</v>
      </c>
      <c r="E310" s="3" t="s">
        <v>186</v>
      </c>
      <c r="F310" s="3" t="s">
        <v>187</v>
      </c>
      <c r="G310" s="3" t="s">
        <v>261</v>
      </c>
      <c r="H310" s="3" t="s">
        <v>386</v>
      </c>
    </row>
    <row r="311" customFormat="false" ht="15" hidden="false" customHeight="false" outlineLevel="0" collapsed="false">
      <c r="A311" s="3" t="s">
        <v>348</v>
      </c>
      <c r="B311" s="3" t="n">
        <v>40</v>
      </c>
      <c r="C311" s="3" t="s">
        <v>185</v>
      </c>
      <c r="D311" s="3" t="n">
        <v>88</v>
      </c>
      <c r="E311" s="3" t="s">
        <v>186</v>
      </c>
      <c r="F311" s="3" t="s">
        <v>187</v>
      </c>
      <c r="G311" s="3" t="s">
        <v>261</v>
      </c>
      <c r="H311" s="3" t="s">
        <v>387</v>
      </c>
    </row>
    <row r="312" customFormat="false" ht="15" hidden="false" customHeight="false" outlineLevel="0" collapsed="false">
      <c r="A312" s="3" t="s">
        <v>348</v>
      </c>
      <c r="B312" s="3" t="n">
        <v>40</v>
      </c>
      <c r="C312" s="3" t="s">
        <v>185</v>
      </c>
      <c r="D312" s="3" t="n">
        <v>36</v>
      </c>
      <c r="E312" s="3" t="s">
        <v>189</v>
      </c>
      <c r="F312" s="3" t="s">
        <v>187</v>
      </c>
      <c r="G312" s="3" t="s">
        <v>261</v>
      </c>
      <c r="H312" s="3" t="s">
        <v>387</v>
      </c>
    </row>
    <row r="313" customFormat="false" ht="15" hidden="false" customHeight="false" outlineLevel="0" collapsed="false">
      <c r="A313" s="3" t="s">
        <v>348</v>
      </c>
      <c r="B313" s="3" t="n">
        <v>41</v>
      </c>
      <c r="C313" s="3" t="s">
        <v>185</v>
      </c>
      <c r="D313" s="3" t="n">
        <v>108</v>
      </c>
      <c r="E313" s="3" t="s">
        <v>186</v>
      </c>
      <c r="F313" s="3" t="s">
        <v>187</v>
      </c>
      <c r="G313" s="3" t="s">
        <v>261</v>
      </c>
      <c r="H313" s="3" t="s">
        <v>388</v>
      </c>
    </row>
    <row r="314" customFormat="false" ht="15" hidden="false" customHeight="false" outlineLevel="0" collapsed="false">
      <c r="A314" s="3" t="s">
        <v>348</v>
      </c>
      <c r="B314" s="3" t="n">
        <v>41</v>
      </c>
      <c r="C314" s="3" t="s">
        <v>185</v>
      </c>
      <c r="D314" s="3" t="n">
        <v>65</v>
      </c>
      <c r="E314" s="3" t="s">
        <v>189</v>
      </c>
      <c r="F314" s="3" t="s">
        <v>187</v>
      </c>
      <c r="G314" s="3" t="s">
        <v>261</v>
      </c>
      <c r="H314" s="3" t="s">
        <v>388</v>
      </c>
    </row>
    <row r="315" customFormat="false" ht="15" hidden="false" customHeight="false" outlineLevel="0" collapsed="false">
      <c r="A315" s="3" t="s">
        <v>348</v>
      </c>
      <c r="B315" s="3" t="n">
        <v>41</v>
      </c>
      <c r="C315" s="3" t="s">
        <v>185</v>
      </c>
      <c r="D315" s="3" t="n">
        <v>74</v>
      </c>
      <c r="E315" s="3" t="s">
        <v>189</v>
      </c>
      <c r="F315" s="3" t="s">
        <v>187</v>
      </c>
      <c r="G315" s="3" t="s">
        <v>261</v>
      </c>
      <c r="H315" s="3" t="s">
        <v>388</v>
      </c>
    </row>
    <row r="316" customFormat="false" ht="15" hidden="false" customHeight="false" outlineLevel="0" collapsed="false">
      <c r="A316" s="3" t="s">
        <v>348</v>
      </c>
      <c r="B316" s="3" t="n">
        <v>42</v>
      </c>
      <c r="C316" s="3" t="s">
        <v>185</v>
      </c>
      <c r="D316" s="3" t="n">
        <v>103</v>
      </c>
      <c r="E316" s="3" t="s">
        <v>186</v>
      </c>
      <c r="F316" s="3" t="s">
        <v>187</v>
      </c>
      <c r="G316" s="3" t="s">
        <v>261</v>
      </c>
      <c r="H316" s="3" t="s">
        <v>389</v>
      </c>
    </row>
    <row r="317" customFormat="false" ht="15" hidden="false" customHeight="false" outlineLevel="0" collapsed="false">
      <c r="A317" s="3" t="s">
        <v>348</v>
      </c>
      <c r="B317" s="3" t="n">
        <v>43</v>
      </c>
      <c r="C317" s="3" t="s">
        <v>185</v>
      </c>
      <c r="D317" s="3" t="n">
        <v>57</v>
      </c>
      <c r="E317" s="3" t="s">
        <v>186</v>
      </c>
      <c r="F317" s="3" t="s">
        <v>187</v>
      </c>
      <c r="G317" s="3" t="s">
        <v>261</v>
      </c>
      <c r="H317" s="3" t="s">
        <v>390</v>
      </c>
    </row>
    <row r="318" customFormat="false" ht="15" hidden="false" customHeight="false" outlineLevel="0" collapsed="false">
      <c r="A318" s="3" t="s">
        <v>348</v>
      </c>
      <c r="B318" s="3" t="n">
        <v>44</v>
      </c>
      <c r="C318" s="3" t="s">
        <v>185</v>
      </c>
      <c r="D318" s="3" t="n">
        <v>107</v>
      </c>
      <c r="E318" s="3" t="s">
        <v>186</v>
      </c>
      <c r="F318" s="3" t="s">
        <v>187</v>
      </c>
      <c r="G318" s="3" t="s">
        <v>261</v>
      </c>
      <c r="H318" s="3" t="s">
        <v>391</v>
      </c>
    </row>
    <row r="319" customFormat="false" ht="15" hidden="false" customHeight="false" outlineLevel="0" collapsed="false">
      <c r="A319" s="3" t="s">
        <v>348</v>
      </c>
      <c r="B319" s="3" t="n">
        <v>45</v>
      </c>
      <c r="C319" s="3" t="s">
        <v>185</v>
      </c>
      <c r="D319" s="3" t="n">
        <v>39</v>
      </c>
      <c r="E319" s="3" t="s">
        <v>186</v>
      </c>
      <c r="F319" s="3" t="s">
        <v>187</v>
      </c>
      <c r="G319" s="3" t="s">
        <v>261</v>
      </c>
      <c r="H319" s="3" t="s">
        <v>392</v>
      </c>
    </row>
    <row r="320" customFormat="false" ht="15" hidden="false" customHeight="false" outlineLevel="0" collapsed="false">
      <c r="A320" s="3" t="s">
        <v>348</v>
      </c>
      <c r="B320" s="3" t="n">
        <v>45</v>
      </c>
      <c r="C320" s="3" t="s">
        <v>185</v>
      </c>
      <c r="D320" s="3" t="n">
        <v>41</v>
      </c>
      <c r="E320" s="3" t="s">
        <v>189</v>
      </c>
      <c r="F320" s="3" t="s">
        <v>187</v>
      </c>
      <c r="G320" s="3" t="s">
        <v>261</v>
      </c>
      <c r="H320" s="3" t="s">
        <v>392</v>
      </c>
    </row>
    <row r="321" customFormat="false" ht="15" hidden="false" customHeight="false" outlineLevel="0" collapsed="false">
      <c r="A321" s="3" t="s">
        <v>348</v>
      </c>
      <c r="B321" s="3" t="n">
        <v>46</v>
      </c>
      <c r="C321" s="3" t="s">
        <v>185</v>
      </c>
      <c r="D321" s="3" t="n">
        <v>99</v>
      </c>
      <c r="E321" s="3" t="s">
        <v>186</v>
      </c>
      <c r="F321" s="3" t="s">
        <v>187</v>
      </c>
      <c r="G321" s="3" t="s">
        <v>261</v>
      </c>
      <c r="H321" s="3" t="s">
        <v>393</v>
      </c>
    </row>
    <row r="322" customFormat="false" ht="15" hidden="false" customHeight="false" outlineLevel="0" collapsed="false">
      <c r="A322" s="3" t="s">
        <v>348</v>
      </c>
      <c r="B322" s="3" t="n">
        <v>47</v>
      </c>
      <c r="C322" s="3" t="s">
        <v>185</v>
      </c>
      <c r="D322" s="3" t="n">
        <v>94</v>
      </c>
      <c r="E322" s="3" t="s">
        <v>186</v>
      </c>
      <c r="F322" s="3" t="s">
        <v>187</v>
      </c>
      <c r="G322" s="3" t="s">
        <v>261</v>
      </c>
      <c r="H322" s="3" t="s">
        <v>394</v>
      </c>
    </row>
    <row r="323" customFormat="false" ht="15" hidden="false" customHeight="false" outlineLevel="0" collapsed="false">
      <c r="A323" s="3" t="s">
        <v>395</v>
      </c>
      <c r="B323" s="3" t="n">
        <v>1</v>
      </c>
      <c r="C323" s="3" t="s">
        <v>396</v>
      </c>
      <c r="D323" s="3" t="n">
        <v>36</v>
      </c>
      <c r="E323" s="3" t="s">
        <v>186</v>
      </c>
      <c r="F323" s="3" t="s">
        <v>187</v>
      </c>
      <c r="G323" s="3" t="s">
        <v>187</v>
      </c>
      <c r="H323" s="3" t="s">
        <v>397</v>
      </c>
    </row>
    <row r="324" customFormat="false" ht="15" hidden="false" customHeight="false" outlineLevel="0" collapsed="false">
      <c r="A324" s="3" t="s">
        <v>395</v>
      </c>
      <c r="B324" s="3" t="n">
        <v>2</v>
      </c>
      <c r="C324" s="3" t="s">
        <v>396</v>
      </c>
      <c r="D324" s="3" t="n">
        <v>48</v>
      </c>
      <c r="E324" s="3" t="s">
        <v>186</v>
      </c>
      <c r="F324" s="3" t="s">
        <v>187</v>
      </c>
      <c r="G324" s="3" t="s">
        <v>187</v>
      </c>
      <c r="H324" s="3" t="s">
        <v>398</v>
      </c>
    </row>
    <row r="325" customFormat="false" ht="15" hidden="false" customHeight="false" outlineLevel="0" collapsed="false">
      <c r="A325" s="3" t="s">
        <v>395</v>
      </c>
      <c r="B325" s="3" t="n">
        <v>3</v>
      </c>
      <c r="C325" s="3" t="s">
        <v>396</v>
      </c>
      <c r="D325" s="3" t="n">
        <v>11</v>
      </c>
      <c r="E325" s="3" t="s">
        <v>186</v>
      </c>
      <c r="F325" s="3" t="s">
        <v>187</v>
      </c>
      <c r="G325" s="3" t="s">
        <v>187</v>
      </c>
      <c r="H325" s="3" t="s">
        <v>399</v>
      </c>
    </row>
    <row r="326" customFormat="false" ht="15" hidden="false" customHeight="false" outlineLevel="0" collapsed="false">
      <c r="A326" s="3" t="s">
        <v>395</v>
      </c>
      <c r="B326" s="3" t="n">
        <v>3</v>
      </c>
      <c r="C326" s="3" t="s">
        <v>396</v>
      </c>
      <c r="D326" s="3" t="n">
        <v>18</v>
      </c>
      <c r="E326" s="3" t="s">
        <v>189</v>
      </c>
      <c r="F326" s="3" t="s">
        <v>187</v>
      </c>
      <c r="G326" s="3" t="s">
        <v>187</v>
      </c>
      <c r="H326" s="3" t="s">
        <v>399</v>
      </c>
    </row>
    <row r="327" customFormat="false" ht="15" hidden="false" customHeight="false" outlineLevel="0" collapsed="false">
      <c r="A327" s="3" t="s">
        <v>395</v>
      </c>
      <c r="B327" s="3" t="n">
        <v>4</v>
      </c>
      <c r="C327" s="3" t="s">
        <v>396</v>
      </c>
      <c r="D327" s="3" t="n">
        <v>11</v>
      </c>
      <c r="E327" s="3" t="s">
        <v>186</v>
      </c>
      <c r="F327" s="3" t="s">
        <v>187</v>
      </c>
      <c r="G327" s="3" t="s">
        <v>187</v>
      </c>
      <c r="H327" s="3" t="s">
        <v>400</v>
      </c>
    </row>
    <row r="328" customFormat="false" ht="15" hidden="false" customHeight="false" outlineLevel="0" collapsed="false">
      <c r="A328" s="3" t="s">
        <v>395</v>
      </c>
      <c r="B328" s="3" t="n">
        <v>4</v>
      </c>
      <c r="C328" s="3" t="s">
        <v>396</v>
      </c>
      <c r="D328" s="3" t="n">
        <v>18</v>
      </c>
      <c r="E328" s="3" t="s">
        <v>189</v>
      </c>
      <c r="F328" s="3" t="s">
        <v>187</v>
      </c>
      <c r="G328" s="3" t="s">
        <v>187</v>
      </c>
      <c r="H328" s="3" t="s">
        <v>400</v>
      </c>
    </row>
    <row r="329" customFormat="false" ht="15" hidden="false" customHeight="false" outlineLevel="0" collapsed="false">
      <c r="A329" s="3" t="s">
        <v>395</v>
      </c>
      <c r="B329" s="3" t="n">
        <v>5</v>
      </c>
      <c r="C329" s="3" t="s">
        <v>396</v>
      </c>
      <c r="D329" s="3" t="n">
        <v>47</v>
      </c>
      <c r="E329" s="3" t="s">
        <v>186</v>
      </c>
      <c r="F329" s="3" t="s">
        <v>187</v>
      </c>
      <c r="G329" s="3" t="s">
        <v>187</v>
      </c>
      <c r="H329" s="3" t="s">
        <v>401</v>
      </c>
    </row>
    <row r="330" customFormat="false" ht="15" hidden="false" customHeight="false" outlineLevel="0" collapsed="false">
      <c r="A330" s="3" t="s">
        <v>395</v>
      </c>
      <c r="B330" s="3" t="n">
        <v>5</v>
      </c>
      <c r="C330" s="3" t="s">
        <v>396</v>
      </c>
      <c r="D330" s="3" t="n">
        <v>11</v>
      </c>
      <c r="E330" s="3" t="s">
        <v>189</v>
      </c>
      <c r="F330" s="3" t="s">
        <v>187</v>
      </c>
      <c r="G330" s="3" t="s">
        <v>187</v>
      </c>
      <c r="H330" s="3" t="s">
        <v>401</v>
      </c>
    </row>
    <row r="331" customFormat="false" ht="15" hidden="false" customHeight="false" outlineLevel="0" collapsed="false">
      <c r="A331" s="3" t="s">
        <v>395</v>
      </c>
      <c r="B331" s="3" t="n">
        <v>6</v>
      </c>
      <c r="C331" s="3" t="s">
        <v>396</v>
      </c>
      <c r="D331" s="3" t="n">
        <v>11</v>
      </c>
      <c r="E331" s="3" t="s">
        <v>186</v>
      </c>
      <c r="F331" s="3" t="s">
        <v>187</v>
      </c>
      <c r="G331" s="3" t="s">
        <v>187</v>
      </c>
      <c r="H331" s="3" t="s">
        <v>402</v>
      </c>
    </row>
    <row r="332" customFormat="false" ht="15" hidden="false" customHeight="false" outlineLevel="0" collapsed="false">
      <c r="A332" s="3" t="s">
        <v>395</v>
      </c>
      <c r="B332" s="3" t="n">
        <v>6</v>
      </c>
      <c r="C332" s="3" t="s">
        <v>396</v>
      </c>
      <c r="D332" s="3" t="n">
        <v>13</v>
      </c>
      <c r="E332" s="3" t="s">
        <v>189</v>
      </c>
      <c r="F332" s="3" t="s">
        <v>187</v>
      </c>
      <c r="G332" s="3" t="s">
        <v>187</v>
      </c>
      <c r="H332" s="3" t="s">
        <v>402</v>
      </c>
    </row>
    <row r="333" customFormat="false" ht="15" hidden="false" customHeight="false" outlineLevel="0" collapsed="false">
      <c r="A333" s="3" t="s">
        <v>395</v>
      </c>
      <c r="B333" s="3" t="n">
        <v>7</v>
      </c>
      <c r="C333" s="3" t="s">
        <v>396</v>
      </c>
      <c r="D333" s="3" t="n">
        <v>11</v>
      </c>
      <c r="E333" s="3" t="s">
        <v>186</v>
      </c>
      <c r="F333" s="3" t="s">
        <v>187</v>
      </c>
      <c r="G333" s="3" t="s">
        <v>187</v>
      </c>
      <c r="H333" s="3" t="s">
        <v>403</v>
      </c>
    </row>
    <row r="334" customFormat="false" ht="15" hidden="false" customHeight="false" outlineLevel="0" collapsed="false">
      <c r="A334" s="3" t="s">
        <v>395</v>
      </c>
      <c r="B334" s="3" t="n">
        <v>7</v>
      </c>
      <c r="C334" s="3" t="s">
        <v>396</v>
      </c>
      <c r="D334" s="3" t="n">
        <v>18</v>
      </c>
      <c r="E334" s="3" t="s">
        <v>189</v>
      </c>
      <c r="F334" s="3" t="s">
        <v>187</v>
      </c>
      <c r="G334" s="3" t="s">
        <v>187</v>
      </c>
      <c r="H334" s="3" t="s">
        <v>403</v>
      </c>
    </row>
    <row r="335" customFormat="false" ht="15" hidden="false" customHeight="false" outlineLevel="0" collapsed="false">
      <c r="A335" s="3" t="s">
        <v>395</v>
      </c>
      <c r="B335" s="3" t="n">
        <v>8</v>
      </c>
      <c r="C335" s="3" t="s">
        <v>396</v>
      </c>
      <c r="D335" s="3" t="n">
        <v>11</v>
      </c>
      <c r="E335" s="3" t="s">
        <v>186</v>
      </c>
      <c r="F335" s="3" t="s">
        <v>187</v>
      </c>
      <c r="G335" s="3" t="s">
        <v>187</v>
      </c>
      <c r="H335" s="3" t="s">
        <v>404</v>
      </c>
    </row>
    <row r="336" customFormat="false" ht="15" hidden="false" customHeight="false" outlineLevel="0" collapsed="false">
      <c r="A336" s="3" t="s">
        <v>395</v>
      </c>
      <c r="B336" s="3" t="n">
        <v>8</v>
      </c>
      <c r="C336" s="3" t="s">
        <v>396</v>
      </c>
      <c r="D336" s="3" t="n">
        <v>18</v>
      </c>
      <c r="E336" s="3" t="s">
        <v>189</v>
      </c>
      <c r="F336" s="3" t="s">
        <v>187</v>
      </c>
      <c r="G336" s="3" t="s">
        <v>187</v>
      </c>
      <c r="H336" s="3" t="s">
        <v>404</v>
      </c>
    </row>
    <row r="337" customFormat="false" ht="15" hidden="false" customHeight="false" outlineLevel="0" collapsed="false">
      <c r="A337" s="3" t="s">
        <v>395</v>
      </c>
      <c r="B337" s="3" t="n">
        <v>9</v>
      </c>
      <c r="C337" s="3" t="s">
        <v>396</v>
      </c>
      <c r="D337" s="3" t="n">
        <v>11</v>
      </c>
      <c r="E337" s="3" t="s">
        <v>186</v>
      </c>
      <c r="F337" s="3" t="s">
        <v>187</v>
      </c>
      <c r="G337" s="3" t="s">
        <v>187</v>
      </c>
      <c r="H337" s="3" t="s">
        <v>405</v>
      </c>
    </row>
    <row r="338" customFormat="false" ht="15" hidden="false" customHeight="false" outlineLevel="0" collapsed="false">
      <c r="A338" s="3" t="s">
        <v>395</v>
      </c>
      <c r="B338" s="3" t="n">
        <v>9</v>
      </c>
      <c r="C338" s="3" t="s">
        <v>396</v>
      </c>
      <c r="D338" s="3" t="n">
        <v>18</v>
      </c>
      <c r="E338" s="3" t="s">
        <v>189</v>
      </c>
      <c r="F338" s="3" t="s">
        <v>187</v>
      </c>
      <c r="G338" s="3" t="s">
        <v>187</v>
      </c>
      <c r="H338" s="3" t="s">
        <v>405</v>
      </c>
    </row>
    <row r="339" customFormat="false" ht="15" hidden="false" customHeight="false" outlineLevel="0" collapsed="false">
      <c r="A339" s="3" t="s">
        <v>395</v>
      </c>
      <c r="B339" s="3" t="n">
        <v>10</v>
      </c>
      <c r="C339" s="3" t="s">
        <v>396</v>
      </c>
      <c r="D339" s="3" t="n">
        <v>11</v>
      </c>
      <c r="E339" s="3" t="s">
        <v>186</v>
      </c>
      <c r="F339" s="3" t="s">
        <v>187</v>
      </c>
      <c r="G339" s="3" t="s">
        <v>187</v>
      </c>
      <c r="H339" s="3" t="s">
        <v>406</v>
      </c>
    </row>
    <row r="340" customFormat="false" ht="15" hidden="false" customHeight="false" outlineLevel="0" collapsed="false">
      <c r="A340" s="3" t="s">
        <v>395</v>
      </c>
      <c r="B340" s="3" t="n">
        <v>10</v>
      </c>
      <c r="C340" s="3" t="s">
        <v>396</v>
      </c>
      <c r="D340" s="3" t="n">
        <v>18</v>
      </c>
      <c r="E340" s="3" t="s">
        <v>189</v>
      </c>
      <c r="F340" s="3" t="s">
        <v>187</v>
      </c>
      <c r="G340" s="3" t="s">
        <v>187</v>
      </c>
      <c r="H340" s="3" t="s">
        <v>406</v>
      </c>
    </row>
    <row r="341" customFormat="false" ht="15" hidden="false" customHeight="false" outlineLevel="0" collapsed="false">
      <c r="A341" s="3" t="s">
        <v>395</v>
      </c>
      <c r="B341" s="3" t="n">
        <v>11</v>
      </c>
      <c r="C341" s="3" t="s">
        <v>396</v>
      </c>
      <c r="D341" s="3" t="n">
        <v>55</v>
      </c>
      <c r="E341" s="3" t="s">
        <v>186</v>
      </c>
      <c r="F341" s="3" t="s">
        <v>187</v>
      </c>
      <c r="G341" s="3" t="s">
        <v>187</v>
      </c>
      <c r="H341" s="3" t="s">
        <v>407</v>
      </c>
    </row>
    <row r="342" customFormat="false" ht="15" hidden="false" customHeight="false" outlineLevel="0" collapsed="false">
      <c r="A342" s="3" t="s">
        <v>408</v>
      </c>
      <c r="B342" s="3" t="n">
        <v>1</v>
      </c>
      <c r="C342" s="3" t="s">
        <v>396</v>
      </c>
      <c r="D342" s="3" t="n">
        <v>57</v>
      </c>
      <c r="E342" s="3" t="s">
        <v>186</v>
      </c>
      <c r="F342" s="3" t="s">
        <v>187</v>
      </c>
      <c r="G342" s="3" t="s">
        <v>187</v>
      </c>
      <c r="H342" s="3" t="s">
        <v>409</v>
      </c>
    </row>
    <row r="343" customFormat="false" ht="15" hidden="false" customHeight="false" outlineLevel="0" collapsed="false">
      <c r="A343" s="3" t="s">
        <v>408</v>
      </c>
      <c r="B343" s="3" t="n">
        <v>2</v>
      </c>
      <c r="C343" s="3" t="s">
        <v>396</v>
      </c>
      <c r="D343" s="3" t="n">
        <v>11</v>
      </c>
      <c r="E343" s="3" t="s">
        <v>186</v>
      </c>
      <c r="F343" s="3" t="s">
        <v>187</v>
      </c>
      <c r="G343" s="3" t="s">
        <v>187</v>
      </c>
      <c r="H343" s="3" t="s">
        <v>410</v>
      </c>
    </row>
    <row r="344" customFormat="false" ht="15" hidden="false" customHeight="false" outlineLevel="0" collapsed="false">
      <c r="A344" s="3" t="s">
        <v>408</v>
      </c>
      <c r="B344" s="3" t="n">
        <v>2</v>
      </c>
      <c r="C344" s="3" t="s">
        <v>396</v>
      </c>
      <c r="D344" s="3" t="n">
        <v>58</v>
      </c>
      <c r="E344" s="3" t="s">
        <v>189</v>
      </c>
      <c r="F344" s="3" t="s">
        <v>187</v>
      </c>
      <c r="G344" s="3" t="s">
        <v>187</v>
      </c>
      <c r="H344" s="3" t="s">
        <v>410</v>
      </c>
    </row>
    <row r="345" customFormat="false" ht="15" hidden="false" customHeight="false" outlineLevel="0" collapsed="false">
      <c r="A345" s="3" t="s">
        <v>408</v>
      </c>
      <c r="B345" s="3" t="n">
        <v>3</v>
      </c>
      <c r="C345" s="3" t="s">
        <v>396</v>
      </c>
      <c r="D345" s="3" t="n">
        <v>55</v>
      </c>
      <c r="E345" s="3" t="s">
        <v>186</v>
      </c>
      <c r="F345" s="3" t="s">
        <v>187</v>
      </c>
      <c r="G345" s="3" t="s">
        <v>187</v>
      </c>
      <c r="H345" s="3" t="s">
        <v>411</v>
      </c>
    </row>
    <row r="346" customFormat="false" ht="15" hidden="false" customHeight="false" outlineLevel="0" collapsed="false">
      <c r="A346" s="3" t="s">
        <v>408</v>
      </c>
      <c r="B346" s="3" t="n">
        <v>4</v>
      </c>
      <c r="C346" s="3" t="s">
        <v>396</v>
      </c>
      <c r="D346" s="3" t="n">
        <v>57</v>
      </c>
      <c r="E346" s="3" t="s">
        <v>186</v>
      </c>
      <c r="F346" s="3" t="s">
        <v>187</v>
      </c>
      <c r="G346" s="3" t="s">
        <v>187</v>
      </c>
      <c r="H346" s="3" t="s">
        <v>412</v>
      </c>
    </row>
    <row r="347" customFormat="false" ht="15" hidden="false" customHeight="false" outlineLevel="0" collapsed="false">
      <c r="A347" s="3" t="s">
        <v>408</v>
      </c>
      <c r="B347" s="3" t="n">
        <v>5</v>
      </c>
      <c r="C347" s="3" t="s">
        <v>396</v>
      </c>
      <c r="D347" s="3" t="n">
        <v>57</v>
      </c>
      <c r="E347" s="3" t="s">
        <v>186</v>
      </c>
      <c r="F347" s="3" t="s">
        <v>187</v>
      </c>
      <c r="G347" s="3" t="s">
        <v>187</v>
      </c>
      <c r="H347" s="3" t="s">
        <v>413</v>
      </c>
    </row>
    <row r="348" customFormat="false" ht="15" hidden="false" customHeight="false" outlineLevel="0" collapsed="false">
      <c r="A348" s="3" t="s">
        <v>408</v>
      </c>
      <c r="B348" s="3" t="n">
        <v>6</v>
      </c>
      <c r="C348" s="3" t="s">
        <v>396</v>
      </c>
      <c r="D348" s="3" t="n">
        <v>57</v>
      </c>
      <c r="E348" s="3" t="s">
        <v>186</v>
      </c>
      <c r="F348" s="3" t="s">
        <v>187</v>
      </c>
      <c r="G348" s="3" t="s">
        <v>187</v>
      </c>
      <c r="H348" s="3" t="s">
        <v>414</v>
      </c>
    </row>
    <row r="349" customFormat="false" ht="15" hidden="false" customHeight="false" outlineLevel="0" collapsed="false">
      <c r="A349" s="3" t="s">
        <v>408</v>
      </c>
      <c r="B349" s="3" t="n">
        <v>6</v>
      </c>
      <c r="C349" s="3" t="s">
        <v>396</v>
      </c>
      <c r="D349" s="3" t="n">
        <v>58</v>
      </c>
      <c r="E349" s="3" t="s">
        <v>189</v>
      </c>
      <c r="F349" s="3" t="s">
        <v>187</v>
      </c>
      <c r="G349" s="3" t="s">
        <v>187</v>
      </c>
      <c r="H349" s="3" t="s">
        <v>414</v>
      </c>
    </row>
    <row r="350" customFormat="false" ht="15" hidden="false" customHeight="false" outlineLevel="0" collapsed="false">
      <c r="A350" s="3" t="s">
        <v>408</v>
      </c>
      <c r="B350" s="3" t="n">
        <v>7</v>
      </c>
      <c r="C350" s="3" t="s">
        <v>396</v>
      </c>
      <c r="D350" s="3" t="n">
        <v>5</v>
      </c>
      <c r="E350" s="3" t="s">
        <v>186</v>
      </c>
      <c r="F350" s="3" t="s">
        <v>187</v>
      </c>
      <c r="G350" s="3" t="s">
        <v>187</v>
      </c>
      <c r="H350" s="3" t="s">
        <v>415</v>
      </c>
    </row>
    <row r="351" customFormat="false" ht="15" hidden="false" customHeight="false" outlineLevel="0" collapsed="false">
      <c r="A351" s="3" t="s">
        <v>408</v>
      </c>
      <c r="B351" s="3" t="n">
        <v>8</v>
      </c>
      <c r="C351" s="3" t="s">
        <v>396</v>
      </c>
      <c r="D351" s="3" t="n">
        <v>38</v>
      </c>
      <c r="E351" s="3" t="s">
        <v>186</v>
      </c>
      <c r="F351" s="3" t="s">
        <v>187</v>
      </c>
      <c r="G351" s="3" t="s">
        <v>187</v>
      </c>
      <c r="H351" s="3" t="s">
        <v>416</v>
      </c>
    </row>
    <row r="352" customFormat="false" ht="15" hidden="false" customHeight="false" outlineLevel="0" collapsed="false">
      <c r="A352" s="3" t="s">
        <v>408</v>
      </c>
      <c r="B352" s="3" t="n">
        <v>8</v>
      </c>
      <c r="C352" s="3" t="s">
        <v>396</v>
      </c>
      <c r="D352" s="3" t="n">
        <v>36</v>
      </c>
      <c r="E352" s="3" t="s">
        <v>189</v>
      </c>
      <c r="F352" s="3" t="s">
        <v>187</v>
      </c>
      <c r="G352" s="3" t="s">
        <v>187</v>
      </c>
      <c r="H352" s="3" t="s">
        <v>416</v>
      </c>
    </row>
    <row r="353" customFormat="false" ht="15" hidden="false" customHeight="false" outlineLevel="0" collapsed="false">
      <c r="A353" s="3" t="s">
        <v>408</v>
      </c>
      <c r="B353" s="3" t="n">
        <v>9</v>
      </c>
      <c r="C353" s="3" t="s">
        <v>396</v>
      </c>
      <c r="D353" s="3" t="n">
        <v>57</v>
      </c>
      <c r="E353" s="3" t="s">
        <v>186</v>
      </c>
      <c r="F353" s="3" t="s">
        <v>187</v>
      </c>
      <c r="G353" s="3" t="s">
        <v>187</v>
      </c>
      <c r="H353" s="3" t="s">
        <v>417</v>
      </c>
    </row>
    <row r="354" customFormat="false" ht="15" hidden="false" customHeight="false" outlineLevel="0" collapsed="false">
      <c r="A354" s="3" t="s">
        <v>408</v>
      </c>
      <c r="B354" s="3" t="n">
        <v>9</v>
      </c>
      <c r="C354" s="3" t="s">
        <v>396</v>
      </c>
      <c r="D354" s="3" t="n">
        <v>42</v>
      </c>
      <c r="E354" s="3" t="s">
        <v>189</v>
      </c>
      <c r="F354" s="3" t="s">
        <v>187</v>
      </c>
      <c r="G354" s="3" t="s">
        <v>187</v>
      </c>
      <c r="H354" s="3" t="s">
        <v>417</v>
      </c>
    </row>
    <row r="355" customFormat="false" ht="15" hidden="false" customHeight="false" outlineLevel="0" collapsed="false">
      <c r="A355" s="3" t="s">
        <v>408</v>
      </c>
      <c r="B355" s="3" t="n">
        <v>10</v>
      </c>
      <c r="C355" s="3" t="s">
        <v>396</v>
      </c>
      <c r="D355" s="3" t="n">
        <v>11</v>
      </c>
      <c r="E355" s="3" t="s">
        <v>186</v>
      </c>
      <c r="F355" s="3" t="s">
        <v>187</v>
      </c>
      <c r="G355" s="3" t="s">
        <v>187</v>
      </c>
      <c r="H355" s="3" t="s">
        <v>418</v>
      </c>
    </row>
    <row r="356" customFormat="false" ht="15" hidden="false" customHeight="false" outlineLevel="0" collapsed="false">
      <c r="A356" s="3" t="s">
        <v>408</v>
      </c>
      <c r="B356" s="3" t="n">
        <v>10</v>
      </c>
      <c r="C356" s="3" t="s">
        <v>396</v>
      </c>
      <c r="D356" s="3" t="n">
        <v>5</v>
      </c>
      <c r="E356" s="3" t="s">
        <v>189</v>
      </c>
      <c r="F356" s="3" t="s">
        <v>187</v>
      </c>
      <c r="G356" s="3" t="s">
        <v>187</v>
      </c>
      <c r="H356" s="3" t="s">
        <v>418</v>
      </c>
    </row>
    <row r="357" customFormat="false" ht="15" hidden="false" customHeight="false" outlineLevel="0" collapsed="false">
      <c r="A357" s="3" t="s">
        <v>408</v>
      </c>
      <c r="B357" s="3" t="n">
        <v>11</v>
      </c>
      <c r="C357" s="3" t="s">
        <v>396</v>
      </c>
      <c r="D357" s="3" t="n">
        <v>139</v>
      </c>
      <c r="E357" s="3" t="s">
        <v>186</v>
      </c>
      <c r="F357" s="3" t="s">
        <v>187</v>
      </c>
      <c r="G357" s="3" t="s">
        <v>187</v>
      </c>
      <c r="H357" s="3" t="s">
        <v>419</v>
      </c>
    </row>
    <row r="358" customFormat="false" ht="15" hidden="false" customHeight="false" outlineLevel="0" collapsed="false">
      <c r="A358" s="3" t="s">
        <v>408</v>
      </c>
      <c r="B358" s="3" t="n">
        <v>11</v>
      </c>
      <c r="C358" s="3" t="s">
        <v>396</v>
      </c>
      <c r="D358" s="3" t="n">
        <v>65</v>
      </c>
      <c r="E358" s="3" t="s">
        <v>189</v>
      </c>
      <c r="F358" s="3" t="s">
        <v>187</v>
      </c>
      <c r="G358" s="3" t="s">
        <v>187</v>
      </c>
      <c r="H358" s="3" t="s">
        <v>419</v>
      </c>
    </row>
    <row r="359" customFormat="false" ht="15" hidden="false" customHeight="false" outlineLevel="0" collapsed="false">
      <c r="A359" s="3" t="s">
        <v>408</v>
      </c>
      <c r="B359" s="3" t="n">
        <v>12</v>
      </c>
      <c r="C359" s="3" t="s">
        <v>396</v>
      </c>
      <c r="D359" s="3" t="n">
        <v>56</v>
      </c>
      <c r="E359" s="3" t="s">
        <v>186</v>
      </c>
      <c r="F359" s="3" t="s">
        <v>187</v>
      </c>
      <c r="G359" s="3" t="s">
        <v>187</v>
      </c>
      <c r="H359" s="3" t="s">
        <v>420</v>
      </c>
    </row>
    <row r="360" customFormat="false" ht="15" hidden="false" customHeight="false" outlineLevel="0" collapsed="false">
      <c r="A360" s="3" t="s">
        <v>408</v>
      </c>
      <c r="B360" s="3" t="n">
        <v>13</v>
      </c>
      <c r="C360" s="3" t="s">
        <v>396</v>
      </c>
      <c r="D360" s="3" t="n">
        <v>36</v>
      </c>
      <c r="E360" s="3" t="s">
        <v>186</v>
      </c>
      <c r="F360" s="3" t="s">
        <v>187</v>
      </c>
      <c r="G360" s="3" t="s">
        <v>187</v>
      </c>
      <c r="H360" s="3" t="s">
        <v>421</v>
      </c>
    </row>
    <row r="361" customFormat="false" ht="15" hidden="false" customHeight="false" outlineLevel="0" collapsed="false">
      <c r="A361" s="3" t="s">
        <v>408</v>
      </c>
      <c r="B361" s="3" t="n">
        <v>14</v>
      </c>
      <c r="C361" s="3" t="s">
        <v>396</v>
      </c>
      <c r="D361" s="3" t="n">
        <v>41</v>
      </c>
      <c r="E361" s="3" t="s">
        <v>186</v>
      </c>
      <c r="F361" s="3" t="s">
        <v>187</v>
      </c>
      <c r="G361" s="3" t="s">
        <v>187</v>
      </c>
      <c r="H361" s="3" t="s">
        <v>422</v>
      </c>
    </row>
    <row r="362" customFormat="false" ht="15" hidden="false" customHeight="false" outlineLevel="0" collapsed="false">
      <c r="A362" s="3" t="s">
        <v>408</v>
      </c>
      <c r="B362" s="3" t="n">
        <v>15</v>
      </c>
      <c r="C362" s="3" t="s">
        <v>396</v>
      </c>
      <c r="D362" s="3" t="n">
        <v>33</v>
      </c>
      <c r="E362" s="3" t="s">
        <v>186</v>
      </c>
      <c r="F362" s="3" t="s">
        <v>187</v>
      </c>
      <c r="G362" s="3" t="s">
        <v>187</v>
      </c>
      <c r="H362" s="3" t="s">
        <v>423</v>
      </c>
    </row>
    <row r="363" customFormat="false" ht="15" hidden="false" customHeight="false" outlineLevel="0" collapsed="false">
      <c r="A363" s="3" t="s">
        <v>408</v>
      </c>
      <c r="B363" s="3" t="n">
        <v>15</v>
      </c>
      <c r="C363" s="3" t="s">
        <v>396</v>
      </c>
      <c r="D363" s="3" t="n">
        <v>36</v>
      </c>
      <c r="E363" s="3" t="s">
        <v>189</v>
      </c>
      <c r="F363" s="3" t="s">
        <v>187</v>
      </c>
      <c r="G363" s="3" t="s">
        <v>187</v>
      </c>
      <c r="H363" s="3" t="s">
        <v>423</v>
      </c>
    </row>
    <row r="364" customFormat="false" ht="15" hidden="false" customHeight="false" outlineLevel="0" collapsed="false">
      <c r="A364" s="3" t="s">
        <v>408</v>
      </c>
      <c r="B364" s="3" t="n">
        <v>16</v>
      </c>
      <c r="C364" s="3" t="s">
        <v>396</v>
      </c>
      <c r="D364" s="3" t="n">
        <v>33</v>
      </c>
      <c r="E364" s="3" t="s">
        <v>186</v>
      </c>
      <c r="F364" s="3" t="s">
        <v>187</v>
      </c>
      <c r="G364" s="3" t="s">
        <v>187</v>
      </c>
      <c r="H364" s="3" t="s">
        <v>424</v>
      </c>
    </row>
    <row r="365" customFormat="false" ht="15" hidden="false" customHeight="false" outlineLevel="0" collapsed="false">
      <c r="A365" s="3" t="s">
        <v>425</v>
      </c>
      <c r="B365" s="3" t="n">
        <v>1</v>
      </c>
      <c r="C365" s="3" t="s">
        <v>396</v>
      </c>
      <c r="D365" s="3" t="n">
        <v>76</v>
      </c>
      <c r="E365" s="3" t="s">
        <v>186</v>
      </c>
      <c r="F365" s="3" t="s">
        <v>187</v>
      </c>
      <c r="G365" s="3" t="s">
        <v>187</v>
      </c>
      <c r="H365" s="3" t="s">
        <v>426</v>
      </c>
    </row>
    <row r="366" customFormat="false" ht="15" hidden="false" customHeight="false" outlineLevel="0" collapsed="false">
      <c r="A366" s="3" t="s">
        <v>425</v>
      </c>
      <c r="B366" s="3" t="n">
        <v>1</v>
      </c>
      <c r="C366" s="3" t="s">
        <v>396</v>
      </c>
      <c r="D366" s="3" t="n">
        <v>80</v>
      </c>
      <c r="E366" s="3" t="s">
        <v>189</v>
      </c>
      <c r="F366" s="3" t="s">
        <v>187</v>
      </c>
      <c r="G366" s="3" t="s">
        <v>187</v>
      </c>
      <c r="H366" s="3" t="s">
        <v>426</v>
      </c>
    </row>
    <row r="367" customFormat="false" ht="15" hidden="false" customHeight="false" outlineLevel="0" collapsed="false">
      <c r="A367" s="3" t="s">
        <v>425</v>
      </c>
      <c r="B367" s="3" t="n">
        <v>2</v>
      </c>
      <c r="C367" s="3" t="s">
        <v>396</v>
      </c>
      <c r="D367" s="3" t="n">
        <v>76</v>
      </c>
      <c r="E367" s="3" t="s">
        <v>186</v>
      </c>
      <c r="F367" s="3" t="s">
        <v>187</v>
      </c>
      <c r="G367" s="3" t="s">
        <v>187</v>
      </c>
      <c r="H367" s="3" t="s">
        <v>427</v>
      </c>
    </row>
    <row r="368" customFormat="false" ht="15" hidden="false" customHeight="false" outlineLevel="0" collapsed="false">
      <c r="A368" s="3" t="s">
        <v>425</v>
      </c>
      <c r="B368" s="3" t="n">
        <v>2</v>
      </c>
      <c r="C368" s="3" t="s">
        <v>396</v>
      </c>
      <c r="D368" s="3" t="n">
        <v>80</v>
      </c>
      <c r="E368" s="3" t="s">
        <v>189</v>
      </c>
      <c r="F368" s="3" t="s">
        <v>187</v>
      </c>
      <c r="G368" s="3" t="s">
        <v>187</v>
      </c>
      <c r="H368" s="3" t="s">
        <v>427</v>
      </c>
    </row>
    <row r="369" customFormat="false" ht="15" hidden="false" customHeight="false" outlineLevel="0" collapsed="false">
      <c r="A369" s="3" t="s">
        <v>425</v>
      </c>
      <c r="B369" s="3" t="n">
        <v>3</v>
      </c>
      <c r="C369" s="3" t="s">
        <v>396</v>
      </c>
      <c r="D369" s="3" t="n">
        <v>79</v>
      </c>
      <c r="E369" s="3" t="s">
        <v>186</v>
      </c>
      <c r="F369" s="3" t="s">
        <v>187</v>
      </c>
      <c r="G369" s="3" t="s">
        <v>187</v>
      </c>
      <c r="H369" s="3" t="s">
        <v>428</v>
      </c>
    </row>
    <row r="370" customFormat="false" ht="15" hidden="false" customHeight="false" outlineLevel="0" collapsed="false">
      <c r="A370" s="3" t="s">
        <v>425</v>
      </c>
      <c r="B370" s="3" t="n">
        <v>3</v>
      </c>
      <c r="C370" s="3" t="s">
        <v>396</v>
      </c>
      <c r="D370" s="3" t="n">
        <v>80</v>
      </c>
      <c r="E370" s="3" t="s">
        <v>189</v>
      </c>
      <c r="F370" s="3" t="s">
        <v>187</v>
      </c>
      <c r="G370" s="3" t="s">
        <v>187</v>
      </c>
      <c r="H370" s="3" t="s">
        <v>428</v>
      </c>
    </row>
    <row r="371" customFormat="false" ht="15" hidden="false" customHeight="false" outlineLevel="0" collapsed="false">
      <c r="A371" s="3" t="s">
        <v>425</v>
      </c>
      <c r="B371" s="3" t="n">
        <v>4</v>
      </c>
      <c r="C371" s="3" t="s">
        <v>396</v>
      </c>
      <c r="D371" s="3" t="n">
        <v>80</v>
      </c>
      <c r="E371" s="3" t="s">
        <v>186</v>
      </c>
      <c r="F371" s="3" t="s">
        <v>187</v>
      </c>
      <c r="G371" s="3" t="s">
        <v>187</v>
      </c>
      <c r="H371" s="3" t="s">
        <v>429</v>
      </c>
    </row>
    <row r="372" customFormat="false" ht="15" hidden="false" customHeight="false" outlineLevel="0" collapsed="false">
      <c r="A372" s="3" t="s">
        <v>425</v>
      </c>
      <c r="B372" s="3" t="n">
        <v>4</v>
      </c>
      <c r="C372" s="3" t="s">
        <v>396</v>
      </c>
      <c r="D372" s="3" t="n">
        <v>74</v>
      </c>
      <c r="E372" s="3" t="s">
        <v>189</v>
      </c>
      <c r="F372" s="3" t="s">
        <v>187</v>
      </c>
      <c r="G372" s="3" t="s">
        <v>187</v>
      </c>
      <c r="H372" s="3" t="s">
        <v>429</v>
      </c>
    </row>
    <row r="373" customFormat="false" ht="15" hidden="false" customHeight="false" outlineLevel="0" collapsed="false">
      <c r="A373" s="3" t="s">
        <v>425</v>
      </c>
      <c r="B373" s="3" t="n">
        <v>5</v>
      </c>
      <c r="C373" s="3" t="s">
        <v>396</v>
      </c>
      <c r="D373" s="3" t="n">
        <v>76</v>
      </c>
      <c r="E373" s="3" t="s">
        <v>186</v>
      </c>
      <c r="F373" s="3" t="s">
        <v>187</v>
      </c>
      <c r="G373" s="3" t="s">
        <v>187</v>
      </c>
      <c r="H373" s="3" t="s">
        <v>430</v>
      </c>
    </row>
    <row r="374" customFormat="false" ht="15" hidden="false" customHeight="false" outlineLevel="0" collapsed="false">
      <c r="A374" s="3" t="s">
        <v>425</v>
      </c>
      <c r="B374" s="3" t="n">
        <v>5</v>
      </c>
      <c r="C374" s="3" t="s">
        <v>396</v>
      </c>
      <c r="D374" s="3" t="n">
        <v>81</v>
      </c>
      <c r="E374" s="3" t="s">
        <v>189</v>
      </c>
      <c r="F374" s="3" t="s">
        <v>187</v>
      </c>
      <c r="G374" s="3" t="s">
        <v>187</v>
      </c>
      <c r="H374" s="3" t="s">
        <v>430</v>
      </c>
    </row>
    <row r="375" customFormat="false" ht="15" hidden="false" customHeight="false" outlineLevel="0" collapsed="false">
      <c r="A375" s="3" t="s">
        <v>425</v>
      </c>
      <c r="B375" s="3" t="n">
        <v>6</v>
      </c>
      <c r="C375" s="3" t="s">
        <v>396</v>
      </c>
      <c r="D375" s="3" t="n">
        <v>74</v>
      </c>
      <c r="E375" s="3" t="s">
        <v>186</v>
      </c>
      <c r="F375" s="3" t="s">
        <v>187</v>
      </c>
      <c r="G375" s="3" t="s">
        <v>187</v>
      </c>
      <c r="H375" s="3" t="s">
        <v>431</v>
      </c>
    </row>
    <row r="376" customFormat="false" ht="15" hidden="false" customHeight="false" outlineLevel="0" collapsed="false">
      <c r="A376" s="3" t="s">
        <v>425</v>
      </c>
      <c r="B376" s="3" t="n">
        <v>6</v>
      </c>
      <c r="C376" s="3" t="s">
        <v>396</v>
      </c>
      <c r="D376" s="3" t="n">
        <v>80</v>
      </c>
      <c r="E376" s="3" t="s">
        <v>189</v>
      </c>
      <c r="F376" s="3" t="s">
        <v>187</v>
      </c>
      <c r="G376" s="3" t="s">
        <v>187</v>
      </c>
      <c r="H376" s="3" t="s">
        <v>431</v>
      </c>
    </row>
    <row r="377" customFormat="false" ht="15" hidden="false" customHeight="false" outlineLevel="0" collapsed="false">
      <c r="A377" s="3" t="s">
        <v>425</v>
      </c>
      <c r="B377" s="3" t="n">
        <v>7</v>
      </c>
      <c r="C377" s="3" t="s">
        <v>396</v>
      </c>
      <c r="D377" s="3" t="n">
        <v>74</v>
      </c>
      <c r="E377" s="3" t="s">
        <v>186</v>
      </c>
      <c r="F377" s="3" t="s">
        <v>187</v>
      </c>
      <c r="G377" s="3" t="s">
        <v>187</v>
      </c>
      <c r="H377" s="3" t="s">
        <v>432</v>
      </c>
    </row>
    <row r="378" customFormat="false" ht="15" hidden="false" customHeight="false" outlineLevel="0" collapsed="false">
      <c r="A378" s="3" t="s">
        <v>425</v>
      </c>
      <c r="B378" s="3" t="n">
        <v>7</v>
      </c>
      <c r="C378" s="3" t="s">
        <v>396</v>
      </c>
      <c r="D378" s="3" t="n">
        <v>80</v>
      </c>
      <c r="E378" s="3" t="s">
        <v>189</v>
      </c>
      <c r="F378" s="3" t="s">
        <v>187</v>
      </c>
      <c r="G378" s="3" t="s">
        <v>187</v>
      </c>
      <c r="H378" s="3" t="s">
        <v>432</v>
      </c>
    </row>
    <row r="379" customFormat="false" ht="15" hidden="false" customHeight="false" outlineLevel="0" collapsed="false">
      <c r="A379" s="3" t="s">
        <v>425</v>
      </c>
      <c r="B379" s="3" t="n">
        <v>8</v>
      </c>
      <c r="C379" s="3" t="s">
        <v>396</v>
      </c>
      <c r="D379" s="3" t="n">
        <v>74</v>
      </c>
      <c r="E379" s="3" t="s">
        <v>186</v>
      </c>
      <c r="F379" s="3" t="s">
        <v>187</v>
      </c>
      <c r="G379" s="3" t="s">
        <v>187</v>
      </c>
      <c r="H379" s="3" t="s">
        <v>433</v>
      </c>
    </row>
    <row r="380" customFormat="false" ht="15" hidden="false" customHeight="false" outlineLevel="0" collapsed="false">
      <c r="A380" s="3" t="s">
        <v>425</v>
      </c>
      <c r="B380" s="3" t="n">
        <v>8</v>
      </c>
      <c r="C380" s="3" t="s">
        <v>396</v>
      </c>
      <c r="D380" s="3" t="n">
        <v>80</v>
      </c>
      <c r="E380" s="3" t="s">
        <v>189</v>
      </c>
      <c r="F380" s="3" t="s">
        <v>187</v>
      </c>
      <c r="G380" s="3" t="s">
        <v>187</v>
      </c>
      <c r="H380" s="3" t="s">
        <v>433</v>
      </c>
    </row>
    <row r="381" customFormat="false" ht="15" hidden="false" customHeight="false" outlineLevel="0" collapsed="false">
      <c r="A381" s="3" t="s">
        <v>425</v>
      </c>
      <c r="B381" s="3" t="n">
        <v>9</v>
      </c>
      <c r="C381" s="3" t="s">
        <v>396</v>
      </c>
      <c r="D381" s="3" t="n">
        <v>75</v>
      </c>
      <c r="E381" s="3" t="s">
        <v>186</v>
      </c>
      <c r="F381" s="3" t="s">
        <v>187</v>
      </c>
      <c r="G381" s="3" t="s">
        <v>187</v>
      </c>
      <c r="H381" s="3" t="s">
        <v>434</v>
      </c>
    </row>
    <row r="382" customFormat="false" ht="15" hidden="false" customHeight="false" outlineLevel="0" collapsed="false">
      <c r="A382" s="3" t="s">
        <v>425</v>
      </c>
      <c r="B382" s="3" t="n">
        <v>9</v>
      </c>
      <c r="C382" s="3" t="s">
        <v>396</v>
      </c>
      <c r="D382" s="3" t="n">
        <v>74</v>
      </c>
      <c r="E382" s="3" t="s">
        <v>189</v>
      </c>
      <c r="F382" s="3" t="s">
        <v>187</v>
      </c>
      <c r="G382" s="3" t="s">
        <v>187</v>
      </c>
      <c r="H382" s="3" t="s">
        <v>434</v>
      </c>
    </row>
    <row r="383" customFormat="false" ht="15" hidden="false" customHeight="false" outlineLevel="0" collapsed="false">
      <c r="A383" s="3" t="s">
        <v>425</v>
      </c>
      <c r="B383" s="3" t="n">
        <v>10</v>
      </c>
      <c r="C383" s="3" t="s">
        <v>396</v>
      </c>
      <c r="D383" s="3" t="n">
        <v>78</v>
      </c>
      <c r="E383" s="3" t="s">
        <v>186</v>
      </c>
      <c r="F383" s="3" t="s">
        <v>187</v>
      </c>
      <c r="G383" s="3" t="s">
        <v>187</v>
      </c>
      <c r="H383" s="3" t="s">
        <v>435</v>
      </c>
    </row>
    <row r="384" customFormat="false" ht="15" hidden="false" customHeight="false" outlineLevel="0" collapsed="false">
      <c r="A384" s="3" t="s">
        <v>425</v>
      </c>
      <c r="B384" s="3" t="n">
        <v>10</v>
      </c>
      <c r="C384" s="3" t="s">
        <v>396</v>
      </c>
      <c r="D384" s="3" t="n">
        <v>80</v>
      </c>
      <c r="E384" s="3" t="s">
        <v>189</v>
      </c>
      <c r="F384" s="3" t="s">
        <v>187</v>
      </c>
      <c r="G384" s="3" t="s">
        <v>187</v>
      </c>
      <c r="H384" s="3" t="s">
        <v>435</v>
      </c>
    </row>
    <row r="385" customFormat="false" ht="15" hidden="false" customHeight="false" outlineLevel="0" collapsed="false">
      <c r="A385" s="3" t="s">
        <v>425</v>
      </c>
      <c r="B385" s="3" t="n">
        <v>11</v>
      </c>
      <c r="C385" s="3" t="s">
        <v>396</v>
      </c>
      <c r="D385" s="3" t="n">
        <v>80</v>
      </c>
      <c r="E385" s="3" t="s">
        <v>186</v>
      </c>
      <c r="F385" s="3" t="s">
        <v>187</v>
      </c>
      <c r="G385" s="3" t="s">
        <v>187</v>
      </c>
      <c r="H385" s="3" t="s">
        <v>436</v>
      </c>
    </row>
    <row r="386" customFormat="false" ht="15" hidden="false" customHeight="false" outlineLevel="0" collapsed="false">
      <c r="A386" s="3" t="s">
        <v>425</v>
      </c>
      <c r="B386" s="3" t="n">
        <v>12</v>
      </c>
      <c r="C386" s="3" t="s">
        <v>396</v>
      </c>
      <c r="D386" s="3" t="n">
        <v>74</v>
      </c>
      <c r="E386" s="3" t="s">
        <v>186</v>
      </c>
      <c r="F386" s="3" t="s">
        <v>187</v>
      </c>
      <c r="G386" s="3" t="s">
        <v>187</v>
      </c>
      <c r="H386" s="3" t="s">
        <v>437</v>
      </c>
    </row>
    <row r="387" customFormat="false" ht="15" hidden="false" customHeight="false" outlineLevel="0" collapsed="false">
      <c r="A387" s="3" t="s">
        <v>425</v>
      </c>
      <c r="B387" s="3" t="n">
        <v>12</v>
      </c>
      <c r="C387" s="3" t="s">
        <v>396</v>
      </c>
      <c r="D387" s="3" t="n">
        <v>80</v>
      </c>
      <c r="E387" s="3" t="s">
        <v>189</v>
      </c>
      <c r="F387" s="3" t="s">
        <v>187</v>
      </c>
      <c r="G387" s="3" t="s">
        <v>187</v>
      </c>
      <c r="H387" s="3" t="s">
        <v>437</v>
      </c>
    </row>
    <row r="388" customFormat="false" ht="15" hidden="false" customHeight="false" outlineLevel="0" collapsed="false">
      <c r="A388" s="3" t="s">
        <v>425</v>
      </c>
      <c r="B388" s="3" t="n">
        <v>12</v>
      </c>
      <c r="C388" s="3" t="s">
        <v>396</v>
      </c>
      <c r="D388" s="3" t="n">
        <v>35</v>
      </c>
      <c r="E388" s="3" t="s">
        <v>189</v>
      </c>
      <c r="F388" s="3" t="s">
        <v>187</v>
      </c>
      <c r="G388" s="3" t="s">
        <v>187</v>
      </c>
      <c r="H388" s="3" t="s">
        <v>437</v>
      </c>
    </row>
    <row r="389" customFormat="false" ht="15" hidden="false" customHeight="false" outlineLevel="0" collapsed="false">
      <c r="A389" s="3" t="s">
        <v>438</v>
      </c>
      <c r="B389" s="3" t="n">
        <v>1</v>
      </c>
      <c r="C389" s="3" t="s">
        <v>396</v>
      </c>
      <c r="D389" s="3" t="n">
        <v>103</v>
      </c>
      <c r="E389" s="3" t="s">
        <v>186</v>
      </c>
      <c r="F389" s="3" t="s">
        <v>187</v>
      </c>
      <c r="G389" s="3" t="s">
        <v>187</v>
      </c>
      <c r="H389" s="3" t="s">
        <v>439</v>
      </c>
    </row>
    <row r="390" customFormat="false" ht="15" hidden="false" customHeight="false" outlineLevel="0" collapsed="false">
      <c r="A390" s="3" t="s">
        <v>438</v>
      </c>
      <c r="B390" s="3" t="n">
        <v>1</v>
      </c>
      <c r="C390" s="3" t="s">
        <v>396</v>
      </c>
      <c r="D390" s="3" t="n">
        <v>11</v>
      </c>
      <c r="E390" s="3" t="s">
        <v>189</v>
      </c>
      <c r="F390" s="3" t="s">
        <v>187</v>
      </c>
      <c r="G390" s="3" t="s">
        <v>187</v>
      </c>
      <c r="H390" s="3" t="s">
        <v>439</v>
      </c>
    </row>
    <row r="391" customFormat="false" ht="15" hidden="false" customHeight="false" outlineLevel="0" collapsed="false">
      <c r="A391" s="3" t="s">
        <v>438</v>
      </c>
      <c r="B391" s="3" t="n">
        <v>2</v>
      </c>
      <c r="C391" s="3" t="s">
        <v>396</v>
      </c>
      <c r="D391" s="3" t="n">
        <v>107</v>
      </c>
      <c r="E391" s="3" t="s">
        <v>186</v>
      </c>
      <c r="F391" s="3" t="s">
        <v>187</v>
      </c>
      <c r="G391" s="3" t="s">
        <v>187</v>
      </c>
      <c r="H391" s="3" t="s">
        <v>440</v>
      </c>
    </row>
    <row r="392" customFormat="false" ht="15" hidden="false" customHeight="false" outlineLevel="0" collapsed="false">
      <c r="A392" s="3" t="s">
        <v>438</v>
      </c>
      <c r="B392" s="3" t="n">
        <v>3</v>
      </c>
      <c r="C392" s="3" t="s">
        <v>396</v>
      </c>
      <c r="D392" s="3" t="n">
        <v>103</v>
      </c>
      <c r="E392" s="3" t="s">
        <v>186</v>
      </c>
      <c r="F392" s="3" t="s">
        <v>187</v>
      </c>
      <c r="G392" s="3" t="s">
        <v>187</v>
      </c>
      <c r="H392" s="3" t="s">
        <v>441</v>
      </c>
    </row>
    <row r="393" customFormat="false" ht="15" hidden="false" customHeight="false" outlineLevel="0" collapsed="false">
      <c r="A393" s="3" t="s">
        <v>438</v>
      </c>
      <c r="B393" s="3" t="n">
        <v>4</v>
      </c>
      <c r="C393" s="3" t="s">
        <v>396</v>
      </c>
      <c r="D393" s="3" t="n">
        <v>109</v>
      </c>
      <c r="E393" s="3" t="s">
        <v>186</v>
      </c>
      <c r="F393" s="3" t="s">
        <v>187</v>
      </c>
      <c r="G393" s="3" t="s">
        <v>187</v>
      </c>
      <c r="H393" s="3" t="s">
        <v>442</v>
      </c>
    </row>
    <row r="394" customFormat="false" ht="15" hidden="false" customHeight="false" outlineLevel="0" collapsed="false">
      <c r="A394" s="3" t="s">
        <v>438</v>
      </c>
      <c r="B394" s="3" t="n">
        <v>5</v>
      </c>
      <c r="C394" s="3" t="s">
        <v>396</v>
      </c>
      <c r="D394" s="3" t="n">
        <v>109</v>
      </c>
      <c r="E394" s="3" t="s">
        <v>186</v>
      </c>
      <c r="F394" s="3" t="s">
        <v>187</v>
      </c>
      <c r="G394" s="3" t="s">
        <v>187</v>
      </c>
      <c r="H394" s="3" t="s">
        <v>443</v>
      </c>
    </row>
    <row r="395" customFormat="false" ht="15" hidden="false" customHeight="false" outlineLevel="0" collapsed="false">
      <c r="A395" s="3" t="s">
        <v>438</v>
      </c>
      <c r="B395" s="3" t="n">
        <v>6</v>
      </c>
      <c r="C395" s="3" t="s">
        <v>396</v>
      </c>
      <c r="D395" s="3" t="n">
        <v>109</v>
      </c>
      <c r="E395" s="3" t="s">
        <v>186</v>
      </c>
      <c r="F395" s="3" t="s">
        <v>187</v>
      </c>
      <c r="G395" s="3" t="s">
        <v>187</v>
      </c>
      <c r="H395" s="3" t="s">
        <v>444</v>
      </c>
    </row>
    <row r="396" customFormat="false" ht="15" hidden="false" customHeight="false" outlineLevel="0" collapsed="false">
      <c r="A396" s="3" t="s">
        <v>438</v>
      </c>
      <c r="B396" s="3" t="n">
        <v>7</v>
      </c>
      <c r="C396" s="3" t="s">
        <v>396</v>
      </c>
      <c r="D396" s="3" t="n">
        <v>114</v>
      </c>
      <c r="E396" s="3" t="s">
        <v>186</v>
      </c>
      <c r="F396" s="3" t="s">
        <v>187</v>
      </c>
      <c r="G396" s="3" t="s">
        <v>187</v>
      </c>
      <c r="H396" s="3" t="s">
        <v>445</v>
      </c>
    </row>
    <row r="397" customFormat="false" ht="15" hidden="false" customHeight="false" outlineLevel="0" collapsed="false">
      <c r="A397" s="3" t="s">
        <v>438</v>
      </c>
      <c r="B397" s="3" t="n">
        <v>8</v>
      </c>
      <c r="C397" s="3" t="s">
        <v>396</v>
      </c>
      <c r="D397" s="3" t="n">
        <v>5</v>
      </c>
      <c r="E397" s="3" t="s">
        <v>186</v>
      </c>
      <c r="F397" s="3" t="s">
        <v>187</v>
      </c>
      <c r="G397" s="3" t="s">
        <v>187</v>
      </c>
      <c r="H397" s="3" t="s">
        <v>446</v>
      </c>
    </row>
    <row r="398" customFormat="false" ht="15" hidden="false" customHeight="false" outlineLevel="0" collapsed="false">
      <c r="A398" s="3" t="s">
        <v>438</v>
      </c>
      <c r="B398" s="3" t="n">
        <v>8</v>
      </c>
      <c r="C398" s="3" t="s">
        <v>396</v>
      </c>
      <c r="D398" s="3" t="n">
        <v>57</v>
      </c>
      <c r="E398" s="3" t="s">
        <v>189</v>
      </c>
      <c r="F398" s="3" t="s">
        <v>187</v>
      </c>
      <c r="G398" s="3" t="s">
        <v>187</v>
      </c>
      <c r="H398" s="3" t="s">
        <v>446</v>
      </c>
    </row>
    <row r="399" customFormat="false" ht="15" hidden="false" customHeight="false" outlineLevel="0" collapsed="false">
      <c r="A399" s="3" t="s">
        <v>438</v>
      </c>
      <c r="B399" s="3" t="n">
        <v>9</v>
      </c>
      <c r="C399" s="3" t="s">
        <v>396</v>
      </c>
      <c r="D399" s="3" t="n">
        <v>5</v>
      </c>
      <c r="E399" s="3" t="s">
        <v>186</v>
      </c>
      <c r="F399" s="3" t="s">
        <v>187</v>
      </c>
      <c r="G399" s="3" t="s">
        <v>187</v>
      </c>
      <c r="H399" s="3" t="s">
        <v>447</v>
      </c>
    </row>
    <row r="400" customFormat="false" ht="15" hidden="false" customHeight="false" outlineLevel="0" collapsed="false">
      <c r="A400" s="3" t="s">
        <v>438</v>
      </c>
      <c r="B400" s="3" t="n">
        <v>10</v>
      </c>
      <c r="C400" s="3" t="s">
        <v>396</v>
      </c>
      <c r="D400" s="3" t="n">
        <v>119</v>
      </c>
      <c r="E400" s="3" t="s">
        <v>186</v>
      </c>
      <c r="F400" s="3" t="s">
        <v>187</v>
      </c>
      <c r="G400" s="3" t="s">
        <v>187</v>
      </c>
      <c r="H400" s="3" t="s">
        <v>448</v>
      </c>
    </row>
    <row r="401" customFormat="false" ht="15" hidden="false" customHeight="false" outlineLevel="0" collapsed="false">
      <c r="A401" s="3" t="s">
        <v>438</v>
      </c>
      <c r="B401" s="3" t="n">
        <v>11</v>
      </c>
      <c r="C401" s="3" t="s">
        <v>396</v>
      </c>
      <c r="D401" s="3" t="n">
        <v>108</v>
      </c>
      <c r="E401" s="3" t="s">
        <v>186</v>
      </c>
      <c r="F401" s="3" t="s">
        <v>187</v>
      </c>
      <c r="G401" s="3" t="s">
        <v>187</v>
      </c>
      <c r="H401" s="3" t="s">
        <v>449</v>
      </c>
    </row>
    <row r="402" customFormat="false" ht="15" hidden="false" customHeight="false" outlineLevel="0" collapsed="false">
      <c r="A402" s="3" t="s">
        <v>438</v>
      </c>
      <c r="B402" s="3" t="n">
        <v>12</v>
      </c>
      <c r="C402" s="3" t="s">
        <v>396</v>
      </c>
      <c r="D402" s="3" t="n">
        <v>109</v>
      </c>
      <c r="E402" s="3" t="s">
        <v>186</v>
      </c>
      <c r="F402" s="3" t="s">
        <v>187</v>
      </c>
      <c r="G402" s="3" t="s">
        <v>187</v>
      </c>
      <c r="H402" s="3" t="s">
        <v>450</v>
      </c>
    </row>
    <row r="403" customFormat="false" ht="15" hidden="false" customHeight="false" outlineLevel="0" collapsed="false">
      <c r="A403" s="3" t="s">
        <v>438</v>
      </c>
      <c r="B403" s="3" t="n">
        <v>12</v>
      </c>
      <c r="C403" s="3" t="s">
        <v>396</v>
      </c>
      <c r="D403" s="3" t="n">
        <v>35</v>
      </c>
      <c r="E403" s="3" t="s">
        <v>189</v>
      </c>
      <c r="F403" s="3" t="s">
        <v>187</v>
      </c>
      <c r="G403" s="3" t="s">
        <v>187</v>
      </c>
      <c r="H403" s="3" t="s">
        <v>450</v>
      </c>
    </row>
    <row r="404" customFormat="false" ht="15" hidden="false" customHeight="false" outlineLevel="0" collapsed="false">
      <c r="A404" s="3" t="s">
        <v>451</v>
      </c>
      <c r="B404" s="3" t="n">
        <v>1</v>
      </c>
      <c r="C404" s="3" t="s">
        <v>396</v>
      </c>
      <c r="D404" s="3" t="n">
        <v>118</v>
      </c>
      <c r="E404" s="3" t="s">
        <v>186</v>
      </c>
      <c r="F404" s="3" t="s">
        <v>187</v>
      </c>
      <c r="G404" s="3" t="s">
        <v>187</v>
      </c>
      <c r="H404" s="3" t="s">
        <v>452</v>
      </c>
    </row>
    <row r="405" customFormat="false" ht="15" hidden="false" customHeight="false" outlineLevel="0" collapsed="false">
      <c r="A405" s="3" t="s">
        <v>451</v>
      </c>
      <c r="B405" s="3" t="n">
        <v>2</v>
      </c>
      <c r="C405" s="3" t="s">
        <v>396</v>
      </c>
      <c r="D405" s="3" t="n">
        <v>119</v>
      </c>
      <c r="E405" s="3" t="s">
        <v>186</v>
      </c>
      <c r="F405" s="3" t="s">
        <v>187</v>
      </c>
      <c r="G405" s="3" t="s">
        <v>187</v>
      </c>
      <c r="H405" s="3" t="s">
        <v>453</v>
      </c>
    </row>
    <row r="406" customFormat="false" ht="15" hidden="false" customHeight="false" outlineLevel="0" collapsed="false">
      <c r="A406" s="3" t="s">
        <v>451</v>
      </c>
      <c r="B406" s="3" t="n">
        <v>3</v>
      </c>
      <c r="C406" s="3" t="s">
        <v>396</v>
      </c>
      <c r="D406" s="3" t="n">
        <v>120</v>
      </c>
      <c r="E406" s="3" t="s">
        <v>186</v>
      </c>
      <c r="F406" s="3" t="s">
        <v>187</v>
      </c>
      <c r="G406" s="3" t="s">
        <v>187</v>
      </c>
      <c r="H406" s="3" t="s">
        <v>454</v>
      </c>
    </row>
    <row r="407" customFormat="false" ht="15" hidden="false" customHeight="false" outlineLevel="0" collapsed="false">
      <c r="A407" s="3" t="s">
        <v>451</v>
      </c>
      <c r="B407" s="3" t="n">
        <v>4</v>
      </c>
      <c r="C407" s="3" t="s">
        <v>396</v>
      </c>
      <c r="D407" s="3" t="n">
        <v>125</v>
      </c>
      <c r="E407" s="3" t="s">
        <v>186</v>
      </c>
      <c r="F407" s="3" t="s">
        <v>187</v>
      </c>
      <c r="G407" s="3" t="s">
        <v>187</v>
      </c>
      <c r="H407" s="3" t="s">
        <v>455</v>
      </c>
    </row>
    <row r="408" customFormat="false" ht="15" hidden="false" customHeight="false" outlineLevel="0" collapsed="false">
      <c r="A408" s="3" t="s">
        <v>451</v>
      </c>
      <c r="B408" s="3" t="n">
        <v>5</v>
      </c>
      <c r="C408" s="3" t="s">
        <v>396</v>
      </c>
      <c r="D408" s="3" t="n">
        <v>119</v>
      </c>
      <c r="E408" s="3" t="s">
        <v>186</v>
      </c>
      <c r="F408" s="3" t="s">
        <v>187</v>
      </c>
      <c r="G408" s="3" t="s">
        <v>187</v>
      </c>
      <c r="H408" s="3" t="s">
        <v>456</v>
      </c>
    </row>
    <row r="409" customFormat="false" ht="15" hidden="false" customHeight="false" outlineLevel="0" collapsed="false">
      <c r="A409" s="3" t="s">
        <v>451</v>
      </c>
      <c r="B409" s="3" t="n">
        <v>6</v>
      </c>
      <c r="C409" s="3" t="s">
        <v>396</v>
      </c>
      <c r="D409" s="3" t="n">
        <v>137</v>
      </c>
      <c r="E409" s="3" t="s">
        <v>186</v>
      </c>
      <c r="F409" s="3" t="s">
        <v>187</v>
      </c>
      <c r="G409" s="3" t="s">
        <v>187</v>
      </c>
      <c r="H409" s="3" t="s">
        <v>457</v>
      </c>
    </row>
    <row r="410" customFormat="false" ht="15" hidden="false" customHeight="false" outlineLevel="0" collapsed="false">
      <c r="A410" s="3" t="s">
        <v>451</v>
      </c>
      <c r="B410" s="3" t="n">
        <v>7</v>
      </c>
      <c r="C410" s="3" t="s">
        <v>396</v>
      </c>
      <c r="D410" s="3" t="n">
        <v>133</v>
      </c>
      <c r="E410" s="3" t="s">
        <v>186</v>
      </c>
      <c r="F410" s="3" t="s">
        <v>187</v>
      </c>
      <c r="G410" s="3" t="s">
        <v>187</v>
      </c>
      <c r="H410" s="3" t="s">
        <v>458</v>
      </c>
    </row>
    <row r="411" customFormat="false" ht="15" hidden="false" customHeight="false" outlineLevel="0" collapsed="false">
      <c r="A411" s="3" t="s">
        <v>451</v>
      </c>
      <c r="B411" s="3" t="n">
        <v>7</v>
      </c>
      <c r="C411" s="3" t="s">
        <v>396</v>
      </c>
      <c r="D411" s="3" t="n">
        <v>130</v>
      </c>
      <c r="E411" s="3" t="s">
        <v>189</v>
      </c>
      <c r="F411" s="3" t="s">
        <v>187</v>
      </c>
      <c r="G411" s="3" t="s">
        <v>187</v>
      </c>
      <c r="H411" s="3" t="s">
        <v>458</v>
      </c>
    </row>
    <row r="412" customFormat="false" ht="15" hidden="false" customHeight="false" outlineLevel="0" collapsed="false">
      <c r="A412" s="3" t="s">
        <v>451</v>
      </c>
      <c r="B412" s="3" t="n">
        <v>8</v>
      </c>
      <c r="C412" s="3" t="s">
        <v>396</v>
      </c>
      <c r="D412" s="3" t="n">
        <v>132</v>
      </c>
      <c r="E412" s="3" t="s">
        <v>186</v>
      </c>
      <c r="F412" s="3" t="s">
        <v>187</v>
      </c>
      <c r="G412" s="3" t="s">
        <v>187</v>
      </c>
      <c r="H412" s="3" t="s">
        <v>459</v>
      </c>
    </row>
    <row r="413" customFormat="false" ht="15" hidden="false" customHeight="false" outlineLevel="0" collapsed="false">
      <c r="A413" s="3" t="s">
        <v>451</v>
      </c>
      <c r="B413" s="3" t="n">
        <v>9</v>
      </c>
      <c r="C413" s="3" t="s">
        <v>396</v>
      </c>
      <c r="D413" s="3" t="n">
        <v>130</v>
      </c>
      <c r="E413" s="3" t="s">
        <v>186</v>
      </c>
      <c r="F413" s="3" t="s">
        <v>187</v>
      </c>
      <c r="G413" s="3" t="s">
        <v>187</v>
      </c>
      <c r="H413" s="3" t="s">
        <v>460</v>
      </c>
    </row>
    <row r="414" customFormat="false" ht="15" hidden="false" customHeight="false" outlineLevel="0" collapsed="false">
      <c r="A414" s="3" t="s">
        <v>451</v>
      </c>
      <c r="B414" s="3" t="n">
        <v>9</v>
      </c>
      <c r="C414" s="3" t="s">
        <v>396</v>
      </c>
      <c r="D414" s="3" t="n">
        <v>133</v>
      </c>
      <c r="E414" s="3" t="s">
        <v>189</v>
      </c>
      <c r="F414" s="3" t="s">
        <v>187</v>
      </c>
      <c r="G414" s="3" t="s">
        <v>187</v>
      </c>
      <c r="H414" s="3" t="s">
        <v>460</v>
      </c>
    </row>
    <row r="415" customFormat="false" ht="15" hidden="false" customHeight="false" outlineLevel="0" collapsed="false">
      <c r="A415" s="3" t="s">
        <v>451</v>
      </c>
      <c r="B415" s="3" t="n">
        <v>10</v>
      </c>
      <c r="C415" s="3" t="s">
        <v>396</v>
      </c>
      <c r="D415" s="3" t="n">
        <v>134</v>
      </c>
      <c r="E415" s="3" t="s">
        <v>186</v>
      </c>
      <c r="F415" s="3" t="s">
        <v>187</v>
      </c>
      <c r="G415" s="3" t="s">
        <v>187</v>
      </c>
      <c r="H415" s="3" t="s">
        <v>461</v>
      </c>
    </row>
    <row r="416" customFormat="false" ht="15" hidden="false" customHeight="false" outlineLevel="0" collapsed="false">
      <c r="A416" s="3" t="s">
        <v>451</v>
      </c>
      <c r="B416" s="3" t="n">
        <v>10</v>
      </c>
      <c r="C416" s="3" t="s">
        <v>396</v>
      </c>
      <c r="D416" s="3" t="n">
        <v>135</v>
      </c>
      <c r="E416" s="3" t="s">
        <v>189</v>
      </c>
      <c r="F416" s="3" t="s">
        <v>187</v>
      </c>
      <c r="G416" s="3" t="s">
        <v>187</v>
      </c>
      <c r="H416" s="3" t="s">
        <v>461</v>
      </c>
    </row>
    <row r="417" customFormat="false" ht="15" hidden="false" customHeight="false" outlineLevel="0" collapsed="false">
      <c r="A417" s="3" t="s">
        <v>451</v>
      </c>
      <c r="B417" s="3" t="n">
        <v>11</v>
      </c>
      <c r="C417" s="3" t="s">
        <v>396</v>
      </c>
      <c r="D417" s="3" t="n">
        <v>130</v>
      </c>
      <c r="E417" s="3" t="s">
        <v>186</v>
      </c>
      <c r="F417" s="3" t="s">
        <v>187</v>
      </c>
      <c r="G417" s="3" t="s">
        <v>187</v>
      </c>
      <c r="H417" s="3" t="s">
        <v>462</v>
      </c>
    </row>
    <row r="418" customFormat="false" ht="15" hidden="false" customHeight="false" outlineLevel="0" collapsed="false">
      <c r="A418" s="3" t="s">
        <v>451</v>
      </c>
      <c r="B418" s="3" t="n">
        <v>12</v>
      </c>
      <c r="C418" s="3" t="s">
        <v>396</v>
      </c>
      <c r="D418" s="3" t="n">
        <v>126</v>
      </c>
      <c r="E418" s="3" t="s">
        <v>186</v>
      </c>
      <c r="F418" s="3" t="s">
        <v>187</v>
      </c>
      <c r="G418" s="3" t="s">
        <v>187</v>
      </c>
      <c r="H418" s="3" t="s">
        <v>463</v>
      </c>
    </row>
    <row r="419" customFormat="false" ht="15" hidden="false" customHeight="false" outlineLevel="0" collapsed="false">
      <c r="A419" s="3" t="s">
        <v>451</v>
      </c>
      <c r="B419" s="3" t="n">
        <v>12</v>
      </c>
      <c r="C419" s="3" t="s">
        <v>396</v>
      </c>
      <c r="D419" s="3" t="n">
        <v>109</v>
      </c>
      <c r="E419" s="3" t="s">
        <v>189</v>
      </c>
      <c r="F419" s="3" t="s">
        <v>187</v>
      </c>
      <c r="G419" s="3" t="s">
        <v>187</v>
      </c>
      <c r="H419" s="3" t="s">
        <v>463</v>
      </c>
    </row>
    <row r="420" customFormat="false" ht="15" hidden="false" customHeight="false" outlineLevel="0" collapsed="false">
      <c r="A420" s="3" t="s">
        <v>451</v>
      </c>
      <c r="B420" s="3" t="n">
        <v>12</v>
      </c>
      <c r="C420" s="3" t="s">
        <v>396</v>
      </c>
      <c r="D420" s="3" t="n">
        <v>74</v>
      </c>
      <c r="E420" s="3" t="s">
        <v>189</v>
      </c>
      <c r="F420" s="3" t="s">
        <v>187</v>
      </c>
      <c r="G420" s="3" t="s">
        <v>187</v>
      </c>
      <c r="H420" s="3" t="s">
        <v>463</v>
      </c>
    </row>
    <row r="421" customFormat="false" ht="15" hidden="false" customHeight="false" outlineLevel="0" collapsed="false">
      <c r="A421" s="3" t="s">
        <v>451</v>
      </c>
      <c r="B421" s="3" t="n">
        <v>13</v>
      </c>
      <c r="C421" s="3" t="s">
        <v>396</v>
      </c>
      <c r="D421" s="3" t="n">
        <v>119</v>
      </c>
      <c r="E421" s="3" t="s">
        <v>186</v>
      </c>
      <c r="F421" s="3" t="s">
        <v>187</v>
      </c>
      <c r="G421" s="3" t="s">
        <v>187</v>
      </c>
      <c r="H421" s="3" t="s">
        <v>464</v>
      </c>
    </row>
    <row r="422" customFormat="false" ht="15" hidden="false" customHeight="false" outlineLevel="0" collapsed="false">
      <c r="A422" s="3" t="s">
        <v>451</v>
      </c>
      <c r="B422" s="3" t="n">
        <v>14</v>
      </c>
      <c r="C422" s="3" t="s">
        <v>396</v>
      </c>
      <c r="D422" s="3" t="n">
        <v>133</v>
      </c>
      <c r="E422" s="3" t="s">
        <v>186</v>
      </c>
      <c r="F422" s="3" t="s">
        <v>187</v>
      </c>
      <c r="G422" s="3" t="s">
        <v>187</v>
      </c>
      <c r="H422" s="3" t="s">
        <v>465</v>
      </c>
    </row>
    <row r="423" customFormat="false" ht="15" hidden="false" customHeight="false" outlineLevel="0" collapsed="false">
      <c r="A423" s="3" t="s">
        <v>466</v>
      </c>
      <c r="B423" s="3" t="n">
        <v>37</v>
      </c>
      <c r="C423" s="3" t="s">
        <v>467</v>
      </c>
      <c r="D423" s="3" t="n">
        <v>11</v>
      </c>
      <c r="E423" s="3" t="s">
        <v>186</v>
      </c>
      <c r="F423" s="3" t="s">
        <v>261</v>
      </c>
      <c r="G423" s="3" t="s">
        <v>261</v>
      </c>
      <c r="H423" s="3" t="s">
        <v>468</v>
      </c>
    </row>
    <row r="424" customFormat="false" ht="15" hidden="false" customHeight="false" outlineLevel="0" collapsed="false">
      <c r="A424" s="3" t="s">
        <v>466</v>
      </c>
      <c r="B424" s="3" t="n">
        <v>37</v>
      </c>
      <c r="C424" s="3" t="s">
        <v>467</v>
      </c>
      <c r="D424" s="3" t="n">
        <v>30</v>
      </c>
      <c r="E424" s="3" t="s">
        <v>189</v>
      </c>
      <c r="F424" s="3" t="s">
        <v>261</v>
      </c>
      <c r="G424" s="3" t="s">
        <v>261</v>
      </c>
      <c r="H424" s="3" t="s">
        <v>468</v>
      </c>
    </row>
    <row r="425" customFormat="false" ht="15" hidden="false" customHeight="false" outlineLevel="0" collapsed="false">
      <c r="A425" s="3" t="s">
        <v>466</v>
      </c>
      <c r="B425" s="3" t="n">
        <v>38</v>
      </c>
      <c r="C425" s="3" t="s">
        <v>467</v>
      </c>
      <c r="D425" s="3" t="n">
        <v>97</v>
      </c>
      <c r="E425" s="3" t="s">
        <v>186</v>
      </c>
      <c r="F425" s="3" t="s">
        <v>261</v>
      </c>
      <c r="G425" s="3" t="s">
        <v>261</v>
      </c>
      <c r="H425" s="3" t="s">
        <v>469</v>
      </c>
    </row>
    <row r="426" customFormat="false" ht="15" hidden="false" customHeight="false" outlineLevel="0" collapsed="false">
      <c r="A426" s="3" t="s">
        <v>466</v>
      </c>
      <c r="B426" s="3" t="n">
        <v>39</v>
      </c>
      <c r="C426" s="3" t="s">
        <v>467</v>
      </c>
      <c r="D426" s="3" t="n">
        <v>11</v>
      </c>
      <c r="E426" s="3" t="s">
        <v>186</v>
      </c>
      <c r="F426" s="3" t="s">
        <v>261</v>
      </c>
      <c r="G426" s="3" t="s">
        <v>261</v>
      </c>
      <c r="H426" s="3" t="s">
        <v>470</v>
      </c>
    </row>
    <row r="427" customFormat="false" ht="15" hidden="false" customHeight="false" outlineLevel="0" collapsed="false">
      <c r="A427" s="3" t="s">
        <v>466</v>
      </c>
      <c r="B427" s="3" t="n">
        <v>39</v>
      </c>
      <c r="C427" s="3" t="s">
        <v>467</v>
      </c>
      <c r="D427" s="3" t="n">
        <v>18</v>
      </c>
      <c r="E427" s="3" t="s">
        <v>189</v>
      </c>
      <c r="F427" s="3" t="s">
        <v>261</v>
      </c>
      <c r="G427" s="3" t="s">
        <v>261</v>
      </c>
      <c r="H427" s="3" t="s">
        <v>470</v>
      </c>
    </row>
    <row r="428" customFormat="false" ht="15" hidden="false" customHeight="false" outlineLevel="0" collapsed="false">
      <c r="A428" s="3" t="s">
        <v>466</v>
      </c>
      <c r="B428" s="3" t="n">
        <v>40</v>
      </c>
      <c r="C428" s="3" t="s">
        <v>467</v>
      </c>
      <c r="D428" s="3" t="n">
        <v>103</v>
      </c>
      <c r="E428" s="3" t="s">
        <v>186</v>
      </c>
      <c r="F428" s="3" t="s">
        <v>261</v>
      </c>
      <c r="G428" s="3" t="s">
        <v>261</v>
      </c>
      <c r="H428" s="3" t="s">
        <v>471</v>
      </c>
    </row>
    <row r="429" customFormat="false" ht="15" hidden="false" customHeight="false" outlineLevel="0" collapsed="false">
      <c r="A429" s="3" t="s">
        <v>466</v>
      </c>
      <c r="B429" s="3" t="n">
        <v>40</v>
      </c>
      <c r="C429" s="3" t="s">
        <v>467</v>
      </c>
      <c r="D429" s="3" t="n">
        <v>57</v>
      </c>
      <c r="E429" s="3" t="s">
        <v>189</v>
      </c>
      <c r="F429" s="3" t="s">
        <v>261</v>
      </c>
      <c r="G429" s="3" t="s">
        <v>261</v>
      </c>
      <c r="H429" s="3" t="s">
        <v>471</v>
      </c>
    </row>
    <row r="430" customFormat="false" ht="15" hidden="false" customHeight="false" outlineLevel="0" collapsed="false">
      <c r="A430" s="3" t="s">
        <v>466</v>
      </c>
      <c r="B430" s="3" t="n">
        <v>41</v>
      </c>
      <c r="C430" s="3" t="s">
        <v>467</v>
      </c>
      <c r="D430" s="3" t="n">
        <v>94</v>
      </c>
      <c r="E430" s="3" t="s">
        <v>186</v>
      </c>
      <c r="F430" s="3" t="s">
        <v>261</v>
      </c>
      <c r="G430" s="3" t="s">
        <v>261</v>
      </c>
      <c r="H430" s="3" t="s">
        <v>472</v>
      </c>
    </row>
    <row r="431" customFormat="false" ht="15" hidden="false" customHeight="false" outlineLevel="0" collapsed="false">
      <c r="A431" s="3" t="s">
        <v>466</v>
      </c>
      <c r="B431" s="3" t="n">
        <v>42</v>
      </c>
      <c r="C431" s="3" t="s">
        <v>467</v>
      </c>
      <c r="D431" s="3" t="n">
        <v>88</v>
      </c>
      <c r="E431" s="3" t="s">
        <v>186</v>
      </c>
      <c r="F431" s="3" t="s">
        <v>261</v>
      </c>
      <c r="G431" s="3" t="s">
        <v>261</v>
      </c>
      <c r="H431" s="3" t="s">
        <v>473</v>
      </c>
    </row>
    <row r="432" customFormat="false" ht="15" hidden="false" customHeight="false" outlineLevel="0" collapsed="false">
      <c r="A432" s="3" t="s">
        <v>466</v>
      </c>
      <c r="B432" s="3" t="n">
        <v>43</v>
      </c>
      <c r="C432" s="3" t="s">
        <v>467</v>
      </c>
      <c r="D432" s="3" t="n">
        <v>57</v>
      </c>
      <c r="E432" s="3" t="s">
        <v>186</v>
      </c>
      <c r="F432" s="3" t="s">
        <v>261</v>
      </c>
      <c r="G432" s="3" t="s">
        <v>261</v>
      </c>
      <c r="H432" s="3" t="s">
        <v>474</v>
      </c>
    </row>
    <row r="433" customFormat="false" ht="15" hidden="false" customHeight="false" outlineLevel="0" collapsed="false">
      <c r="A433" s="3" t="s">
        <v>466</v>
      </c>
      <c r="B433" s="3" t="n">
        <v>44</v>
      </c>
      <c r="C433" s="3" t="s">
        <v>467</v>
      </c>
      <c r="D433" s="3" t="n">
        <v>101</v>
      </c>
      <c r="E433" s="3" t="s">
        <v>186</v>
      </c>
      <c r="F433" s="3" t="s">
        <v>261</v>
      </c>
      <c r="G433" s="3" t="s">
        <v>261</v>
      </c>
      <c r="H433" s="3" t="s">
        <v>475</v>
      </c>
    </row>
    <row r="434" customFormat="false" ht="15" hidden="false" customHeight="false" outlineLevel="0" collapsed="false">
      <c r="A434" s="3" t="s">
        <v>466</v>
      </c>
      <c r="B434" s="3" t="n">
        <v>45</v>
      </c>
      <c r="C434" s="3" t="s">
        <v>467</v>
      </c>
      <c r="D434" s="3" t="n">
        <v>48</v>
      </c>
      <c r="E434" s="3" t="s">
        <v>186</v>
      </c>
      <c r="F434" s="3" t="s">
        <v>261</v>
      </c>
      <c r="G434" s="3" t="s">
        <v>261</v>
      </c>
      <c r="H434" s="3" t="s">
        <v>476</v>
      </c>
    </row>
    <row r="435" customFormat="false" ht="15" hidden="false" customHeight="false" outlineLevel="0" collapsed="false">
      <c r="A435" s="3" t="s">
        <v>466</v>
      </c>
      <c r="B435" s="3" t="n">
        <v>45</v>
      </c>
      <c r="C435" s="3" t="s">
        <v>467</v>
      </c>
      <c r="D435" s="3" t="n">
        <v>139</v>
      </c>
      <c r="E435" s="3" t="s">
        <v>189</v>
      </c>
      <c r="F435" s="3" t="s">
        <v>261</v>
      </c>
      <c r="G435" s="3" t="s">
        <v>261</v>
      </c>
      <c r="H435" s="3" t="s">
        <v>476</v>
      </c>
    </row>
    <row r="436" customFormat="false" ht="15" hidden="false" customHeight="false" outlineLevel="0" collapsed="false">
      <c r="A436" s="3" t="s">
        <v>466</v>
      </c>
      <c r="B436" s="3" t="n">
        <v>46</v>
      </c>
      <c r="C436" s="3" t="s">
        <v>467</v>
      </c>
      <c r="D436" s="3" t="n">
        <v>76</v>
      </c>
      <c r="E436" s="3" t="s">
        <v>186</v>
      </c>
      <c r="F436" s="3" t="s">
        <v>261</v>
      </c>
      <c r="G436" s="3" t="s">
        <v>261</v>
      </c>
      <c r="H436" s="3" t="s">
        <v>477</v>
      </c>
    </row>
    <row r="437" customFormat="false" ht="15" hidden="false" customHeight="false" outlineLevel="0" collapsed="false">
      <c r="A437" s="3" t="s">
        <v>466</v>
      </c>
      <c r="B437" s="3" t="n">
        <v>46</v>
      </c>
      <c r="C437" s="3" t="s">
        <v>467</v>
      </c>
      <c r="D437" s="3" t="n">
        <v>80</v>
      </c>
      <c r="E437" s="3" t="s">
        <v>189</v>
      </c>
      <c r="F437" s="3" t="s">
        <v>261</v>
      </c>
      <c r="G437" s="3" t="s">
        <v>261</v>
      </c>
      <c r="H437" s="3" t="s">
        <v>477</v>
      </c>
    </row>
    <row r="438" customFormat="false" ht="15" hidden="false" customHeight="false" outlineLevel="0" collapsed="false">
      <c r="A438" s="3" t="s">
        <v>466</v>
      </c>
      <c r="B438" s="3" t="n">
        <v>47</v>
      </c>
      <c r="C438" s="3" t="s">
        <v>467</v>
      </c>
      <c r="D438" s="3" t="n">
        <v>101</v>
      </c>
      <c r="E438" s="3" t="s">
        <v>186</v>
      </c>
      <c r="F438" s="3" t="s">
        <v>261</v>
      </c>
      <c r="G438" s="3" t="s">
        <v>261</v>
      </c>
      <c r="H438" s="3" t="s">
        <v>478</v>
      </c>
    </row>
    <row r="439" customFormat="false" ht="15" hidden="false" customHeight="false" outlineLevel="0" collapsed="false">
      <c r="A439" s="3" t="s">
        <v>466</v>
      </c>
      <c r="B439" s="3" t="n">
        <v>48</v>
      </c>
      <c r="C439" s="3" t="s">
        <v>467</v>
      </c>
      <c r="D439" s="3" t="n">
        <v>102</v>
      </c>
      <c r="E439" s="3" t="s">
        <v>186</v>
      </c>
      <c r="F439" s="3" t="s">
        <v>261</v>
      </c>
      <c r="G439" s="3" t="s">
        <v>261</v>
      </c>
      <c r="H439" s="3" t="s">
        <v>479</v>
      </c>
    </row>
    <row r="440" customFormat="false" ht="15" hidden="false" customHeight="false" outlineLevel="0" collapsed="false">
      <c r="A440" s="3" t="s">
        <v>466</v>
      </c>
      <c r="B440" s="3" t="n">
        <v>49</v>
      </c>
      <c r="C440" s="3" t="s">
        <v>467</v>
      </c>
      <c r="D440" s="3" t="n">
        <v>80</v>
      </c>
      <c r="E440" s="3" t="s">
        <v>186</v>
      </c>
      <c r="F440" s="3" t="s">
        <v>261</v>
      </c>
      <c r="G440" s="3" t="s">
        <v>261</v>
      </c>
      <c r="H440" s="3" t="s">
        <v>480</v>
      </c>
    </row>
    <row r="441" customFormat="false" ht="15" hidden="false" customHeight="false" outlineLevel="0" collapsed="false">
      <c r="A441" s="3" t="s">
        <v>466</v>
      </c>
      <c r="B441" s="3" t="n">
        <v>49</v>
      </c>
      <c r="C441" s="3" t="s">
        <v>467</v>
      </c>
      <c r="D441" s="3" t="n">
        <v>5</v>
      </c>
      <c r="E441" s="3" t="s">
        <v>189</v>
      </c>
      <c r="F441" s="3" t="s">
        <v>261</v>
      </c>
      <c r="G441" s="3" t="s">
        <v>261</v>
      </c>
      <c r="H441" s="3" t="s">
        <v>480</v>
      </c>
    </row>
    <row r="442" customFormat="false" ht="15" hidden="false" customHeight="false" outlineLevel="0" collapsed="false">
      <c r="A442" s="3" t="s">
        <v>466</v>
      </c>
      <c r="B442" s="3" t="n">
        <v>50</v>
      </c>
      <c r="C442" s="3" t="s">
        <v>467</v>
      </c>
      <c r="D442" s="3" t="n">
        <v>94</v>
      </c>
      <c r="E442" s="3" t="s">
        <v>186</v>
      </c>
      <c r="F442" s="3" t="s">
        <v>261</v>
      </c>
      <c r="G442" s="3" t="s">
        <v>187</v>
      </c>
      <c r="H442" s="3" t="s">
        <v>481</v>
      </c>
    </row>
    <row r="443" customFormat="false" ht="15" hidden="false" customHeight="false" outlineLevel="0" collapsed="false">
      <c r="A443" s="3" t="s">
        <v>466</v>
      </c>
      <c r="B443" s="3" t="n">
        <v>51</v>
      </c>
      <c r="C443" s="3" t="s">
        <v>467</v>
      </c>
      <c r="D443" s="3" t="n">
        <v>108</v>
      </c>
      <c r="E443" s="3" t="s">
        <v>186</v>
      </c>
      <c r="F443" s="3" t="s">
        <v>261</v>
      </c>
      <c r="G443" s="3" t="s">
        <v>187</v>
      </c>
      <c r="H443" s="3" t="s">
        <v>482</v>
      </c>
    </row>
    <row r="444" customFormat="false" ht="15" hidden="false" customHeight="false" outlineLevel="0" collapsed="false">
      <c r="A444" s="3" t="s">
        <v>466</v>
      </c>
      <c r="B444" s="3" t="n">
        <v>51</v>
      </c>
      <c r="C444" s="3" t="s">
        <v>467</v>
      </c>
      <c r="D444" s="3" t="n">
        <v>74</v>
      </c>
      <c r="E444" s="3" t="s">
        <v>189</v>
      </c>
      <c r="F444" s="3" t="s">
        <v>261</v>
      </c>
      <c r="G444" s="3" t="s">
        <v>187</v>
      </c>
      <c r="H444" s="3" t="s">
        <v>482</v>
      </c>
    </row>
    <row r="445" customFormat="false" ht="15" hidden="false" customHeight="false" outlineLevel="0" collapsed="false">
      <c r="A445" s="3" t="s">
        <v>466</v>
      </c>
      <c r="B445" s="3" t="n">
        <v>51</v>
      </c>
      <c r="C445" s="3" t="s">
        <v>467</v>
      </c>
      <c r="D445" s="3" t="n">
        <v>80</v>
      </c>
      <c r="E445" s="3" t="s">
        <v>189</v>
      </c>
      <c r="F445" s="3" t="s">
        <v>261</v>
      </c>
      <c r="G445" s="3" t="s">
        <v>187</v>
      </c>
      <c r="H445" s="3" t="s">
        <v>482</v>
      </c>
    </row>
    <row r="446" customFormat="false" ht="15" hidden="false" customHeight="false" outlineLevel="0" collapsed="false">
      <c r="A446" s="3" t="s">
        <v>466</v>
      </c>
      <c r="B446" s="3" t="n">
        <v>52</v>
      </c>
      <c r="C446" s="3" t="s">
        <v>467</v>
      </c>
      <c r="D446" s="3" t="n">
        <v>74</v>
      </c>
      <c r="E446" s="3" t="s">
        <v>186</v>
      </c>
      <c r="F446" s="3" t="s">
        <v>261</v>
      </c>
      <c r="G446" s="3" t="s">
        <v>187</v>
      </c>
      <c r="H446" s="3" t="s">
        <v>483</v>
      </c>
    </row>
    <row r="447" customFormat="false" ht="15" hidden="false" customHeight="false" outlineLevel="0" collapsed="false">
      <c r="A447" s="3" t="s">
        <v>466</v>
      </c>
      <c r="B447" s="3" t="n">
        <v>52</v>
      </c>
      <c r="C447" s="3" t="s">
        <v>467</v>
      </c>
      <c r="D447" s="3" t="n">
        <v>80</v>
      </c>
      <c r="E447" s="3" t="s">
        <v>189</v>
      </c>
      <c r="F447" s="3" t="s">
        <v>261</v>
      </c>
      <c r="G447" s="3" t="s">
        <v>187</v>
      </c>
      <c r="H447" s="3" t="s">
        <v>483</v>
      </c>
    </row>
    <row r="448" customFormat="false" ht="15" hidden="false" customHeight="false" outlineLevel="0" collapsed="false">
      <c r="A448" s="3" t="s">
        <v>466</v>
      </c>
      <c r="B448" s="3" t="n">
        <v>53</v>
      </c>
      <c r="C448" s="3" t="s">
        <v>467</v>
      </c>
      <c r="D448" s="3" t="n">
        <v>108</v>
      </c>
      <c r="E448" s="3" t="s">
        <v>186</v>
      </c>
      <c r="F448" s="3" t="s">
        <v>261</v>
      </c>
      <c r="G448" s="3" t="s">
        <v>187</v>
      </c>
      <c r="H448" s="3" t="s">
        <v>484</v>
      </c>
    </row>
    <row r="449" customFormat="false" ht="15" hidden="false" customHeight="false" outlineLevel="0" collapsed="false">
      <c r="A449" s="3" t="s">
        <v>466</v>
      </c>
      <c r="B449" s="3" t="n">
        <v>53</v>
      </c>
      <c r="C449" s="3" t="s">
        <v>467</v>
      </c>
      <c r="D449" s="3" t="n">
        <v>59</v>
      </c>
      <c r="E449" s="3" t="s">
        <v>189</v>
      </c>
      <c r="F449" s="3" t="s">
        <v>261</v>
      </c>
      <c r="G449" s="3" t="s">
        <v>187</v>
      </c>
      <c r="H449" s="3" t="s">
        <v>484</v>
      </c>
    </row>
    <row r="450" customFormat="false" ht="15" hidden="false" customHeight="false" outlineLevel="0" collapsed="false">
      <c r="A450" s="3" t="s">
        <v>466</v>
      </c>
      <c r="B450" s="3" t="n">
        <v>54</v>
      </c>
      <c r="C450" s="3" t="s">
        <v>467</v>
      </c>
      <c r="D450" s="3" t="n">
        <v>107</v>
      </c>
      <c r="E450" s="3" t="s">
        <v>186</v>
      </c>
      <c r="F450" s="3" t="s">
        <v>261</v>
      </c>
      <c r="G450" s="3" t="s">
        <v>187</v>
      </c>
      <c r="H450" s="3" t="s">
        <v>485</v>
      </c>
    </row>
    <row r="451" customFormat="false" ht="15" hidden="false" customHeight="false" outlineLevel="0" collapsed="false">
      <c r="A451" s="3" t="s">
        <v>466</v>
      </c>
      <c r="B451" s="3" t="n">
        <v>54</v>
      </c>
      <c r="C451" s="3" t="s">
        <v>467</v>
      </c>
      <c r="D451" s="3" t="n">
        <v>103</v>
      </c>
      <c r="E451" s="3" t="s">
        <v>189</v>
      </c>
      <c r="F451" s="3" t="s">
        <v>261</v>
      </c>
      <c r="G451" s="3" t="s">
        <v>187</v>
      </c>
      <c r="H451" s="3" t="s">
        <v>485</v>
      </c>
    </row>
    <row r="452" customFormat="false" ht="15" hidden="false" customHeight="false" outlineLevel="0" collapsed="false">
      <c r="A452" s="3" t="s">
        <v>466</v>
      </c>
      <c r="B452" s="3" t="n">
        <v>55</v>
      </c>
      <c r="C452" s="3" t="s">
        <v>467</v>
      </c>
      <c r="D452" s="3" t="n">
        <v>108</v>
      </c>
      <c r="E452" s="3" t="s">
        <v>186</v>
      </c>
      <c r="F452" s="3" t="s">
        <v>261</v>
      </c>
      <c r="G452" s="3" t="s">
        <v>187</v>
      </c>
      <c r="H452" s="3" t="s">
        <v>486</v>
      </c>
    </row>
    <row r="453" customFormat="false" ht="15" hidden="false" customHeight="false" outlineLevel="0" collapsed="false">
      <c r="A453" s="3" t="s">
        <v>466</v>
      </c>
      <c r="B453" s="3" t="n">
        <v>55</v>
      </c>
      <c r="C453" s="3" t="s">
        <v>467</v>
      </c>
      <c r="D453" s="3" t="n">
        <v>74</v>
      </c>
      <c r="E453" s="3" t="s">
        <v>189</v>
      </c>
      <c r="F453" s="3" t="s">
        <v>261</v>
      </c>
      <c r="G453" s="3" t="s">
        <v>187</v>
      </c>
      <c r="H453" s="3" t="s">
        <v>486</v>
      </c>
    </row>
    <row r="454" customFormat="false" ht="15" hidden="false" customHeight="false" outlineLevel="0" collapsed="false">
      <c r="A454" s="3" t="s">
        <v>466</v>
      </c>
      <c r="B454" s="3" t="n">
        <v>55</v>
      </c>
      <c r="C454" s="3" t="s">
        <v>467</v>
      </c>
      <c r="D454" s="3" t="n">
        <v>80</v>
      </c>
      <c r="E454" s="3" t="s">
        <v>189</v>
      </c>
      <c r="F454" s="3" t="s">
        <v>261</v>
      </c>
      <c r="G454" s="3" t="s">
        <v>187</v>
      </c>
      <c r="H454" s="3" t="s">
        <v>486</v>
      </c>
    </row>
    <row r="455" customFormat="false" ht="15" hidden="false" customHeight="false" outlineLevel="0" collapsed="false">
      <c r="A455" s="3" t="s">
        <v>466</v>
      </c>
      <c r="B455" s="3" t="n">
        <v>56</v>
      </c>
      <c r="C455" s="3" t="s">
        <v>467</v>
      </c>
      <c r="D455" s="3" t="n">
        <v>40</v>
      </c>
      <c r="E455" s="3" t="s">
        <v>186</v>
      </c>
      <c r="F455" s="3" t="s">
        <v>261</v>
      </c>
      <c r="G455" s="3" t="s">
        <v>187</v>
      </c>
      <c r="H455" s="3" t="s">
        <v>366</v>
      </c>
    </row>
    <row r="456" customFormat="false" ht="15" hidden="false" customHeight="false" outlineLevel="0" collapsed="false">
      <c r="A456" s="3" t="s">
        <v>466</v>
      </c>
      <c r="B456" s="3" t="n">
        <v>56</v>
      </c>
      <c r="C456" s="3" t="s">
        <v>467</v>
      </c>
      <c r="D456" s="3" t="n">
        <v>36</v>
      </c>
      <c r="E456" s="3" t="s">
        <v>189</v>
      </c>
      <c r="F456" s="3" t="s">
        <v>261</v>
      </c>
      <c r="G456" s="3" t="s">
        <v>187</v>
      </c>
      <c r="H456" s="3" t="s">
        <v>366</v>
      </c>
    </row>
    <row r="457" customFormat="false" ht="15" hidden="false" customHeight="false" outlineLevel="0" collapsed="false">
      <c r="A457" s="3" t="s">
        <v>466</v>
      </c>
      <c r="B457" s="3" t="n">
        <v>57</v>
      </c>
      <c r="C457" s="3" t="s">
        <v>467</v>
      </c>
      <c r="D457" s="3" t="n">
        <v>103</v>
      </c>
      <c r="E457" s="3" t="s">
        <v>186</v>
      </c>
      <c r="F457" s="3" t="s">
        <v>261</v>
      </c>
      <c r="G457" s="3" t="s">
        <v>187</v>
      </c>
      <c r="H457" s="3" t="s">
        <v>368</v>
      </c>
    </row>
    <row r="458" customFormat="false" ht="15" hidden="false" customHeight="false" outlineLevel="0" collapsed="false">
      <c r="A458" s="3" t="s">
        <v>466</v>
      </c>
      <c r="B458" s="3" t="n">
        <v>58</v>
      </c>
      <c r="C458" s="3" t="s">
        <v>467</v>
      </c>
      <c r="D458" s="3" t="n">
        <v>39</v>
      </c>
      <c r="E458" s="3" t="s">
        <v>186</v>
      </c>
      <c r="F458" s="3" t="s">
        <v>261</v>
      </c>
      <c r="G458" s="3" t="s">
        <v>187</v>
      </c>
      <c r="H458" s="3" t="s">
        <v>487</v>
      </c>
    </row>
    <row r="459" customFormat="false" ht="15" hidden="false" customHeight="false" outlineLevel="0" collapsed="false">
      <c r="A459" s="3" t="s">
        <v>466</v>
      </c>
      <c r="B459" s="3" t="n">
        <v>59</v>
      </c>
      <c r="C459" s="3" t="s">
        <v>467</v>
      </c>
      <c r="D459" s="3" t="n">
        <v>96</v>
      </c>
      <c r="E459" s="3" t="s">
        <v>186</v>
      </c>
      <c r="F459" s="3" t="s">
        <v>261</v>
      </c>
      <c r="G459" s="3" t="s">
        <v>187</v>
      </c>
      <c r="H459" s="3" t="s">
        <v>488</v>
      </c>
    </row>
    <row r="460" customFormat="false" ht="15" hidden="false" customHeight="false" outlineLevel="0" collapsed="false">
      <c r="A460" s="3" t="s">
        <v>466</v>
      </c>
      <c r="B460" s="3" t="n">
        <v>59</v>
      </c>
      <c r="C460" s="3" t="s">
        <v>467</v>
      </c>
      <c r="D460" s="3" t="n">
        <v>93</v>
      </c>
      <c r="E460" s="3" t="s">
        <v>189</v>
      </c>
      <c r="F460" s="3" t="s">
        <v>261</v>
      </c>
      <c r="G460" s="3" t="s">
        <v>187</v>
      </c>
      <c r="H460" s="3" t="s">
        <v>488</v>
      </c>
    </row>
    <row r="461" customFormat="false" ht="15" hidden="false" customHeight="false" outlineLevel="0" collapsed="false">
      <c r="A461" s="3" t="s">
        <v>466</v>
      </c>
      <c r="B461" s="3" t="n">
        <v>60</v>
      </c>
      <c r="C461" s="3" t="s">
        <v>467</v>
      </c>
      <c r="D461" s="3" t="n">
        <v>90</v>
      </c>
      <c r="E461" s="3" t="s">
        <v>186</v>
      </c>
      <c r="F461" s="3" t="s">
        <v>261</v>
      </c>
      <c r="G461" s="3" t="s">
        <v>261</v>
      </c>
      <c r="H461" s="3" t="s">
        <v>489</v>
      </c>
    </row>
    <row r="462" customFormat="false" ht="15" hidden="false" customHeight="false" outlineLevel="0" collapsed="false">
      <c r="A462" s="3" t="s">
        <v>466</v>
      </c>
      <c r="B462" s="3" t="n">
        <v>61</v>
      </c>
      <c r="C462" s="3" t="s">
        <v>467</v>
      </c>
      <c r="D462" s="3" t="n">
        <v>107</v>
      </c>
      <c r="E462" s="3" t="s">
        <v>186</v>
      </c>
      <c r="F462" s="3" t="s">
        <v>261</v>
      </c>
      <c r="G462" s="3" t="s">
        <v>187</v>
      </c>
      <c r="H462" s="3" t="s">
        <v>490</v>
      </c>
    </row>
    <row r="463" customFormat="false" ht="15" hidden="false" customHeight="false" outlineLevel="0" collapsed="false">
      <c r="A463" s="3" t="s">
        <v>466</v>
      </c>
      <c r="B463" s="3" t="n">
        <v>62</v>
      </c>
      <c r="C463" s="3" t="s">
        <v>467</v>
      </c>
      <c r="D463" s="3" t="n">
        <v>39</v>
      </c>
      <c r="E463" s="3" t="s">
        <v>186</v>
      </c>
      <c r="F463" s="3" t="s">
        <v>261</v>
      </c>
      <c r="G463" s="3" t="s">
        <v>187</v>
      </c>
      <c r="H463" s="3" t="s">
        <v>392</v>
      </c>
    </row>
    <row r="464" customFormat="false" ht="15" hidden="false" customHeight="false" outlineLevel="0" collapsed="false">
      <c r="A464" s="3" t="s">
        <v>466</v>
      </c>
      <c r="B464" s="3" t="n">
        <v>62</v>
      </c>
      <c r="C464" s="3" t="s">
        <v>467</v>
      </c>
      <c r="D464" s="3" t="n">
        <v>41</v>
      </c>
      <c r="E464" s="3" t="s">
        <v>189</v>
      </c>
      <c r="F464" s="3" t="s">
        <v>261</v>
      </c>
      <c r="G464" s="3" t="s">
        <v>187</v>
      </c>
      <c r="H464" s="3" t="s">
        <v>392</v>
      </c>
    </row>
    <row r="465" customFormat="false" ht="15" hidden="false" customHeight="false" outlineLevel="0" collapsed="false">
      <c r="A465" s="3" t="s">
        <v>466</v>
      </c>
      <c r="B465" s="3" t="n">
        <v>63</v>
      </c>
      <c r="C465" s="3" t="s">
        <v>467</v>
      </c>
      <c r="D465" s="3" t="n">
        <v>99</v>
      </c>
      <c r="E465" s="3" t="s">
        <v>186</v>
      </c>
      <c r="F465" s="3" t="s">
        <v>261</v>
      </c>
      <c r="G465" s="3" t="s">
        <v>187</v>
      </c>
      <c r="H465" s="3" t="s">
        <v>393</v>
      </c>
    </row>
    <row r="466" customFormat="false" ht="15" hidden="false" customHeight="false" outlineLevel="0" collapsed="false">
      <c r="A466" s="3" t="s">
        <v>466</v>
      </c>
      <c r="B466" s="3" t="n">
        <v>64</v>
      </c>
      <c r="C466" s="3" t="s">
        <v>467</v>
      </c>
      <c r="D466" s="3" t="n">
        <v>94</v>
      </c>
      <c r="E466" s="3" t="s">
        <v>186</v>
      </c>
      <c r="F466" s="3" t="s">
        <v>261</v>
      </c>
      <c r="G466" s="3" t="s">
        <v>187</v>
      </c>
      <c r="H466" s="3" t="s">
        <v>491</v>
      </c>
    </row>
    <row r="467" customFormat="false" ht="15" hidden="false" customHeight="false" outlineLevel="0" collapsed="false">
      <c r="A467" s="3" t="s">
        <v>466</v>
      </c>
      <c r="B467" s="3" t="n">
        <v>65</v>
      </c>
      <c r="C467" s="3" t="s">
        <v>467</v>
      </c>
      <c r="D467" s="3" t="n">
        <v>93</v>
      </c>
      <c r="E467" s="3" t="s">
        <v>186</v>
      </c>
      <c r="F467" s="3" t="s">
        <v>261</v>
      </c>
      <c r="G467" s="3" t="s">
        <v>187</v>
      </c>
      <c r="H467" s="3" t="s">
        <v>382</v>
      </c>
    </row>
    <row r="468" customFormat="false" ht="15" hidden="false" customHeight="false" outlineLevel="0" collapsed="false">
      <c r="A468" s="3" t="s">
        <v>466</v>
      </c>
      <c r="B468" s="3" t="n">
        <v>66</v>
      </c>
      <c r="C468" s="3" t="s">
        <v>467</v>
      </c>
      <c r="D468" s="3" t="n">
        <v>92</v>
      </c>
      <c r="E468" s="3" t="s">
        <v>186</v>
      </c>
      <c r="F468" s="3" t="s">
        <v>261</v>
      </c>
      <c r="G468" s="3" t="s">
        <v>187</v>
      </c>
      <c r="H468" s="3" t="s">
        <v>492</v>
      </c>
    </row>
    <row r="469" customFormat="false" ht="15" hidden="false" customHeight="false" outlineLevel="0" collapsed="false">
      <c r="A469" s="3" t="s">
        <v>466</v>
      </c>
      <c r="B469" s="3" t="n">
        <v>67</v>
      </c>
      <c r="C469" s="3" t="s">
        <v>467</v>
      </c>
      <c r="D469" s="3" t="n">
        <v>39</v>
      </c>
      <c r="E469" s="3" t="s">
        <v>186</v>
      </c>
      <c r="F469" s="3" t="s">
        <v>261</v>
      </c>
      <c r="G469" s="3" t="s">
        <v>187</v>
      </c>
      <c r="H469" s="3" t="s">
        <v>372</v>
      </c>
    </row>
    <row r="470" customFormat="false" ht="15" hidden="false" customHeight="false" outlineLevel="0" collapsed="false">
      <c r="A470" s="3" t="s">
        <v>466</v>
      </c>
      <c r="B470" s="3" t="n">
        <v>67</v>
      </c>
      <c r="C470" s="3" t="s">
        <v>467</v>
      </c>
      <c r="D470" s="3" t="n">
        <v>30</v>
      </c>
      <c r="E470" s="3" t="s">
        <v>189</v>
      </c>
      <c r="F470" s="3" t="s">
        <v>261</v>
      </c>
      <c r="G470" s="3" t="s">
        <v>187</v>
      </c>
      <c r="H470" s="3" t="s">
        <v>372</v>
      </c>
    </row>
    <row r="471" customFormat="false" ht="15" hidden="false" customHeight="false" outlineLevel="0" collapsed="false">
      <c r="A471" s="3" t="s">
        <v>466</v>
      </c>
      <c r="B471" s="3" t="n">
        <v>68</v>
      </c>
      <c r="C471" s="3" t="s">
        <v>467</v>
      </c>
      <c r="D471" s="3" t="n">
        <v>93</v>
      </c>
      <c r="E471" s="3" t="s">
        <v>186</v>
      </c>
      <c r="F471" s="3" t="s">
        <v>261</v>
      </c>
      <c r="G471" s="3" t="s">
        <v>187</v>
      </c>
      <c r="H471" s="3" t="s">
        <v>373</v>
      </c>
    </row>
    <row r="472" customFormat="false" ht="15" hidden="false" customHeight="false" outlineLevel="0" collapsed="false">
      <c r="A472" s="3" t="s">
        <v>466</v>
      </c>
      <c r="B472" s="3" t="n">
        <v>69</v>
      </c>
      <c r="C472" s="3" t="s">
        <v>467</v>
      </c>
      <c r="D472" s="3" t="n">
        <v>36</v>
      </c>
      <c r="E472" s="3" t="s">
        <v>186</v>
      </c>
      <c r="F472" s="3" t="s">
        <v>261</v>
      </c>
      <c r="G472" s="3" t="s">
        <v>187</v>
      </c>
      <c r="H472" s="3" t="s">
        <v>493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176</v>
      </c>
      <c r="B1" s="1" t="s">
        <v>177</v>
      </c>
      <c r="C1" s="1" t="s">
        <v>183</v>
      </c>
    </row>
    <row r="2" customFormat="false" ht="15" hidden="false" customHeight="false" outlineLevel="0" collapsed="false">
      <c r="A2" s="3" t="s">
        <v>220</v>
      </c>
      <c r="B2" s="3" t="n">
        <v>20</v>
      </c>
      <c r="C2" s="3" t="s">
        <v>494</v>
      </c>
    </row>
    <row r="3" customFormat="false" ht="15" hidden="false" customHeight="false" outlineLevel="0" collapsed="false">
      <c r="A3" s="3" t="s">
        <v>260</v>
      </c>
      <c r="B3" s="3" t="n">
        <v>7</v>
      </c>
      <c r="C3" s="3" t="s">
        <v>495</v>
      </c>
    </row>
    <row r="4" customFormat="false" ht="15" hidden="false" customHeight="false" outlineLevel="0" collapsed="false">
      <c r="A4" s="3" t="s">
        <v>260</v>
      </c>
      <c r="B4" s="3" t="n">
        <v>8</v>
      </c>
      <c r="C4" s="3" t="s">
        <v>496</v>
      </c>
    </row>
    <row r="5" customFormat="false" ht="15" hidden="false" customHeight="false" outlineLevel="0" collapsed="false">
      <c r="A5" s="3" t="s">
        <v>260</v>
      </c>
      <c r="B5" s="3" t="n">
        <v>10</v>
      </c>
      <c r="C5" s="3" t="s">
        <v>497</v>
      </c>
    </row>
    <row r="6" customFormat="false" ht="15" hidden="false" customHeight="false" outlineLevel="0" collapsed="false">
      <c r="A6" s="3" t="s">
        <v>295</v>
      </c>
      <c r="B6" s="3" t="n">
        <v>6</v>
      </c>
      <c r="C6" s="3" t="s">
        <v>498</v>
      </c>
    </row>
    <row r="7" customFormat="false" ht="15" hidden="false" customHeight="false" outlineLevel="0" collapsed="false">
      <c r="A7" s="3" t="s">
        <v>348</v>
      </c>
      <c r="B7" s="3" t="n">
        <v>27</v>
      </c>
      <c r="C7" s="3" t="s">
        <v>499</v>
      </c>
    </row>
    <row r="8" customFormat="false" ht="15" hidden="false" customHeight="false" outlineLevel="0" collapsed="false">
      <c r="A8" s="3" t="s">
        <v>395</v>
      </c>
      <c r="B8" s="3" t="n">
        <v>12</v>
      </c>
      <c r="C8" s="3" t="s">
        <v>500</v>
      </c>
    </row>
    <row r="9" customFormat="false" ht="15" hidden="false" customHeight="false" outlineLevel="0" collapsed="false">
      <c r="A9" s="3" t="s">
        <v>466</v>
      </c>
      <c r="B9" s="3" t="n">
        <v>36</v>
      </c>
      <c r="C9" s="3" t="s">
        <v>501</v>
      </c>
    </row>
    <row r="10" customFormat="false" ht="15" hidden="false" customHeight="false" outlineLevel="0" collapsed="false">
      <c r="A10" s="3" t="s">
        <v>466</v>
      </c>
      <c r="B10" s="3" t="n">
        <v>70</v>
      </c>
      <c r="C10" s="3" t="s">
        <v>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4" t="s">
        <v>503</v>
      </c>
    </row>
    <row r="3" customFormat="false" ht="15" hidden="false" customHeight="false" outlineLevel="0" collapsed="false">
      <c r="A3" s="5" t="s">
        <v>504</v>
      </c>
      <c r="B3" s="6" t="n">
        <v>7</v>
      </c>
    </row>
    <row r="4" customFormat="false" ht="15" hidden="false" customHeight="false" outlineLevel="0" collapsed="false">
      <c r="A4" s="5" t="s">
        <v>505</v>
      </c>
      <c r="B4" s="6" t="n">
        <v>7</v>
      </c>
    </row>
    <row r="5" customFormat="false" ht="15" hidden="false" customHeight="false" outlineLevel="0" collapsed="false">
      <c r="A5" s="5" t="s">
        <v>506</v>
      </c>
      <c r="B5" s="6" t="n">
        <v>1</v>
      </c>
    </row>
    <row r="7" customFormat="false" ht="15" hidden="false" customHeight="false" outlineLevel="0" collapsed="false">
      <c r="A7" s="7" t="s">
        <v>507</v>
      </c>
    </row>
    <row r="8" customFormat="false" ht="15" hidden="false" customHeight="false" outlineLevel="0" collapsed="false">
      <c r="A8" s="7" t="s">
        <v>508</v>
      </c>
    </row>
    <row r="9" customFormat="false" ht="15" hidden="false" customHeight="false" outlineLevel="0" collapsed="false">
      <c r="A9" s="7" t="s">
        <v>509</v>
      </c>
    </row>
    <row r="10" customFormat="false" ht="15" hidden="false" customHeight="false" outlineLevel="0" collapsed="false">
      <c r="A10" s="7" t="s">
        <v>510</v>
      </c>
    </row>
    <row r="11" customFormat="false" ht="15" hidden="false" customHeight="false" outlineLevel="0" collapsed="false">
      <c r="A11" s="7" t="s">
        <v>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2026-10-17T21:48:05Z</dcterms:created>
  <dc:creator>openpyxl</dc:creator>
  <dc:description/>
  <dc:language>en-US</dc:language>
  <cp:lastModifiedBy/>
  <dcterms:modified xsi:type="dcterms:W3CDTF">2026-10-17T21:48:05Z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