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<sst xmlns="http://schemas.openxmlformats.org/spreadsheetml/2006/main" count="2511" uniqueCount="358">
  <si>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</si>
  <si>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</si>
  <si>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</si>
  <si>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</si>
  <si>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</si>
  <si>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</si>
  <si>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</si>
  <si>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</si>
  <si>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</si>
  <si>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</si>
  <si>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</si>
  <si>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Introduction about Triangle</t>
  </si>
  <si>
    <t xml:space="preserve">What is the relation between sides of a triangle?</t>
  </si>
  <si>
    <t xml:space="preserve">Original</t>
  </si>
  <si>
    <t xml:space="preserve">What do you mean by solving a triangle?</t>
  </si>
  <si>
    <t xml:space="preserve">Basic Laws : Sine Law</t>
  </si>
  <si>
    <t xml:space="preserve">What is sine law?</t>
  </si>
  <si>
    <t xml:space="preserve">How to express a in terms of \sin A?</t>
  </si>
  <si>
    <t xml:space="preserve">How to use sine law in proving identities?</t>
  </si>
  <si>
    <t xml:space="preserve">How to use sine law in triangle questions by dividing in two triangles?</t>
  </si>
  <si>
    <t xml:space="preserve">How to find ratio of sides when all angles are known?</t>
  </si>
  <si>
    <t xml:space="preserve">Basic Laws : Cosine rule</t>
  </si>
  <si>
    <t xml:space="preserve">Write expression of cosine rule</t>
  </si>
  <si>
    <t xml:space="preserve">When should you use cosine rule?</t>
  </si>
  <si>
    <t xml:space="preserve">How to solve triangle if all three sides are known?</t>
  </si>
  <si>
    <t xml:space="preserve">How to find angles of triangle if ratio of all sides is known?</t>
  </si>
  <si>
    <t xml:space="preserve">How to solve triangle if two sides and angle between them is known?</t>
  </si>
  <si>
    <t xml:space="preserve">How to determine nature of triangle if all three sides are known?</t>
  </si>
  <si>
    <t xml:space="preserve">What is the formula for \cot A in terms of sides?</t>
  </si>
  <si>
    <t xml:space="preserve">Basic Laws : Projection Formulae</t>
  </si>
  <si>
    <t xml:space="preserve">Write expression of projection formulae</t>
  </si>
  <si>
    <t xml:space="preserve">How to use projection formulae in questions?</t>
  </si>
  <si>
    <t xml:space="preserve">Basic Laws : Tangent Rule</t>
  </si>
  <si>
    <t xml:space="preserve">Write expression of tangent rule.</t>
  </si>
  <si>
    <t xml:space="preserve">When should you use tangent rule?</t>
  </si>
  <si>
    <t xml:space="preserve">Area of Triangle</t>
  </si>
  <si>
    <t xml:space="preserve">Write expression for area of triangle.</t>
  </si>
  <si>
    <t xml:space="preserve">How to find length of altitude if all sides are known?</t>
  </si>
  <si>
    <t xml:space="preserve">Half Angle formulae</t>
  </si>
  <si>
    <t xml:space="preserve">What is the formulae of \sin\frac A2, \cos\frac A2, \tan\frac A2 and area of triangle in terms of sides?</t>
  </si>
  <si>
    <t xml:space="preserve">How to derive formulae of \sin\frac A2, \cos\frac A2, \tan\frac A2 and area of triangle in terms of sides?</t>
  </si>
  <si>
    <t xml:space="preserve">Ambiguous Case of SOT</t>
  </si>
  <si>
    <t xml:space="preserve">Which case is known as ambiguous case?</t>
  </si>
  <si>
    <t xml:space="preserve">Derive third side in terms of two sides and the angle.</t>
  </si>
  <si>
    <t xml:space="preserve">Write all 4 conditions and no of triangles corresponding to each condition.</t>
  </si>
  <si>
    <t xml:space="preserve">Derive all 4 conditions with the help of triangle construction</t>
  </si>
  <si>
    <t xml:space="preserve">m-n theorem</t>
  </si>
  <si>
    <t xml:space="preserve">Write expression of m-n theorem</t>
  </si>
  <si>
    <t xml:space="preserve">Derive expressions of m-n theorem</t>
  </si>
  <si>
    <t xml:space="preserve">When would you use m-n theorem</t>
  </si>
  <si>
    <t xml:space="preserve">Circumcircle and Circumradius</t>
  </si>
  <si>
    <t xml:space="preserve">Define circumcircle, circumcenter, circumradius for a triangle?</t>
  </si>
  <si>
    <t xml:space="preserve">Write expression to find circumradius in terms of side and sine of angle opposite to side</t>
  </si>
  <si>
    <t xml:space="preserve">Write expression to find circumradius in terms of sides and area of triangle</t>
  </si>
  <si>
    <t xml:space="preserve">What is the distance of circumcenter from all three vertices?</t>
  </si>
  <si>
    <t xml:space="preserve">What is the distance of circumcenter from all three sides?</t>
  </si>
  <si>
    <t xml:space="preserve">Which point is at equal distance from all three vertices?</t>
  </si>
  <si>
    <t xml:space="preserve">What is the position of circumcenter relative to a triangle?</t>
  </si>
  <si>
    <t xml:space="preserve">How to find position of circumcenter for a triangle geometrically?</t>
  </si>
  <si>
    <t xml:space="preserve">What is the angle subtended by a side at circumcenter?</t>
  </si>
  <si>
    <t xml:space="preserve">Incircle and Inradius</t>
  </si>
  <si>
    <t xml:space="preserve">Define incircle, incenter, inradius for a triangle?</t>
  </si>
  <si>
    <t xml:space="preserve">Write all three expression to find inradius.</t>
  </si>
  <si>
    <t xml:space="preserve">What is the distance of incenter from all three vertices?</t>
  </si>
  <si>
    <t xml:space="preserve">What is the distance of incenter from all three sides?</t>
  </si>
  <si>
    <t xml:space="preserve">Which point is at equal distance from all three sides?</t>
  </si>
  <si>
    <t xml:space="preserve">What is the position of incenter relative to a triangle?</t>
  </si>
  <si>
    <t xml:space="preserve">How to find position of incenter for a triangle geometrically?</t>
  </si>
  <si>
    <t xml:space="preserve">What is the angle subtended by a side at incenter?</t>
  </si>
  <si>
    <t xml:space="preserve">In what ratio, angle bisector of a vertex of triangle divides opposite side?</t>
  </si>
  <si>
    <t xml:space="preserve">In what ratio, incenter divides internal angle bisector?</t>
  </si>
  <si>
    <t xml:space="preserve">Derive formula for inradius in terms of side and area of triangle.</t>
  </si>
  <si>
    <t xml:space="preserve">How to find length of tangent from any vertex to incircle?</t>
  </si>
  <si>
    <t xml:space="preserve">Excircle and exradii</t>
  </si>
  <si>
    <t xml:space="preserve">Define excircle, excenter, exradius for a triangle?</t>
  </si>
  <si>
    <t xml:space="preserve">What is the position of excenter relative to a triangle?</t>
  </si>
  <si>
    <t xml:space="preserve">How to find position of excenter for a triangle geometrically?</t>
  </si>
  <si>
    <t xml:space="preserve">Write all three expression to find exradius.</t>
  </si>
  <si>
    <t xml:space="preserve">What is the distance of excenter from all three vertices?</t>
  </si>
  <si>
    <t xml:space="preserve">What is the distance of excenter from all three sides?</t>
  </si>
  <si>
    <t xml:space="preserve">In what ratio, excenter divides internal angle bisector?</t>
  </si>
  <si>
    <t xml:space="preserve">What is the angle subtended by a side at excenter?</t>
  </si>
  <si>
    <t xml:space="preserve">What is the value of \sum r_1?</t>
  </si>
  <si>
    <t xml:space="preserve">Rephrased</t>
  </si>
  <si>
    <t xml:space="preserve">When to use relation of r, r_1, r_2, r_3 in terms of R?</t>
  </si>
  <si>
    <t xml:space="preserve">How to find length of tangent from any vertex to excircle?</t>
  </si>
  <si>
    <t xml:space="preserve">Centroid and Median</t>
  </si>
  <si>
    <t xml:space="preserve">Define centroid and median for a triangle?</t>
  </si>
  <si>
    <t xml:space="preserve">In what ratio, a median divides the triangle in two parts?</t>
  </si>
  <si>
    <t xml:space="preserve">What is the position of centroid relative to a triangle?</t>
  </si>
  <si>
    <t xml:space="preserve">In what ratio, centroid divides a median?</t>
  </si>
  <si>
    <t xml:space="preserve">Write expression for length of median.</t>
  </si>
  <si>
    <t xml:space="preserve">Length of Angle bisector</t>
  </si>
  <si>
    <t xml:space="preserve">Write expression for length of angle bisector.</t>
  </si>
  <si>
    <t xml:space="preserve">Orthocenter and Pedal Triangle</t>
  </si>
  <si>
    <t xml:space="preserve">Define altitude, orthocenter and pedal triangle for a triangle</t>
  </si>
  <si>
    <t xml:space="preserve">What is the distance of orthocenter from all three vertices?</t>
  </si>
  <si>
    <t xml:space="preserve">What is the distance of orthocenter from all three sides?</t>
  </si>
  <si>
    <t xml:space="preserve">What is the angle subtended by a side at orthocenter?</t>
  </si>
  <si>
    <t xml:space="preserve">Write expression for sides and angles of pedal triangle.</t>
  </si>
  <si>
    <t xml:space="preserve">What is circumradius of a pedal triangle?</t>
  </si>
  <si>
    <t xml:space="preserve">Excentral Triangle</t>
  </si>
  <si>
    <t xml:space="preserve">Define excentral triangle for a triangle</t>
  </si>
  <si>
    <t xml:space="preserve">Relate excentral triangle with pedal triangle and how to find sides and angles of excentral triangle with its help</t>
  </si>
  <si>
    <t xml:space="preserve">Regular Polygon</t>
  </si>
  <si>
    <t xml:space="preserve">How to find side and area of a regular polygon in terms of its circumradius</t>
  </si>
  <si>
    <t xml:space="preserve">How to find side and area of a regular polygon in terms of its inradius</t>
  </si>
  <si>
    <t xml:space="preserve">How to find length of diagonal of a regular polygon in terms of its circumradius/inradius?</t>
  </si>
  <si>
    <t xml:space="preserve">What is internal angle of a regular polygon?</t>
  </si>
  <si>
    <t xml:space="preserve">Important Points</t>
  </si>
  <si>
    <t xml:space="preserve">What is the relation between R and r for equilateral triangle?</t>
  </si>
  <si>
    <t xml:space="preserve">Find all details of equilateral triangle in terms of its side.</t>
  </si>
  <si>
    <t xml:space="preserve">Write expression for area of a cyclic quadrilateral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</si>
  <si>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</si>
  <si>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</si>
  <si>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</si>
  <si>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</si>
  <si>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</si>
  <si>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</si>
  <si>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</si>
  <si>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</si>
  <si>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</si>
  <si>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</si>
  <si>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</si>
  <si>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</si>
  <si>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In a triangle ABC, right angled at C, tan A + tan B is equal to : c2 a2 b2 ab bc ac</t>
  </si>
  <si>
    <t xml:space="preserve">Also</t>
  </si>
  <si>
    <t xml:space="preserve">In a triangle ABC if    , then A is : a b c bc cos A cos B cos C a a b c bc</t>
  </si>
  <si>
    <t xml:space="preserve">If in a ABC, sin3A + sin3B + sin3C = 3 sin A . sin B . sin C, then :</t>
  </si>
  <si>
    <t xml:space="preserve">In a triangle ABC, a : b : c = 4 : 5 : 6 . Then 3A + B =</t>
  </si>
  <si>
    <t xml:space="preserve">The sides of a triangle are 17 , 25 and 28 . The length of the largest altitude is :</t>
  </si>
  <si>
    <t xml:space="preserve">Consider the triangle pictured as shown. If 0 &lt;  &lt; /2 then the number of integral values of c is :</t>
  </si>
  <si>
    <t xml:space="preserve">Triangle ABC has BC = 1 and AC = 2. The maximum possible value of the angle A is :     6 4 3 2</t>
  </si>
  <si>
    <t xml:space="preserve">Let ABC be a triangle right angled at C. The value of log a ·log a (b + c  1, c – b  1) equals : bc cb log b c a  log c b a b c c b</t>
  </si>
  <si>
    <t xml:space="preserve">In a triangle ABC, angle B &lt; angle C and the values of B and C satisfy the equation 2 tan x - k (1 + tan2 x) = 0 where (0 &lt; k &lt; 1) . Then th</t>
  </si>
  <si>
    <t xml:space="preserve">In an isosceles triangle ABC, AB = AC, BAC = 108° and AD trisects BAC and BD &gt; DC. The ratio is: DC BD DC 3 5 1 2 2</t>
  </si>
  <si>
    <t xml:space="preserve">The ratio of the sides of a triangle A BC is 1 : 3 : 2. The ratio A : B : C is :</t>
  </si>
  <si>
    <t xml:space="preserve">In ABC, a, b, c are the lengths of its sides and A, B, C are the angles of triangle ABC. The correct relation is : BC A A BC  2 </t>
  </si>
  <si>
    <t xml:space="preserve">If in a  ABC, cosA·cosB + sinA sinB sin2C = 1 then, the statement which is incorrect, is :  4</t>
  </si>
  <si>
    <t xml:space="preserve">The product of the arithmetic mean of the lengths of the sides of a triangle and harmonic mean of the lengths of the altitudes of the triang</t>
  </si>
  <si>
    <t xml:space="preserve">A triangle has base 10 cm long and the base angles of 50° and 70°. If the perimeter of the triangle is x + y cos z° where z  (0, 90) then t</t>
  </si>
  <si>
    <t xml:space="preserve">One side of a rectangular piece of paper is 6 cm, the adjacent sides being longer than 6 cms. One corner of the paper is folded so that it s</t>
  </si>
  <si>
    <t xml:space="preserve">Angles A, B and C of a triangle ABC are in A.P. If  , then A is equal to : c 2 b 3 c 2   5  6 4 12 2</t>
  </si>
  <si>
    <t xml:space="preserve">In a triangle ABC, A = 60° and b : c =  3  1 : 2 then (B – C) has the value equal to :</t>
  </si>
  <si>
    <t xml:space="preserve">In a triangle ABC, if A = 30° and  , then C, is equal to : c 2  3  2 1 b 2  3  2 1 c 2  3  2 1 1 1 2 2</t>
  </si>
  <si>
    <t xml:space="preserve">If the angles A, B and C of a triangle are in an arithmetic progression and if a, b and c denote the lengths of the sides a c opposite to A,</t>
  </si>
  <si>
    <t xml:space="preserve">Let ABC be a triangle such that ACB = and let a, b and c denote the lengths of the sides opposite to A, B and 6 C respectively. The value(s</t>
  </si>
  <si>
    <t xml:space="preserve">The expression is equal to : 4b2c2 (a  b  c)(b  c  a)(c  a  b)(a  b  c) 4b2c2</t>
  </si>
  <si>
    <t xml:space="preserve">In a ABC, if = = , then tan2 is equal to : 11 12 13 2 sa sb sc A 11 12 13 2 143 13 11 12 342 33 39 37</t>
  </si>
  <si>
    <t xml:space="preserve">If a, b, c are in A.P. then the numerical value of tan tan is : 2 2 A C 2 2</t>
  </si>
  <si>
    <t xml:space="preserve">In  ABC, the minimum vale of is : 2 A  cot 2 A B  cot2 2 . cot 2 2 A  cot 2 2</t>
  </si>
  <si>
    <t xml:space="preserve">In a triangle ABC, right angles at B, the inradius is : AB  BC  AC AB  AC  BC AB  BC  AC BC  AC  AB 2 2 2 2</t>
  </si>
  <si>
    <t xml:space="preserve">In a ABC, is equal to : 1  cos C r1  r2 1  cos C abc abc abc 2 2 c</t>
  </si>
  <si>
    <t xml:space="preserve">In a ABC, r1r2 + rr3 = ab (a  b ) c c</t>
  </si>
  <si>
    <t xml:space="preserve">In a triangle ABC, R(b + c) = a bc where R is the circumradius of the triangle. Then the triangle is :</t>
  </si>
  <si>
    <t xml:space="preserve">A triangle has sides 6, 7, 8. The line through its incentre parallel to the shortest side is drawn to meet the other two sides at P and Q. T</t>
  </si>
  <si>
    <t xml:space="preserve">If r1, r2, r3 be the radii of excircles of the triangle ABC, then  r1 is equal to :  r1r2  r1  r1r2 A A B A A 2 2 2 2 2</t>
  </si>
  <si>
    <t xml:space="preserve">If x, y &amp;z are the distances of incentre from the vertices of the ABC respectively then x y z = a bc A A A A 2 2 2 2</t>
  </si>
  <si>
    <t xml:space="preserve">With usual notations, in a triangle ABC, a cos(B – C) + b cos(C – A) + c cos(A – B) is equal to : abc abc 4abc abc R 4R R 2R 2</t>
  </si>
  <si>
    <t xml:space="preserve">Given an isosceles triangle, whose one angle is 120° and radius of its incircle is 3 . Then the area of triangle in sq. units is :</t>
  </si>
  <si>
    <t xml:space="preserve">Triangle ABC is right angled at A. The points P and Q are on the hypotenuse BC such that BP = PQ = QC. If AP = 3 and AQ = 4 then the length </t>
  </si>
  <si>
    <t xml:space="preserve">In an acute angled triangle ABC, point D, E and F are the feet of the perpendiculars from A, B and C onto BC, AC and AB respectively. H is t</t>
  </si>
  <si>
    <t xml:space="preserve">If R is the radius of circumscribing circle of a regular polygon of n-sides with side length 'a' then R = a  a  a  a    2 n 2 </t>
  </si>
  <si>
    <t xml:space="preserve">If A1, A2, A3 denote respectively the areas of an inscribed polygon of 2n sides, inscribed polygon of n sides and circumscribed polygon of n</t>
  </si>
  <si>
    <t xml:space="preserve">The area of the circle and the area of a regular polygon of n sides and of perimeter equal to that of the circle are in the ratio of :  </t>
  </si>
  <si>
    <t xml:space="preserve">J-II</t>
  </si>
  <si>
    <t xml:space="preserve">Prove that cot A + cot B + cot C = . 4 a 2  b2  c2 fl) dhft, cot A + cot B + cot C = . 4</t>
  </si>
  <si>
    <t xml:space="preserve">L et ar ea of a t r i angl e A B C i s 2 where AC = 2, AB =  3  1 and A is acut e. Find the value of (BC)2. 3 1 2 2</t>
  </si>
  <si>
    <t xml:space="preserve">Prove that a (cos C – cos B) = 2 (b – c) cos2 2 A fl) dhft, a (cos C – cos B) = 2 (b – c) cos2 2</t>
  </si>
  <si>
    <t xml:space="preserve">Prove that c  (a  b) cos  (a  b) 2 sin 2 2 2 C C fl) dhft, c 2  (a  b) 2 cos 2  (a  b) 2 sin 2 2 2</t>
  </si>
  <si>
    <t xml:space="preserve">Prove that   b2  c2 c2  a 2 a 2  b2 a sin(B C) b sin(C  A) c sin(A  B) fl) dhft,   b2  c2 c2  a 2 a 2  b2</t>
  </si>
  <si>
    <t xml:space="preserve">Prove that a2 (cos2 B – cos2C) + b2 (cos2 C – cos2 A) + c2 (cos2A – cos2B) = 0 fl) dhft, a2 (cos2 B – cos2C) + b2 (cos2 C – cos2 A) + c2 (co</t>
  </si>
  <si>
    <t xml:space="preserve">Prove that cos cos cos =  s 2 2 2 abc A B C fl) dhft, cos cos cos =  s 2 2 2</t>
  </si>
  <si>
    <t xml:space="preserve">Prove that (a  b  c)  2 2 2 2 2 2 a b c cot A  cot B  cot C A B C 2 cot  cot  cot fl) dhft, (a  b  c) 2 2 2  a 2  b 2  c 2 cot</t>
  </si>
  <si>
    <t xml:space="preserve">Check the ambiguity : 3 3 (i) If a = 5 , b = 7 and sin A = (ii) 2 b = 3 a , tan2 A = 4 5 (iii) A = 30º , b = 8 and a = 6 (iv) B = 30º , C = </t>
  </si>
  <si>
    <t xml:space="preserve">In the ambigious case given a , b and A . Prove that the differences between the values of ‘c’ is, 2 a  b sin A .</t>
  </si>
  <si>
    <t xml:space="preserve">Prove that (r1 + r2)tan = (r3  r) cot = c 2 2 C C fl) dhft, (r1 + r2)tan = (r3  r) cot = c 2 2</t>
  </si>
  <si>
    <t xml:space="preserve">Prove that (r1 r) (r2 r)(r3 r) = 4 R r2 fl) dhft, (r1 r) (r2 r)(r3 r) = 4 R r2</t>
  </si>
  <si>
    <t xml:space="preserve">Prove that (r + r1)tan +(r + r2)tan +(r + r3) tan =0 2 2 2 BC CA AB fl) dhft, (r + r1)tan +(r + r2)tan +(r + r3) tan =0 2 2 2</t>
  </si>
  <si>
    <t xml:space="preserve">Prove that 2  2  2  2  . r r1 r2 r3 2 1 1 1 1 a 2  b2  c2 fl) dhft,     r 2 r12 r2 2 r3 2 2</t>
  </si>
  <si>
    <t xml:space="preserve">Prove that (r3+ r1) (r3+ r2) sin C = 2 r3 r2 r3  r3r1  r1r2 fl) dhft, (r3+ r1) (r3+ r2) sin C = 2 r3 r2 r3  r3r1  r1r2</t>
  </si>
  <si>
    <t xml:space="preserve">Prove that   =r r1 r2 r3 bc  r2 r3 ca  r3 r1 ab  r1r2 fl) dhft,   =r r1 r2 r3</t>
  </si>
  <si>
    <t xml:space="preserve">Prove that Rr (sin A + sin B + sin C) =  fl) dhft, Rr (sin A + sin B + sin C) = </t>
  </si>
  <si>
    <t xml:space="preserve">Prove that 2R cos A = 2R + r – r1 fl) dhft, 2R cos A = 2R + r – r1</t>
  </si>
  <si>
    <t xml:space="preserve">If r1 = r + r2 + r3 then prove that the triangle is a right angled triangle.</t>
  </si>
  <si>
    <t xml:space="preserve">If two times the square of the diameter of the circumcircle of a triangle is equal to the sum of the squares of its sides then prove that th</t>
  </si>
  <si>
    <t xml:space="preserve">In acute angled triangle ABC, a semicircle with radius ra is constructed with its base on BC and tangent to the other two sides. rb and rc a</t>
  </si>
  <si>
    <t xml:space="preserve">If the length of the perpendiculars from the vertices of a triangle A, B, C on the opposite sides are 1 1 1 1 1 1 1 p1, p2, p3 then prove th</t>
  </si>
  <si>
    <t xml:space="preserve">Tangents parallel to the three sides of  ABC are drawn to its incircle. If x, y, z be the lengths of the parts of the x y z tangents within</t>
  </si>
  <si>
    <t xml:space="preserve">Circles with radii 3, 4 and 5 touch each other externally if P is the point of intersection of tangents to these circles at their points of </t>
  </si>
  <si>
    <t xml:space="preserve">Consider a triangle ABC and let a, b and c denote the lengths of the sides opposite to vertices A, B and C respectively. If a, b, c (in orde</t>
  </si>
  <si>
    <t xml:space="preserve">Consider a triangle ABC and let a, b and c denote the lengths of the sides opposite to vertices A, B and C respectively. Suppose a = 6, b = </t>
  </si>
  <si>
    <t xml:space="preserve">In a triangle ABC, let 2a2 + 4b2 + c2 = 2a(2b + c), then which of the following holds good? [Note : All symbols used have usual meaning in a</t>
  </si>
  <si>
    <t xml:space="preserve">In ABC, angles A, B and C are in the ratio 1 : 2 : 3, then which of the following is(are) correct? (All symbol used have usual meaning in a</t>
  </si>
  <si>
    <t xml:space="preserve">If the length of tangents from A, B, C to the incircle of ABC are 4, 6, 8 then which of the following is(are) correct? (All symbols used ha</t>
  </si>
  <si>
    <t xml:space="preserve">A triangle ABC has the feature, = then the correct statement(s) is/are : abc 2  sin A  sin A a cos A  b cos B  c cos C 1 abc 2  sin</t>
  </si>
  <si>
    <t xml:space="preserve">Internal bisector of A of a triangle ABC meets side BC at D. A line drawn through D perpendicular to AD intersects the side AC at E and the</t>
  </si>
  <si>
    <t xml:space="preserve">In ABC if p1, p2, p3 are lengths of altitudes from vertices A, B, C repectively and r1, r2, r3 denote the radii of ex- circles of ABC, if</t>
  </si>
  <si>
    <t xml:space="preserve">Area of the triangle ABC is equal to : 3 2 2</t>
  </si>
  <si>
    <t xml:space="preserve">The radius of the circle circumscribing the triangle ABC, is equal to : 10 5 2 2</t>
  </si>
  <si>
    <t xml:space="preserve">Let  denote the area of the triangle ABC and p be the area of its pedal triangle. If  = k p then k is equal to:</t>
  </si>
  <si>
    <t xml:space="preserve">In a  ABC, BC = 2, CA = 1 3 and C = 60°. Feet of the perpendicular from A, B and C on the opposite sides BC, CA and AB are D, E and F res</t>
  </si>
  <si>
    <t xml:space="preserve">Let P be an interior point of  ABC. Match the correct entries for the ratios of the Area of PBC : Area of PCA : Area of PAB depending on</t>
  </si>
  <si>
    <t xml:space="preserve">J-M(XII)</t>
  </si>
  <si>
    <t xml:space="preserve">Y</t>
  </si>
  <si>
    <t xml:space="preserve">The sum of the radii of inscribed and circumscribed circles for an n sided regular polygon of side a, is : [AIEEE-2003] a    a    </t>
  </si>
  <si>
    <t xml:space="preserve">In a triangle ABC, medians AD and BE are drawn. If AD = 4, DAB = and  ABE = , then the area of the 6 3 ABC is : [AIEEE-2003] 64 8 16 3 3</t>
  </si>
  <si>
    <t xml:space="preserve">If in a triangle ABC a cos2   + c cos2   = , then the sides a, b and c : [AIEEE-2003] 2   2  2 C A 3b     2</t>
  </si>
  <si>
    <t xml:space="preserve">The sides of a triangle are sin , cos  and 1  sin  cos  for some 0 &lt;  &lt; . Then the greatest angle of the 2 triangle is : [AIEEE-2004] </t>
  </si>
  <si>
    <t xml:space="preserve">In a triangle ABC, let C = . If r is the in-radius and R is the circumradius of the triangle ABC, then 2(r + R) 2 equals : : [AIEEE-2005] </t>
  </si>
  <si>
    <t xml:space="preserve">ABCD is a trapezium such that AB and CD are parallel and BC  CD . is ADB   , BC = p and CD = q, then AB is equal to : [JEE(Main)2013] (p</t>
  </si>
  <si>
    <t xml:space="preserve">In  ABC, the lengths of sides AC and AB are 12 cm and 5 cm, respectively. If the area of  ABC is 30 cm2 and R and r are respectively the r</t>
  </si>
  <si>
    <t xml:space="preserve">If in a triangle ABC, AB = 5 units, B  cos 1  3  and radius of circumcircle of ABC is 5 units, then the area (in 5 sq. units) of </t>
  </si>
  <si>
    <t xml:space="preserve">Let in a right angled triangle, the smallest angle be . If a triangle formed by taking the reciprocal of its sides is also a right angled t</t>
  </si>
  <si>
    <t xml:space="preserve">Let sin B  sin (C B ) , where A, B, C are angles of a triangle ABC. If the lengths of the sides opposite these angles are a, b, c respecti</t>
  </si>
  <si>
    <t xml:space="preserve">J-M(XIII)</t>
  </si>
  <si>
    <t xml:space="preserve">Let PQR be triangle. The point A, B and C are on the sides QR, RP and PQ respectively such that QA RB PC 1    . Then Area  PQR  is equ</t>
  </si>
  <si>
    <t xml:space="preserve">For a triangle ABC, the value of cos 2A  cos 2B  cos 2C is least. If its inradius is 3 and incentre is M, then which of the following is N</t>
  </si>
  <si>
    <t xml:space="preserve">In a triangle ABC, if cos A  2 cos B  cos C  2 and the lengths of the sides opposite to the angles A and C are 3 and 7 respectively, then</t>
  </si>
  <si>
    <t xml:space="preserve">In a triangle ABC, BC = 7, AC = 8, AB =   N and cos A  . If 49 cos(3C) + 42 = , where 3 n gcd(m, n) = 1, then m + n is equal to ________</t>
  </si>
  <si>
    <t xml:space="preserve">J-A</t>
  </si>
  <si>
    <t xml:space="preserve">Let PQR be a triangle of area  with a = 2, b = and c = , where a, b and c are the lengths of the sides of the 2 2 2 sin P  sin 2P triangle</t>
  </si>
  <si>
    <t xml:space="preserve">In a triangle PQR, P is the largest angle and cos P = . Further the incircle of the triangle touches the sides PQ.QR 3 and RP at N, L and M </t>
  </si>
  <si>
    <t xml:space="preserve">In a triangle the sum of two sides is x and the product of the same two sides is y. If x2 – c2= y. where c is the third side of the triangle</t>
  </si>
  <si>
    <t xml:space="preserve">In a triangle XYZ, let x, y, z be the lengths of sides opposite to the angles X, Y, Z, respectively, and 2s = x + y + z. sx sy sz 8 If </t>
  </si>
  <si>
    <t xml:space="preserve">The sides of a right angled triangle are in arithmetic progression. If the triangle has area 24, then what is the length of its smallest sid</t>
  </si>
  <si>
    <t xml:space="preserve">In a triangle PQR, let PQR = 30º and the sides PQ and QR have lengths 10 3 and 10, respectively. Then, which of the following statement(s) </t>
  </si>
  <si>
    <t xml:space="preserve">In a non right angled triangle PQR let p,q,r denote the length of the sides opposite to the angles at P,Q,R respectively. The median from R</t>
  </si>
  <si>
    <t xml:space="preserve">Let x, y and z be positive real numbers. Suppose x, y and z are the lengths of the sides of a triangle opposite to its X Z 2y angles X, Y an</t>
  </si>
  <si>
    <t xml:space="preserve">Consider a triangle PQR having sides of lengths p, q and r opposite to the angles P, Q and R, respectively. Then which of the following stat</t>
  </si>
  <si>
    <t xml:space="preserve">In a triangle ABC, let AB  23, BC  3 and CA = 4. Then the value of is _______. cot B [JEE(Adv.)2021] cot A  cot C cot B</t>
  </si>
  <si>
    <t xml:space="preserve">Let PQRS be a quadrilateral in plane, where QR = 1, PQR  QRS  70º , PQS  15º and PRS  40º . If RPS  º , PQ   and PS   , then </t>
  </si>
  <si>
    <t xml:space="preserve">Paragraph: obtuse angled triangle ABC, difference between largest and smallest angle is pi/2, sides in arithmetic progression, vertices on a</t>
  </si>
  <si>
    <t xml:space="preserve">(Same paragraph as Q14.) Then the inradius of the triangle ABC is ______. [JEE(Adv.)2023]</t>
  </si>
  <si>
    <t xml:space="preserve">C-I</t>
  </si>
  <si>
    <t xml:space="preserve">Which of the following pieces of data does NOT uniquely determine an acute–angled triangle ABC : (R being the radius of the circumcircle)</t>
  </si>
  <si>
    <t xml:space="preserve">In a triangle ABC, ABC = 120°, AB = 3 and BC = 4. If perpendicular constructed on the side AB at A and to the side BC at C meets at D then </t>
  </si>
  <si>
    <t xml:space="preserve">I f in a triangle sin A : sin C = sin (A  B) : sin (B  C) then a2 , b2 , c2 :</t>
  </si>
  <si>
    <t xml:space="preserve">In a triangle ABC, CH and CM are the lengths of the altitude and median to the base AB. If a = 10, b = 26, c = 32 then length (HM) :</t>
  </si>
  <si>
    <t xml:space="preserve">In ABC if a = 8, b = 9, c = 10, then the value of is : sin B tan C sin B 32 24 21 18 9 7 4 5</t>
  </si>
  <si>
    <t xml:space="preserve">In a triangle ABC, CD is the bisector of the angle C. If cos has the value and l (CD) = 6, then    has 2 3  a b the value equal to : 1 </t>
  </si>
  <si>
    <t xml:space="preserve">A sector OABO of central angle  is constructed in a circle with centre O and of radius 6. The radius of the circle that is circumscribed ab</t>
  </si>
  <si>
    <t xml:space="preserve">Let triangle ABC be an isosceles triangle with AB = AC. Suppose that the angle bisector of its angle B meets the side AC at a point D and th</t>
  </si>
  <si>
    <t xml:space="preserve">As shown in the figure AD is the altitude on BC and AD produced meets the circumcircle of ABC at P where DP = x. Similarly EQ = y and FR = </t>
  </si>
  <si>
    <t xml:space="preserve">In a  ABC, the value of is equal to : abc a cos A  b cos B  c cos C abc r R R 2r R 2r r R</t>
  </si>
  <si>
    <t xml:space="preserve">ABC is an acute angled triangle with circumcentre 'O' orthocentre H. If AO = AH then the measure of the angle A is :    5 6 4 3 12</t>
  </si>
  <si>
    <t xml:space="preserve">In a  ABC if b + c = 3a then cot · cot has the value equal to : 2 2 B C 2 2</t>
  </si>
  <si>
    <t xml:space="preserve">If A is the area and 2s the sum of the 3 sides of a triangle, then : s2 s2 s2 3 3 2 3 s2 s2 s2 3 3 2 3</t>
  </si>
  <si>
    <t xml:space="preserve">The medians of a  ABC are 9 cm, 12 cm and 15 cm respectively . Then the area of the triangle is :</t>
  </si>
  <si>
    <t xml:space="preserve">If l, m, n are the perpendiculars from the angular points of a  ABC upon the opposite sides a, b, c respectively b cm a n then,   is equ</t>
  </si>
  <si>
    <t xml:space="preserve">If ‘O’ is the circumcentre of the  ABC and R1, R2 and R3 are the radii of the circumcircles of triangles OBC, OCA a b c &amp; OAB respectively </t>
  </si>
  <si>
    <t xml:space="preserve">In a  ABC, following relations hold good . In which case(s) the triangle is a right angled triangle? (Assume all symbols have their usual m</t>
  </si>
  <si>
    <t xml:space="preserve">Two parallel chords are drawn on the same side of the centre of a circle of radius R . It is found that they subtend an angle of  and 2  </t>
  </si>
  <si>
    <t xml:space="preserve">In a ABC, a semicircle is inscribed, whose diameter lies on the side c. If x is the length of the angle bisector through angle C then the r</t>
  </si>
  <si>
    <t xml:space="preserve">In triangle ABC, let a = 5, b = 4 and cos (A – B) = , then which of the following statement(s) is (are) correct? 32 [Note : All symbols used</t>
  </si>
  <si>
    <t xml:space="preserve">In which of the following situations, it is possible to have a triangle ABC? (All symbols used have usual meaning in a triangle.) 2 A C </t>
  </si>
  <si>
    <t xml:space="preserve">In a triangle ABC, which of the following quantities denote the area of the triangle? a 2  b2  sin A sin B  r1 r2 r3 2  sin (A  B)   </t>
  </si>
  <si>
    <t xml:space="preserve">C-II</t>
  </si>
  <si>
    <t xml:space="preserve">With usual notation, if in a  ABC,   ; then prove that, cos A  cos B  cos C . 11 12 13 7 19 25 bc ca a b 11 12 13 7 19 25</t>
  </si>
  <si>
    <t xml:space="preserve">Given a triangle ABC with AB = 2 and AC = 1. Internal bisector of BAC intersects BC at D. If AD = BD and  is the area of triangle ABC, th</t>
  </si>
  <si>
    <t xml:space="preserve">In a triangle ABC, let angles A, B, C are in G.P. with common ratio 2. If circumradius of triangle ABC is 2, then find the value of (b–1 + c</t>
  </si>
  <si>
    <t xml:space="preserve">For any triangle ABC , if B = 3C, show that cos C = b  c and sin A = b  c . 4c 2 2c 4c 2 2c</t>
  </si>
  <si>
    <t xml:space="preserve">In a triangle ABC, BD is a median. If l (BD) = ·l (AB) and  DBC = . Determine the ABC. 4 2 3  4 2</t>
  </si>
  <si>
    <t xml:space="preserve">In an isosceles ABC, if the altitudes intersect on the inscribed circle then find the secant of the vertical angle 'A'.</t>
  </si>
  <si>
    <t xml:space="preserve">Find the angles of a triangle in which the altitude and a median drawn from the same vertex divide the angle at that vertex into 3 equal par</t>
  </si>
  <si>
    <t xml:space="preserve">The ratios of the lengths of the sides BC and AC of  ABC to the radius of circumscribed circle are equal to 2 and 3    1  respectively</t>
  </si>
  <si>
    <t xml:space="preserve">ABCD is a rhombus. The circumradii of  ABD and ACD are 12.5 and 25 respectively. Find the area of rhombus. fudkfy,A</t>
  </si>
  <si>
    <t xml:space="preserve">In a triangle ABC if a2 + b2 = 101c2 then find the value of . cot A  cot B cot C cot A  cot B</t>
  </si>
  <si>
    <t xml:space="preserve">The two adjacent sides of a cyclic quadrilateral are 2 &amp; 5 and the angle between them is 60°. If the area of the quadrilateral is 4 3 , find</t>
  </si>
  <si>
    <t xml:space="preserve">If in a  ABC , a = 6, b = 3 and cos(A  B) = 4/5 then find its area.</t>
  </si>
  <si>
    <t xml:space="preserve">In a  ABC a b (i) = (ii) 2 sin A cos B = sin C cos A cos B A A C (iii) tan2 + 2 tan tan  1 = 0, prove that (i)  (ii)  (iii)  (i). 2 2 </t>
  </si>
  <si>
    <t xml:space="preserve">Two sides of a triangle are of lengths 6 and 4 and the angle opposite to smaller side is 300. How many such triangles are possible? Find the</t>
  </si>
  <si>
    <t xml:space="preserve">With reference to a given circle, A1 and B1 are the areas of the inscribed and circumscribed regular polygons of n sides, A2 and B2 are corr</t>
  </si>
  <si>
    <t xml:space="preserve">The triangle ABC is a right angled triangle, right angle at A. The ratio of the radius of the circle circumscribed to the   radius of the </t>
  </si>
  <si>
    <t xml:space="preserve">ABC is a triangle. Circles with radii as shown are drawn inside the triangle each touching two sides and the incircle. Find the radius of th</t>
  </si>
  <si>
    <t xml:space="preserve">Line l is a tangent to a unit circle S at a point P. Point A and the circle S are on the same side of l, and the distance from A to l is 3. </t>
  </si>
  <si>
    <t xml:space="preserve">Let ABC be an acute triangle with orthocenter H. D, E, F are the feet of the perpendiculars from A, B, and C on the opposite sides. Also R i</t>
  </si>
  <si>
    <t xml:space="preserve">If  is the area of a triangle with side lengths a, b, c, then show that:  &lt; 4 a  b  cabc . Also show that equality occurs in the above</t>
  </si>
  <si>
    <t xml:space="preserve">If In is the area of n sided regular polygon inscribed in a circle of unit radius and On be the area of the polygon O n  2  2I n   cir</t>
  </si>
  <si>
    <t xml:space="preserve">If + + = , then the value of k is : c a b k bx cy az a 2  b2  c2 c a b k 3 2</t>
  </si>
  <si>
    <t xml:space="preserve">If cot A + cot B + cot C = k  2  2  2  , then the value of k is : x y z   1 1 1 x y z </t>
  </si>
  <si>
    <t xml:space="preserve">The value of + + is equal to : x y z c sin B  b sin C a sin C  c sin A b sin A  a sin B + y x z R s r R</t>
  </si>
  <si>
    <t xml:space="preserve">The area of circle circumscribing ABC is :    8 4 2</t>
  </si>
  <si>
    <t xml:space="preserve">Let 'O' be the circumcentre of ABC, the radius of circle inscribed in BOC is : 1 1 1 1 8 3 4 3 2 3 2</t>
  </si>
  <si>
    <t xml:space="preserve">Let B' be the image of point B with respect to side AC of ABC, then the length BB' is equal to : 3 2 1 3 4 4 2 2</t>
  </si>
  <si>
    <t xml:space="preserve">Match the following column : Column-I Column-II then greatest value of  is then least value of k satisfying is is parallel to BC, then valu</t>
  </si>
  <si>
    <t xml:space="preserve">Consider two circles S1 and S2 having their centers at B and C with radii r1 and r2 respectively, touching each other externally. A circle S</t>
  </si>
  <si>
    <t xml:space="preserve">ABC is a triangle in which cos (A – B) = and BC = 6, AC = 3. AD is the median through A, BAD = , CL 5 is perpendicular to AD : Column –I C</t>
  </si>
  <si>
    <t xml:space="preserve">DPP-1</t>
  </si>
  <si>
    <t xml:space="preserve">DPP</t>
  </si>
  <si>
    <t xml:space="preserve">sin  cos 2 a 2</t>
  </si>
  <si>
    <t xml:space="preserve">a (b cos C – c cos B ) = b2 – c2</t>
  </si>
  <si>
    <t xml:space="preserve">a (cos B + cos C) = 2(b + c) sin2 2</t>
  </si>
  <si>
    <t xml:space="preserve"> tan cot ab 2 2</t>
  </si>
  <si>
    <t xml:space="preserve">a sin   B   (b  c) sin 2  2</t>
  </si>
  <si>
    <t xml:space="preserve">(b  c  a )  cot  cot   2a cot  2 2 2</t>
  </si>
  <si>
    <t xml:space="preserve">(a2 – b2 + c2) tan B = (a2 + b2 – c2) tan C</t>
  </si>
  <si>
    <t xml:space="preserve">a sin (B – C) + b sin (C – A) + c sin (A – B) = 0</t>
  </si>
  <si>
    <t xml:space="preserve">a sin sin  b sin sin  c sin sin 0 2 2 2 2 2 2</t>
  </si>
  <si>
    <t xml:space="preserve">sin 2 A  sin 2 B  sin 2C  0 a2 b2 c2</t>
  </si>
  <si>
    <t xml:space="preserve">b2 sin 2C + c2 sin 2B = 2bc sin A</t>
  </si>
  <si>
    <t xml:space="preserve">(b + c) cos A +(c+ a) cosB + (a+b) cosC = a+ b + c</t>
  </si>
  <si>
    <t xml:space="preserve"> sin( B  C ) a2</t>
  </si>
  <si>
    <t xml:space="preserve">  0 sin B  sin C sin C  sin A sin A  sin B</t>
  </si>
  <si>
    <t xml:space="preserve">a2 + b2 + c2 = 2 (bc cos A + ca cos B + ab cos C)</t>
  </si>
  <si>
    <t xml:space="preserve">a3 cos (B – C) + b3 cos (C– A)+c3 cos (A– B)= 3abc</t>
  </si>
  <si>
    <t xml:space="preserve">In a triangle whose sides are 3, 4 and 37 metres respectively, prove that the largest angle is 120°.</t>
  </si>
  <si>
    <t xml:space="preserve">The sides of a right-angled triangle are 21 and 28 cm; find the length of the perpendiculars drawn to the hypothenuse from the right angle. </t>
  </si>
  <si>
    <t xml:space="preserve">If in any triangle the ratio of angles to one another as 1 : 2 : 3, prove that the corresponding sides are as 1: 3 : 2 .</t>
  </si>
  <si>
    <t xml:space="preserve">In any triangle, if tan  and tan  find tan , and prove that in this triangle a + c = 2b. 2 6 2 37 2 A 5 B 20 C 2 6 2 37 2</t>
  </si>
  <si>
    <t xml:space="preserve">In an isosceles right-angled triangle a straight line is drawn from the middle point of one of the equal sides to the opposite angle. Show t</t>
  </si>
  <si>
    <t xml:space="preserve">The perpendicular AD to the base of a triangle ABC divides it into segments such that BD, CD and AD are in the ratio of 2, 3 and 6; prove th</t>
  </si>
  <si>
    <t xml:space="preserve">A ring, 10 cm in diameter, is suspended from a point 12 cm above its centre by 6 equal strings attached to its circumference at equal interv</t>
  </si>
  <si>
    <t xml:space="preserve">If a2, b2 and c2 be in A.P. prove that cot A, cot B and cot C are in A.P. also.</t>
  </si>
  <si>
    <t xml:space="preserve">DPP-2</t>
  </si>
  <si>
    <t xml:space="preserve">If in a ABC,  = a2 – (b – c)2, then tan A =</t>
  </si>
  <si>
    <t xml:space="preserve">In a triangle, the lengths of the two larger sides are 10 and 9. If the angles are in AP, then the length of the thrid side can be</t>
  </si>
  <si>
    <t xml:space="preserve">In  ABC, the line joining the circumcentre to the incentre is parallel to BC, then cos B + cos C =</t>
  </si>
  <si>
    <t xml:space="preserve">The perimeter of a ABC is 6 times the arithmetic mean of the sines of its angles. If the a = 1, then the angle A is    6 3 2</t>
  </si>
  <si>
    <t xml:space="preserve">If a = 15 , b = 36 and c = 39 , then the value of cos A is equal to : 12 5 4 13 13 13 12 5 4 13 13 13</t>
  </si>
  <si>
    <t xml:space="preserve">If D is the mid point of the side BC of a triangle ABC and AD is perpendicular to AC , then :</t>
  </si>
  <si>
    <t xml:space="preserve">There exists a triangle ABC satisfying sin A sin B sin C 2 3 7 sin A sin B sin C 2 3 7</t>
  </si>
  <si>
    <t xml:space="preserve">If in a triangle ABC angles A , B , C are in A.P. and 2 b2 = 3 c2 , then least angle will be :</t>
  </si>
  <si>
    <t xml:space="preserve">If radius of the circumcircle of a  ABC is 4 cm and D , E , F are the feet of perpendiculars drawn from the vertices to the opposite sides,</t>
  </si>
  <si>
    <t xml:space="preserve">In a triangle ABC if r = , then the value of tan  tan  tan  is equal to : 1 2 2  2 2 r 1 A  B C r1 2 2  2 2</t>
  </si>
  <si>
    <t xml:space="preserve">If in triangle ABC , (a + b + c) (a + b – c) =  ab , then exhaustive range of ‘’ is :</t>
  </si>
  <si>
    <t xml:space="preserve">In a triangle ABC, if = 343 , then diameter of circle circumscribing the triangle is sin 3 A  sin 3 B  sin 3 C a 3  b3  c 3 sin 3 A  si</t>
  </si>
  <si>
    <t xml:space="preserve">If a, b and c be in A.P. prove that cos A cot , cos B cot , and cos C cot are in A.P.. 2 2 2 A B C 2 2 2</t>
  </si>
  <si>
    <t xml:space="preserve">If a, b and c are in H.P. prove that sin , sin 2 and sin 2 are also in H.P.. 2 2 2 2 A 2 B 2 C 2 2 2</t>
  </si>
  <si>
    <t xml:space="preserve">Two sides of a triangle are given by the roots of the equation , x2 – 2 3 x + 2 = 0 . The angle between the  sides is . Find the perimeter </t>
  </si>
  <si>
    <t xml:space="preserve">DPP-3</t>
  </si>
  <si>
    <t xml:space="preserve">If in a triangle ABC angle B = 90º, then tan2 is 2 bc bc bc a A 2 bc bc bc a</t>
  </si>
  <si>
    <t xml:space="preserve">In a triangle ABC , CH and CM are the lengths of the altitude and median to the base AB . If a = 10 , b = 26 , c = 32 then length (HM) is :</t>
  </si>
  <si>
    <t xml:space="preserve">In a ABC a = 5 , b = 4 and c = 3 . ‘G’ is the centroid of ABC. Circumradius of GAB is equal to : 5 5 3 12 13 3 13 2 13</t>
  </si>
  <si>
    <t xml:space="preserve">In a triangle ABC , if r1 = 2 r2 = 3 r3 , then show that = . b 4 a 5 b 4</t>
  </si>
  <si>
    <t xml:space="preserve">If I is the incentre of ABC, then show that the ratio IA : IB : IC = cosec : cosec : cosec 2 2 2 A B C 2 2 2</t>
  </si>
  <si>
    <t xml:space="preserve">If g , h , k denotes the sides of a pedal triangle , prove that : 2 + 2 + 2 = a b c 2a bc g h k a 2  b2  c2 a b c</t>
  </si>
  <si>
    <t xml:space="preserve">Two regular polygons of ‘ n ‘ and ‘ 2 n ‘ sides have the same perimeter , show that their areas are in the   ratio , 2 cos : 1 + cos . n n</t>
  </si>
  <si>
    <t xml:space="preserve">If 2a be the side of a regular polygon of ‘ n ‘ sides , R and r be the circumradius and inradius, prove that  R + r = a cot 2 n .  dhft;s </t>
  </si>
  <si>
    <t xml:space="preserve">  0 r1 r2 r3</t>
  </si>
  <si>
    <t xml:space="preserve">a cot A + b cot B + c cot C = 2(R + r)</t>
  </si>
  <si>
    <t xml:space="preserve">   (s  b) (s  c) (s  c) (s  a ) (s  a ) (s  b) r</t>
  </si>
  <si>
    <t xml:space="preserve">  a b r3</t>
  </si>
  <si>
    <t xml:space="preserve">        r r   r r   r r  r 2s 2  1 2 3</t>
  </si>
  <si>
    <t xml:space="preserve">          r r r r  r  r1 r2 r3   1 2 3</t>
  </si>
  <si>
    <t xml:space="preserve">cot + cot + cot = 2 2 2 </t>
  </si>
  <si>
    <t xml:space="preserve">Given a ABC with sides a = 7, b = 8 and c = 5. If the value of the expression  sin A   cot   2 p can be expressed in the form (lowe</t>
  </si>
  <si>
    <t xml:space="preserve">In a triangle ABC, if the sides a, b, c are roots of x3 – 11x2 + 38x – 40 = 0. If   a  = ,  q then find the least value of (p + q).  c</t>
  </si>
  <si>
    <t xml:space="preserve">A point ‘O’ is situated on a circle of radius R and with centre O, another circle of radius is described. Inside 2 the crescent shaped area 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</si>
  <si>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</si>
  <si>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</si>
  <si>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</si>
  <si>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</si>
  <si>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</si>
  <si>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23 graded questions; High threshold 2 (about 9.1%).</t>
  </si>
  <si>
    <t xml:space="preserve">Batch XIII: 17 graded questions; High threshold 2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</si>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</sst>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1</v>
      </c>
      <c r="H2" s="2" t="str">
        <f aca="false">IF(G2&gt;=Settings!$B$3,"High",IF(G2&gt;=Settings!$B$5,"Medium","Low"))</f>
        <v>Medium</v>
      </c>
      <c r="I2" s="2" t="n">
        <f aca="false">COUNTIFS(Map!$D:$D,$A2,Map!$G:$G,"Y")</f>
        <v>1</v>
      </c>
      <c r="J2" s="2" t="str">
        <f aca="false">IF(I2&gt;=Settings!$B$4,"High",IF(I2&gt;=Settings!$B$5,"Medium","Low"))</f>
        <v>Medium</v>
      </c>
      <c r="K2" s="2" t="n">
        <f aca="false">COUNTIF(Map!$D:$D,$A2)</f>
        <v>5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0</v>
      </c>
      <c r="H3" s="2" t="str">
        <f aca="false">IF(G3&gt;=Settings!$B$3,"High",IF(G3&gt;=Settings!$B$5,"Medium","Low"))</f>
        <v>Low</v>
      </c>
      <c r="I3" s="2" t="n">
        <f aca="false">COUNTIFS(Map!$D:$D,$A3,Map!$G:$G,"Y")</f>
        <v>0</v>
      </c>
      <c r="J3" s="2" t="str">
        <f aca="false">IF(I3&gt;=Settings!$B$4,"High",IF(I3&gt;=Settings!$B$5,"Medium","Low"))</f>
        <v>Low</v>
      </c>
      <c r="K3" s="2" t="n">
        <f aca="false">COUNTIF(Map!$D:$D,$A3)</f>
        <v>0</v>
      </c>
    </row>
    <row r="4" customFormat="false" ht="15" hidden="false" customHeight="false" outlineLevel="0" collapsed="false">
      <c r="A4" s="2" t="n">
        <v>3</v>
      </c>
      <c r="B4" s="2" t="s">
        <v>15</v>
      </c>
      <c r="C4" s="2" t="s">
        <v>16</v>
      </c>
      <c r="D4" s="2" t="s">
        <v>13</v>
      </c>
      <c r="E4" s="2"/>
      <c r="F4" s="2" t="n">
        <v>3</v>
      </c>
      <c r="G4" s="2" t="n">
        <f aca="false">COUNTIFS(Map!$D:$D,$A4,Map!$F:$F,"Y")</f>
        <v>4</v>
      </c>
      <c r="H4" s="2" t="str">
        <f aca="false">IF(G4&gt;=Settings!$B$3,"High",IF(G4&gt;=Settings!$B$5,"Medium","Low"))</f>
        <v>High</v>
      </c>
      <c r="I4" s="2" t="n">
        <f aca="false">COUNTIFS(Map!$D:$D,$A4,Map!$G:$G,"Y")</f>
        <v>1</v>
      </c>
      <c r="J4" s="2" t="str">
        <f aca="false">IF(I4&gt;=Settings!$B$4,"High",IF(I4&gt;=Settings!$B$5,"Medium","Low"))</f>
        <v>Medium</v>
      </c>
      <c r="K4" s="2" t="n">
        <f aca="false">COUNTIF(Map!$D:$D,$A4)</f>
        <v>11</v>
      </c>
    </row>
    <row r="5" customFormat="false" ht="15" hidden="false" customHeight="false" outlineLevel="0" collapsed="false">
      <c r="A5" s="2" t="n">
        <v>4</v>
      </c>
      <c r="B5" s="2" t="s">
        <v>15</v>
      </c>
      <c r="C5" s="2" t="s">
        <v>17</v>
      </c>
      <c r="D5" s="2" t="s">
        <v>13</v>
      </c>
      <c r="E5" s="2"/>
      <c r="F5" s="2" t="n">
        <v>4</v>
      </c>
      <c r="G5" s="2" t="n">
        <f aca="false">COUNTIFS(Map!$D:$D,$A5,Map!$F:$F,"Y")</f>
        <v>0</v>
      </c>
      <c r="H5" s="2" t="str">
        <f aca="false">IF(G5&gt;=Settings!$B$3,"High",IF(G5&gt;=Settings!$B$5,"Medium","Low"))</f>
        <v>Low</v>
      </c>
      <c r="I5" s="2" t="n">
        <f aca="false">COUNTIFS(Map!$D:$D,$A5,Map!$G:$G,"Y")</f>
        <v>0</v>
      </c>
      <c r="J5" s="2" t="str">
        <f aca="false">IF(I5&gt;=Settings!$B$4,"High",IF(I5&gt;=Settings!$B$5,"Medium","Low"))</f>
        <v>Low</v>
      </c>
      <c r="K5" s="2" t="n">
        <f aca="false">COUNTIF(Map!$D:$D,$A5)</f>
        <v>2</v>
      </c>
    </row>
    <row r="6" customFormat="false" ht="15" hidden="false" customHeight="false" outlineLevel="0" collapsed="false">
      <c r="A6" s="2" t="n">
        <v>5</v>
      </c>
      <c r="B6" s="2" t="s">
        <v>15</v>
      </c>
      <c r="C6" s="2" t="s">
        <v>18</v>
      </c>
      <c r="D6" s="2" t="s">
        <v>13</v>
      </c>
      <c r="E6" s="2"/>
      <c r="F6" s="2" t="n">
        <v>5</v>
      </c>
      <c r="G6" s="2" t="n">
        <f aca="false">COUNTIFS(Map!$D:$D,$A6,Map!$F:$F,"Y")</f>
        <v>1</v>
      </c>
      <c r="H6" s="2" t="str">
        <f aca="false">IF(G6&gt;=Settings!$B$3,"High",IF(G6&gt;=Settings!$B$5,"Medium","Low"))</f>
        <v>Medium</v>
      </c>
      <c r="I6" s="2" t="n">
        <f aca="false">COUNTIFS(Map!$D:$D,$A6,Map!$G:$G,"Y")</f>
        <v>1</v>
      </c>
      <c r="J6" s="2" t="str">
        <f aca="false">IF(I6&gt;=Settings!$B$4,"High",IF(I6&gt;=Settings!$B$5,"Medium","Low"))</f>
        <v>Medium</v>
      </c>
      <c r="K6" s="2" t="n">
        <f aca="false">COUNTIF(Map!$D:$D,$A6)</f>
        <v>26</v>
      </c>
    </row>
    <row r="7" customFormat="false" ht="15" hidden="false" customHeight="false" outlineLevel="0" collapsed="false">
      <c r="A7" s="2" t="n">
        <v>6</v>
      </c>
      <c r="B7" s="2" t="s">
        <v>15</v>
      </c>
      <c r="C7" s="2" t="s">
        <v>19</v>
      </c>
      <c r="D7" s="2" t="s">
        <v>13</v>
      </c>
      <c r="E7" s="2"/>
      <c r="F7" s="2" t="n">
        <v>6</v>
      </c>
      <c r="G7" s="2" t="n">
        <f aca="false">COUNTIFS(Map!$D:$D,$A7,Map!$F:$F,"Y")</f>
        <v>2</v>
      </c>
      <c r="H7" s="2" t="str">
        <f aca="false">IF(G7&gt;=Settings!$B$3,"High",IF(G7&gt;=Settings!$B$5,"Medium","Low"))</f>
        <v>High</v>
      </c>
      <c r="I7" s="2" t="n">
        <f aca="false">COUNTIFS(Map!$D:$D,$A7,Map!$G:$G,"Y")</f>
        <v>1</v>
      </c>
      <c r="J7" s="2" t="str">
        <f aca="false">IF(I7&gt;=Settings!$B$4,"High",IF(I7&gt;=Settings!$B$5,"Medium","Low"))</f>
        <v>Medium</v>
      </c>
      <c r="K7" s="2" t="n">
        <f aca="false">COUNTIF(Map!$D:$D,$A7)</f>
        <v>12</v>
      </c>
    </row>
    <row r="8" customFormat="false" ht="15" hidden="false" customHeight="false" outlineLevel="0" collapsed="false">
      <c r="A8" s="2" t="n">
        <v>7</v>
      </c>
      <c r="B8" s="2" t="s">
        <v>15</v>
      </c>
      <c r="C8" s="2" t="s">
        <v>20</v>
      </c>
      <c r="D8" s="2" t="s">
        <v>13</v>
      </c>
      <c r="E8" s="2"/>
      <c r="F8" s="2" t="n">
        <v>7</v>
      </c>
      <c r="G8" s="2" t="n">
        <f aca="false">COUNTIFS(Map!$D:$D,$A8,Map!$F:$F,"Y")</f>
        <v>1</v>
      </c>
      <c r="H8" s="2" t="str">
        <f aca="false">IF(G8&gt;=Settings!$B$3,"High",IF(G8&gt;=Settings!$B$5,"Medium","Low"))</f>
        <v>Medium</v>
      </c>
      <c r="I8" s="2" t="n">
        <f aca="false">COUNTIFS(Map!$D:$D,$A8,Map!$G:$G,"Y")</f>
        <v>0</v>
      </c>
      <c r="J8" s="2" t="str">
        <f aca="false">IF(I8&gt;=Settings!$B$4,"High",IF(I8&gt;=Settings!$B$5,"Medium","Low"))</f>
        <v>Low</v>
      </c>
      <c r="K8" s="2" t="n">
        <f aca="false">COUNTIF(Map!$D:$D,$A8)</f>
        <v>9</v>
      </c>
    </row>
    <row r="9" customFormat="false" ht="15" hidden="false" customHeight="false" outlineLevel="0" collapsed="false">
      <c r="A9" s="2" t="n">
        <v>8</v>
      </c>
      <c r="B9" s="2" t="s">
        <v>21</v>
      </c>
      <c r="C9" s="2" t="s">
        <v>22</v>
      </c>
      <c r="D9" s="2" t="s">
        <v>13</v>
      </c>
      <c r="E9" s="2"/>
      <c r="F9" s="2" t="n">
        <v>8</v>
      </c>
      <c r="G9" s="2" t="n">
        <f aca="false">COUNTIFS(Map!$D:$D,$A9,Map!$F:$F,"Y")</f>
        <v>1</v>
      </c>
      <c r="H9" s="2" t="str">
        <f aca="false">IF(G9&gt;=Settings!$B$3,"High",IF(G9&gt;=Settings!$B$5,"Medium","Low"))</f>
        <v>Medium</v>
      </c>
      <c r="I9" s="2" t="n">
        <f aca="false">COUNTIFS(Map!$D:$D,$A9,Map!$G:$G,"Y")</f>
        <v>1</v>
      </c>
      <c r="J9" s="2" t="str">
        <f aca="false">IF(I9&gt;=Settings!$B$4,"High",IF(I9&gt;=Settings!$B$5,"Medium","Low"))</f>
        <v>Medium</v>
      </c>
      <c r="K9" s="2" t="n">
        <f aca="false">COUNTIF(Map!$D:$D,$A9)</f>
        <v>10</v>
      </c>
    </row>
    <row r="10" customFormat="false" ht="15" hidden="false" customHeight="false" outlineLevel="0" collapsed="false">
      <c r="A10" s="2" t="n">
        <v>9</v>
      </c>
      <c r="B10" s="2" t="s">
        <v>21</v>
      </c>
      <c r="C10" s="2" t="s">
        <v>23</v>
      </c>
      <c r="D10" s="2" t="s">
        <v>13</v>
      </c>
      <c r="E10" s="2"/>
      <c r="F10" s="2" t="n">
        <v>9</v>
      </c>
      <c r="G10" s="2" t="n">
        <f aca="false">COUNTIFS(Map!$D:$D,$A10,Map!$F:$F,"Y")</f>
        <v>0</v>
      </c>
      <c r="H10" s="2" t="str">
        <f aca="false">IF(G10&gt;=Settings!$B$3,"High",IF(G10&gt;=Settings!$B$5,"Medium","Low"))</f>
        <v>Low</v>
      </c>
      <c r="I10" s="2" t="n">
        <f aca="false">COUNTIFS(Map!$D:$D,$A10,Map!$G:$G,"Y")</f>
        <v>0</v>
      </c>
      <c r="J10" s="2" t="str">
        <f aca="false">IF(I10&gt;=Settings!$B$4,"High",IF(I10&gt;=Settings!$B$5,"Medium","Low"))</f>
        <v>Low</v>
      </c>
      <c r="K10" s="2" t="n">
        <f aca="false">COUNTIF(Map!$D:$D,$A10)</f>
        <v>0</v>
      </c>
    </row>
    <row r="11" customFormat="false" ht="15" hidden="false" customHeight="false" outlineLevel="0" collapsed="false">
      <c r="A11" s="2" t="n">
        <v>10</v>
      </c>
      <c r="B11" s="2" t="s">
        <v>21</v>
      </c>
      <c r="C11" s="2" t="s">
        <v>24</v>
      </c>
      <c r="D11" s="2" t="s">
        <v>13</v>
      </c>
      <c r="E11" s="2"/>
      <c r="F11" s="2" t="n">
        <v>10</v>
      </c>
      <c r="G11" s="2" t="n">
        <f aca="false">COUNTIFS(Map!$D:$D,$A11,Map!$F:$F,"Y")</f>
        <v>3</v>
      </c>
      <c r="H11" s="2" t="str">
        <f aca="false">IF(G11&gt;=Settings!$B$3,"High",IF(G11&gt;=Settings!$B$5,"Medium","Low"))</f>
        <v>High</v>
      </c>
      <c r="I11" s="2" t="n">
        <f aca="false">COUNTIFS(Map!$D:$D,$A11,Map!$G:$G,"Y")</f>
        <v>4</v>
      </c>
      <c r="J11" s="2" t="str">
        <f aca="false">IF(I11&gt;=Settings!$B$4,"High",IF(I11&gt;=Settings!$B$5,"Medium","Low"))</f>
        <v>High</v>
      </c>
      <c r="K11" s="2" t="n">
        <f aca="false">COUNTIF(Map!$D:$D,$A11)</f>
        <v>9</v>
      </c>
    </row>
    <row r="12" customFormat="false" ht="15" hidden="false" customHeight="false" outlineLevel="0" collapsed="false">
      <c r="A12" s="2" t="n">
        <v>11</v>
      </c>
      <c r="B12" s="2" t="s">
        <v>21</v>
      </c>
      <c r="C12" s="2" t="s">
        <v>25</v>
      </c>
      <c r="D12" s="2" t="s">
        <v>13</v>
      </c>
      <c r="E12" s="2"/>
      <c r="F12" s="2" t="n">
        <v>11</v>
      </c>
      <c r="G12" s="2" t="n">
        <f aca="false">COUNTIFS(Map!$D:$D,$A12,Map!$F:$F,"Y")</f>
        <v>0</v>
      </c>
      <c r="H12" s="2" t="str">
        <f aca="false">IF(G12&gt;=Settings!$B$3,"High",IF(G12&gt;=Settings!$B$5,"Medium","Low"))</f>
        <v>Low</v>
      </c>
      <c r="I12" s="2" t="n">
        <f aca="false">COUNTIFS(Map!$D:$D,$A12,Map!$G:$G,"Y")</f>
        <v>0</v>
      </c>
      <c r="J12" s="2" t="str">
        <f aca="false">IF(I12&gt;=Settings!$B$4,"High",IF(I12&gt;=Settings!$B$5,"Medium","Low"))</f>
        <v>Low</v>
      </c>
      <c r="K12" s="2" t="n">
        <f aca="false">COUNTIF(Map!$D:$D,$A12)</f>
        <v>4</v>
      </c>
    </row>
    <row r="13" customFormat="false" ht="15" hidden="false" customHeight="false" outlineLevel="0" collapsed="false">
      <c r="A13" s="2" t="n">
        <v>12</v>
      </c>
      <c r="B13" s="2" t="s">
        <v>21</v>
      </c>
      <c r="C13" s="2" t="s">
        <v>26</v>
      </c>
      <c r="D13" s="2" t="s">
        <v>13</v>
      </c>
      <c r="E13" s="2"/>
      <c r="F13" s="2" t="n">
        <v>12</v>
      </c>
      <c r="G13" s="2" t="n">
        <f aca="false">COUNTIFS(Map!$D:$D,$A13,Map!$F:$F,"Y")</f>
        <v>2</v>
      </c>
      <c r="H13" s="2" t="str">
        <f aca="false">IF(G13&gt;=Settings!$B$3,"High",IF(G13&gt;=Settings!$B$5,"Medium","Low"))</f>
        <v>High</v>
      </c>
      <c r="I13" s="2" t="n">
        <f aca="false">COUNTIFS(Map!$D:$D,$A13,Map!$G:$G,"Y")</f>
        <v>2</v>
      </c>
      <c r="J13" s="2" t="str">
        <f aca="false">IF(I13&gt;=Settings!$B$4,"High",IF(I13&gt;=Settings!$B$5,"Medium","Low"))</f>
        <v>High</v>
      </c>
      <c r="K13" s="2" t="n">
        <f aca="false">COUNTIF(Map!$D:$D,$A13)</f>
        <v>10</v>
      </c>
    </row>
    <row r="14" customFormat="false" ht="15" hidden="false" customHeight="false" outlineLevel="0" collapsed="false">
      <c r="A14" s="2" t="n">
        <v>13</v>
      </c>
      <c r="B14" s="2" t="s">
        <v>21</v>
      </c>
      <c r="C14" s="2" t="s">
        <v>27</v>
      </c>
      <c r="D14" s="2" t="s">
        <v>13</v>
      </c>
      <c r="E14" s="2"/>
      <c r="F14" s="2" t="n">
        <v>13</v>
      </c>
      <c r="G14" s="2" t="n">
        <f aca="false">COUNTIFS(Map!$D:$D,$A14,Map!$F:$F,"Y")</f>
        <v>3</v>
      </c>
      <c r="H14" s="2" t="str">
        <f aca="false">IF(G14&gt;=Settings!$B$3,"High",IF(G14&gt;=Settings!$B$5,"Medium","Low"))</f>
        <v>High</v>
      </c>
      <c r="I14" s="2" t="n">
        <f aca="false">COUNTIFS(Map!$D:$D,$A14,Map!$G:$G,"Y")</f>
        <v>2</v>
      </c>
      <c r="J14" s="2" t="str">
        <f aca="false">IF(I14&gt;=Settings!$B$4,"High",IF(I14&gt;=Settings!$B$5,"Medium","Low"))</f>
        <v>High</v>
      </c>
      <c r="K14" s="2" t="n">
        <f aca="false">COUNTIF(Map!$D:$D,$A14)</f>
        <v>8</v>
      </c>
    </row>
    <row r="15" customFormat="false" ht="15" hidden="false" customHeight="false" outlineLevel="0" collapsed="false">
      <c r="A15" s="2" t="n">
        <v>14</v>
      </c>
      <c r="B15" s="2" t="s">
        <v>21</v>
      </c>
      <c r="C15" s="2" t="s">
        <v>28</v>
      </c>
      <c r="D15" s="2" t="s">
        <v>13</v>
      </c>
      <c r="E15" s="2"/>
      <c r="F15" s="2" t="n">
        <v>14</v>
      </c>
      <c r="G15" s="2" t="n">
        <f aca="false">COUNTIFS(Map!$D:$D,$A15,Map!$F:$F,"Y")</f>
        <v>1</v>
      </c>
      <c r="H15" s="2" t="str">
        <f aca="false">IF(G15&gt;=Settings!$B$3,"High",IF(G15&gt;=Settings!$B$5,"Medium","Low"))</f>
        <v>Medium</v>
      </c>
      <c r="I15" s="2" t="n">
        <f aca="false">COUNTIFS(Map!$D:$D,$A15,Map!$G:$G,"Y")</f>
        <v>1</v>
      </c>
      <c r="J15" s="2" t="str">
        <f aca="false">IF(I15&gt;=Settings!$B$4,"High",IF(I15&gt;=Settings!$B$5,"Medium","Low"))</f>
        <v>Medium</v>
      </c>
      <c r="K15" s="2" t="n">
        <f aca="false">COUNTIF(Map!$D:$D,$A15)</f>
        <v>6</v>
      </c>
    </row>
    <row r="16" customFormat="false" ht="15" hidden="false" customHeight="false" outlineLevel="0" collapsed="false">
      <c r="A16" s="2" t="n">
        <v>15</v>
      </c>
      <c r="B16" s="2" t="s">
        <v>29</v>
      </c>
      <c r="C16" s="2" t="s">
        <v>30</v>
      </c>
      <c r="D16" s="2" t="s">
        <v>13</v>
      </c>
      <c r="E16" s="2"/>
      <c r="F16" s="2" t="n">
        <v>15</v>
      </c>
      <c r="G16" s="2" t="n">
        <f aca="false">COUNTIFS(Map!$D:$D,$A16,Map!$F:$F,"Y")</f>
        <v>0</v>
      </c>
      <c r="H16" s="2" t="str">
        <f aca="false">IF(G16&gt;=Settings!$B$3,"High",IF(G16&gt;=Settings!$B$5,"Medium","Low"))</f>
        <v>Low</v>
      </c>
      <c r="I16" s="2" t="n">
        <f aca="false">COUNTIFS(Map!$D:$D,$A16,Map!$G:$G,"Y")</f>
        <v>0</v>
      </c>
      <c r="J16" s="2" t="str">
        <f aca="false">IF(I16&gt;=Settings!$B$4,"High",IF(I16&gt;=Settings!$B$5,"Medium","Low"))</f>
        <v>Low</v>
      </c>
      <c r="K16" s="2" t="n">
        <f aca="false">COUNTIF(Map!$D:$D,$A16)</f>
        <v>2</v>
      </c>
    </row>
    <row r="17" customFormat="false" ht="15" hidden="false" customHeight="false" outlineLevel="0" collapsed="false">
      <c r="A17" s="2" t="n">
        <v>16</v>
      </c>
      <c r="B17" s="2" t="s">
        <v>29</v>
      </c>
      <c r="C17" s="2" t="s">
        <v>31</v>
      </c>
      <c r="D17" s="2" t="s">
        <v>13</v>
      </c>
      <c r="E17" s="2"/>
      <c r="F17" s="2" t="n">
        <v>16</v>
      </c>
      <c r="G17" s="2" t="n">
        <f aca="false">COUNTIFS(Map!$D:$D,$A17,Map!$F:$F,"Y")</f>
        <v>2</v>
      </c>
      <c r="H17" s="2" t="str">
        <f aca="false">IF(G17&gt;=Settings!$B$3,"High",IF(G17&gt;=Settings!$B$5,"Medium","Low"))</f>
        <v>High</v>
      </c>
      <c r="I17" s="2" t="n">
        <f aca="false">COUNTIFS(Map!$D:$D,$A17,Map!$G:$G,"Y")</f>
        <v>1</v>
      </c>
      <c r="J17" s="2" t="str">
        <f aca="false">IF(I17&gt;=Settings!$B$4,"High",IF(I17&gt;=Settings!$B$5,"Medium","Low"))</f>
        <v>Medium</v>
      </c>
      <c r="K17" s="2" t="n">
        <f aca="false">COUNTIF(Map!$D:$D,$A17)</f>
        <v>7</v>
      </c>
    </row>
    <row r="18" customFormat="false" ht="15" hidden="false" customHeight="false" outlineLevel="0" collapsed="false">
      <c r="A18" s="2" t="n">
        <v>17</v>
      </c>
      <c r="B18" s="2" t="s">
        <v>32</v>
      </c>
      <c r="C18" s="2" t="s">
        <v>33</v>
      </c>
      <c r="D18" s="2" t="s">
        <v>13</v>
      </c>
      <c r="E18" s="2"/>
      <c r="F18" s="2" t="n">
        <v>17</v>
      </c>
      <c r="G18" s="2" t="n">
        <f aca="false">COUNTIFS(Map!$D:$D,$A18,Map!$F:$F,"Y")</f>
        <v>0</v>
      </c>
      <c r="H18" s="2" t="str">
        <f aca="false">IF(G18&gt;=Settings!$B$3,"High",IF(G18&gt;=Settings!$B$5,"Medium","Low"))</f>
        <v>Low</v>
      </c>
      <c r="I18" s="2" t="n">
        <f aca="false">COUNTIFS(Map!$D:$D,$A18,Map!$G:$G,"Y")</f>
        <v>0</v>
      </c>
      <c r="J18" s="2" t="str">
        <f aca="false">IF(I18&gt;=Settings!$B$4,"High",IF(I18&gt;=Settings!$B$5,"Medium","Low"))</f>
        <v>Low</v>
      </c>
      <c r="K18" s="2" t="n">
        <f aca="false">COUNTIF(Map!$D:$D,$A18)</f>
        <v>7</v>
      </c>
    </row>
    <row r="19" customFormat="false" ht="15" hidden="false" customHeight="false" outlineLevel="0" collapsed="false">
      <c r="A19" s="2" t="n">
        <v>18</v>
      </c>
      <c r="B19" s="2" t="s">
        <v>32</v>
      </c>
      <c r="C19" s="2" t="s">
        <v>34</v>
      </c>
      <c r="D19" s="2" t="s">
        <v>13</v>
      </c>
      <c r="E19" s="2"/>
      <c r="F19" s="2" t="n">
        <v>18</v>
      </c>
      <c r="G19" s="2" t="n">
        <f aca="false">COUNTIFS(Map!$D:$D,$A19,Map!$F:$F,"Y")</f>
        <v>0</v>
      </c>
      <c r="H19" s="2" t="str">
        <f aca="false">IF(G19&gt;=Settings!$B$3,"High",IF(G19&gt;=Settings!$B$5,"Medium","Low"))</f>
        <v>Low</v>
      </c>
      <c r="I19" s="2" t="n">
        <f aca="false">COUNTIFS(Map!$D:$D,$A19,Map!$G:$G,"Y")</f>
        <v>0</v>
      </c>
      <c r="J19" s="2" t="str">
        <f aca="false">IF(I19&gt;=Settings!$B$4,"High",IF(I19&gt;=Settings!$B$5,"Medium","Low"))</f>
        <v>Low</v>
      </c>
      <c r="K19" s="2" t="n">
        <f aca="false">COUNTIF(Map!$D:$D,$A19)</f>
        <v>1</v>
      </c>
    </row>
    <row r="20" customFormat="false" ht="15" hidden="false" customHeight="false" outlineLevel="0" collapsed="false">
      <c r="A20" s="2" t="n">
        <v>19</v>
      </c>
      <c r="B20" s="2" t="s">
        <v>35</v>
      </c>
      <c r="C20" s="2" t="s">
        <v>36</v>
      </c>
      <c r="D20" s="2" t="s">
        <v>13</v>
      </c>
      <c r="E20" s="2"/>
      <c r="F20" s="2" t="n">
        <v>19</v>
      </c>
      <c r="G20" s="2" t="n">
        <f aca="false">COUNTIFS(Map!$D:$D,$A20,Map!$F:$F,"Y")</f>
        <v>7</v>
      </c>
      <c r="H20" s="2" t="str">
        <f aca="false">IF(G20&gt;=Settings!$B$3,"High",IF(G20&gt;=Settings!$B$5,"Medium","Low"))</f>
        <v>High</v>
      </c>
      <c r="I20" s="2" t="n">
        <f aca="false">COUNTIFS(Map!$D:$D,$A20,Map!$G:$G,"Y")</f>
        <v>5</v>
      </c>
      <c r="J20" s="2" t="str">
        <f aca="false">IF(I20&gt;=Settings!$B$4,"High",IF(I20&gt;=Settings!$B$5,"Medium","Low"))</f>
        <v>High</v>
      </c>
      <c r="K20" s="2" t="n">
        <f aca="false">COUNTIF(Map!$D:$D,$A20)</f>
        <v>21</v>
      </c>
    </row>
    <row r="21" customFormat="false" ht="15" hidden="false" customHeight="false" outlineLevel="0" collapsed="false">
      <c r="A21" s="2" t="n">
        <v>20</v>
      </c>
      <c r="B21" s="2" t="s">
        <v>35</v>
      </c>
      <c r="C21" s="2" t="s">
        <v>37</v>
      </c>
      <c r="D21" s="2" t="s">
        <v>13</v>
      </c>
      <c r="E21" s="2"/>
      <c r="F21" s="2" t="n">
        <v>20</v>
      </c>
      <c r="G21" s="2" t="n">
        <f aca="false">COUNTIFS(Map!$D:$D,$A21,Map!$F:$F,"Y")</f>
        <v>0</v>
      </c>
      <c r="H21" s="2" t="str">
        <f aca="false">IF(G21&gt;=Settings!$B$3,"High",IF(G21&gt;=Settings!$B$5,"Medium","Low"))</f>
        <v>Low</v>
      </c>
      <c r="I21" s="2" t="n">
        <f aca="false">COUNTIFS(Map!$D:$D,$A21,Map!$G:$G,"Y")</f>
        <v>0</v>
      </c>
      <c r="J21" s="2" t="str">
        <f aca="false">IF(I21&gt;=Settings!$B$4,"High",IF(I21&gt;=Settings!$B$5,"Medium","Low"))</f>
        <v>Low</v>
      </c>
      <c r="K21" s="2" t="n">
        <f aca="false">COUNTIF(Map!$D:$D,$A21)</f>
        <v>12</v>
      </c>
    </row>
    <row r="22" customFormat="false" ht="23.85" hidden="false" customHeight="false" outlineLevel="0" collapsed="false">
      <c r="A22" s="2" t="n">
        <v>21</v>
      </c>
      <c r="B22" s="2" t="s">
        <v>38</v>
      </c>
      <c r="C22" s="2" t="s">
        <v>39</v>
      </c>
      <c r="D22" s="2" t="s">
        <v>13</v>
      </c>
      <c r="E22" s="2"/>
      <c r="F22" s="2" t="n">
        <v>21</v>
      </c>
      <c r="G22" s="2" t="n">
        <f aca="false">COUNTIFS(Map!$D:$D,$A22,Map!$F:$F,"Y")</f>
        <v>3</v>
      </c>
      <c r="H22" s="2" t="str">
        <f aca="false">IF(G22&gt;=Settings!$B$3,"High",IF(G22&gt;=Settings!$B$5,"Medium","Low"))</f>
        <v>High</v>
      </c>
      <c r="I22" s="2" t="n">
        <f aca="false">COUNTIFS(Map!$D:$D,$A22,Map!$G:$G,"Y")</f>
        <v>3</v>
      </c>
      <c r="J22" s="2" t="str">
        <f aca="false">IF(I22&gt;=Settings!$B$4,"High",IF(I22&gt;=Settings!$B$5,"Medium","Low"))</f>
        <v>High</v>
      </c>
      <c r="K22" s="2" t="n">
        <f aca="false">COUNTIF(Map!$D:$D,$A22)</f>
        <v>30</v>
      </c>
    </row>
    <row r="23" customFormat="false" ht="23.85" hidden="false" customHeight="false" outlineLevel="0" collapsed="false">
      <c r="A23" s="2" t="n">
        <v>22</v>
      </c>
      <c r="B23" s="2" t="s">
        <v>38</v>
      </c>
      <c r="C23" s="2" t="s">
        <v>40</v>
      </c>
      <c r="D23" s="2" t="s">
        <v>13</v>
      </c>
      <c r="E23" s="2"/>
      <c r="F23" s="2" t="n">
        <v>22</v>
      </c>
      <c r="G23" s="2" t="n">
        <f aca="false">COUNTIFS(Map!$D:$D,$A23,Map!$F:$F,"Y")</f>
        <v>0</v>
      </c>
      <c r="H23" s="2" t="str">
        <f aca="false">IF(G23&gt;=Settings!$B$3,"High",IF(G23&gt;=Settings!$B$5,"Medium","Low"))</f>
        <v>Low</v>
      </c>
      <c r="I23" s="2" t="n">
        <f aca="false">COUNTIFS(Map!$D:$D,$A23,Map!$G:$G,"Y")</f>
        <v>0</v>
      </c>
      <c r="J23" s="2" t="str">
        <f aca="false">IF(I23&gt;=Settings!$B$4,"High",IF(I23&gt;=Settings!$B$5,"Medium","Low"))</f>
        <v>Low</v>
      </c>
      <c r="K23" s="2" t="n">
        <f aca="false">COUNTIF(Map!$D:$D,$A23)</f>
        <v>0</v>
      </c>
    </row>
    <row r="24" customFormat="false" ht="15" hidden="false" customHeight="false" outlineLevel="0" collapsed="false">
      <c r="A24" s="2" t="n">
        <v>23</v>
      </c>
      <c r="B24" s="2" t="s">
        <v>41</v>
      </c>
      <c r="C24" s="2" t="s">
        <v>42</v>
      </c>
      <c r="D24" s="2" t="s">
        <v>13</v>
      </c>
      <c r="E24" s="2"/>
      <c r="F24" s="2" t="n">
        <v>23</v>
      </c>
      <c r="G24" s="2" t="n">
        <f aca="false">COUNTIFS(Map!$D:$D,$A24,Map!$F:$F,"Y")</f>
        <v>0</v>
      </c>
      <c r="H24" s="2" t="str">
        <f aca="false">IF(G24&gt;=Settings!$B$3,"High",IF(G24&gt;=Settings!$B$5,"Medium","Low"))</f>
        <v>Low</v>
      </c>
      <c r="I24" s="2" t="n">
        <f aca="false">COUNTIFS(Map!$D:$D,$A24,Map!$G:$G,"Y")</f>
        <v>0</v>
      </c>
      <c r="J24" s="2" t="str">
        <f aca="false">IF(I24&gt;=Settings!$B$4,"High",IF(I24&gt;=Settings!$B$5,"Medium","Low"))</f>
        <v>Low</v>
      </c>
      <c r="K24" s="2" t="n">
        <f aca="false">COUNTIF(Map!$D:$D,$A24)</f>
        <v>0</v>
      </c>
    </row>
    <row r="25" customFormat="false" ht="15" hidden="false" customHeight="false" outlineLevel="0" collapsed="false">
      <c r="A25" s="2" t="n">
        <v>24</v>
      </c>
      <c r="B25" s="2" t="s">
        <v>41</v>
      </c>
      <c r="C25" s="2" t="s">
        <v>43</v>
      </c>
      <c r="D25" s="2" t="s">
        <v>13</v>
      </c>
      <c r="E25" s="2"/>
      <c r="F25" s="2" t="n">
        <v>24</v>
      </c>
      <c r="G25" s="2" t="n">
        <f aca="false">COUNTIFS(Map!$D:$D,$A25,Map!$F:$F,"Y")</f>
        <v>0</v>
      </c>
      <c r="H25" s="2" t="str">
        <f aca="false">IF(G25&gt;=Settings!$B$3,"High",IF(G25&gt;=Settings!$B$5,"Medium","Low"))</f>
        <v>Low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3</v>
      </c>
    </row>
    <row r="26" customFormat="false" ht="15" hidden="false" customHeight="false" outlineLevel="0" collapsed="false">
      <c r="A26" s="2" t="n">
        <v>25</v>
      </c>
      <c r="B26" s="2" t="s">
        <v>41</v>
      </c>
      <c r="C26" s="2" t="s">
        <v>44</v>
      </c>
      <c r="D26" s="2" t="s">
        <v>13</v>
      </c>
      <c r="E26" s="2"/>
      <c r="F26" s="2" t="n">
        <v>25</v>
      </c>
      <c r="G26" s="2" t="n">
        <f aca="false">COUNTIFS(Map!$D:$D,$A26,Map!$F:$F,"Y")</f>
        <v>0</v>
      </c>
      <c r="H26" s="2" t="str">
        <f aca="false">IF(G26&gt;=Settings!$B$3,"High",IF(G26&gt;=Settings!$B$5,"Medium","Low"))</f>
        <v>Low</v>
      </c>
      <c r="I26" s="2" t="n">
        <f aca="false">COUNTIFS(Map!$D:$D,$A26,Map!$G:$G,"Y")</f>
        <v>0</v>
      </c>
      <c r="J26" s="2" t="str">
        <f aca="false">IF(I26&gt;=Settings!$B$4,"High",IF(I26&gt;=Settings!$B$5,"Medium","Low"))</f>
        <v>Low</v>
      </c>
      <c r="K26" s="2" t="n">
        <f aca="false">COUNTIF(Map!$D:$D,$A26)</f>
        <v>4</v>
      </c>
    </row>
    <row r="27" customFormat="false" ht="15" hidden="false" customHeight="false" outlineLevel="0" collapsed="false">
      <c r="A27" s="2" t="n">
        <v>26</v>
      </c>
      <c r="B27" s="2" t="s">
        <v>41</v>
      </c>
      <c r="C27" s="2" t="s">
        <v>45</v>
      </c>
      <c r="D27" s="2" t="s">
        <v>13</v>
      </c>
      <c r="E27" s="2"/>
      <c r="F27" s="2" t="n">
        <v>26</v>
      </c>
      <c r="G27" s="2" t="n">
        <f aca="false">COUNTIFS(Map!$D:$D,$A27,Map!$F:$F,"Y")</f>
        <v>0</v>
      </c>
      <c r="H27" s="2" t="str">
        <f aca="false">IF(G27&gt;=Settings!$B$3,"High",IF(G27&gt;=Settings!$B$5,"Medium","Low"))</f>
        <v>Low</v>
      </c>
      <c r="I27" s="2" t="n">
        <f aca="false">COUNTIFS(Map!$D:$D,$A27,Map!$G:$G,"Y")</f>
        <v>0</v>
      </c>
      <c r="J27" s="2" t="str">
        <f aca="false">IF(I27&gt;=Settings!$B$4,"High",IF(I27&gt;=Settings!$B$5,"Medium","Low"))</f>
        <v>Low</v>
      </c>
      <c r="K27" s="2" t="n">
        <f aca="false">COUNTIF(Map!$D:$D,$A27)</f>
        <v>0</v>
      </c>
    </row>
    <row r="28" customFormat="false" ht="15" hidden="false" customHeight="false" outlineLevel="0" collapsed="false">
      <c r="A28" s="2" t="n">
        <v>27</v>
      </c>
      <c r="B28" s="2" t="s">
        <v>46</v>
      </c>
      <c r="C28" s="2" t="s">
        <v>47</v>
      </c>
      <c r="D28" s="2" t="s">
        <v>13</v>
      </c>
      <c r="E28" s="2"/>
      <c r="F28" s="2" t="n">
        <v>27</v>
      </c>
      <c r="G28" s="2" t="n">
        <f aca="false">COUNTIFS(Map!$D:$D,$A28,Map!$F:$F,"Y")</f>
        <v>0</v>
      </c>
      <c r="H28" s="2" t="str">
        <f aca="false">IF(G28&gt;=Settings!$B$3,"High",IF(G28&gt;=Settings!$B$5,"Medium","Low"))</f>
        <v>Low</v>
      </c>
      <c r="I28" s="2" t="n">
        <f aca="false">COUNTIFS(Map!$D:$D,$A28,Map!$G:$G,"Y")</f>
        <v>0</v>
      </c>
      <c r="J28" s="2" t="str">
        <f aca="false">IF(I28&gt;=Settings!$B$4,"High",IF(I28&gt;=Settings!$B$5,"Medium","Low"))</f>
        <v>Low</v>
      </c>
      <c r="K28" s="2" t="n">
        <f aca="false">COUNTIF(Map!$D:$D,$A28)</f>
        <v>0</v>
      </c>
    </row>
    <row r="29" customFormat="false" ht="15" hidden="false" customHeight="false" outlineLevel="0" collapsed="false">
      <c r="A29" s="2" t="n">
        <v>28</v>
      </c>
      <c r="B29" s="2" t="s">
        <v>46</v>
      </c>
      <c r="C29" s="2" t="s">
        <v>48</v>
      </c>
      <c r="D29" s="2" t="s">
        <v>13</v>
      </c>
      <c r="E29" s="2"/>
      <c r="F29" s="2" t="n">
        <v>28</v>
      </c>
      <c r="G29" s="2" t="n">
        <f aca="false">COUNTIFS(Map!$D:$D,$A29,Map!$F:$F,"Y")</f>
        <v>0</v>
      </c>
      <c r="H29" s="2" t="str">
        <f aca="false">IF(G29&gt;=Settings!$B$3,"High",IF(G29&gt;=Settings!$B$5,"Medium","Low"))</f>
        <v>Low</v>
      </c>
      <c r="I29" s="2" t="n">
        <f aca="false">COUNTIFS(Map!$D:$D,$A29,Map!$G:$G,"Y")</f>
        <v>0</v>
      </c>
      <c r="J29" s="2" t="str">
        <f aca="false">IF(I29&gt;=Settings!$B$4,"High",IF(I29&gt;=Settings!$B$5,"Medium","Low"))</f>
        <v>Low</v>
      </c>
      <c r="K29" s="2" t="n">
        <f aca="false">COUNTIF(Map!$D:$D,$A29)</f>
        <v>0</v>
      </c>
    </row>
    <row r="30" customFormat="false" ht="15" hidden="false" customHeight="false" outlineLevel="0" collapsed="false">
      <c r="A30" s="2" t="n">
        <v>29</v>
      </c>
      <c r="B30" s="2" t="s">
        <v>46</v>
      </c>
      <c r="C30" s="2" t="s">
        <v>49</v>
      </c>
      <c r="D30" s="2" t="s">
        <v>13</v>
      </c>
      <c r="E30" s="2"/>
      <c r="F30" s="2" t="n">
        <v>29</v>
      </c>
      <c r="G30" s="2" t="n">
        <f aca="false">COUNTIFS(Map!$D:$D,$A30,Map!$F:$F,"Y")</f>
        <v>0</v>
      </c>
      <c r="H30" s="2" t="str">
        <f aca="false">IF(G30&gt;=Settings!$B$3,"High",IF(G30&gt;=Settings!$B$5,"Medium","Low"))</f>
        <v>Low</v>
      </c>
      <c r="I30" s="2" t="n">
        <f aca="false">COUNTIFS(Map!$D:$D,$A30,Map!$G:$G,"Y")</f>
        <v>0</v>
      </c>
      <c r="J30" s="2" t="str">
        <f aca="false">IF(I30&gt;=Settings!$B$4,"High",IF(I30&gt;=Settings!$B$5,"Medium","Low"))</f>
        <v>Low</v>
      </c>
      <c r="K30" s="2" t="n">
        <f aca="false">COUNTIF(Map!$D:$D,$A30)</f>
        <v>5</v>
      </c>
    </row>
    <row r="31" customFormat="false" ht="15" hidden="false" customHeight="false" outlineLevel="0" collapsed="false">
      <c r="A31" s="2" t="n">
        <v>30</v>
      </c>
      <c r="B31" s="2" t="s">
        <v>50</v>
      </c>
      <c r="C31" s="2" t="s">
        <v>51</v>
      </c>
      <c r="D31" s="2" t="s">
        <v>13</v>
      </c>
      <c r="E31" s="2"/>
      <c r="F31" s="2" t="n">
        <v>30</v>
      </c>
      <c r="G31" s="2" t="n">
        <f aca="false">COUNTIFS(Map!$D:$D,$A31,Map!$F:$F,"Y")</f>
        <v>0</v>
      </c>
      <c r="H31" s="2" t="str">
        <f aca="false">IF(G31&gt;=Settings!$B$3,"High",IF(G31&gt;=Settings!$B$5,"Medium","Low"))</f>
        <v>Low</v>
      </c>
      <c r="I31" s="2" t="n">
        <f aca="false">COUNTIFS(Map!$D:$D,$A31,Map!$G:$G,"Y")</f>
        <v>0</v>
      </c>
      <c r="J31" s="2" t="str">
        <f aca="false">IF(I31&gt;=Settings!$B$4,"High",IF(I31&gt;=Settings!$B$5,"Medium","Low"))</f>
        <v>Low</v>
      </c>
      <c r="K31" s="2" t="n">
        <f aca="false">COUNTIF(Map!$D:$D,$A31)</f>
        <v>0</v>
      </c>
    </row>
    <row r="32" customFormat="false" ht="23.85" hidden="false" customHeight="false" outlineLevel="0" collapsed="false">
      <c r="A32" s="2" t="n">
        <v>31</v>
      </c>
      <c r="B32" s="2" t="s">
        <v>50</v>
      </c>
      <c r="C32" s="2" t="s">
        <v>52</v>
      </c>
      <c r="D32" s="2" t="s">
        <v>13</v>
      </c>
      <c r="E32" s="2"/>
      <c r="F32" s="2" t="n">
        <v>31</v>
      </c>
      <c r="G32" s="2" t="n">
        <f aca="false">COUNTIFS(Map!$D:$D,$A32,Map!$F:$F,"Y")</f>
        <v>6</v>
      </c>
      <c r="H32" s="2" t="str">
        <f aca="false">IF(G32&gt;=Settings!$B$3,"High",IF(G32&gt;=Settings!$B$5,"Medium","Low"))</f>
        <v>High</v>
      </c>
      <c r="I32" s="2" t="n">
        <f aca="false">COUNTIFS(Map!$D:$D,$A32,Map!$G:$G,"Y")</f>
        <v>4</v>
      </c>
      <c r="J32" s="2" t="str">
        <f aca="false">IF(I32&gt;=Settings!$B$4,"High",IF(I32&gt;=Settings!$B$5,"Medium","Low"))</f>
        <v>High</v>
      </c>
      <c r="K32" s="2" t="n">
        <f aca="false">COUNTIF(Map!$D:$D,$A32)</f>
        <v>31</v>
      </c>
    </row>
    <row r="33" customFormat="false" ht="15" hidden="false" customHeight="false" outlineLevel="0" collapsed="false">
      <c r="A33" s="2" t="n">
        <v>32</v>
      </c>
      <c r="B33" s="2" t="s">
        <v>50</v>
      </c>
      <c r="C33" s="2" t="s">
        <v>53</v>
      </c>
      <c r="D33" s="2" t="s">
        <v>13</v>
      </c>
      <c r="E33" s="2"/>
      <c r="F33" s="2" t="n">
        <v>32</v>
      </c>
      <c r="G33" s="2" t="n">
        <f aca="false">COUNTIFS(Map!$D:$D,$A33,Map!$F:$F,"Y")</f>
        <v>2</v>
      </c>
      <c r="H33" s="2" t="str">
        <f aca="false">IF(G33&gt;=Settings!$B$3,"High",IF(G33&gt;=Settings!$B$5,"Medium","Low"))</f>
        <v>High</v>
      </c>
      <c r="I33" s="2" t="n">
        <f aca="false">COUNTIFS(Map!$D:$D,$A33,Map!$G:$G,"Y")</f>
        <v>2</v>
      </c>
      <c r="J33" s="2" t="str">
        <f aca="false">IF(I33&gt;=Settings!$B$4,"High",IF(I33&gt;=Settings!$B$5,"Medium","Low"))</f>
        <v>High</v>
      </c>
      <c r="K33" s="2" t="n">
        <f aca="false">COUNTIF(Map!$D:$D,$A33)</f>
        <v>4</v>
      </c>
    </row>
    <row r="34" customFormat="false" ht="15" hidden="false" customHeight="false" outlineLevel="0" collapsed="false">
      <c r="A34" s="2" t="n">
        <v>33</v>
      </c>
      <c r="B34" s="2" t="s">
        <v>50</v>
      </c>
      <c r="C34" s="2" t="s">
        <v>54</v>
      </c>
      <c r="D34" s="2" t="s">
        <v>13</v>
      </c>
      <c r="E34" s="2"/>
      <c r="F34" s="2" t="n">
        <v>33</v>
      </c>
      <c r="G34" s="2" t="n">
        <f aca="false">COUNTIFS(Map!$D:$D,$A34,Map!$F:$F,"Y")</f>
        <v>0</v>
      </c>
      <c r="H34" s="2" t="str">
        <f aca="false">IF(G34&gt;=Settings!$B$3,"High",IF(G34&gt;=Settings!$B$5,"Medium","Low"))</f>
        <v>Low</v>
      </c>
      <c r="I34" s="2" t="n">
        <f aca="false">COUNTIFS(Map!$D:$D,$A34,Map!$G:$G,"Y")</f>
        <v>0</v>
      </c>
      <c r="J34" s="2" t="str">
        <f aca="false">IF(I34&gt;=Settings!$B$4,"High",IF(I34&gt;=Settings!$B$5,"Medium","Low"))</f>
        <v>Low</v>
      </c>
      <c r="K34" s="2" t="n">
        <f aca="false">COUNTIF(Map!$D:$D,$A34)</f>
        <v>0</v>
      </c>
    </row>
    <row r="35" customFormat="false" ht="15" hidden="false" customHeight="false" outlineLevel="0" collapsed="false">
      <c r="A35" s="2" t="n">
        <v>34</v>
      </c>
      <c r="B35" s="2" t="s">
        <v>50</v>
      </c>
      <c r="C35" s="2" t="s">
        <v>55</v>
      </c>
      <c r="D35" s="2" t="s">
        <v>13</v>
      </c>
      <c r="E35" s="2"/>
      <c r="F35" s="2" t="n">
        <v>34</v>
      </c>
      <c r="G35" s="2" t="n">
        <f aca="false">COUNTIFS(Map!$D:$D,$A35,Map!$F:$F,"Y")</f>
        <v>0</v>
      </c>
      <c r="H35" s="2" t="str">
        <f aca="false">IF(G35&gt;=Settings!$B$3,"High",IF(G35&gt;=Settings!$B$5,"Medium","Low"))</f>
        <v>Low</v>
      </c>
      <c r="I35" s="2" t="n">
        <f aca="false">COUNTIFS(Map!$D:$D,$A35,Map!$G:$G,"Y")</f>
        <v>0</v>
      </c>
      <c r="J35" s="2" t="str">
        <f aca="false">IF(I35&gt;=Settings!$B$4,"High",IF(I35&gt;=Settings!$B$5,"Medium","Low"))</f>
        <v>Low</v>
      </c>
      <c r="K35" s="2" t="n">
        <f aca="false">COUNTIF(Map!$D:$D,$A35)</f>
        <v>2</v>
      </c>
    </row>
    <row r="36" customFormat="false" ht="15" hidden="false" customHeight="false" outlineLevel="0" collapsed="false">
      <c r="A36" s="2" t="n">
        <v>35</v>
      </c>
      <c r="B36" s="2" t="s">
        <v>50</v>
      </c>
      <c r="C36" s="2" t="s">
        <v>56</v>
      </c>
      <c r="D36" s="2" t="s">
        <v>13</v>
      </c>
      <c r="E36" s="2"/>
      <c r="F36" s="2" t="n">
        <v>35</v>
      </c>
      <c r="G36" s="2" t="n">
        <f aca="false">COUNTIFS(Map!$D:$D,$A36,Map!$F:$F,"Y")</f>
        <v>0</v>
      </c>
      <c r="H36" s="2" t="str">
        <f aca="false">IF(G36&gt;=Settings!$B$3,"High",IF(G36&gt;=Settings!$B$5,"Medium","Low"))</f>
        <v>Low</v>
      </c>
      <c r="I36" s="2" t="n">
        <f aca="false">COUNTIFS(Map!$D:$D,$A36,Map!$G:$G,"Y")</f>
        <v>0</v>
      </c>
      <c r="J36" s="2" t="str">
        <f aca="false">IF(I36&gt;=Settings!$B$4,"High",IF(I36&gt;=Settings!$B$5,"Medium","Low"))</f>
        <v>Low</v>
      </c>
      <c r="K36" s="2" t="n">
        <f aca="false">COUNTIF(Map!$D:$D,$A36)</f>
        <v>0</v>
      </c>
    </row>
    <row r="37" customFormat="false" ht="15" hidden="false" customHeight="false" outlineLevel="0" collapsed="false">
      <c r="A37" s="2" t="n">
        <v>36</v>
      </c>
      <c r="B37" s="2" t="s">
        <v>50</v>
      </c>
      <c r="C37" s="2" t="s">
        <v>57</v>
      </c>
      <c r="D37" s="2" t="s">
        <v>13</v>
      </c>
      <c r="E37" s="2"/>
      <c r="F37" s="2" t="n">
        <v>36</v>
      </c>
      <c r="G37" s="2" t="n">
        <f aca="false">COUNTIFS(Map!$D:$D,$A37,Map!$F:$F,"Y")</f>
        <v>0</v>
      </c>
      <c r="H37" s="2" t="str">
        <f aca="false">IF(G37&gt;=Settings!$B$3,"High",IF(G37&gt;=Settings!$B$5,"Medium","Low"))</f>
        <v>Low</v>
      </c>
      <c r="I37" s="2" t="n">
        <f aca="false">COUNTIFS(Map!$D:$D,$A37,Map!$G:$G,"Y")</f>
        <v>0</v>
      </c>
      <c r="J37" s="2" t="str">
        <f aca="false">IF(I37&gt;=Settings!$B$4,"High",IF(I37&gt;=Settings!$B$5,"Medium","Low"))</f>
        <v>Low</v>
      </c>
      <c r="K37" s="2" t="n">
        <f aca="false">COUNTIF(Map!$D:$D,$A37)</f>
        <v>0</v>
      </c>
    </row>
    <row r="38" customFormat="false" ht="15" hidden="false" customHeight="false" outlineLevel="0" collapsed="false">
      <c r="A38" s="2" t="n">
        <v>37</v>
      </c>
      <c r="B38" s="2" t="s">
        <v>50</v>
      </c>
      <c r="C38" s="2" t="s">
        <v>58</v>
      </c>
      <c r="D38" s="2" t="s">
        <v>13</v>
      </c>
      <c r="E38" s="2"/>
      <c r="F38" s="2" t="n">
        <v>37</v>
      </c>
      <c r="G38" s="2" t="n">
        <f aca="false">COUNTIFS(Map!$D:$D,$A38,Map!$F:$F,"Y")</f>
        <v>0</v>
      </c>
      <c r="H38" s="2" t="str">
        <f aca="false">IF(G38&gt;=Settings!$B$3,"High",IF(G38&gt;=Settings!$B$5,"Medium","Low"))</f>
        <v>Low</v>
      </c>
      <c r="I38" s="2" t="n">
        <f aca="false">COUNTIFS(Map!$D:$D,$A38,Map!$G:$G,"Y")</f>
        <v>0</v>
      </c>
      <c r="J38" s="2" t="str">
        <f aca="false">IF(I38&gt;=Settings!$B$4,"High",IF(I38&gt;=Settings!$B$5,"Medium","Low"))</f>
        <v>Low</v>
      </c>
      <c r="K38" s="2" t="n">
        <f aca="false">COUNTIF(Map!$D:$D,$A38)</f>
        <v>0</v>
      </c>
    </row>
    <row r="39" customFormat="false" ht="15" hidden="false" customHeight="false" outlineLevel="0" collapsed="false">
      <c r="A39" s="2" t="n">
        <v>38</v>
      </c>
      <c r="B39" s="2" t="s">
        <v>50</v>
      </c>
      <c r="C39" s="2" t="s">
        <v>59</v>
      </c>
      <c r="D39" s="2" t="s">
        <v>13</v>
      </c>
      <c r="E39" s="2"/>
      <c r="F39" s="2" t="n">
        <v>38</v>
      </c>
      <c r="G39" s="2" t="n">
        <f aca="false">COUNTIFS(Map!$D:$D,$A39,Map!$F:$F,"Y")</f>
        <v>0</v>
      </c>
      <c r="H39" s="2" t="str">
        <f aca="false">IF(G39&gt;=Settings!$B$3,"High",IF(G39&gt;=Settings!$B$5,"Medium","Low"))</f>
        <v>Low</v>
      </c>
      <c r="I39" s="2" t="n">
        <f aca="false">COUNTIFS(Map!$D:$D,$A39,Map!$G:$G,"Y")</f>
        <v>0</v>
      </c>
      <c r="J39" s="2" t="str">
        <f aca="false">IF(I39&gt;=Settings!$B$4,"High",IF(I39&gt;=Settings!$B$5,"Medium","Low"))</f>
        <v>Low</v>
      </c>
      <c r="K39" s="2" t="n">
        <f aca="false">COUNTIF(Map!$D:$D,$A39)</f>
        <v>3</v>
      </c>
    </row>
    <row r="40" customFormat="false" ht="15" hidden="false" customHeight="false" outlineLevel="0" collapsed="false">
      <c r="A40" s="2" t="n">
        <v>39</v>
      </c>
      <c r="B40" s="2" t="s">
        <v>60</v>
      </c>
      <c r="C40" s="2" t="s">
        <v>61</v>
      </c>
      <c r="D40" s="2" t="s">
        <v>13</v>
      </c>
      <c r="E40" s="2"/>
      <c r="F40" s="2" t="n">
        <v>39</v>
      </c>
      <c r="G40" s="2" t="n">
        <f aca="false">COUNTIFS(Map!$D:$D,$A40,Map!$F:$F,"Y")</f>
        <v>0</v>
      </c>
      <c r="H40" s="2" t="str">
        <f aca="false">IF(G40&gt;=Settings!$B$3,"High",IF(G40&gt;=Settings!$B$5,"Medium","Low"))</f>
        <v>Low</v>
      </c>
      <c r="I40" s="2" t="n">
        <f aca="false">COUNTIFS(Map!$D:$D,$A40,Map!$G:$G,"Y")</f>
        <v>0</v>
      </c>
      <c r="J40" s="2" t="str">
        <f aca="false">IF(I40&gt;=Settings!$B$4,"High",IF(I40&gt;=Settings!$B$5,"Medium","Low"))</f>
        <v>Low</v>
      </c>
      <c r="K40" s="2" t="n">
        <f aca="false">COUNTIF(Map!$D:$D,$A40)</f>
        <v>0</v>
      </c>
    </row>
    <row r="41" customFormat="false" ht="15" hidden="false" customHeight="false" outlineLevel="0" collapsed="false">
      <c r="A41" s="2" t="n">
        <v>40</v>
      </c>
      <c r="B41" s="2" t="s">
        <v>60</v>
      </c>
      <c r="C41" s="2" t="s">
        <v>62</v>
      </c>
      <c r="D41" s="2" t="s">
        <v>13</v>
      </c>
      <c r="E41" s="2"/>
      <c r="F41" s="2" t="n">
        <v>40</v>
      </c>
      <c r="G41" s="2" t="n">
        <f aca="false">COUNTIFS(Map!$D:$D,$A41,Map!$F:$F,"Y")</f>
        <v>6</v>
      </c>
      <c r="H41" s="2" t="str">
        <f aca="false">IF(G41&gt;=Settings!$B$3,"High",IF(G41&gt;=Settings!$B$5,"Medium","Low"))</f>
        <v>High</v>
      </c>
      <c r="I41" s="2" t="n">
        <f aca="false">COUNTIFS(Map!$D:$D,$A41,Map!$G:$G,"Y")</f>
        <v>5</v>
      </c>
      <c r="J41" s="2" t="str">
        <f aca="false">IF(I41&gt;=Settings!$B$4,"High",IF(I41&gt;=Settings!$B$5,"Medium","Low"))</f>
        <v>High</v>
      </c>
      <c r="K41" s="2" t="n">
        <f aca="false">COUNTIF(Map!$D:$D,$A41)</f>
        <v>34</v>
      </c>
    </row>
    <row r="42" customFormat="false" ht="15" hidden="false" customHeight="false" outlineLevel="0" collapsed="false">
      <c r="A42" s="2" t="n">
        <v>41</v>
      </c>
      <c r="B42" s="2" t="s">
        <v>60</v>
      </c>
      <c r="C42" s="2" t="s">
        <v>63</v>
      </c>
      <c r="D42" s="2" t="s">
        <v>13</v>
      </c>
      <c r="E42" s="2"/>
      <c r="F42" s="2" t="n">
        <v>41</v>
      </c>
      <c r="G42" s="2" t="n">
        <f aca="false">COUNTIFS(Map!$D:$D,$A42,Map!$F:$F,"Y")</f>
        <v>0</v>
      </c>
      <c r="H42" s="2" t="str">
        <f aca="false">IF(G42&gt;=Settings!$B$3,"High",IF(G42&gt;=Settings!$B$5,"Medium","Low"))</f>
        <v>Low</v>
      </c>
      <c r="I42" s="2" t="n">
        <f aca="false">COUNTIFS(Map!$D:$D,$A42,Map!$G:$G,"Y")</f>
        <v>1</v>
      </c>
      <c r="J42" s="2" t="str">
        <f aca="false">IF(I42&gt;=Settings!$B$4,"High",IF(I42&gt;=Settings!$B$5,"Medium","Low"))</f>
        <v>Medium</v>
      </c>
      <c r="K42" s="2" t="n">
        <f aca="false">COUNTIF(Map!$D:$D,$A42)</f>
        <v>4</v>
      </c>
    </row>
    <row r="43" customFormat="false" ht="15" hidden="false" customHeight="false" outlineLevel="0" collapsed="false">
      <c r="A43" s="2" t="n">
        <v>42</v>
      </c>
      <c r="B43" s="2" t="s">
        <v>60</v>
      </c>
      <c r="C43" s="2" t="s">
        <v>64</v>
      </c>
      <c r="D43" s="2" t="s">
        <v>13</v>
      </c>
      <c r="E43" s="2"/>
      <c r="F43" s="2" t="n">
        <v>42</v>
      </c>
      <c r="G43" s="2" t="n">
        <f aca="false">COUNTIFS(Map!$D:$D,$A43,Map!$F:$F,"Y")</f>
        <v>0</v>
      </c>
      <c r="H43" s="2" t="str">
        <f aca="false">IF(G43&gt;=Settings!$B$3,"High",IF(G43&gt;=Settings!$B$5,"Medium","Low"))</f>
        <v>Low</v>
      </c>
      <c r="I43" s="2" t="n">
        <f aca="false">COUNTIFS(Map!$D:$D,$A43,Map!$G:$G,"Y")</f>
        <v>0</v>
      </c>
      <c r="J43" s="2" t="str">
        <f aca="false">IF(I43&gt;=Settings!$B$4,"High",IF(I43&gt;=Settings!$B$5,"Medium","Low"))</f>
        <v>Low</v>
      </c>
      <c r="K43" s="2" t="n">
        <f aca="false">COUNTIF(Map!$D:$D,$A43)</f>
        <v>0</v>
      </c>
    </row>
    <row r="44" customFormat="false" ht="15" hidden="false" customHeight="false" outlineLevel="0" collapsed="false">
      <c r="A44" s="2" t="n">
        <v>43</v>
      </c>
      <c r="B44" s="2" t="s">
        <v>60</v>
      </c>
      <c r="C44" s="2" t="s">
        <v>65</v>
      </c>
      <c r="D44" s="2" t="s">
        <v>13</v>
      </c>
      <c r="E44" s="2"/>
      <c r="F44" s="2" t="n">
        <v>43</v>
      </c>
      <c r="G44" s="2" t="n">
        <f aca="false">COUNTIFS(Map!$D:$D,$A44,Map!$F:$F,"Y")</f>
        <v>0</v>
      </c>
      <c r="H44" s="2" t="str">
        <f aca="false">IF(G44&gt;=Settings!$B$3,"High",IF(G44&gt;=Settings!$B$5,"Medium","Low"))</f>
        <v>Low</v>
      </c>
      <c r="I44" s="2" t="n">
        <f aca="false">COUNTIFS(Map!$D:$D,$A44,Map!$G:$G,"Y")</f>
        <v>0</v>
      </c>
      <c r="J44" s="2" t="str">
        <f aca="false">IF(I44&gt;=Settings!$B$4,"High",IF(I44&gt;=Settings!$B$5,"Medium","Low"))</f>
        <v>Low</v>
      </c>
      <c r="K44" s="2" t="n">
        <f aca="false">COUNTIF(Map!$D:$D,$A44)</f>
        <v>0</v>
      </c>
    </row>
    <row r="45" customFormat="false" ht="15" hidden="false" customHeight="false" outlineLevel="0" collapsed="false">
      <c r="A45" s="2" t="n">
        <v>44</v>
      </c>
      <c r="B45" s="2" t="s">
        <v>60</v>
      </c>
      <c r="C45" s="2" t="s">
        <v>66</v>
      </c>
      <c r="D45" s="2" t="s">
        <v>13</v>
      </c>
      <c r="E45" s="2"/>
      <c r="F45" s="2" t="n">
        <v>44</v>
      </c>
      <c r="G45" s="2" t="n">
        <f aca="false">COUNTIFS(Map!$D:$D,$A45,Map!$F:$F,"Y")</f>
        <v>0</v>
      </c>
      <c r="H45" s="2" t="str">
        <f aca="false">IF(G45&gt;=Settings!$B$3,"High",IF(G45&gt;=Settings!$B$5,"Medium","Low"))</f>
        <v>Low</v>
      </c>
      <c r="I45" s="2" t="n">
        <f aca="false">COUNTIFS(Map!$D:$D,$A45,Map!$G:$G,"Y")</f>
        <v>0</v>
      </c>
      <c r="J45" s="2" t="str">
        <f aca="false">IF(I45&gt;=Settings!$B$4,"High",IF(I45&gt;=Settings!$B$5,"Medium","Low"))</f>
        <v>Low</v>
      </c>
      <c r="K45" s="2" t="n">
        <f aca="false">COUNTIF(Map!$D:$D,$A45)</f>
        <v>0</v>
      </c>
    </row>
    <row r="46" customFormat="false" ht="15" hidden="false" customHeight="false" outlineLevel="0" collapsed="false">
      <c r="A46" s="2" t="n">
        <v>45</v>
      </c>
      <c r="B46" s="2" t="s">
        <v>60</v>
      </c>
      <c r="C46" s="2" t="s">
        <v>67</v>
      </c>
      <c r="D46" s="2" t="s">
        <v>13</v>
      </c>
      <c r="E46" s="2"/>
      <c r="F46" s="2" t="n">
        <v>45</v>
      </c>
      <c r="G46" s="2" t="n">
        <f aca="false">COUNTIFS(Map!$D:$D,$A46,Map!$F:$F,"Y")</f>
        <v>0</v>
      </c>
      <c r="H46" s="2" t="str">
        <f aca="false">IF(G46&gt;=Settings!$B$3,"High",IF(G46&gt;=Settings!$B$5,"Medium","Low"))</f>
        <v>Low</v>
      </c>
      <c r="I46" s="2" t="n">
        <f aca="false">COUNTIFS(Map!$D:$D,$A46,Map!$G:$G,"Y")</f>
        <v>0</v>
      </c>
      <c r="J46" s="2" t="str">
        <f aca="false">IF(I46&gt;=Settings!$B$4,"High",IF(I46&gt;=Settings!$B$5,"Medium","Low"))</f>
        <v>Low</v>
      </c>
      <c r="K46" s="2" t="n">
        <f aca="false">COUNTIF(Map!$D:$D,$A46)</f>
        <v>0</v>
      </c>
    </row>
    <row r="47" customFormat="false" ht="15" hidden="false" customHeight="false" outlineLevel="0" collapsed="false">
      <c r="A47" s="2" t="n">
        <v>46</v>
      </c>
      <c r="B47" s="2" t="s">
        <v>60</v>
      </c>
      <c r="C47" s="2" t="s">
        <v>68</v>
      </c>
      <c r="D47" s="2" t="s">
        <v>13</v>
      </c>
      <c r="E47" s="2"/>
      <c r="F47" s="2" t="n">
        <v>46</v>
      </c>
      <c r="G47" s="2" t="n">
        <f aca="false">COUNTIFS(Map!$D:$D,$A47,Map!$F:$F,"Y")</f>
        <v>0</v>
      </c>
      <c r="H47" s="2" t="str">
        <f aca="false">IF(G47&gt;=Settings!$B$3,"High",IF(G47&gt;=Settings!$B$5,"Medium","Low"))</f>
        <v>Low</v>
      </c>
      <c r="I47" s="2" t="n">
        <f aca="false">COUNTIFS(Map!$D:$D,$A47,Map!$G:$G,"Y")</f>
        <v>0</v>
      </c>
      <c r="J47" s="2" t="str">
        <f aca="false">IF(I47&gt;=Settings!$B$4,"High",IF(I47&gt;=Settings!$B$5,"Medium","Low"))</f>
        <v>Low</v>
      </c>
      <c r="K47" s="2" t="n">
        <f aca="false">COUNTIF(Map!$D:$D,$A47)</f>
        <v>1</v>
      </c>
    </row>
    <row r="48" customFormat="false" ht="15" hidden="false" customHeight="false" outlineLevel="0" collapsed="false">
      <c r="A48" s="2" t="n">
        <v>47</v>
      </c>
      <c r="B48" s="2" t="s">
        <v>60</v>
      </c>
      <c r="C48" s="2" t="s">
        <v>69</v>
      </c>
      <c r="D48" s="2" t="s">
        <v>13</v>
      </c>
      <c r="E48" s="2"/>
      <c r="F48" s="2" t="n">
        <v>47</v>
      </c>
      <c r="G48" s="2" t="n">
        <f aca="false">COUNTIFS(Map!$D:$D,$A48,Map!$F:$F,"Y")</f>
        <v>0</v>
      </c>
      <c r="H48" s="2" t="str">
        <f aca="false">IF(G48&gt;=Settings!$B$3,"High",IF(G48&gt;=Settings!$B$5,"Medium","Low"))</f>
        <v>Low</v>
      </c>
      <c r="I48" s="2" t="n">
        <f aca="false">COUNTIFS(Map!$D:$D,$A48,Map!$G:$G,"Y")</f>
        <v>0</v>
      </c>
      <c r="J48" s="2" t="str">
        <f aca="false">IF(I48&gt;=Settings!$B$4,"High",IF(I48&gt;=Settings!$B$5,"Medium","Low"))</f>
        <v>Low</v>
      </c>
      <c r="K48" s="2" t="n">
        <f aca="false">COUNTIF(Map!$D:$D,$A48)</f>
        <v>3</v>
      </c>
    </row>
    <row r="49" customFormat="false" ht="15" hidden="false" customHeight="false" outlineLevel="0" collapsed="false">
      <c r="A49" s="2" t="n">
        <v>48</v>
      </c>
      <c r="B49" s="2" t="s">
        <v>60</v>
      </c>
      <c r="C49" s="2" t="s">
        <v>70</v>
      </c>
      <c r="D49" s="2" t="s">
        <v>13</v>
      </c>
      <c r="E49" s="2"/>
      <c r="F49" s="2" t="n">
        <v>48</v>
      </c>
      <c r="G49" s="2" t="n">
        <f aca="false">COUNTIFS(Map!$D:$D,$A49,Map!$F:$F,"Y")</f>
        <v>0</v>
      </c>
      <c r="H49" s="2" t="str">
        <f aca="false">IF(G49&gt;=Settings!$B$3,"High",IF(G49&gt;=Settings!$B$5,"Medium","Low"))</f>
        <v>Low</v>
      </c>
      <c r="I49" s="2" t="n">
        <f aca="false">COUNTIFS(Map!$D:$D,$A49,Map!$G:$G,"Y")</f>
        <v>0</v>
      </c>
      <c r="J49" s="2" t="str">
        <f aca="false">IF(I49&gt;=Settings!$B$4,"High",IF(I49&gt;=Settings!$B$5,"Medium","Low"))</f>
        <v>Low</v>
      </c>
      <c r="K49" s="2" t="n">
        <f aca="false">COUNTIF(Map!$D:$D,$A49)</f>
        <v>0</v>
      </c>
    </row>
    <row r="50" customFormat="false" ht="15" hidden="false" customHeight="false" outlineLevel="0" collapsed="false">
      <c r="A50" s="2" t="n">
        <v>49</v>
      </c>
      <c r="B50" s="2" t="s">
        <v>60</v>
      </c>
      <c r="C50" s="2" t="s">
        <v>71</v>
      </c>
      <c r="D50" s="2" t="s">
        <v>13</v>
      </c>
      <c r="E50" s="2"/>
      <c r="F50" s="2" t="n">
        <v>49</v>
      </c>
      <c r="G50" s="2" t="n">
        <f aca="false">COUNTIFS(Map!$D:$D,$A50,Map!$F:$F,"Y")</f>
        <v>0</v>
      </c>
      <c r="H50" s="2" t="str">
        <f aca="false">IF(G50&gt;=Settings!$B$3,"High",IF(G50&gt;=Settings!$B$5,"Medium","Low"))</f>
        <v>Low</v>
      </c>
      <c r="I50" s="2" t="n">
        <f aca="false">COUNTIFS(Map!$D:$D,$A50,Map!$G:$G,"Y")</f>
        <v>0</v>
      </c>
      <c r="J50" s="2" t="str">
        <f aca="false">IF(I50&gt;=Settings!$B$4,"High",IF(I50&gt;=Settings!$B$5,"Medium","Low"))</f>
        <v>Low</v>
      </c>
      <c r="K50" s="2" t="n">
        <f aca="false">COUNTIF(Map!$D:$D,$A50)</f>
        <v>2</v>
      </c>
    </row>
    <row r="51" customFormat="false" ht="15" hidden="false" customHeight="false" outlineLevel="0" collapsed="false">
      <c r="A51" s="2" t="n">
        <v>50</v>
      </c>
      <c r="B51" s="2" t="s">
        <v>60</v>
      </c>
      <c r="C51" s="2" t="s">
        <v>66</v>
      </c>
      <c r="D51" s="2" t="s">
        <v>13</v>
      </c>
      <c r="E51" s="2"/>
      <c r="F51" s="2" t="n">
        <v>50</v>
      </c>
      <c r="G51" s="2" t="n">
        <f aca="false">COUNTIFS(Map!$D:$D,$A51,Map!$F:$F,"Y")</f>
        <v>0</v>
      </c>
      <c r="H51" s="2" t="str">
        <f aca="false">IF(G51&gt;=Settings!$B$3,"High",IF(G51&gt;=Settings!$B$5,"Medium","Low"))</f>
        <v>Low</v>
      </c>
      <c r="I51" s="2" t="n">
        <f aca="false">COUNTIFS(Map!$D:$D,$A51,Map!$G:$G,"Y")</f>
        <v>0</v>
      </c>
      <c r="J51" s="2" t="str">
        <f aca="false">IF(I51&gt;=Settings!$B$4,"High",IF(I51&gt;=Settings!$B$5,"Medium","Low"))</f>
        <v>Low</v>
      </c>
      <c r="K51" s="2" t="n">
        <f aca="false">COUNTIF(Map!$D:$D,$A51)</f>
        <v>0</v>
      </c>
    </row>
    <row r="52" customFormat="false" ht="15" hidden="false" customHeight="false" outlineLevel="0" collapsed="false">
      <c r="A52" s="2" t="n">
        <v>51</v>
      </c>
      <c r="B52" s="2" t="s">
        <v>60</v>
      </c>
      <c r="C52" s="2" t="s">
        <v>72</v>
      </c>
      <c r="D52" s="2" t="s">
        <v>13</v>
      </c>
      <c r="E52" s="2"/>
      <c r="F52" s="2" t="n">
        <v>51</v>
      </c>
      <c r="G52" s="2" t="n">
        <f aca="false">COUNTIFS(Map!$D:$D,$A52,Map!$F:$F,"Y")</f>
        <v>2</v>
      </c>
      <c r="H52" s="2" t="str">
        <f aca="false">IF(G52&gt;=Settings!$B$3,"High",IF(G52&gt;=Settings!$B$5,"Medium","Low"))</f>
        <v>High</v>
      </c>
      <c r="I52" s="2" t="n">
        <f aca="false">COUNTIFS(Map!$D:$D,$A52,Map!$G:$G,"Y")</f>
        <v>1</v>
      </c>
      <c r="J52" s="2" t="str">
        <f aca="false">IF(I52&gt;=Settings!$B$4,"High",IF(I52&gt;=Settings!$B$5,"Medium","Low"))</f>
        <v>Medium</v>
      </c>
      <c r="K52" s="2" t="n">
        <f aca="false">COUNTIF(Map!$D:$D,$A52)</f>
        <v>7</v>
      </c>
    </row>
    <row r="53" customFormat="false" ht="15" hidden="false" customHeight="false" outlineLevel="0" collapsed="false">
      <c r="A53" s="2" t="n">
        <v>52</v>
      </c>
      <c r="B53" s="2" t="s">
        <v>60</v>
      </c>
      <c r="C53" s="2" t="s">
        <v>67</v>
      </c>
      <c r="D53" s="2" t="s">
        <v>13</v>
      </c>
      <c r="E53" s="2"/>
      <c r="F53" s="2" t="n">
        <v>52</v>
      </c>
      <c r="G53" s="2" t="n">
        <f aca="false">COUNTIFS(Map!$D:$D,$A53,Map!$F:$F,"Y")</f>
        <v>0</v>
      </c>
      <c r="H53" s="2" t="str">
        <f aca="false">IF(G53&gt;=Settings!$B$3,"High",IF(G53&gt;=Settings!$B$5,"Medium","Low"))</f>
        <v>Low</v>
      </c>
      <c r="I53" s="2" t="n">
        <f aca="false">COUNTIFS(Map!$D:$D,$A53,Map!$G:$G,"Y")</f>
        <v>0</v>
      </c>
      <c r="J53" s="2" t="str">
        <f aca="false">IF(I53&gt;=Settings!$B$4,"High",IF(I53&gt;=Settings!$B$5,"Medium","Low"))</f>
        <v>Low</v>
      </c>
      <c r="K53" s="2" t="n">
        <f aca="false">COUNTIF(Map!$D:$D,$A53)</f>
        <v>0</v>
      </c>
    </row>
    <row r="54" customFormat="false" ht="15" hidden="false" customHeight="false" outlineLevel="0" collapsed="false">
      <c r="A54" s="2" t="n">
        <v>53</v>
      </c>
      <c r="B54" s="2" t="s">
        <v>73</v>
      </c>
      <c r="C54" s="2" t="s">
        <v>74</v>
      </c>
      <c r="D54" s="2" t="s">
        <v>13</v>
      </c>
      <c r="E54" s="2"/>
      <c r="F54" s="2" t="n">
        <v>53</v>
      </c>
      <c r="G54" s="2" t="n">
        <f aca="false">COUNTIFS(Map!$D:$D,$A54,Map!$F:$F,"Y")</f>
        <v>0</v>
      </c>
      <c r="H54" s="2" t="str">
        <f aca="false">IF(G54&gt;=Settings!$B$3,"High",IF(G54&gt;=Settings!$B$5,"Medium","Low"))</f>
        <v>Low</v>
      </c>
      <c r="I54" s="2" t="n">
        <f aca="false">COUNTIFS(Map!$D:$D,$A54,Map!$G:$G,"Y")</f>
        <v>0</v>
      </c>
      <c r="J54" s="2" t="str">
        <f aca="false">IF(I54&gt;=Settings!$B$4,"High",IF(I54&gt;=Settings!$B$5,"Medium","Low"))</f>
        <v>Low</v>
      </c>
      <c r="K54" s="2" t="n">
        <f aca="false">COUNTIF(Map!$D:$D,$A54)</f>
        <v>0</v>
      </c>
    </row>
    <row r="55" customFormat="false" ht="15" hidden="false" customHeight="false" outlineLevel="0" collapsed="false">
      <c r="A55" s="2" t="n">
        <v>54</v>
      </c>
      <c r="B55" s="2" t="s">
        <v>73</v>
      </c>
      <c r="C55" s="2" t="s">
        <v>75</v>
      </c>
      <c r="D55" s="2" t="s">
        <v>13</v>
      </c>
      <c r="E55" s="2"/>
      <c r="F55" s="2" t="n">
        <v>54</v>
      </c>
      <c r="G55" s="2" t="n">
        <f aca="false">COUNTIFS(Map!$D:$D,$A55,Map!$F:$F,"Y")</f>
        <v>0</v>
      </c>
      <c r="H55" s="2" t="str">
        <f aca="false">IF(G55&gt;=Settings!$B$3,"High",IF(G55&gt;=Settings!$B$5,"Medium","Low"))</f>
        <v>Low</v>
      </c>
      <c r="I55" s="2" t="n">
        <f aca="false">COUNTIFS(Map!$D:$D,$A55,Map!$G:$G,"Y")</f>
        <v>0</v>
      </c>
      <c r="J55" s="2" t="str">
        <f aca="false">IF(I55&gt;=Settings!$B$4,"High",IF(I55&gt;=Settings!$B$5,"Medium","Low"))</f>
        <v>Low</v>
      </c>
      <c r="K55" s="2" t="n">
        <f aca="false">COUNTIF(Map!$D:$D,$A55)</f>
        <v>0</v>
      </c>
    </row>
    <row r="56" customFormat="false" ht="15" hidden="false" customHeight="false" outlineLevel="0" collapsed="false">
      <c r="A56" s="2" t="n">
        <v>55</v>
      </c>
      <c r="B56" s="2" t="s">
        <v>73</v>
      </c>
      <c r="C56" s="2" t="s">
        <v>76</v>
      </c>
      <c r="D56" s="2" t="s">
        <v>13</v>
      </c>
      <c r="E56" s="2"/>
      <c r="F56" s="2" t="n">
        <v>55</v>
      </c>
      <c r="G56" s="2" t="n">
        <f aca="false">COUNTIFS(Map!$D:$D,$A56,Map!$F:$F,"Y")</f>
        <v>0</v>
      </c>
      <c r="H56" s="2" t="str">
        <f aca="false">IF(G56&gt;=Settings!$B$3,"High",IF(G56&gt;=Settings!$B$5,"Medium","Low"))</f>
        <v>Low</v>
      </c>
      <c r="I56" s="2" t="n">
        <f aca="false">COUNTIFS(Map!$D:$D,$A56,Map!$G:$G,"Y")</f>
        <v>0</v>
      </c>
      <c r="J56" s="2" t="str">
        <f aca="false">IF(I56&gt;=Settings!$B$4,"High",IF(I56&gt;=Settings!$B$5,"Medium","Low"))</f>
        <v>Low</v>
      </c>
      <c r="K56" s="2" t="n">
        <f aca="false">COUNTIF(Map!$D:$D,$A56)</f>
        <v>0</v>
      </c>
    </row>
    <row r="57" customFormat="false" ht="15" hidden="false" customHeight="false" outlineLevel="0" collapsed="false">
      <c r="A57" s="2" t="n">
        <v>56</v>
      </c>
      <c r="B57" s="2" t="s">
        <v>73</v>
      </c>
      <c r="C57" s="2" t="s">
        <v>77</v>
      </c>
      <c r="D57" s="2" t="s">
        <v>13</v>
      </c>
      <c r="E57" s="2"/>
      <c r="F57" s="2" t="n">
        <v>56</v>
      </c>
      <c r="G57" s="2" t="n">
        <f aca="false">COUNTIFS(Map!$D:$D,$A57,Map!$F:$F,"Y")</f>
        <v>0</v>
      </c>
      <c r="H57" s="2" t="str">
        <f aca="false">IF(G57&gt;=Settings!$B$3,"High",IF(G57&gt;=Settings!$B$5,"Medium","Low"))</f>
        <v>Low</v>
      </c>
      <c r="I57" s="2" t="n">
        <f aca="false">COUNTIFS(Map!$D:$D,$A57,Map!$G:$G,"Y")</f>
        <v>0</v>
      </c>
      <c r="J57" s="2" t="str">
        <f aca="false">IF(I57&gt;=Settings!$B$4,"High",IF(I57&gt;=Settings!$B$5,"Medium","Low"))</f>
        <v>Low</v>
      </c>
      <c r="K57" s="2" t="n">
        <f aca="false">COUNTIF(Map!$D:$D,$A57)</f>
        <v>20</v>
      </c>
    </row>
    <row r="58" customFormat="false" ht="15" hidden="false" customHeight="false" outlineLevel="0" collapsed="false">
      <c r="A58" s="2" t="n">
        <v>57</v>
      </c>
      <c r="B58" s="2" t="s">
        <v>73</v>
      </c>
      <c r="C58" s="2" t="s">
        <v>78</v>
      </c>
      <c r="D58" s="2" t="s">
        <v>13</v>
      </c>
      <c r="E58" s="2"/>
      <c r="F58" s="2" t="n">
        <v>57</v>
      </c>
      <c r="G58" s="2" t="n">
        <f aca="false">COUNTIFS(Map!$D:$D,$A58,Map!$F:$F,"Y")</f>
        <v>0</v>
      </c>
      <c r="H58" s="2" t="str">
        <f aca="false">IF(G58&gt;=Settings!$B$3,"High",IF(G58&gt;=Settings!$B$5,"Medium","Low"))</f>
        <v>Low</v>
      </c>
      <c r="I58" s="2" t="n">
        <f aca="false">COUNTIFS(Map!$D:$D,$A58,Map!$G:$G,"Y")</f>
        <v>0</v>
      </c>
      <c r="J58" s="2" t="str">
        <f aca="false">IF(I58&gt;=Settings!$B$4,"High",IF(I58&gt;=Settings!$B$5,"Medium","Low"))</f>
        <v>Low</v>
      </c>
      <c r="K58" s="2" t="n">
        <f aca="false">COUNTIF(Map!$D:$D,$A58)</f>
        <v>0</v>
      </c>
    </row>
    <row r="59" customFormat="false" ht="15" hidden="false" customHeight="false" outlineLevel="0" collapsed="false">
      <c r="A59" s="2" t="n">
        <v>58</v>
      </c>
      <c r="B59" s="2" t="s">
        <v>73</v>
      </c>
      <c r="C59" s="2" t="s">
        <v>79</v>
      </c>
      <c r="D59" s="2" t="s">
        <v>13</v>
      </c>
      <c r="E59" s="2"/>
      <c r="F59" s="2" t="n">
        <v>58</v>
      </c>
      <c r="G59" s="2" t="n">
        <f aca="false">COUNTIFS(Map!$D:$D,$A59,Map!$F:$F,"Y")</f>
        <v>0</v>
      </c>
      <c r="H59" s="2" t="str">
        <f aca="false">IF(G59&gt;=Settings!$B$3,"High",IF(G59&gt;=Settings!$B$5,"Medium","Low"))</f>
        <v>Low</v>
      </c>
      <c r="I59" s="2" t="n">
        <f aca="false">COUNTIFS(Map!$D:$D,$A59,Map!$G:$G,"Y")</f>
        <v>0</v>
      </c>
      <c r="J59" s="2" t="str">
        <f aca="false">IF(I59&gt;=Settings!$B$4,"High",IF(I59&gt;=Settings!$B$5,"Medium","Low"))</f>
        <v>Low</v>
      </c>
      <c r="K59" s="2" t="n">
        <f aca="false">COUNTIF(Map!$D:$D,$A59)</f>
        <v>0</v>
      </c>
    </row>
    <row r="60" customFormat="false" ht="15" hidden="false" customHeight="false" outlineLevel="0" collapsed="false">
      <c r="A60" s="2" t="n">
        <v>59</v>
      </c>
      <c r="B60" s="2" t="s">
        <v>73</v>
      </c>
      <c r="C60" s="2" t="s">
        <v>80</v>
      </c>
      <c r="D60" s="2" t="s">
        <v>13</v>
      </c>
      <c r="E60" s="2"/>
      <c r="F60" s="2" t="n">
        <v>59</v>
      </c>
      <c r="G60" s="2" t="n">
        <f aca="false">COUNTIFS(Map!$D:$D,$A60,Map!$F:$F,"Y")</f>
        <v>0</v>
      </c>
      <c r="H60" s="2" t="str">
        <f aca="false">IF(G60&gt;=Settings!$B$3,"High",IF(G60&gt;=Settings!$B$5,"Medium","Low"))</f>
        <v>Low</v>
      </c>
      <c r="I60" s="2" t="n">
        <f aca="false">COUNTIFS(Map!$D:$D,$A60,Map!$G:$G,"Y")</f>
        <v>0</v>
      </c>
      <c r="J60" s="2" t="str">
        <f aca="false">IF(I60&gt;=Settings!$B$4,"High",IF(I60&gt;=Settings!$B$5,"Medium","Low"))</f>
        <v>Low</v>
      </c>
      <c r="K60" s="2" t="n">
        <f aca="false">COUNTIF(Map!$D:$D,$A60)</f>
        <v>0</v>
      </c>
    </row>
    <row r="61" customFormat="false" ht="15" hidden="false" customHeight="false" outlineLevel="0" collapsed="false">
      <c r="A61" s="2" t="n">
        <v>60</v>
      </c>
      <c r="B61" s="2" t="s">
        <v>73</v>
      </c>
      <c r="C61" s="2" t="s">
        <v>81</v>
      </c>
      <c r="D61" s="2" t="s">
        <v>13</v>
      </c>
      <c r="E61" s="2"/>
      <c r="F61" s="2" t="n">
        <v>60</v>
      </c>
      <c r="G61" s="2" t="n">
        <f aca="false">COUNTIFS(Map!$D:$D,$A61,Map!$F:$F,"Y")</f>
        <v>0</v>
      </c>
      <c r="H61" s="2" t="str">
        <f aca="false">IF(G61&gt;=Settings!$B$3,"High",IF(G61&gt;=Settings!$B$5,"Medium","Low"))</f>
        <v>Low</v>
      </c>
      <c r="I61" s="2" t="n">
        <f aca="false">COUNTIFS(Map!$D:$D,$A61,Map!$G:$G,"Y")</f>
        <v>0</v>
      </c>
      <c r="J61" s="2" t="str">
        <f aca="false">IF(I61&gt;=Settings!$B$4,"High",IF(I61&gt;=Settings!$B$5,"Medium","Low"))</f>
        <v>Low</v>
      </c>
      <c r="K61" s="2" t="n">
        <f aca="false">COUNTIF(Map!$D:$D,$A61)</f>
        <v>0</v>
      </c>
    </row>
    <row r="62" customFormat="false" ht="15" hidden="false" customHeight="false" outlineLevel="0" collapsed="false">
      <c r="A62" s="2" t="n">
        <v>61</v>
      </c>
      <c r="B62" s="2" t="s">
        <v>73</v>
      </c>
      <c r="C62" s="2" t="s">
        <v>82</v>
      </c>
      <c r="D62" s="2" t="s">
        <v>83</v>
      </c>
      <c r="E62" s="2"/>
      <c r="F62" s="2" t="n">
        <v>61</v>
      </c>
      <c r="G62" s="2" t="n">
        <f aca="false">COUNTIFS(Map!$D:$D,$A62,Map!$F:$F,"Y")</f>
        <v>0</v>
      </c>
      <c r="H62" s="2" t="str">
        <f aca="false">IF(G62&gt;=Settings!$B$3,"High",IF(G62&gt;=Settings!$B$5,"Medium","Low"))</f>
        <v>Low</v>
      </c>
      <c r="I62" s="2" t="n">
        <f aca="false">COUNTIFS(Map!$D:$D,$A62,Map!$G:$G,"Y")</f>
        <v>0</v>
      </c>
      <c r="J62" s="2" t="str">
        <f aca="false">IF(I62&gt;=Settings!$B$4,"High",IF(I62&gt;=Settings!$B$5,"Medium","Low"))</f>
        <v>Low</v>
      </c>
      <c r="K62" s="2" t="n">
        <f aca="false">COUNTIF(Map!$D:$D,$A62)</f>
        <v>5</v>
      </c>
    </row>
    <row r="63" customFormat="false" ht="15" hidden="false" customHeight="false" outlineLevel="0" collapsed="false">
      <c r="A63" s="2" t="n">
        <v>62</v>
      </c>
      <c r="B63" s="2" t="s">
        <v>73</v>
      </c>
      <c r="C63" s="2" t="s">
        <v>84</v>
      </c>
      <c r="D63" s="2" t="s">
        <v>13</v>
      </c>
      <c r="E63" s="2"/>
      <c r="F63" s="2" t="n">
        <v>62</v>
      </c>
      <c r="G63" s="2" t="n">
        <f aca="false">COUNTIFS(Map!$D:$D,$A63,Map!$F:$F,"Y")</f>
        <v>1</v>
      </c>
      <c r="H63" s="2" t="str">
        <f aca="false">IF(G63&gt;=Settings!$B$3,"High",IF(G63&gt;=Settings!$B$5,"Medium","Low"))</f>
        <v>Medium</v>
      </c>
      <c r="I63" s="2" t="n">
        <f aca="false">COUNTIFS(Map!$D:$D,$A63,Map!$G:$G,"Y")</f>
        <v>1</v>
      </c>
      <c r="J63" s="2" t="str">
        <f aca="false">IF(I63&gt;=Settings!$B$4,"High",IF(I63&gt;=Settings!$B$5,"Medium","Low"))</f>
        <v>Medium</v>
      </c>
      <c r="K63" s="2" t="n">
        <f aca="false">COUNTIF(Map!$D:$D,$A63)</f>
        <v>5</v>
      </c>
    </row>
    <row r="64" customFormat="false" ht="15" hidden="false" customHeight="false" outlineLevel="0" collapsed="false">
      <c r="A64" s="2" t="n">
        <v>63</v>
      </c>
      <c r="B64" s="2" t="s">
        <v>73</v>
      </c>
      <c r="C64" s="2" t="s">
        <v>85</v>
      </c>
      <c r="D64" s="2" t="s">
        <v>13</v>
      </c>
      <c r="E64" s="2"/>
      <c r="F64" s="2" t="n">
        <v>63</v>
      </c>
      <c r="G64" s="2" t="n">
        <f aca="false">COUNTIFS(Map!$D:$D,$A64,Map!$F:$F,"Y")</f>
        <v>0</v>
      </c>
      <c r="H64" s="2" t="str">
        <f aca="false">IF(G64&gt;=Settings!$B$3,"High",IF(G64&gt;=Settings!$B$5,"Medium","Low"))</f>
        <v>Low</v>
      </c>
      <c r="I64" s="2" t="n">
        <f aca="false">COUNTIFS(Map!$D:$D,$A64,Map!$G:$G,"Y")</f>
        <v>0</v>
      </c>
      <c r="J64" s="2" t="str">
        <f aca="false">IF(I64&gt;=Settings!$B$4,"High",IF(I64&gt;=Settings!$B$5,"Medium","Low"))</f>
        <v>Low</v>
      </c>
      <c r="K64" s="2" t="n">
        <f aca="false">COUNTIF(Map!$D:$D,$A64)</f>
        <v>0</v>
      </c>
    </row>
    <row r="65" customFormat="false" ht="15" hidden="false" customHeight="false" outlineLevel="0" collapsed="false">
      <c r="A65" s="2" t="n">
        <v>64</v>
      </c>
      <c r="B65" s="2" t="s">
        <v>86</v>
      </c>
      <c r="C65" s="2" t="s">
        <v>87</v>
      </c>
      <c r="D65" s="2" t="s">
        <v>13</v>
      </c>
      <c r="E65" s="2"/>
      <c r="F65" s="2" t="n">
        <v>64</v>
      </c>
      <c r="G65" s="2" t="n">
        <f aca="false">COUNTIFS(Map!$D:$D,$A65,Map!$F:$F,"Y")</f>
        <v>0</v>
      </c>
      <c r="H65" s="2" t="str">
        <f aca="false">IF(G65&gt;=Settings!$B$3,"High",IF(G65&gt;=Settings!$B$5,"Medium","Low"))</f>
        <v>Low</v>
      </c>
      <c r="I65" s="2" t="n">
        <f aca="false">COUNTIFS(Map!$D:$D,$A65,Map!$G:$G,"Y")</f>
        <v>0</v>
      </c>
      <c r="J65" s="2" t="str">
        <f aca="false">IF(I65&gt;=Settings!$B$4,"High",IF(I65&gt;=Settings!$B$5,"Medium","Low"))</f>
        <v>Low</v>
      </c>
      <c r="K65" s="2" t="n">
        <f aca="false">COUNTIF(Map!$D:$D,$A65)</f>
        <v>0</v>
      </c>
    </row>
    <row r="66" customFormat="false" ht="15" hidden="false" customHeight="false" outlineLevel="0" collapsed="false">
      <c r="A66" s="2" t="n">
        <v>65</v>
      </c>
      <c r="B66" s="2" t="s">
        <v>86</v>
      </c>
      <c r="C66" s="2" t="s">
        <v>88</v>
      </c>
      <c r="D66" s="2" t="s">
        <v>13</v>
      </c>
      <c r="E66" s="2"/>
      <c r="F66" s="2" t="n">
        <v>65</v>
      </c>
      <c r="G66" s="2" t="n">
        <f aca="false">COUNTIFS(Map!$D:$D,$A66,Map!$F:$F,"Y")</f>
        <v>0</v>
      </c>
      <c r="H66" s="2" t="str">
        <f aca="false">IF(G66&gt;=Settings!$B$3,"High",IF(G66&gt;=Settings!$B$5,"Medium","Low"))</f>
        <v>Low</v>
      </c>
      <c r="I66" s="2" t="n">
        <f aca="false">COUNTIFS(Map!$D:$D,$A66,Map!$G:$G,"Y")</f>
        <v>0</v>
      </c>
      <c r="J66" s="2" t="str">
        <f aca="false">IF(I66&gt;=Settings!$B$4,"High",IF(I66&gt;=Settings!$B$5,"Medium","Low"))</f>
        <v>Low</v>
      </c>
      <c r="K66" s="2" t="n">
        <f aca="false">COUNTIF(Map!$D:$D,$A66)</f>
        <v>1</v>
      </c>
    </row>
    <row r="67" customFormat="false" ht="15" hidden="false" customHeight="false" outlineLevel="0" collapsed="false">
      <c r="A67" s="2" t="n">
        <v>66</v>
      </c>
      <c r="B67" s="2" t="s">
        <v>86</v>
      </c>
      <c r="C67" s="2" t="s">
        <v>89</v>
      </c>
      <c r="D67" s="2" t="s">
        <v>13</v>
      </c>
      <c r="E67" s="2"/>
      <c r="F67" s="2" t="n">
        <v>66</v>
      </c>
      <c r="G67" s="2" t="n">
        <f aca="false">COUNTIFS(Map!$D:$D,$A67,Map!$F:$F,"Y")</f>
        <v>0</v>
      </c>
      <c r="H67" s="2" t="str">
        <f aca="false">IF(G67&gt;=Settings!$B$3,"High",IF(G67&gt;=Settings!$B$5,"Medium","Low"))</f>
        <v>Low</v>
      </c>
      <c r="I67" s="2" t="n">
        <f aca="false">COUNTIFS(Map!$D:$D,$A67,Map!$G:$G,"Y")</f>
        <v>0</v>
      </c>
      <c r="J67" s="2" t="str">
        <f aca="false">IF(I67&gt;=Settings!$B$4,"High",IF(I67&gt;=Settings!$B$5,"Medium","Low"))</f>
        <v>Low</v>
      </c>
      <c r="K67" s="2" t="n">
        <f aca="false">COUNTIF(Map!$D:$D,$A67)</f>
        <v>0</v>
      </c>
    </row>
    <row r="68" customFormat="false" ht="15" hidden="false" customHeight="false" outlineLevel="0" collapsed="false">
      <c r="A68" s="2" t="n">
        <v>67</v>
      </c>
      <c r="B68" s="2" t="s">
        <v>86</v>
      </c>
      <c r="C68" s="2" t="s">
        <v>90</v>
      </c>
      <c r="D68" s="2" t="s">
        <v>13</v>
      </c>
      <c r="E68" s="2"/>
      <c r="F68" s="2" t="n">
        <v>67</v>
      </c>
      <c r="G68" s="2" t="n">
        <f aca="false">COUNTIFS(Map!$D:$D,$A68,Map!$F:$F,"Y")</f>
        <v>1</v>
      </c>
      <c r="H68" s="2" t="str">
        <f aca="false">IF(G68&gt;=Settings!$B$3,"High",IF(G68&gt;=Settings!$B$5,"Medium","Low"))</f>
        <v>Medium</v>
      </c>
      <c r="I68" s="2" t="n">
        <f aca="false">COUNTIFS(Map!$D:$D,$A68,Map!$G:$G,"Y")</f>
        <v>0</v>
      </c>
      <c r="J68" s="2" t="str">
        <f aca="false">IF(I68&gt;=Settings!$B$4,"High",IF(I68&gt;=Settings!$B$5,"Medium","Low"))</f>
        <v>Low</v>
      </c>
      <c r="K68" s="2" t="n">
        <f aca="false">COUNTIF(Map!$D:$D,$A68)</f>
        <v>3</v>
      </c>
    </row>
    <row r="69" customFormat="false" ht="15" hidden="false" customHeight="false" outlineLevel="0" collapsed="false">
      <c r="A69" s="2" t="n">
        <v>68</v>
      </c>
      <c r="B69" s="2" t="s">
        <v>86</v>
      </c>
      <c r="C69" s="2" t="s">
        <v>91</v>
      </c>
      <c r="D69" s="2" t="s">
        <v>13</v>
      </c>
      <c r="E69" s="2"/>
      <c r="F69" s="2" t="n">
        <v>68</v>
      </c>
      <c r="G69" s="2" t="n">
        <f aca="false">COUNTIFS(Map!$D:$D,$A69,Map!$F:$F,"Y")</f>
        <v>1</v>
      </c>
      <c r="H69" s="2" t="str">
        <f aca="false">IF(G69&gt;=Settings!$B$3,"High",IF(G69&gt;=Settings!$B$5,"Medium","Low"))</f>
        <v>Medium</v>
      </c>
      <c r="I69" s="2" t="n">
        <f aca="false">COUNTIFS(Map!$D:$D,$A69,Map!$G:$G,"Y")</f>
        <v>1</v>
      </c>
      <c r="J69" s="2" t="str">
        <f aca="false">IF(I69&gt;=Settings!$B$4,"High",IF(I69&gt;=Settings!$B$5,"Medium","Low"))</f>
        <v>Medium</v>
      </c>
      <c r="K69" s="2" t="n">
        <f aca="false">COUNTIF(Map!$D:$D,$A69)</f>
        <v>6</v>
      </c>
    </row>
    <row r="70" customFormat="false" ht="15" hidden="false" customHeight="false" outlineLevel="0" collapsed="false">
      <c r="A70" s="2" t="n">
        <v>69</v>
      </c>
      <c r="B70" s="2" t="s">
        <v>92</v>
      </c>
      <c r="C70" s="2" t="s">
        <v>93</v>
      </c>
      <c r="D70" s="2" t="s">
        <v>13</v>
      </c>
      <c r="E70" s="2"/>
      <c r="F70" s="2" t="n">
        <v>69</v>
      </c>
      <c r="G70" s="2" t="n">
        <f aca="false">COUNTIFS(Map!$D:$D,$A70,Map!$F:$F,"Y")</f>
        <v>0</v>
      </c>
      <c r="H70" s="2" t="str">
        <f aca="false">IF(G70&gt;=Settings!$B$3,"High",IF(G70&gt;=Settings!$B$5,"Medium","Low"))</f>
        <v>Low</v>
      </c>
      <c r="I70" s="2" t="n">
        <f aca="false">COUNTIFS(Map!$D:$D,$A70,Map!$G:$G,"Y")</f>
        <v>0</v>
      </c>
      <c r="J70" s="2" t="str">
        <f aca="false">IF(I70&gt;=Settings!$B$4,"High",IF(I70&gt;=Settings!$B$5,"Medium","Low"))</f>
        <v>Low</v>
      </c>
      <c r="K70" s="2" t="n">
        <f aca="false">COUNTIF(Map!$D:$D,$A70)</f>
        <v>4</v>
      </c>
    </row>
    <row r="71" customFormat="false" ht="15" hidden="false" customHeight="false" outlineLevel="0" collapsed="false">
      <c r="A71" s="2" t="n">
        <v>70</v>
      </c>
      <c r="B71" s="2" t="s">
        <v>94</v>
      </c>
      <c r="C71" s="2" t="s">
        <v>95</v>
      </c>
      <c r="D71" s="2" t="s">
        <v>13</v>
      </c>
      <c r="E71" s="2"/>
      <c r="F71" s="2" t="n">
        <v>70</v>
      </c>
      <c r="G71" s="2" t="n">
        <f aca="false">COUNTIFS(Map!$D:$D,$A71,Map!$F:$F,"Y")</f>
        <v>0</v>
      </c>
      <c r="H71" s="2" t="str">
        <f aca="false">IF(G71&gt;=Settings!$B$3,"High",IF(G71&gt;=Settings!$B$5,"Medium","Low"))</f>
        <v>Low</v>
      </c>
      <c r="I71" s="2" t="n">
        <f aca="false">COUNTIFS(Map!$D:$D,$A71,Map!$G:$G,"Y")</f>
        <v>0</v>
      </c>
      <c r="J71" s="2" t="str">
        <f aca="false">IF(I71&gt;=Settings!$B$4,"High",IF(I71&gt;=Settings!$B$5,"Medium","Low"))</f>
        <v>Low</v>
      </c>
      <c r="K71" s="2" t="n">
        <f aca="false">COUNTIF(Map!$D:$D,$A71)</f>
        <v>0</v>
      </c>
    </row>
    <row r="72" customFormat="false" ht="15" hidden="false" customHeight="false" outlineLevel="0" collapsed="false">
      <c r="A72" s="2" t="n">
        <v>71</v>
      </c>
      <c r="B72" s="2" t="s">
        <v>94</v>
      </c>
      <c r="C72" s="2" t="s">
        <v>96</v>
      </c>
      <c r="D72" s="2" t="s">
        <v>13</v>
      </c>
      <c r="E72" s="2"/>
      <c r="F72" s="2" t="n">
        <v>71</v>
      </c>
      <c r="G72" s="2" t="n">
        <f aca="false">COUNTIFS(Map!$D:$D,$A72,Map!$F:$F,"Y")</f>
        <v>0</v>
      </c>
      <c r="H72" s="2" t="str">
        <f aca="false">IF(G72&gt;=Settings!$B$3,"High",IF(G72&gt;=Settings!$B$5,"Medium","Low"))</f>
        <v>Low</v>
      </c>
      <c r="I72" s="2" t="n">
        <f aca="false">COUNTIFS(Map!$D:$D,$A72,Map!$G:$G,"Y")</f>
        <v>0</v>
      </c>
      <c r="J72" s="2" t="str">
        <f aca="false">IF(I72&gt;=Settings!$B$4,"High",IF(I72&gt;=Settings!$B$5,"Medium","Low"))</f>
        <v>Low</v>
      </c>
      <c r="K72" s="2" t="n">
        <f aca="false">COUNTIF(Map!$D:$D,$A72)</f>
        <v>5</v>
      </c>
    </row>
    <row r="73" customFormat="false" ht="15" hidden="false" customHeight="false" outlineLevel="0" collapsed="false">
      <c r="A73" s="2" t="n">
        <v>72</v>
      </c>
      <c r="B73" s="2" t="s">
        <v>94</v>
      </c>
      <c r="C73" s="2" t="s">
        <v>97</v>
      </c>
      <c r="D73" s="2" t="s">
        <v>13</v>
      </c>
      <c r="E73" s="2"/>
      <c r="F73" s="2" t="n">
        <v>72</v>
      </c>
      <c r="G73" s="2" t="n">
        <f aca="false">COUNTIFS(Map!$D:$D,$A73,Map!$F:$F,"Y")</f>
        <v>0</v>
      </c>
      <c r="H73" s="2" t="str">
        <f aca="false">IF(G73&gt;=Settings!$B$3,"High",IF(G73&gt;=Settings!$B$5,"Medium","Low"))</f>
        <v>Low</v>
      </c>
      <c r="I73" s="2" t="n">
        <f aca="false">COUNTIFS(Map!$D:$D,$A73,Map!$G:$G,"Y")</f>
        <v>0</v>
      </c>
      <c r="J73" s="2" t="str">
        <f aca="false">IF(I73&gt;=Settings!$B$4,"High",IF(I73&gt;=Settings!$B$5,"Medium","Low"))</f>
        <v>Low</v>
      </c>
      <c r="K73" s="2" t="n">
        <f aca="false">COUNTIF(Map!$D:$D,$A73)</f>
        <v>4</v>
      </c>
    </row>
    <row r="74" customFormat="false" ht="15" hidden="false" customHeight="false" outlineLevel="0" collapsed="false">
      <c r="A74" s="2" t="n">
        <v>73</v>
      </c>
      <c r="B74" s="2" t="s">
        <v>94</v>
      </c>
      <c r="C74" s="2" t="s">
        <v>98</v>
      </c>
      <c r="D74" s="2" t="s">
        <v>13</v>
      </c>
      <c r="E74" s="2"/>
      <c r="F74" s="2" t="n">
        <v>73</v>
      </c>
      <c r="G74" s="2" t="n">
        <f aca="false">COUNTIFS(Map!$D:$D,$A74,Map!$F:$F,"Y")</f>
        <v>0</v>
      </c>
      <c r="H74" s="2" t="str">
        <f aca="false">IF(G74&gt;=Settings!$B$3,"High",IF(G74&gt;=Settings!$B$5,"Medium","Low"))</f>
        <v>Low</v>
      </c>
      <c r="I74" s="2" t="n">
        <f aca="false">COUNTIFS(Map!$D:$D,$A74,Map!$G:$G,"Y")</f>
        <v>0</v>
      </c>
      <c r="J74" s="2" t="str">
        <f aca="false">IF(I74&gt;=Settings!$B$4,"High",IF(I74&gt;=Settings!$B$5,"Medium","Low"))</f>
        <v>Low</v>
      </c>
      <c r="K74" s="2" t="n">
        <f aca="false">COUNTIF(Map!$D:$D,$A74)</f>
        <v>1</v>
      </c>
    </row>
    <row r="75" customFormat="false" ht="15" hidden="false" customHeight="false" outlineLevel="0" collapsed="false">
      <c r="A75" s="2" t="n">
        <v>74</v>
      </c>
      <c r="B75" s="2" t="s">
        <v>94</v>
      </c>
      <c r="C75" s="2" t="s">
        <v>99</v>
      </c>
      <c r="D75" s="2" t="s">
        <v>13</v>
      </c>
      <c r="E75" s="2"/>
      <c r="F75" s="2" t="n">
        <v>74</v>
      </c>
      <c r="G75" s="2" t="n">
        <f aca="false">COUNTIFS(Map!$D:$D,$A75,Map!$F:$F,"Y")</f>
        <v>0</v>
      </c>
      <c r="H75" s="2" t="str">
        <f aca="false">IF(G75&gt;=Settings!$B$3,"High",IF(G75&gt;=Settings!$B$5,"Medium","Low"))</f>
        <v>Low</v>
      </c>
      <c r="I75" s="2" t="n">
        <f aca="false">COUNTIFS(Map!$D:$D,$A75,Map!$G:$G,"Y")</f>
        <v>0</v>
      </c>
      <c r="J75" s="2" t="str">
        <f aca="false">IF(I75&gt;=Settings!$B$4,"High",IF(I75&gt;=Settings!$B$5,"Medium","Low"))</f>
        <v>Low</v>
      </c>
      <c r="K75" s="2" t="n">
        <f aca="false">COUNTIF(Map!$D:$D,$A75)</f>
        <v>2</v>
      </c>
    </row>
    <row r="76" customFormat="false" ht="15" hidden="false" customHeight="false" outlineLevel="0" collapsed="false">
      <c r="A76" s="2" t="n">
        <v>75</v>
      </c>
      <c r="B76" s="2" t="s">
        <v>94</v>
      </c>
      <c r="C76" s="2" t="s">
        <v>100</v>
      </c>
      <c r="D76" s="2" t="s">
        <v>13</v>
      </c>
      <c r="E76" s="2"/>
      <c r="F76" s="2" t="n">
        <v>75</v>
      </c>
      <c r="G76" s="2" t="n">
        <f aca="false">COUNTIFS(Map!$D:$D,$A76,Map!$F:$F,"Y")</f>
        <v>0</v>
      </c>
      <c r="H76" s="2" t="str">
        <f aca="false">IF(G76&gt;=Settings!$B$3,"High",IF(G76&gt;=Settings!$B$5,"Medium","Low"))</f>
        <v>Low</v>
      </c>
      <c r="I76" s="2" t="n">
        <f aca="false">COUNTIFS(Map!$D:$D,$A76,Map!$G:$G,"Y")</f>
        <v>0</v>
      </c>
      <c r="J76" s="2" t="str">
        <f aca="false">IF(I76&gt;=Settings!$B$4,"High",IF(I76&gt;=Settings!$B$5,"Medium","Low"))</f>
        <v>Low</v>
      </c>
      <c r="K76" s="2" t="n">
        <f aca="false">COUNTIF(Map!$D:$D,$A76)</f>
        <v>1</v>
      </c>
    </row>
    <row r="77" customFormat="false" ht="15" hidden="false" customHeight="false" outlineLevel="0" collapsed="false">
      <c r="A77" s="2" t="n">
        <v>76</v>
      </c>
      <c r="B77" s="2" t="s">
        <v>101</v>
      </c>
      <c r="C77" s="2" t="s">
        <v>102</v>
      </c>
      <c r="D77" s="2" t="s">
        <v>13</v>
      </c>
      <c r="E77" s="2"/>
      <c r="F77" s="2" t="n">
        <v>76</v>
      </c>
      <c r="G77" s="2" t="n">
        <f aca="false">COUNTIFS(Map!$D:$D,$A77,Map!$F:$F,"Y")</f>
        <v>0</v>
      </c>
      <c r="H77" s="2" t="str">
        <f aca="false">IF(G77&gt;=Settings!$B$3,"High",IF(G77&gt;=Settings!$B$5,"Medium","Low"))</f>
        <v>Low</v>
      </c>
      <c r="I77" s="2" t="n">
        <f aca="false">COUNTIFS(Map!$D:$D,$A77,Map!$G:$G,"Y")</f>
        <v>0</v>
      </c>
      <c r="J77" s="2" t="str">
        <f aca="false">IF(I77&gt;=Settings!$B$4,"High",IF(I77&gt;=Settings!$B$5,"Medium","Low"))</f>
        <v>Low</v>
      </c>
      <c r="K77" s="2" t="n">
        <f aca="false">COUNTIF(Map!$D:$D,$A77)</f>
        <v>0</v>
      </c>
    </row>
    <row r="78" customFormat="false" ht="23.85" hidden="false" customHeight="false" outlineLevel="0" collapsed="false">
      <c r="A78" s="2" t="n">
        <v>77</v>
      </c>
      <c r="B78" s="2" t="s">
        <v>101</v>
      </c>
      <c r="C78" s="2" t="s">
        <v>103</v>
      </c>
      <c r="D78" s="2" t="s">
        <v>13</v>
      </c>
      <c r="E78" s="2"/>
      <c r="F78" s="2" t="n">
        <v>77</v>
      </c>
      <c r="G78" s="2" t="n">
        <f aca="false">COUNTIFS(Map!$D:$D,$A78,Map!$F:$F,"Y")</f>
        <v>0</v>
      </c>
      <c r="H78" s="2" t="str">
        <f aca="false">IF(G78&gt;=Settings!$B$3,"High",IF(G78&gt;=Settings!$B$5,"Medium","Low"))</f>
        <v>Low</v>
      </c>
      <c r="I78" s="2" t="n">
        <f aca="false">COUNTIFS(Map!$D:$D,$A78,Map!$G:$G,"Y")</f>
        <v>0</v>
      </c>
      <c r="J78" s="2" t="str">
        <f aca="false">IF(I78&gt;=Settings!$B$4,"High",IF(I78&gt;=Settings!$B$5,"Medium","Low"))</f>
        <v>Low</v>
      </c>
      <c r="K78" s="2" t="n">
        <f aca="false">COUNTIF(Map!$D:$D,$A78)</f>
        <v>0</v>
      </c>
    </row>
    <row r="79" customFormat="false" ht="15" hidden="false" customHeight="false" outlineLevel="0" collapsed="false">
      <c r="A79" s="2" t="n">
        <v>78</v>
      </c>
      <c r="B79" s="2" t="s">
        <v>104</v>
      </c>
      <c r="C79" s="2" t="s">
        <v>105</v>
      </c>
      <c r="D79" s="2" t="s">
        <v>13</v>
      </c>
      <c r="E79" s="2"/>
      <c r="F79" s="2" t="n">
        <v>78</v>
      </c>
      <c r="G79" s="2" t="n">
        <f aca="false">COUNTIFS(Map!$D:$D,$A79,Map!$F:$F,"Y")</f>
        <v>1</v>
      </c>
      <c r="H79" s="2" t="str">
        <f aca="false">IF(G79&gt;=Settings!$B$3,"High",IF(G79&gt;=Settings!$B$5,"Medium","Low"))</f>
        <v>Medium</v>
      </c>
      <c r="I79" s="2" t="n">
        <f aca="false">COUNTIFS(Map!$D:$D,$A79,Map!$G:$G,"Y")</f>
        <v>0</v>
      </c>
      <c r="J79" s="2" t="str">
        <f aca="false">IF(I79&gt;=Settings!$B$4,"High",IF(I79&gt;=Settings!$B$5,"Medium","Low"))</f>
        <v>Low</v>
      </c>
      <c r="K79" s="2" t="n">
        <f aca="false">COUNTIF(Map!$D:$D,$A79)</f>
        <v>9</v>
      </c>
    </row>
    <row r="80" customFormat="false" ht="15" hidden="false" customHeight="false" outlineLevel="0" collapsed="false">
      <c r="A80" s="2" t="n">
        <v>79</v>
      </c>
      <c r="B80" s="2" t="s">
        <v>104</v>
      </c>
      <c r="C80" s="2" t="s">
        <v>106</v>
      </c>
      <c r="D80" s="2" t="s">
        <v>13</v>
      </c>
      <c r="E80" s="2"/>
      <c r="F80" s="2" t="n">
        <v>79</v>
      </c>
      <c r="G80" s="2" t="n">
        <f aca="false">COUNTIFS(Map!$D:$D,$A80,Map!$F:$F,"Y")</f>
        <v>1</v>
      </c>
      <c r="H80" s="2" t="str">
        <f aca="false">IF(G80&gt;=Settings!$B$3,"High",IF(G80&gt;=Settings!$B$5,"Medium","Low"))</f>
        <v>Medium</v>
      </c>
      <c r="I80" s="2" t="n">
        <f aca="false">COUNTIFS(Map!$D:$D,$A80,Map!$G:$G,"Y")</f>
        <v>0</v>
      </c>
      <c r="J80" s="2" t="str">
        <f aca="false">IF(I80&gt;=Settings!$B$4,"High",IF(I80&gt;=Settings!$B$5,"Medium","Low"))</f>
        <v>Low</v>
      </c>
      <c r="K80" s="2" t="n">
        <f aca="false">COUNTIF(Map!$D:$D,$A80)</f>
        <v>7</v>
      </c>
    </row>
    <row r="81" customFormat="false" ht="23.85" hidden="false" customHeight="false" outlineLevel="0" collapsed="false">
      <c r="A81" s="2" t="n">
        <v>80</v>
      </c>
      <c r="B81" s="2" t="s">
        <v>104</v>
      </c>
      <c r="C81" s="2" t="s">
        <v>107</v>
      </c>
      <c r="D81" s="2" t="s">
        <v>13</v>
      </c>
      <c r="E81" s="2"/>
      <c r="F81" s="2" t="n">
        <v>80</v>
      </c>
      <c r="G81" s="2" t="n">
        <f aca="false">COUNTIFS(Map!$D:$D,$A81,Map!$F:$F,"Y")</f>
        <v>0</v>
      </c>
      <c r="H81" s="2" t="str">
        <f aca="false">IF(G81&gt;=Settings!$B$3,"High",IF(G81&gt;=Settings!$B$5,"Medium","Low"))</f>
        <v>Low</v>
      </c>
      <c r="I81" s="2" t="n">
        <f aca="false">COUNTIFS(Map!$D:$D,$A81,Map!$G:$G,"Y")</f>
        <v>0</v>
      </c>
      <c r="J81" s="2" t="str">
        <f aca="false">IF(I81&gt;=Settings!$B$4,"High",IF(I81&gt;=Settings!$B$5,"Medium","Low"))</f>
        <v>Low</v>
      </c>
      <c r="K81" s="2" t="n">
        <f aca="false">COUNTIF(Map!$D:$D,$A81)</f>
        <v>0</v>
      </c>
    </row>
    <row r="82" customFormat="false" ht="15" hidden="false" customHeight="false" outlineLevel="0" collapsed="false">
      <c r="A82" s="2" t="n">
        <v>81</v>
      </c>
      <c r="B82" s="2" t="s">
        <v>104</v>
      </c>
      <c r="C82" s="2" t="s">
        <v>108</v>
      </c>
      <c r="D82" s="2" t="s">
        <v>13</v>
      </c>
      <c r="E82" s="2"/>
      <c r="F82" s="2" t="n">
        <v>81</v>
      </c>
      <c r="G82" s="2" t="n">
        <f aca="false">COUNTIFS(Map!$D:$D,$A82,Map!$F:$F,"Y")</f>
        <v>0</v>
      </c>
      <c r="H82" s="2" t="str">
        <f aca="false">IF(G82&gt;=Settings!$B$3,"High",IF(G82&gt;=Settings!$B$5,"Medium","Low"))</f>
        <v>Low</v>
      </c>
      <c r="I82" s="2" t="n">
        <f aca="false">COUNTIFS(Map!$D:$D,$A82,Map!$G:$G,"Y")</f>
        <v>0</v>
      </c>
      <c r="J82" s="2" t="str">
        <f aca="false">IF(I82&gt;=Settings!$B$4,"High",IF(I82&gt;=Settings!$B$5,"Medium","Low"))</f>
        <v>Low</v>
      </c>
      <c r="K82" s="2" t="n">
        <f aca="false">COUNTIF(Map!$D:$D,$A82)</f>
        <v>0</v>
      </c>
    </row>
    <row r="83" customFormat="false" ht="15" hidden="false" customHeight="false" outlineLevel="0" collapsed="false">
      <c r="A83" s="2" t="n">
        <v>82</v>
      </c>
      <c r="B83" s="2" t="s">
        <v>109</v>
      </c>
      <c r="C83" s="2" t="s">
        <v>110</v>
      </c>
      <c r="D83" s="2" t="s">
        <v>13</v>
      </c>
      <c r="E83" s="2"/>
      <c r="F83" s="2" t="n">
        <v>82</v>
      </c>
      <c r="G83" s="2" t="n">
        <f aca="false">COUNTIFS(Map!$D:$D,$A83,Map!$F:$F,"Y")</f>
        <v>0</v>
      </c>
      <c r="H83" s="2" t="str">
        <f aca="false">IF(G83&gt;=Settings!$B$3,"High",IF(G83&gt;=Settings!$B$5,"Medium","Low"))</f>
        <v>Low</v>
      </c>
      <c r="I83" s="2" t="n">
        <f aca="false">COUNTIFS(Map!$D:$D,$A83,Map!$G:$G,"Y")</f>
        <v>1</v>
      </c>
      <c r="J83" s="2" t="str">
        <f aca="false">IF(I83&gt;=Settings!$B$4,"High",IF(I83&gt;=Settings!$B$5,"Medium","Low"))</f>
        <v>Medium</v>
      </c>
      <c r="K83" s="2" t="n">
        <f aca="false">COUNTIF(Map!$D:$D,$A83)</f>
        <v>1</v>
      </c>
    </row>
    <row r="84" customFormat="false" ht="15" hidden="false" customHeight="false" outlineLevel="0" collapsed="false">
      <c r="A84" s="2" t="n">
        <v>83</v>
      </c>
      <c r="B84" s="2" t="s">
        <v>109</v>
      </c>
      <c r="C84" s="2" t="s">
        <v>111</v>
      </c>
      <c r="D84" s="2" t="s">
        <v>13</v>
      </c>
      <c r="E84" s="2"/>
      <c r="F84" s="2" t="n">
        <v>83</v>
      </c>
      <c r="G84" s="2" t="n">
        <f aca="false">COUNTIFS(Map!$D:$D,$A84,Map!$F:$F,"Y")</f>
        <v>0</v>
      </c>
      <c r="H84" s="2" t="str">
        <f aca="false">IF(G84&gt;=Settings!$B$3,"High",IF(G84&gt;=Settings!$B$5,"Medium","Low"))</f>
        <v>Low</v>
      </c>
      <c r="I84" s="2" t="n">
        <f aca="false">COUNTIFS(Map!$D:$D,$A84,Map!$G:$G,"Y")</f>
        <v>1</v>
      </c>
      <c r="J84" s="2" t="str">
        <f aca="false">IF(I84&gt;=Settings!$B$4,"High",IF(I84&gt;=Settings!$B$5,"Medium","Low"))</f>
        <v>Medium</v>
      </c>
      <c r="K84" s="2" t="n">
        <f aca="false">COUNTIF(Map!$D:$D,$A84)</f>
        <v>1</v>
      </c>
    </row>
    <row r="85" customFormat="false" ht="15" hidden="false" customHeight="false" outlineLevel="0" collapsed="false">
      <c r="A85" s="2" t="n">
        <v>84</v>
      </c>
      <c r="B85" s="2" t="s">
        <v>109</v>
      </c>
      <c r="C85" s="2" t="s">
        <v>112</v>
      </c>
      <c r="D85" s="2" t="s">
        <v>13</v>
      </c>
      <c r="E85" s="2"/>
      <c r="F85" s="2" t="n">
        <v>84</v>
      </c>
      <c r="G85" s="2" t="n">
        <f aca="false">COUNTIFS(Map!$D:$D,$A85,Map!$F:$F,"Y")</f>
        <v>0</v>
      </c>
      <c r="H85" s="2" t="str">
        <f aca="false">IF(G85&gt;=Settings!$B$3,"High",IF(G85&gt;=Settings!$B$5,"Medium","Low"))</f>
        <v>Low</v>
      </c>
      <c r="I85" s="2" t="n">
        <f aca="false">COUNTIFS(Map!$D:$D,$A85,Map!$G:$G,"Y")</f>
        <v>0</v>
      </c>
      <c r="J85" s="2" t="str">
        <f aca="false">IF(I85&gt;=Settings!$B$4,"High",IF(I85&gt;=Settings!$B$5,"Medium","Low"))</f>
        <v>Low</v>
      </c>
      <c r="K85" s="2" t="n">
        <f aca="false">COUNTIF(Map!$D:$D,$A85)</f>
        <v>1</v>
      </c>
    </row>
  </sheetData>
  <autoFilter ref="A1:K85"/>
  <conditionalFormatting sqref="H2:H85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85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</row>
    <row r="2" customFormat="false" ht="15" hidden="false" customHeight="false" outlineLevel="0" collapsed="false">
      <c r="A2" s="3" t="s">
        <v>121</v>
      </c>
      <c r="B2" s="3" t="n">
        <v>1</v>
      </c>
      <c r="C2" s="3" t="s">
        <v>122</v>
      </c>
      <c r="D2" s="3" t="n">
        <v>3</v>
      </c>
      <c r="E2" s="3" t="s">
        <v>123</v>
      </c>
      <c r="F2" s="3" t="s">
        <v>124</v>
      </c>
      <c r="G2" s="3" t="s">
        <v>124</v>
      </c>
      <c r="H2" s="3" t="s">
        <v>125</v>
      </c>
    </row>
    <row r="3" customFormat="false" ht="15" hidden="false" customHeight="false" outlineLevel="0" collapsed="false">
      <c r="A3" s="3" t="s">
        <v>121</v>
      </c>
      <c r="B3" s="3" t="n">
        <v>1</v>
      </c>
      <c r="C3" s="3" t="s">
        <v>122</v>
      </c>
      <c r="D3" s="3" t="n">
        <v>13</v>
      </c>
      <c r="E3" s="3" t="s">
        <v>126</v>
      </c>
      <c r="F3" s="3" t="s">
        <v>124</v>
      </c>
      <c r="G3" s="3" t="s">
        <v>124</v>
      </c>
      <c r="H3" s="3" t="s">
        <v>125</v>
      </c>
    </row>
    <row r="4" customFormat="false" ht="15" hidden="false" customHeight="false" outlineLevel="0" collapsed="false">
      <c r="A4" s="3" t="s">
        <v>121</v>
      </c>
      <c r="B4" s="3" t="n">
        <v>2</v>
      </c>
      <c r="C4" s="3" t="s">
        <v>122</v>
      </c>
      <c r="D4" s="3" t="n">
        <v>8</v>
      </c>
      <c r="E4" s="3" t="s">
        <v>123</v>
      </c>
      <c r="F4" s="3" t="s">
        <v>124</v>
      </c>
      <c r="G4" s="3" t="s">
        <v>124</v>
      </c>
      <c r="H4" s="3" t="s">
        <v>127</v>
      </c>
    </row>
    <row r="5" customFormat="false" ht="15" hidden="false" customHeight="false" outlineLevel="0" collapsed="false">
      <c r="A5" s="3" t="s">
        <v>121</v>
      </c>
      <c r="B5" s="3" t="n">
        <v>3</v>
      </c>
      <c r="C5" s="3" t="s">
        <v>122</v>
      </c>
      <c r="D5" s="3" t="n">
        <v>5</v>
      </c>
      <c r="E5" s="3" t="s">
        <v>123</v>
      </c>
      <c r="F5" s="3" t="s">
        <v>124</v>
      </c>
      <c r="G5" s="3" t="s">
        <v>124</v>
      </c>
      <c r="H5" s="3" t="s">
        <v>128</v>
      </c>
    </row>
    <row r="6" customFormat="false" ht="15" hidden="false" customHeight="false" outlineLevel="0" collapsed="false">
      <c r="A6" s="3" t="s">
        <v>121</v>
      </c>
      <c r="B6" s="3" t="n">
        <v>3</v>
      </c>
      <c r="C6" s="3" t="s">
        <v>122</v>
      </c>
      <c r="D6" s="3" t="n">
        <v>7</v>
      </c>
      <c r="E6" s="3" t="s">
        <v>126</v>
      </c>
      <c r="F6" s="3" t="s">
        <v>124</v>
      </c>
      <c r="G6" s="3" t="s">
        <v>124</v>
      </c>
      <c r="H6" s="3" t="s">
        <v>128</v>
      </c>
    </row>
    <row r="7" customFormat="false" ht="15" hidden="false" customHeight="false" outlineLevel="0" collapsed="false">
      <c r="A7" s="3" t="s">
        <v>121</v>
      </c>
      <c r="B7" s="3" t="n">
        <v>4</v>
      </c>
      <c r="C7" s="3" t="s">
        <v>122</v>
      </c>
      <c r="D7" s="3" t="n">
        <v>11</v>
      </c>
      <c r="E7" s="3" t="s">
        <v>123</v>
      </c>
      <c r="F7" s="3" t="s">
        <v>124</v>
      </c>
      <c r="G7" s="3" t="s">
        <v>124</v>
      </c>
      <c r="H7" s="3" t="s">
        <v>129</v>
      </c>
    </row>
    <row r="8" customFormat="false" ht="15" hidden="false" customHeight="false" outlineLevel="0" collapsed="false">
      <c r="A8" s="3" t="s">
        <v>121</v>
      </c>
      <c r="B8" s="3" t="n">
        <v>5</v>
      </c>
      <c r="C8" s="3" t="s">
        <v>122</v>
      </c>
      <c r="D8" s="3" t="n">
        <v>20</v>
      </c>
      <c r="E8" s="3" t="s">
        <v>123</v>
      </c>
      <c r="F8" s="3" t="s">
        <v>124</v>
      </c>
      <c r="G8" s="3" t="s">
        <v>124</v>
      </c>
      <c r="H8" s="3" t="s">
        <v>130</v>
      </c>
    </row>
    <row r="9" customFormat="false" ht="15" hidden="false" customHeight="false" outlineLevel="0" collapsed="false">
      <c r="A9" s="3" t="s">
        <v>121</v>
      </c>
      <c r="B9" s="3" t="n">
        <v>5</v>
      </c>
      <c r="C9" s="3" t="s">
        <v>122</v>
      </c>
      <c r="D9" s="3" t="n">
        <v>21</v>
      </c>
      <c r="E9" s="3" t="s">
        <v>126</v>
      </c>
      <c r="F9" s="3" t="s">
        <v>124</v>
      </c>
      <c r="G9" s="3" t="s">
        <v>124</v>
      </c>
      <c r="H9" s="3" t="s">
        <v>130</v>
      </c>
    </row>
    <row r="10" customFormat="false" ht="15" hidden="false" customHeight="false" outlineLevel="0" collapsed="false">
      <c r="A10" s="3" t="s">
        <v>121</v>
      </c>
      <c r="B10" s="3" t="n">
        <v>6</v>
      </c>
      <c r="C10" s="3" t="s">
        <v>122</v>
      </c>
      <c r="D10" s="3" t="n">
        <v>8</v>
      </c>
      <c r="E10" s="3" t="s">
        <v>123</v>
      </c>
      <c r="F10" s="3" t="s">
        <v>124</v>
      </c>
      <c r="G10" s="3" t="s">
        <v>124</v>
      </c>
      <c r="H10" s="3" t="s">
        <v>131</v>
      </c>
    </row>
    <row r="11" customFormat="false" ht="15" hidden="false" customHeight="false" outlineLevel="0" collapsed="false">
      <c r="A11" s="3" t="s">
        <v>121</v>
      </c>
      <c r="B11" s="3" t="n">
        <v>6</v>
      </c>
      <c r="C11" s="3" t="s">
        <v>122</v>
      </c>
      <c r="D11" s="3" t="n">
        <v>1</v>
      </c>
      <c r="E11" s="3" t="s">
        <v>126</v>
      </c>
      <c r="F11" s="3" t="s">
        <v>124</v>
      </c>
      <c r="G11" s="3" t="s">
        <v>124</v>
      </c>
      <c r="H11" s="3" t="s">
        <v>131</v>
      </c>
    </row>
    <row r="12" customFormat="false" ht="15" hidden="false" customHeight="false" outlineLevel="0" collapsed="false">
      <c r="A12" s="3" t="s">
        <v>121</v>
      </c>
      <c r="B12" s="3" t="n">
        <v>7</v>
      </c>
      <c r="C12" s="3" t="s">
        <v>122</v>
      </c>
      <c r="D12" s="3" t="n">
        <v>3</v>
      </c>
      <c r="E12" s="3" t="s">
        <v>123</v>
      </c>
      <c r="F12" s="3" t="s">
        <v>124</v>
      </c>
      <c r="G12" s="3" t="s">
        <v>124</v>
      </c>
      <c r="H12" s="3" t="s">
        <v>132</v>
      </c>
    </row>
    <row r="13" customFormat="false" ht="15" hidden="false" customHeight="false" outlineLevel="0" collapsed="false">
      <c r="A13" s="3" t="s">
        <v>121</v>
      </c>
      <c r="B13" s="3" t="n">
        <v>8</v>
      </c>
      <c r="C13" s="3" t="s">
        <v>122</v>
      </c>
      <c r="D13" s="3" t="n">
        <v>13</v>
      </c>
      <c r="E13" s="3" t="s">
        <v>123</v>
      </c>
      <c r="F13" s="3" t="s">
        <v>124</v>
      </c>
      <c r="G13" s="3" t="s">
        <v>124</v>
      </c>
      <c r="H13" s="3" t="s">
        <v>133</v>
      </c>
    </row>
    <row r="14" customFormat="false" ht="15" hidden="false" customHeight="false" outlineLevel="0" collapsed="false">
      <c r="A14" s="3" t="s">
        <v>121</v>
      </c>
      <c r="B14" s="3" t="n">
        <v>9</v>
      </c>
      <c r="C14" s="3" t="s">
        <v>122</v>
      </c>
      <c r="D14" s="3" t="n">
        <v>5</v>
      </c>
      <c r="E14" s="3" t="s">
        <v>123</v>
      </c>
      <c r="F14" s="3" t="s">
        <v>124</v>
      </c>
      <c r="G14" s="3" t="s">
        <v>124</v>
      </c>
      <c r="H14" s="3" t="s">
        <v>134</v>
      </c>
    </row>
    <row r="15" customFormat="false" ht="15" hidden="false" customHeight="false" outlineLevel="0" collapsed="false">
      <c r="A15" s="3" t="s">
        <v>121</v>
      </c>
      <c r="B15" s="3" t="n">
        <v>10</v>
      </c>
      <c r="C15" s="3" t="s">
        <v>122</v>
      </c>
      <c r="D15" s="3" t="n">
        <v>6</v>
      </c>
      <c r="E15" s="3" t="s">
        <v>123</v>
      </c>
      <c r="F15" s="3" t="s">
        <v>124</v>
      </c>
      <c r="G15" s="3" t="s">
        <v>124</v>
      </c>
      <c r="H15" s="3" t="s">
        <v>135</v>
      </c>
    </row>
    <row r="16" customFormat="false" ht="15" hidden="false" customHeight="false" outlineLevel="0" collapsed="false">
      <c r="A16" s="3" t="s">
        <v>121</v>
      </c>
      <c r="B16" s="3" t="n">
        <v>11</v>
      </c>
      <c r="C16" s="3" t="s">
        <v>122</v>
      </c>
      <c r="D16" s="3" t="n">
        <v>11</v>
      </c>
      <c r="E16" s="3" t="s">
        <v>123</v>
      </c>
      <c r="F16" s="3" t="s">
        <v>124</v>
      </c>
      <c r="G16" s="3" t="s">
        <v>124</v>
      </c>
      <c r="H16" s="3" t="s">
        <v>136</v>
      </c>
    </row>
    <row r="17" customFormat="false" ht="15" hidden="false" customHeight="false" outlineLevel="0" collapsed="false">
      <c r="A17" s="3" t="s">
        <v>121</v>
      </c>
      <c r="B17" s="3" t="n">
        <v>12</v>
      </c>
      <c r="C17" s="3" t="s">
        <v>122</v>
      </c>
      <c r="D17" s="3" t="n">
        <v>5</v>
      </c>
      <c r="E17" s="3" t="s">
        <v>123</v>
      </c>
      <c r="F17" s="3" t="s">
        <v>124</v>
      </c>
      <c r="G17" s="3" t="s">
        <v>124</v>
      </c>
      <c r="H17" s="3" t="s">
        <v>137</v>
      </c>
    </row>
    <row r="18" customFormat="false" ht="15" hidden="false" customHeight="false" outlineLevel="0" collapsed="false">
      <c r="A18" s="3" t="s">
        <v>121</v>
      </c>
      <c r="B18" s="3" t="n">
        <v>12</v>
      </c>
      <c r="C18" s="3" t="s">
        <v>122</v>
      </c>
      <c r="D18" s="3" t="n">
        <v>17</v>
      </c>
      <c r="E18" s="3" t="s">
        <v>126</v>
      </c>
      <c r="F18" s="3" t="s">
        <v>124</v>
      </c>
      <c r="G18" s="3" t="s">
        <v>124</v>
      </c>
      <c r="H18" s="3" t="s">
        <v>137</v>
      </c>
    </row>
    <row r="19" customFormat="false" ht="15" hidden="false" customHeight="false" outlineLevel="0" collapsed="false">
      <c r="A19" s="3" t="s">
        <v>121</v>
      </c>
      <c r="B19" s="3" t="n">
        <v>13</v>
      </c>
      <c r="C19" s="3" t="s">
        <v>122</v>
      </c>
      <c r="D19" s="3" t="n">
        <v>7</v>
      </c>
      <c r="E19" s="3" t="s">
        <v>123</v>
      </c>
      <c r="F19" s="3" t="s">
        <v>124</v>
      </c>
      <c r="G19" s="3" t="s">
        <v>124</v>
      </c>
      <c r="H19" s="3" t="s">
        <v>138</v>
      </c>
    </row>
    <row r="20" customFormat="false" ht="15" hidden="false" customHeight="false" outlineLevel="0" collapsed="false">
      <c r="A20" s="3" t="s">
        <v>121</v>
      </c>
      <c r="B20" s="3" t="n">
        <v>14</v>
      </c>
      <c r="C20" s="3" t="s">
        <v>122</v>
      </c>
      <c r="D20" s="3" t="n">
        <v>20</v>
      </c>
      <c r="E20" s="3" t="s">
        <v>123</v>
      </c>
      <c r="F20" s="3" t="s">
        <v>124</v>
      </c>
      <c r="G20" s="3" t="s">
        <v>124</v>
      </c>
      <c r="H20" s="3" t="s">
        <v>139</v>
      </c>
    </row>
    <row r="21" customFormat="false" ht="15" hidden="false" customHeight="false" outlineLevel="0" collapsed="false">
      <c r="A21" s="3" t="s">
        <v>121</v>
      </c>
      <c r="B21" s="3" t="n">
        <v>14</v>
      </c>
      <c r="C21" s="3" t="s">
        <v>122</v>
      </c>
      <c r="D21" s="3" t="n">
        <v>19</v>
      </c>
      <c r="E21" s="3" t="s">
        <v>126</v>
      </c>
      <c r="F21" s="3" t="s">
        <v>124</v>
      </c>
      <c r="G21" s="3" t="s">
        <v>124</v>
      </c>
      <c r="H21" s="3" t="s">
        <v>139</v>
      </c>
    </row>
    <row r="22" customFormat="false" ht="15" hidden="false" customHeight="false" outlineLevel="0" collapsed="false">
      <c r="A22" s="3" t="s">
        <v>121</v>
      </c>
      <c r="B22" s="3" t="n">
        <v>15</v>
      </c>
      <c r="C22" s="3" t="s">
        <v>122</v>
      </c>
      <c r="D22" s="3" t="n">
        <v>3</v>
      </c>
      <c r="E22" s="3" t="s">
        <v>123</v>
      </c>
      <c r="F22" s="3" t="s">
        <v>124</v>
      </c>
      <c r="G22" s="3" t="s">
        <v>124</v>
      </c>
      <c r="H22" s="3" t="s">
        <v>140</v>
      </c>
    </row>
    <row r="23" customFormat="false" ht="15" hidden="false" customHeight="false" outlineLevel="0" collapsed="false">
      <c r="A23" s="3" t="s">
        <v>121</v>
      </c>
      <c r="B23" s="3" t="n">
        <v>15</v>
      </c>
      <c r="C23" s="3" t="s">
        <v>122</v>
      </c>
      <c r="D23" s="3" t="n">
        <v>7</v>
      </c>
      <c r="E23" s="3" t="s">
        <v>126</v>
      </c>
      <c r="F23" s="3" t="s">
        <v>124</v>
      </c>
      <c r="G23" s="3" t="s">
        <v>124</v>
      </c>
      <c r="H23" s="3" t="s">
        <v>140</v>
      </c>
    </row>
    <row r="24" customFormat="false" ht="15" hidden="false" customHeight="false" outlineLevel="0" collapsed="false">
      <c r="A24" s="3" t="s">
        <v>121</v>
      </c>
      <c r="B24" s="3" t="n">
        <v>16</v>
      </c>
      <c r="C24" s="3" t="s">
        <v>122</v>
      </c>
      <c r="D24" s="3" t="n">
        <v>6</v>
      </c>
      <c r="E24" s="3" t="s">
        <v>123</v>
      </c>
      <c r="F24" s="3" t="s">
        <v>124</v>
      </c>
      <c r="G24" s="3" t="s">
        <v>124</v>
      </c>
      <c r="H24" s="3" t="s">
        <v>141</v>
      </c>
    </row>
    <row r="25" customFormat="false" ht="15" hidden="false" customHeight="false" outlineLevel="0" collapsed="false">
      <c r="A25" s="3" t="s">
        <v>121</v>
      </c>
      <c r="B25" s="3" t="n">
        <v>17</v>
      </c>
      <c r="C25" s="3" t="s">
        <v>122</v>
      </c>
      <c r="D25" s="3" t="n">
        <v>3</v>
      </c>
      <c r="E25" s="3" t="s">
        <v>123</v>
      </c>
      <c r="F25" s="3" t="s">
        <v>124</v>
      </c>
      <c r="G25" s="3" t="s">
        <v>124</v>
      </c>
      <c r="H25" s="3" t="s">
        <v>142</v>
      </c>
    </row>
    <row r="26" customFormat="false" ht="15" hidden="false" customHeight="false" outlineLevel="0" collapsed="false">
      <c r="A26" s="3" t="s">
        <v>121</v>
      </c>
      <c r="B26" s="3" t="n">
        <v>18</v>
      </c>
      <c r="C26" s="3" t="s">
        <v>122</v>
      </c>
      <c r="D26" s="3" t="n">
        <v>17</v>
      </c>
      <c r="E26" s="3" t="s">
        <v>123</v>
      </c>
      <c r="F26" s="3" t="s">
        <v>124</v>
      </c>
      <c r="G26" s="3" t="s">
        <v>124</v>
      </c>
      <c r="H26" s="3" t="s">
        <v>143</v>
      </c>
    </row>
    <row r="27" customFormat="false" ht="15" hidden="false" customHeight="false" outlineLevel="0" collapsed="false">
      <c r="A27" s="3" t="s">
        <v>121</v>
      </c>
      <c r="B27" s="3" t="n">
        <v>18</v>
      </c>
      <c r="C27" s="3" t="s">
        <v>122</v>
      </c>
      <c r="D27" s="3" t="n">
        <v>18</v>
      </c>
      <c r="E27" s="3" t="s">
        <v>126</v>
      </c>
      <c r="F27" s="3" t="s">
        <v>124</v>
      </c>
      <c r="G27" s="3" t="s">
        <v>124</v>
      </c>
      <c r="H27" s="3" t="s">
        <v>143</v>
      </c>
    </row>
    <row r="28" customFormat="false" ht="15" hidden="false" customHeight="false" outlineLevel="0" collapsed="false">
      <c r="A28" s="3" t="s">
        <v>121</v>
      </c>
      <c r="B28" s="3" t="n">
        <v>19</v>
      </c>
      <c r="C28" s="3" t="s">
        <v>122</v>
      </c>
      <c r="D28" s="3" t="n">
        <v>17</v>
      </c>
      <c r="E28" s="3" t="s">
        <v>123</v>
      </c>
      <c r="F28" s="3" t="s">
        <v>124</v>
      </c>
      <c r="G28" s="3" t="s">
        <v>124</v>
      </c>
      <c r="H28" s="3" t="s">
        <v>144</v>
      </c>
    </row>
    <row r="29" customFormat="false" ht="15" hidden="false" customHeight="false" outlineLevel="0" collapsed="false">
      <c r="A29" s="3" t="s">
        <v>121</v>
      </c>
      <c r="B29" s="3" t="n">
        <v>20</v>
      </c>
      <c r="C29" s="3" t="s">
        <v>122</v>
      </c>
      <c r="D29" s="3" t="n">
        <v>16</v>
      </c>
      <c r="E29" s="3" t="s">
        <v>123</v>
      </c>
      <c r="F29" s="3" t="s">
        <v>124</v>
      </c>
      <c r="G29" s="3" t="s">
        <v>124</v>
      </c>
      <c r="H29" s="3" t="s">
        <v>145</v>
      </c>
    </row>
    <row r="30" customFormat="false" ht="15" hidden="false" customHeight="false" outlineLevel="0" collapsed="false">
      <c r="A30" s="3" t="s">
        <v>121</v>
      </c>
      <c r="B30" s="3" t="n">
        <v>20</v>
      </c>
      <c r="C30" s="3" t="s">
        <v>122</v>
      </c>
      <c r="D30" s="3" t="n">
        <v>5</v>
      </c>
      <c r="E30" s="3" t="s">
        <v>126</v>
      </c>
      <c r="F30" s="3" t="s">
        <v>124</v>
      </c>
      <c r="G30" s="3" t="s">
        <v>124</v>
      </c>
      <c r="H30" s="3" t="s">
        <v>145</v>
      </c>
    </row>
    <row r="31" customFormat="false" ht="15" hidden="false" customHeight="false" outlineLevel="0" collapsed="false">
      <c r="A31" s="3" t="s">
        <v>121</v>
      </c>
      <c r="B31" s="3" t="n">
        <v>21</v>
      </c>
      <c r="C31" s="3" t="s">
        <v>122</v>
      </c>
      <c r="D31" s="3" t="n">
        <v>12</v>
      </c>
      <c r="E31" s="3" t="s">
        <v>123</v>
      </c>
      <c r="F31" s="3" t="s">
        <v>124</v>
      </c>
      <c r="G31" s="3" t="s">
        <v>124</v>
      </c>
      <c r="H31" s="3" t="s">
        <v>146</v>
      </c>
    </row>
    <row r="32" customFormat="false" ht="15" hidden="false" customHeight="false" outlineLevel="0" collapsed="false">
      <c r="A32" s="3" t="s">
        <v>121</v>
      </c>
      <c r="B32" s="3" t="n">
        <v>21</v>
      </c>
      <c r="C32" s="3" t="s">
        <v>122</v>
      </c>
      <c r="D32" s="3" t="n">
        <v>1</v>
      </c>
      <c r="E32" s="3" t="s">
        <v>126</v>
      </c>
      <c r="F32" s="3" t="s">
        <v>124</v>
      </c>
      <c r="G32" s="3" t="s">
        <v>124</v>
      </c>
      <c r="H32" s="3" t="s">
        <v>146</v>
      </c>
    </row>
    <row r="33" customFormat="false" ht="15" hidden="false" customHeight="false" outlineLevel="0" collapsed="false">
      <c r="A33" s="3" t="s">
        <v>121</v>
      </c>
      <c r="B33" s="3" t="n">
        <v>22</v>
      </c>
      <c r="C33" s="3" t="s">
        <v>122</v>
      </c>
      <c r="D33" s="3" t="n">
        <v>21</v>
      </c>
      <c r="E33" s="3" t="s">
        <v>123</v>
      </c>
      <c r="F33" s="3" t="s">
        <v>124</v>
      </c>
      <c r="G33" s="3" t="s">
        <v>124</v>
      </c>
      <c r="H33" s="3" t="s">
        <v>147</v>
      </c>
    </row>
    <row r="34" customFormat="false" ht="15" hidden="false" customHeight="false" outlineLevel="0" collapsed="false">
      <c r="A34" s="3" t="s">
        <v>121</v>
      </c>
      <c r="B34" s="3" t="n">
        <v>22</v>
      </c>
      <c r="C34" s="3" t="s">
        <v>122</v>
      </c>
      <c r="D34" s="3" t="n">
        <v>19</v>
      </c>
      <c r="E34" s="3" t="s">
        <v>126</v>
      </c>
      <c r="F34" s="3" t="s">
        <v>124</v>
      </c>
      <c r="G34" s="3" t="s">
        <v>124</v>
      </c>
      <c r="H34" s="3" t="s">
        <v>147</v>
      </c>
    </row>
    <row r="35" customFormat="false" ht="15" hidden="false" customHeight="false" outlineLevel="0" collapsed="false">
      <c r="A35" s="3" t="s">
        <v>121</v>
      </c>
      <c r="B35" s="3" t="n">
        <v>23</v>
      </c>
      <c r="C35" s="3" t="s">
        <v>122</v>
      </c>
      <c r="D35" s="3" t="n">
        <v>21</v>
      </c>
      <c r="E35" s="3" t="s">
        <v>123</v>
      </c>
      <c r="F35" s="3" t="s">
        <v>124</v>
      </c>
      <c r="G35" s="3" t="s">
        <v>124</v>
      </c>
      <c r="H35" s="3" t="s">
        <v>148</v>
      </c>
    </row>
    <row r="36" customFormat="false" ht="15" hidden="false" customHeight="false" outlineLevel="0" collapsed="false">
      <c r="A36" s="3" t="s">
        <v>121</v>
      </c>
      <c r="B36" s="3" t="n">
        <v>24</v>
      </c>
      <c r="C36" s="3" t="s">
        <v>122</v>
      </c>
      <c r="D36" s="3" t="n">
        <v>21</v>
      </c>
      <c r="E36" s="3" t="s">
        <v>123</v>
      </c>
      <c r="F36" s="3" t="s">
        <v>124</v>
      </c>
      <c r="G36" s="3" t="s">
        <v>124</v>
      </c>
      <c r="H36" s="3" t="s">
        <v>149</v>
      </c>
    </row>
    <row r="37" customFormat="false" ht="15" hidden="false" customHeight="false" outlineLevel="0" collapsed="false">
      <c r="A37" s="3" t="s">
        <v>121</v>
      </c>
      <c r="B37" s="3" t="n">
        <v>25</v>
      </c>
      <c r="C37" s="3" t="s">
        <v>122</v>
      </c>
      <c r="D37" s="3" t="n">
        <v>21</v>
      </c>
      <c r="E37" s="3" t="s">
        <v>123</v>
      </c>
      <c r="F37" s="3" t="s">
        <v>124</v>
      </c>
      <c r="G37" s="3" t="s">
        <v>124</v>
      </c>
      <c r="H37" s="3" t="s">
        <v>150</v>
      </c>
    </row>
    <row r="38" customFormat="false" ht="15" hidden="false" customHeight="false" outlineLevel="0" collapsed="false">
      <c r="A38" s="3" t="s">
        <v>121</v>
      </c>
      <c r="B38" s="3" t="n">
        <v>26</v>
      </c>
      <c r="C38" s="3" t="s">
        <v>122</v>
      </c>
      <c r="D38" s="3" t="n">
        <v>51</v>
      </c>
      <c r="E38" s="3" t="s">
        <v>123</v>
      </c>
      <c r="F38" s="3" t="s">
        <v>124</v>
      </c>
      <c r="G38" s="3" t="s">
        <v>124</v>
      </c>
      <c r="H38" s="3" t="s">
        <v>151</v>
      </c>
    </row>
    <row r="39" customFormat="false" ht="15" hidden="false" customHeight="false" outlineLevel="0" collapsed="false">
      <c r="A39" s="3" t="s">
        <v>121</v>
      </c>
      <c r="B39" s="3" t="n">
        <v>26</v>
      </c>
      <c r="C39" s="3" t="s">
        <v>122</v>
      </c>
      <c r="D39" s="3" t="n">
        <v>40</v>
      </c>
      <c r="E39" s="3" t="s">
        <v>126</v>
      </c>
      <c r="F39" s="3" t="s">
        <v>124</v>
      </c>
      <c r="G39" s="3" t="s">
        <v>124</v>
      </c>
      <c r="H39" s="3" t="s">
        <v>151</v>
      </c>
    </row>
    <row r="40" customFormat="false" ht="15" hidden="false" customHeight="false" outlineLevel="0" collapsed="false">
      <c r="A40" s="3" t="s">
        <v>121</v>
      </c>
      <c r="B40" s="3" t="n">
        <v>27</v>
      </c>
      <c r="C40" s="3" t="s">
        <v>122</v>
      </c>
      <c r="D40" s="3" t="n">
        <v>56</v>
      </c>
      <c r="E40" s="3" t="s">
        <v>123</v>
      </c>
      <c r="F40" s="3" t="s">
        <v>124</v>
      </c>
      <c r="G40" s="3" t="s">
        <v>124</v>
      </c>
      <c r="H40" s="3" t="s">
        <v>152</v>
      </c>
    </row>
    <row r="41" customFormat="false" ht="15" hidden="false" customHeight="false" outlineLevel="0" collapsed="false">
      <c r="A41" s="3" t="s">
        <v>121</v>
      </c>
      <c r="B41" s="3" t="n">
        <v>27</v>
      </c>
      <c r="C41" s="3" t="s">
        <v>122</v>
      </c>
      <c r="D41" s="3" t="n">
        <v>21</v>
      </c>
      <c r="E41" s="3" t="s">
        <v>126</v>
      </c>
      <c r="F41" s="3" t="s">
        <v>124</v>
      </c>
      <c r="G41" s="3" t="s">
        <v>124</v>
      </c>
      <c r="H41" s="3" t="s">
        <v>152</v>
      </c>
    </row>
    <row r="42" customFormat="false" ht="15" hidden="false" customHeight="false" outlineLevel="0" collapsed="false">
      <c r="A42" s="3" t="s">
        <v>121</v>
      </c>
      <c r="B42" s="3" t="n">
        <v>28</v>
      </c>
      <c r="C42" s="3" t="s">
        <v>122</v>
      </c>
      <c r="D42" s="3" t="n">
        <v>56</v>
      </c>
      <c r="E42" s="3" t="s">
        <v>123</v>
      </c>
      <c r="F42" s="3" t="s">
        <v>124</v>
      </c>
      <c r="G42" s="3" t="s">
        <v>124</v>
      </c>
      <c r="H42" s="3" t="s">
        <v>153</v>
      </c>
    </row>
    <row r="43" customFormat="false" ht="15" hidden="false" customHeight="false" outlineLevel="0" collapsed="false">
      <c r="A43" s="3" t="s">
        <v>121</v>
      </c>
      <c r="B43" s="3" t="n">
        <v>28</v>
      </c>
      <c r="C43" s="3" t="s">
        <v>122</v>
      </c>
      <c r="D43" s="3" t="n">
        <v>40</v>
      </c>
      <c r="E43" s="3" t="s">
        <v>126</v>
      </c>
      <c r="F43" s="3" t="s">
        <v>124</v>
      </c>
      <c r="G43" s="3" t="s">
        <v>124</v>
      </c>
      <c r="H43" s="3" t="s">
        <v>153</v>
      </c>
    </row>
    <row r="44" customFormat="false" ht="15" hidden="false" customHeight="false" outlineLevel="0" collapsed="false">
      <c r="A44" s="3" t="s">
        <v>121</v>
      </c>
      <c r="B44" s="3" t="n">
        <v>29</v>
      </c>
      <c r="C44" s="3" t="s">
        <v>122</v>
      </c>
      <c r="D44" s="3" t="n">
        <v>31</v>
      </c>
      <c r="E44" s="3" t="s">
        <v>123</v>
      </c>
      <c r="F44" s="3" t="s">
        <v>124</v>
      </c>
      <c r="G44" s="3" t="s">
        <v>124</v>
      </c>
      <c r="H44" s="3" t="s">
        <v>154</v>
      </c>
    </row>
    <row r="45" customFormat="false" ht="15" hidden="false" customHeight="false" outlineLevel="0" collapsed="false">
      <c r="A45" s="3" t="s">
        <v>121</v>
      </c>
      <c r="B45" s="3" t="n">
        <v>29</v>
      </c>
      <c r="C45" s="3" t="s">
        <v>122</v>
      </c>
      <c r="D45" s="3" t="n">
        <v>5</v>
      </c>
      <c r="E45" s="3" t="s">
        <v>126</v>
      </c>
      <c r="F45" s="3" t="s">
        <v>124</v>
      </c>
      <c r="G45" s="3" t="s">
        <v>124</v>
      </c>
      <c r="H45" s="3" t="s">
        <v>154</v>
      </c>
    </row>
    <row r="46" customFormat="false" ht="15" hidden="false" customHeight="false" outlineLevel="0" collapsed="false">
      <c r="A46" s="3" t="s">
        <v>121</v>
      </c>
      <c r="B46" s="3" t="n">
        <v>30</v>
      </c>
      <c r="C46" s="3" t="s">
        <v>122</v>
      </c>
      <c r="D46" s="3" t="n">
        <v>40</v>
      </c>
      <c r="E46" s="3" t="s">
        <v>123</v>
      </c>
      <c r="F46" s="3" t="s">
        <v>124</v>
      </c>
      <c r="G46" s="3" t="s">
        <v>124</v>
      </c>
      <c r="H46" s="3" t="s">
        <v>155</v>
      </c>
    </row>
    <row r="47" customFormat="false" ht="15" hidden="false" customHeight="false" outlineLevel="0" collapsed="false">
      <c r="A47" s="3" t="s">
        <v>121</v>
      </c>
      <c r="B47" s="3" t="n">
        <v>30</v>
      </c>
      <c r="C47" s="3" t="s">
        <v>122</v>
      </c>
      <c r="D47" s="3" t="n">
        <v>20</v>
      </c>
      <c r="E47" s="3" t="s">
        <v>126</v>
      </c>
      <c r="F47" s="3" t="s">
        <v>124</v>
      </c>
      <c r="G47" s="3" t="s">
        <v>124</v>
      </c>
      <c r="H47" s="3" t="s">
        <v>155</v>
      </c>
    </row>
    <row r="48" customFormat="false" ht="15" hidden="false" customHeight="false" outlineLevel="0" collapsed="false">
      <c r="A48" s="3" t="s">
        <v>121</v>
      </c>
      <c r="B48" s="3" t="n">
        <v>31</v>
      </c>
      <c r="C48" s="3" t="s">
        <v>122</v>
      </c>
      <c r="D48" s="3" t="n">
        <v>61</v>
      </c>
      <c r="E48" s="3" t="s">
        <v>123</v>
      </c>
      <c r="F48" s="3" t="s">
        <v>124</v>
      </c>
      <c r="G48" s="3" t="s">
        <v>124</v>
      </c>
      <c r="H48" s="3" t="s">
        <v>156</v>
      </c>
    </row>
    <row r="49" customFormat="false" ht="15" hidden="false" customHeight="false" outlineLevel="0" collapsed="false">
      <c r="A49" s="3" t="s">
        <v>121</v>
      </c>
      <c r="B49" s="3" t="n">
        <v>31</v>
      </c>
      <c r="C49" s="3" t="s">
        <v>122</v>
      </c>
      <c r="D49" s="3" t="n">
        <v>56</v>
      </c>
      <c r="E49" s="3" t="s">
        <v>126</v>
      </c>
      <c r="F49" s="3" t="s">
        <v>124</v>
      </c>
      <c r="G49" s="3" t="s">
        <v>124</v>
      </c>
      <c r="H49" s="3" t="s">
        <v>156</v>
      </c>
    </row>
    <row r="50" customFormat="false" ht="15" hidden="false" customHeight="false" outlineLevel="0" collapsed="false">
      <c r="A50" s="3" t="s">
        <v>121</v>
      </c>
      <c r="B50" s="3" t="n">
        <v>32</v>
      </c>
      <c r="C50" s="3" t="s">
        <v>122</v>
      </c>
      <c r="D50" s="3" t="n">
        <v>41</v>
      </c>
      <c r="E50" s="3" t="s">
        <v>123</v>
      </c>
      <c r="F50" s="3" t="s">
        <v>124</v>
      </c>
      <c r="G50" s="3" t="s">
        <v>124</v>
      </c>
      <c r="H50" s="3" t="s">
        <v>157</v>
      </c>
    </row>
    <row r="51" customFormat="false" ht="15" hidden="false" customHeight="false" outlineLevel="0" collapsed="false">
      <c r="A51" s="3" t="s">
        <v>121</v>
      </c>
      <c r="B51" s="3" t="n">
        <v>32</v>
      </c>
      <c r="C51" s="3" t="s">
        <v>122</v>
      </c>
      <c r="D51" s="3" t="n">
        <v>31</v>
      </c>
      <c r="E51" s="3" t="s">
        <v>126</v>
      </c>
      <c r="F51" s="3" t="s">
        <v>124</v>
      </c>
      <c r="G51" s="3" t="s">
        <v>124</v>
      </c>
      <c r="H51" s="3" t="s">
        <v>157</v>
      </c>
    </row>
    <row r="52" customFormat="false" ht="15" hidden="false" customHeight="false" outlineLevel="0" collapsed="false">
      <c r="A52" s="3" t="s">
        <v>121</v>
      </c>
      <c r="B52" s="3" t="n">
        <v>33</v>
      </c>
      <c r="C52" s="3" t="s">
        <v>122</v>
      </c>
      <c r="D52" s="3" t="n">
        <v>31</v>
      </c>
      <c r="E52" s="3" t="s">
        <v>123</v>
      </c>
      <c r="F52" s="3" t="s">
        <v>124</v>
      </c>
      <c r="G52" s="3" t="s">
        <v>124</v>
      </c>
      <c r="H52" s="3" t="s">
        <v>158</v>
      </c>
    </row>
    <row r="53" customFormat="false" ht="15" hidden="false" customHeight="false" outlineLevel="0" collapsed="false">
      <c r="A53" s="3" t="s">
        <v>121</v>
      </c>
      <c r="B53" s="3" t="n">
        <v>33</v>
      </c>
      <c r="C53" s="3" t="s">
        <v>122</v>
      </c>
      <c r="D53" s="3" t="n">
        <v>5</v>
      </c>
      <c r="E53" s="3" t="s">
        <v>126</v>
      </c>
      <c r="F53" s="3" t="s">
        <v>124</v>
      </c>
      <c r="G53" s="3" t="s">
        <v>124</v>
      </c>
      <c r="H53" s="3" t="s">
        <v>158</v>
      </c>
    </row>
    <row r="54" customFormat="false" ht="15" hidden="false" customHeight="false" outlineLevel="0" collapsed="false">
      <c r="A54" s="3" t="s">
        <v>121</v>
      </c>
      <c r="B54" s="3" t="n">
        <v>34</v>
      </c>
      <c r="C54" s="3" t="s">
        <v>122</v>
      </c>
      <c r="D54" s="3" t="n">
        <v>40</v>
      </c>
      <c r="E54" s="3" t="s">
        <v>123</v>
      </c>
      <c r="F54" s="3" t="s">
        <v>124</v>
      </c>
      <c r="G54" s="3" t="s">
        <v>124</v>
      </c>
      <c r="H54" s="3" t="s">
        <v>159</v>
      </c>
    </row>
    <row r="55" customFormat="false" ht="15" hidden="false" customHeight="false" outlineLevel="0" collapsed="false">
      <c r="A55" s="3" t="s">
        <v>121</v>
      </c>
      <c r="B55" s="3" t="n">
        <v>34</v>
      </c>
      <c r="C55" s="3" t="s">
        <v>122</v>
      </c>
      <c r="D55" s="3" t="n">
        <v>19</v>
      </c>
      <c r="E55" s="3" t="s">
        <v>126</v>
      </c>
      <c r="F55" s="3" t="s">
        <v>124</v>
      </c>
      <c r="G55" s="3" t="s">
        <v>124</v>
      </c>
      <c r="H55" s="3" t="s">
        <v>159</v>
      </c>
    </row>
    <row r="56" customFormat="false" ht="15" hidden="false" customHeight="false" outlineLevel="0" collapsed="false">
      <c r="A56" s="3" t="s">
        <v>121</v>
      </c>
      <c r="B56" s="3" t="n">
        <v>35</v>
      </c>
      <c r="C56" s="3" t="s">
        <v>122</v>
      </c>
      <c r="D56" s="3" t="n">
        <v>8</v>
      </c>
      <c r="E56" s="3" t="s">
        <v>123</v>
      </c>
      <c r="F56" s="3" t="s">
        <v>124</v>
      </c>
      <c r="G56" s="3" t="s">
        <v>124</v>
      </c>
      <c r="H56" s="3" t="s">
        <v>160</v>
      </c>
    </row>
    <row r="57" customFormat="false" ht="15" hidden="false" customHeight="false" outlineLevel="0" collapsed="false">
      <c r="A57" s="3" t="s">
        <v>121</v>
      </c>
      <c r="B57" s="3" t="n">
        <v>35</v>
      </c>
      <c r="C57" s="3" t="s">
        <v>122</v>
      </c>
      <c r="D57" s="3" t="n">
        <v>6</v>
      </c>
      <c r="E57" s="3" t="s">
        <v>126</v>
      </c>
      <c r="F57" s="3" t="s">
        <v>124</v>
      </c>
      <c r="G57" s="3" t="s">
        <v>124</v>
      </c>
      <c r="H57" s="3" t="s">
        <v>160</v>
      </c>
    </row>
    <row r="58" customFormat="false" ht="15" hidden="false" customHeight="false" outlineLevel="0" collapsed="false">
      <c r="A58" s="3" t="s">
        <v>121</v>
      </c>
      <c r="B58" s="3" t="n">
        <v>36</v>
      </c>
      <c r="C58" s="3" t="s">
        <v>122</v>
      </c>
      <c r="D58" s="3" t="n">
        <v>71</v>
      </c>
      <c r="E58" s="3" t="s">
        <v>123</v>
      </c>
      <c r="F58" s="3" t="s">
        <v>124</v>
      </c>
      <c r="G58" s="3" t="s">
        <v>124</v>
      </c>
      <c r="H58" s="3" t="s">
        <v>161</v>
      </c>
    </row>
    <row r="59" customFormat="false" ht="15" hidden="false" customHeight="false" outlineLevel="0" collapsed="false">
      <c r="A59" s="3" t="s">
        <v>121</v>
      </c>
      <c r="B59" s="3" t="n">
        <v>36</v>
      </c>
      <c r="C59" s="3" t="s">
        <v>122</v>
      </c>
      <c r="D59" s="3" t="n">
        <v>31</v>
      </c>
      <c r="E59" s="3" t="s">
        <v>126</v>
      </c>
      <c r="F59" s="3" t="s">
        <v>124</v>
      </c>
      <c r="G59" s="3" t="s">
        <v>124</v>
      </c>
      <c r="H59" s="3" t="s">
        <v>161</v>
      </c>
    </row>
    <row r="60" customFormat="false" ht="15" hidden="false" customHeight="false" outlineLevel="0" collapsed="false">
      <c r="A60" s="3" t="s">
        <v>121</v>
      </c>
      <c r="B60" s="3" t="n">
        <v>37</v>
      </c>
      <c r="C60" s="3" t="s">
        <v>122</v>
      </c>
      <c r="D60" s="3" t="n">
        <v>78</v>
      </c>
      <c r="E60" s="3" t="s">
        <v>123</v>
      </c>
      <c r="F60" s="3" t="s">
        <v>124</v>
      </c>
      <c r="G60" s="3" t="s">
        <v>124</v>
      </c>
      <c r="H60" s="3" t="s">
        <v>162</v>
      </c>
    </row>
    <row r="61" customFormat="false" ht="15" hidden="false" customHeight="false" outlineLevel="0" collapsed="false">
      <c r="A61" s="3" t="s">
        <v>121</v>
      </c>
      <c r="B61" s="3" t="n">
        <v>38</v>
      </c>
      <c r="C61" s="3" t="s">
        <v>122</v>
      </c>
      <c r="D61" s="3" t="n">
        <v>78</v>
      </c>
      <c r="E61" s="3" t="s">
        <v>123</v>
      </c>
      <c r="F61" s="3" t="s">
        <v>124</v>
      </c>
      <c r="G61" s="3" t="s">
        <v>124</v>
      </c>
      <c r="H61" s="3" t="s">
        <v>163</v>
      </c>
    </row>
    <row r="62" customFormat="false" ht="15" hidden="false" customHeight="false" outlineLevel="0" collapsed="false">
      <c r="A62" s="3" t="s">
        <v>121</v>
      </c>
      <c r="B62" s="3" t="n">
        <v>38</v>
      </c>
      <c r="C62" s="3" t="s">
        <v>122</v>
      </c>
      <c r="D62" s="3" t="n">
        <v>79</v>
      </c>
      <c r="E62" s="3" t="s">
        <v>126</v>
      </c>
      <c r="F62" s="3" t="s">
        <v>124</v>
      </c>
      <c r="G62" s="3" t="s">
        <v>124</v>
      </c>
      <c r="H62" s="3" t="s">
        <v>163</v>
      </c>
    </row>
    <row r="63" customFormat="false" ht="15" hidden="false" customHeight="false" outlineLevel="0" collapsed="false">
      <c r="A63" s="3" t="s">
        <v>121</v>
      </c>
      <c r="B63" s="3" t="n">
        <v>39</v>
      </c>
      <c r="C63" s="3" t="s">
        <v>122</v>
      </c>
      <c r="D63" s="3" t="n">
        <v>79</v>
      </c>
      <c r="E63" s="3" t="s">
        <v>123</v>
      </c>
      <c r="F63" s="3" t="s">
        <v>124</v>
      </c>
      <c r="G63" s="3" t="s">
        <v>124</v>
      </c>
      <c r="H63" s="3" t="s">
        <v>164</v>
      </c>
    </row>
    <row r="64" customFormat="false" ht="15" hidden="false" customHeight="false" outlineLevel="0" collapsed="false">
      <c r="A64" s="3" t="s">
        <v>121</v>
      </c>
      <c r="B64" s="3" t="n">
        <v>39</v>
      </c>
      <c r="C64" s="3" t="s">
        <v>122</v>
      </c>
      <c r="D64" s="3" t="n">
        <v>78</v>
      </c>
      <c r="E64" s="3" t="s">
        <v>126</v>
      </c>
      <c r="F64" s="3" t="s">
        <v>124</v>
      </c>
      <c r="G64" s="3" t="s">
        <v>124</v>
      </c>
      <c r="H64" s="3" t="s">
        <v>164</v>
      </c>
    </row>
    <row r="65" customFormat="false" ht="15" hidden="false" customHeight="false" outlineLevel="0" collapsed="false">
      <c r="A65" s="3" t="s">
        <v>165</v>
      </c>
      <c r="B65" s="3" t="n">
        <v>1</v>
      </c>
      <c r="C65" s="3" t="s">
        <v>122</v>
      </c>
      <c r="D65" s="3" t="n">
        <v>14</v>
      </c>
      <c r="E65" s="3" t="s">
        <v>123</v>
      </c>
      <c r="F65" s="3" t="s">
        <v>124</v>
      </c>
      <c r="G65" s="3" t="s">
        <v>124</v>
      </c>
      <c r="H65" s="3" t="s">
        <v>166</v>
      </c>
    </row>
    <row r="66" customFormat="false" ht="15" hidden="false" customHeight="false" outlineLevel="0" collapsed="false">
      <c r="A66" s="3" t="s">
        <v>165</v>
      </c>
      <c r="B66" s="3" t="n">
        <v>2</v>
      </c>
      <c r="C66" s="3" t="s">
        <v>122</v>
      </c>
      <c r="D66" s="3" t="n">
        <v>12</v>
      </c>
      <c r="E66" s="3" t="s">
        <v>123</v>
      </c>
      <c r="F66" s="3" t="s">
        <v>124</v>
      </c>
      <c r="G66" s="3" t="s">
        <v>124</v>
      </c>
      <c r="H66" s="3" t="s">
        <v>167</v>
      </c>
    </row>
    <row r="67" customFormat="false" ht="15" hidden="false" customHeight="false" outlineLevel="0" collapsed="false">
      <c r="A67" s="3" t="s">
        <v>165</v>
      </c>
      <c r="B67" s="3" t="n">
        <v>2</v>
      </c>
      <c r="C67" s="3" t="s">
        <v>122</v>
      </c>
      <c r="D67" s="3" t="n">
        <v>19</v>
      </c>
      <c r="E67" s="3" t="s">
        <v>126</v>
      </c>
      <c r="F67" s="3" t="s">
        <v>124</v>
      </c>
      <c r="G67" s="3" t="s">
        <v>124</v>
      </c>
      <c r="H67" s="3" t="s">
        <v>167</v>
      </c>
    </row>
    <row r="68" customFormat="false" ht="15" hidden="false" customHeight="false" outlineLevel="0" collapsed="false">
      <c r="A68" s="3" t="s">
        <v>165</v>
      </c>
      <c r="B68" s="3" t="n">
        <v>3</v>
      </c>
      <c r="C68" s="3" t="s">
        <v>122</v>
      </c>
      <c r="D68" s="3" t="n">
        <v>16</v>
      </c>
      <c r="E68" s="3" t="s">
        <v>123</v>
      </c>
      <c r="F68" s="3" t="s">
        <v>124</v>
      </c>
      <c r="G68" s="3" t="s">
        <v>124</v>
      </c>
      <c r="H68" s="3" t="s">
        <v>168</v>
      </c>
    </row>
    <row r="69" customFormat="false" ht="15" hidden="false" customHeight="false" outlineLevel="0" collapsed="false">
      <c r="A69" s="3" t="s">
        <v>165</v>
      </c>
      <c r="B69" s="3" t="n">
        <v>3</v>
      </c>
      <c r="C69" s="3" t="s">
        <v>122</v>
      </c>
      <c r="D69" s="3" t="n">
        <v>5</v>
      </c>
      <c r="E69" s="3" t="s">
        <v>126</v>
      </c>
      <c r="F69" s="3" t="s">
        <v>124</v>
      </c>
      <c r="G69" s="3" t="s">
        <v>124</v>
      </c>
      <c r="H69" s="3" t="s">
        <v>168</v>
      </c>
    </row>
    <row r="70" customFormat="false" ht="15" hidden="false" customHeight="false" outlineLevel="0" collapsed="false">
      <c r="A70" s="3" t="s">
        <v>165</v>
      </c>
      <c r="B70" s="3" t="n">
        <v>4</v>
      </c>
      <c r="C70" s="3" t="s">
        <v>122</v>
      </c>
      <c r="D70" s="3" t="n">
        <v>8</v>
      </c>
      <c r="E70" s="3" t="s">
        <v>123</v>
      </c>
      <c r="F70" s="3" t="s">
        <v>124</v>
      </c>
      <c r="G70" s="3" t="s">
        <v>124</v>
      </c>
      <c r="H70" s="3" t="s">
        <v>169</v>
      </c>
    </row>
    <row r="71" customFormat="false" ht="15" hidden="false" customHeight="false" outlineLevel="0" collapsed="false">
      <c r="A71" s="3" t="s">
        <v>165</v>
      </c>
      <c r="B71" s="3" t="n">
        <v>5</v>
      </c>
      <c r="C71" s="3" t="s">
        <v>122</v>
      </c>
      <c r="D71" s="3" t="n">
        <v>5</v>
      </c>
      <c r="E71" s="3" t="s">
        <v>123</v>
      </c>
      <c r="F71" s="3" t="s">
        <v>124</v>
      </c>
      <c r="G71" s="3" t="s">
        <v>124</v>
      </c>
      <c r="H71" s="3" t="s">
        <v>170</v>
      </c>
    </row>
    <row r="72" customFormat="false" ht="15" hidden="false" customHeight="false" outlineLevel="0" collapsed="false">
      <c r="A72" s="3" t="s">
        <v>165</v>
      </c>
      <c r="B72" s="3" t="n">
        <v>6</v>
      </c>
      <c r="C72" s="3" t="s">
        <v>122</v>
      </c>
      <c r="D72" s="3" t="n">
        <v>5</v>
      </c>
      <c r="E72" s="3" t="s">
        <v>123</v>
      </c>
      <c r="F72" s="3" t="s">
        <v>124</v>
      </c>
      <c r="G72" s="3" t="s">
        <v>124</v>
      </c>
      <c r="H72" s="3" t="s">
        <v>171</v>
      </c>
    </row>
    <row r="73" customFormat="false" ht="15" hidden="false" customHeight="false" outlineLevel="0" collapsed="false">
      <c r="A73" s="3" t="s">
        <v>165</v>
      </c>
      <c r="B73" s="3" t="n">
        <v>7</v>
      </c>
      <c r="C73" s="3" t="s">
        <v>122</v>
      </c>
      <c r="D73" s="3" t="n">
        <v>21</v>
      </c>
      <c r="E73" s="3" t="s">
        <v>123</v>
      </c>
      <c r="F73" s="3" t="s">
        <v>124</v>
      </c>
      <c r="G73" s="3" t="s">
        <v>124</v>
      </c>
      <c r="H73" s="3" t="s">
        <v>172</v>
      </c>
    </row>
    <row r="74" customFormat="false" ht="15" hidden="false" customHeight="false" outlineLevel="0" collapsed="false">
      <c r="A74" s="3" t="s">
        <v>165</v>
      </c>
      <c r="B74" s="3" t="n">
        <v>8</v>
      </c>
      <c r="C74" s="3" t="s">
        <v>122</v>
      </c>
      <c r="D74" s="3" t="n">
        <v>21</v>
      </c>
      <c r="E74" s="3" t="s">
        <v>123</v>
      </c>
      <c r="F74" s="3" t="s">
        <v>124</v>
      </c>
      <c r="G74" s="3" t="s">
        <v>124</v>
      </c>
      <c r="H74" s="3" t="s">
        <v>173</v>
      </c>
    </row>
    <row r="75" customFormat="false" ht="15" hidden="false" customHeight="false" outlineLevel="0" collapsed="false">
      <c r="A75" s="3" t="s">
        <v>165</v>
      </c>
      <c r="B75" s="3" t="n">
        <v>8</v>
      </c>
      <c r="C75" s="3" t="s">
        <v>122</v>
      </c>
      <c r="D75" s="3" t="n">
        <v>14</v>
      </c>
      <c r="E75" s="3" t="s">
        <v>126</v>
      </c>
      <c r="F75" s="3" t="s">
        <v>124</v>
      </c>
      <c r="G75" s="3" t="s">
        <v>124</v>
      </c>
      <c r="H75" s="3" t="s">
        <v>173</v>
      </c>
    </row>
    <row r="76" customFormat="false" ht="15" hidden="false" customHeight="false" outlineLevel="0" collapsed="false">
      <c r="A76" s="3" t="s">
        <v>165</v>
      </c>
      <c r="B76" s="3" t="n">
        <v>9</v>
      </c>
      <c r="C76" s="3" t="s">
        <v>122</v>
      </c>
      <c r="D76" s="3" t="n">
        <v>25</v>
      </c>
      <c r="E76" s="3" t="s">
        <v>123</v>
      </c>
      <c r="F76" s="3" t="s">
        <v>124</v>
      </c>
      <c r="G76" s="3" t="s">
        <v>124</v>
      </c>
      <c r="H76" s="3" t="s">
        <v>174</v>
      </c>
    </row>
    <row r="77" customFormat="false" ht="15" hidden="false" customHeight="false" outlineLevel="0" collapsed="false">
      <c r="A77" s="3" t="s">
        <v>165</v>
      </c>
      <c r="B77" s="3" t="n">
        <v>10</v>
      </c>
      <c r="C77" s="3" t="s">
        <v>122</v>
      </c>
      <c r="D77" s="3" t="n">
        <v>24</v>
      </c>
      <c r="E77" s="3" t="s">
        <v>123</v>
      </c>
      <c r="F77" s="3" t="s">
        <v>124</v>
      </c>
      <c r="G77" s="3" t="s">
        <v>124</v>
      </c>
      <c r="H77" s="3" t="s">
        <v>175</v>
      </c>
    </row>
    <row r="78" customFormat="false" ht="15" hidden="false" customHeight="false" outlineLevel="0" collapsed="false">
      <c r="A78" s="3" t="s">
        <v>165</v>
      </c>
      <c r="B78" s="3" t="n">
        <v>11</v>
      </c>
      <c r="C78" s="3" t="s">
        <v>122</v>
      </c>
      <c r="D78" s="3" t="n">
        <v>56</v>
      </c>
      <c r="E78" s="3" t="s">
        <v>123</v>
      </c>
      <c r="F78" s="3" t="s">
        <v>124</v>
      </c>
      <c r="G78" s="3" t="s">
        <v>124</v>
      </c>
      <c r="H78" s="3" t="s">
        <v>176</v>
      </c>
    </row>
    <row r="79" customFormat="false" ht="15" hidden="false" customHeight="false" outlineLevel="0" collapsed="false">
      <c r="A79" s="3" t="s">
        <v>165</v>
      </c>
      <c r="B79" s="3" t="n">
        <v>11</v>
      </c>
      <c r="C79" s="3" t="s">
        <v>122</v>
      </c>
      <c r="D79" s="3" t="n">
        <v>40</v>
      </c>
      <c r="E79" s="3" t="s">
        <v>126</v>
      </c>
      <c r="F79" s="3" t="s">
        <v>124</v>
      </c>
      <c r="G79" s="3" t="s">
        <v>124</v>
      </c>
      <c r="H79" s="3" t="s">
        <v>176</v>
      </c>
    </row>
    <row r="80" customFormat="false" ht="15" hidden="false" customHeight="false" outlineLevel="0" collapsed="false">
      <c r="A80" s="3" t="s">
        <v>165</v>
      </c>
      <c r="B80" s="3" t="n">
        <v>12</v>
      </c>
      <c r="C80" s="3" t="s">
        <v>122</v>
      </c>
      <c r="D80" s="3" t="n">
        <v>62</v>
      </c>
      <c r="E80" s="3" t="s">
        <v>123</v>
      </c>
      <c r="F80" s="3" t="s">
        <v>124</v>
      </c>
      <c r="G80" s="3" t="s">
        <v>124</v>
      </c>
      <c r="H80" s="3" t="s">
        <v>177</v>
      </c>
    </row>
    <row r="81" customFormat="false" ht="15" hidden="false" customHeight="false" outlineLevel="0" collapsed="false">
      <c r="A81" s="3" t="s">
        <v>165</v>
      </c>
      <c r="B81" s="3" t="n">
        <v>12</v>
      </c>
      <c r="C81" s="3" t="s">
        <v>122</v>
      </c>
      <c r="D81" s="3" t="n">
        <v>56</v>
      </c>
      <c r="E81" s="3" t="s">
        <v>126</v>
      </c>
      <c r="F81" s="3" t="s">
        <v>124</v>
      </c>
      <c r="G81" s="3" t="s">
        <v>124</v>
      </c>
      <c r="H81" s="3" t="s">
        <v>177</v>
      </c>
    </row>
    <row r="82" customFormat="false" ht="15" hidden="false" customHeight="false" outlineLevel="0" collapsed="false">
      <c r="A82" s="3" t="s">
        <v>165</v>
      </c>
      <c r="B82" s="3" t="n">
        <v>13</v>
      </c>
      <c r="C82" s="3" t="s">
        <v>122</v>
      </c>
      <c r="D82" s="3" t="n">
        <v>56</v>
      </c>
      <c r="E82" s="3" t="s">
        <v>123</v>
      </c>
      <c r="F82" s="3" t="s">
        <v>124</v>
      </c>
      <c r="G82" s="3" t="s">
        <v>124</v>
      </c>
      <c r="H82" s="3" t="s">
        <v>178</v>
      </c>
    </row>
    <row r="83" customFormat="false" ht="15" hidden="false" customHeight="false" outlineLevel="0" collapsed="false">
      <c r="A83" s="3" t="s">
        <v>165</v>
      </c>
      <c r="B83" s="3" t="n">
        <v>13</v>
      </c>
      <c r="C83" s="3" t="s">
        <v>122</v>
      </c>
      <c r="D83" s="3" t="n">
        <v>40</v>
      </c>
      <c r="E83" s="3" t="s">
        <v>126</v>
      </c>
      <c r="F83" s="3" t="s">
        <v>124</v>
      </c>
      <c r="G83" s="3" t="s">
        <v>124</v>
      </c>
      <c r="H83" s="3" t="s">
        <v>178</v>
      </c>
    </row>
    <row r="84" customFormat="false" ht="15" hidden="false" customHeight="false" outlineLevel="0" collapsed="false">
      <c r="A84" s="3" t="s">
        <v>165</v>
      </c>
      <c r="B84" s="3" t="n">
        <v>14</v>
      </c>
      <c r="C84" s="3" t="s">
        <v>122</v>
      </c>
      <c r="D84" s="3" t="n">
        <v>56</v>
      </c>
      <c r="E84" s="3" t="s">
        <v>123</v>
      </c>
      <c r="F84" s="3" t="s">
        <v>124</v>
      </c>
      <c r="G84" s="3" t="s">
        <v>124</v>
      </c>
      <c r="H84" s="3" t="s">
        <v>179</v>
      </c>
    </row>
    <row r="85" customFormat="false" ht="15" hidden="false" customHeight="false" outlineLevel="0" collapsed="false">
      <c r="A85" s="3" t="s">
        <v>165</v>
      </c>
      <c r="B85" s="3" t="n">
        <v>14</v>
      </c>
      <c r="C85" s="3" t="s">
        <v>122</v>
      </c>
      <c r="D85" s="3" t="n">
        <v>40</v>
      </c>
      <c r="E85" s="3" t="s">
        <v>126</v>
      </c>
      <c r="F85" s="3" t="s">
        <v>124</v>
      </c>
      <c r="G85" s="3" t="s">
        <v>124</v>
      </c>
      <c r="H85" s="3" t="s">
        <v>179</v>
      </c>
    </row>
    <row r="86" customFormat="false" ht="15" hidden="false" customHeight="false" outlineLevel="0" collapsed="false">
      <c r="A86" s="3" t="s">
        <v>165</v>
      </c>
      <c r="B86" s="3" t="n">
        <v>15</v>
      </c>
      <c r="C86" s="3" t="s">
        <v>122</v>
      </c>
      <c r="D86" s="3" t="n">
        <v>56</v>
      </c>
      <c r="E86" s="3" t="s">
        <v>123</v>
      </c>
      <c r="F86" s="3" t="s">
        <v>124</v>
      </c>
      <c r="G86" s="3" t="s">
        <v>124</v>
      </c>
      <c r="H86" s="3" t="s">
        <v>180</v>
      </c>
    </row>
    <row r="87" customFormat="false" ht="15" hidden="false" customHeight="false" outlineLevel="0" collapsed="false">
      <c r="A87" s="3" t="s">
        <v>165</v>
      </c>
      <c r="B87" s="3" t="n">
        <v>15</v>
      </c>
      <c r="C87" s="3" t="s">
        <v>122</v>
      </c>
      <c r="D87" s="3" t="n">
        <v>61</v>
      </c>
      <c r="E87" s="3" t="s">
        <v>126</v>
      </c>
      <c r="F87" s="3" t="s">
        <v>124</v>
      </c>
      <c r="G87" s="3" t="s">
        <v>124</v>
      </c>
      <c r="H87" s="3" t="s">
        <v>180</v>
      </c>
    </row>
    <row r="88" customFormat="false" ht="15" hidden="false" customHeight="false" outlineLevel="0" collapsed="false">
      <c r="A88" s="3" t="s">
        <v>165</v>
      </c>
      <c r="B88" s="3" t="n">
        <v>16</v>
      </c>
      <c r="C88" s="3" t="s">
        <v>122</v>
      </c>
      <c r="D88" s="3" t="n">
        <v>56</v>
      </c>
      <c r="E88" s="3" t="s">
        <v>123</v>
      </c>
      <c r="F88" s="3" t="s">
        <v>124</v>
      </c>
      <c r="G88" s="3" t="s">
        <v>124</v>
      </c>
      <c r="H88" s="3" t="s">
        <v>181</v>
      </c>
    </row>
    <row r="89" customFormat="false" ht="15" hidden="false" customHeight="false" outlineLevel="0" collapsed="false">
      <c r="A89" s="3" t="s">
        <v>165</v>
      </c>
      <c r="B89" s="3" t="n">
        <v>16</v>
      </c>
      <c r="C89" s="3" t="s">
        <v>122</v>
      </c>
      <c r="D89" s="3" t="n">
        <v>61</v>
      </c>
      <c r="E89" s="3" t="s">
        <v>126</v>
      </c>
      <c r="F89" s="3" t="s">
        <v>124</v>
      </c>
      <c r="G89" s="3" t="s">
        <v>124</v>
      </c>
      <c r="H89" s="3" t="s">
        <v>181</v>
      </c>
    </row>
    <row r="90" customFormat="false" ht="15" hidden="false" customHeight="false" outlineLevel="0" collapsed="false">
      <c r="A90" s="3" t="s">
        <v>165</v>
      </c>
      <c r="B90" s="3" t="n">
        <v>17</v>
      </c>
      <c r="C90" s="3" t="s">
        <v>122</v>
      </c>
      <c r="D90" s="3" t="n">
        <v>40</v>
      </c>
      <c r="E90" s="3" t="s">
        <v>123</v>
      </c>
      <c r="F90" s="3" t="s">
        <v>124</v>
      </c>
      <c r="G90" s="3" t="s">
        <v>124</v>
      </c>
      <c r="H90" s="3" t="s">
        <v>182</v>
      </c>
    </row>
    <row r="91" customFormat="false" ht="15" hidden="false" customHeight="false" outlineLevel="0" collapsed="false">
      <c r="A91" s="3" t="s">
        <v>165</v>
      </c>
      <c r="B91" s="3" t="n">
        <v>17</v>
      </c>
      <c r="C91" s="3" t="s">
        <v>122</v>
      </c>
      <c r="D91" s="3" t="n">
        <v>31</v>
      </c>
      <c r="E91" s="3" t="s">
        <v>126</v>
      </c>
      <c r="F91" s="3" t="s">
        <v>124</v>
      </c>
      <c r="G91" s="3" t="s">
        <v>124</v>
      </c>
      <c r="H91" s="3" t="s">
        <v>182</v>
      </c>
    </row>
    <row r="92" customFormat="false" ht="15" hidden="false" customHeight="false" outlineLevel="0" collapsed="false">
      <c r="A92" s="3" t="s">
        <v>165</v>
      </c>
      <c r="B92" s="3" t="n">
        <v>18</v>
      </c>
      <c r="C92" s="3" t="s">
        <v>122</v>
      </c>
      <c r="D92" s="3" t="n">
        <v>62</v>
      </c>
      <c r="E92" s="3" t="s">
        <v>123</v>
      </c>
      <c r="F92" s="3" t="s">
        <v>124</v>
      </c>
      <c r="G92" s="3" t="s">
        <v>124</v>
      </c>
      <c r="H92" s="3" t="s">
        <v>183</v>
      </c>
    </row>
    <row r="93" customFormat="false" ht="15" hidden="false" customHeight="false" outlineLevel="0" collapsed="false">
      <c r="A93" s="3" t="s">
        <v>165</v>
      </c>
      <c r="B93" s="3" t="n">
        <v>19</v>
      </c>
      <c r="C93" s="3" t="s">
        <v>122</v>
      </c>
      <c r="D93" s="3" t="n">
        <v>56</v>
      </c>
      <c r="E93" s="3" t="s">
        <v>123</v>
      </c>
      <c r="F93" s="3" t="s">
        <v>124</v>
      </c>
      <c r="G93" s="3" t="s">
        <v>124</v>
      </c>
      <c r="H93" s="3" t="s">
        <v>184</v>
      </c>
    </row>
    <row r="94" customFormat="false" ht="15" hidden="false" customHeight="false" outlineLevel="0" collapsed="false">
      <c r="A94" s="3" t="s">
        <v>165</v>
      </c>
      <c r="B94" s="3" t="n">
        <v>19</v>
      </c>
      <c r="C94" s="3" t="s">
        <v>122</v>
      </c>
      <c r="D94" s="3" t="n">
        <v>62</v>
      </c>
      <c r="E94" s="3" t="s">
        <v>126</v>
      </c>
      <c r="F94" s="3" t="s">
        <v>124</v>
      </c>
      <c r="G94" s="3" t="s">
        <v>124</v>
      </c>
      <c r="H94" s="3" t="s">
        <v>184</v>
      </c>
    </row>
    <row r="95" customFormat="false" ht="15" hidden="false" customHeight="false" outlineLevel="0" collapsed="false">
      <c r="A95" s="3" t="s">
        <v>165</v>
      </c>
      <c r="B95" s="3" t="n">
        <v>20</v>
      </c>
      <c r="C95" s="3" t="s">
        <v>122</v>
      </c>
      <c r="D95" s="3" t="n">
        <v>31</v>
      </c>
      <c r="E95" s="3" t="s">
        <v>123</v>
      </c>
      <c r="F95" s="3" t="s">
        <v>124</v>
      </c>
      <c r="G95" s="3" t="s">
        <v>124</v>
      </c>
      <c r="H95" s="3" t="s">
        <v>185</v>
      </c>
    </row>
    <row r="96" customFormat="false" ht="15" hidden="false" customHeight="false" outlineLevel="0" collapsed="false">
      <c r="A96" s="3" t="s">
        <v>165</v>
      </c>
      <c r="B96" s="3" t="n">
        <v>20</v>
      </c>
      <c r="C96" s="3" t="s">
        <v>122</v>
      </c>
      <c r="D96" s="3" t="n">
        <v>13</v>
      </c>
      <c r="E96" s="3" t="s">
        <v>126</v>
      </c>
      <c r="F96" s="3" t="s">
        <v>124</v>
      </c>
      <c r="G96" s="3" t="s">
        <v>124</v>
      </c>
      <c r="H96" s="3" t="s">
        <v>185</v>
      </c>
    </row>
    <row r="97" customFormat="false" ht="15" hidden="false" customHeight="false" outlineLevel="0" collapsed="false">
      <c r="A97" s="3" t="s">
        <v>165</v>
      </c>
      <c r="B97" s="3" t="n">
        <v>21</v>
      </c>
      <c r="C97" s="3" t="s">
        <v>122</v>
      </c>
      <c r="D97" s="3" t="n">
        <v>49</v>
      </c>
      <c r="E97" s="3" t="s">
        <v>123</v>
      </c>
      <c r="F97" s="3" t="s">
        <v>124</v>
      </c>
      <c r="G97" s="3" t="s">
        <v>124</v>
      </c>
      <c r="H97" s="3" t="s">
        <v>186</v>
      </c>
    </row>
    <row r="98" customFormat="false" ht="15" hidden="false" customHeight="false" outlineLevel="0" collapsed="false">
      <c r="A98" s="3" t="s">
        <v>165</v>
      </c>
      <c r="B98" s="3" t="n">
        <v>21</v>
      </c>
      <c r="C98" s="3" t="s">
        <v>122</v>
      </c>
      <c r="D98" s="3" t="n">
        <v>19</v>
      </c>
      <c r="E98" s="3" t="s">
        <v>126</v>
      </c>
      <c r="F98" s="3" t="s">
        <v>124</v>
      </c>
      <c r="G98" s="3" t="s">
        <v>124</v>
      </c>
      <c r="H98" s="3" t="s">
        <v>186</v>
      </c>
    </row>
    <row r="99" customFormat="false" ht="15" hidden="false" customHeight="false" outlineLevel="0" collapsed="false">
      <c r="A99" s="3" t="s">
        <v>165</v>
      </c>
      <c r="B99" s="3" t="n">
        <v>22</v>
      </c>
      <c r="C99" s="3" t="s">
        <v>122</v>
      </c>
      <c r="D99" s="3" t="n">
        <v>20</v>
      </c>
      <c r="E99" s="3" t="s">
        <v>123</v>
      </c>
      <c r="F99" s="3" t="s">
        <v>124</v>
      </c>
      <c r="G99" s="3" t="s">
        <v>124</v>
      </c>
      <c r="H99" s="3" t="s">
        <v>187</v>
      </c>
    </row>
    <row r="100" customFormat="false" ht="15" hidden="false" customHeight="false" outlineLevel="0" collapsed="false">
      <c r="A100" s="3" t="s">
        <v>165</v>
      </c>
      <c r="B100" s="3" t="n">
        <v>22</v>
      </c>
      <c r="C100" s="3" t="s">
        <v>122</v>
      </c>
      <c r="D100" s="3" t="n">
        <v>40</v>
      </c>
      <c r="E100" s="3" t="s">
        <v>126</v>
      </c>
      <c r="F100" s="3" t="s">
        <v>124</v>
      </c>
      <c r="G100" s="3" t="s">
        <v>124</v>
      </c>
      <c r="H100" s="3" t="s">
        <v>187</v>
      </c>
    </row>
    <row r="101" customFormat="false" ht="15" hidden="false" customHeight="false" outlineLevel="0" collapsed="false">
      <c r="A101" s="3" t="s">
        <v>165</v>
      </c>
      <c r="B101" s="3" t="n">
        <v>22</v>
      </c>
      <c r="C101" s="3" t="s">
        <v>122</v>
      </c>
      <c r="D101" s="3" t="n">
        <v>56</v>
      </c>
      <c r="E101" s="3" t="s">
        <v>126</v>
      </c>
      <c r="F101" s="3" t="s">
        <v>124</v>
      </c>
      <c r="G101" s="3" t="s">
        <v>124</v>
      </c>
      <c r="H101" s="3" t="s">
        <v>187</v>
      </c>
    </row>
    <row r="102" customFormat="false" ht="15" hidden="false" customHeight="false" outlineLevel="0" collapsed="false">
      <c r="A102" s="3" t="s">
        <v>165</v>
      </c>
      <c r="B102" s="3" t="n">
        <v>23</v>
      </c>
      <c r="C102" s="3" t="s">
        <v>122</v>
      </c>
      <c r="D102" s="3" t="n">
        <v>51</v>
      </c>
      <c r="E102" s="3" t="s">
        <v>123</v>
      </c>
      <c r="F102" s="3" t="s">
        <v>124</v>
      </c>
      <c r="G102" s="3" t="s">
        <v>124</v>
      </c>
      <c r="H102" s="3" t="s">
        <v>188</v>
      </c>
    </row>
    <row r="103" customFormat="false" ht="15" hidden="false" customHeight="false" outlineLevel="0" collapsed="false">
      <c r="A103" s="3" t="s">
        <v>165</v>
      </c>
      <c r="B103" s="3" t="n">
        <v>23</v>
      </c>
      <c r="C103" s="3" t="s">
        <v>122</v>
      </c>
      <c r="D103" s="3" t="n">
        <v>40</v>
      </c>
      <c r="E103" s="3" t="s">
        <v>126</v>
      </c>
      <c r="F103" s="3" t="s">
        <v>124</v>
      </c>
      <c r="G103" s="3" t="s">
        <v>124</v>
      </c>
      <c r="H103" s="3" t="s">
        <v>188</v>
      </c>
    </row>
    <row r="104" customFormat="false" ht="15" hidden="false" customHeight="false" outlineLevel="0" collapsed="false">
      <c r="A104" s="3" t="s">
        <v>165</v>
      </c>
      <c r="B104" s="3" t="n">
        <v>24</v>
      </c>
      <c r="C104" s="3" t="s">
        <v>122</v>
      </c>
      <c r="D104" s="3" t="n">
        <v>40</v>
      </c>
      <c r="E104" s="3" t="s">
        <v>123</v>
      </c>
      <c r="F104" s="3" t="s">
        <v>124</v>
      </c>
      <c r="G104" s="3" t="s">
        <v>124</v>
      </c>
      <c r="H104" s="3" t="s">
        <v>189</v>
      </c>
    </row>
    <row r="105" customFormat="false" ht="15" hidden="false" customHeight="false" outlineLevel="0" collapsed="false">
      <c r="A105" s="3" t="s">
        <v>165</v>
      </c>
      <c r="B105" s="3" t="n">
        <v>24</v>
      </c>
      <c r="C105" s="3" t="s">
        <v>122</v>
      </c>
      <c r="D105" s="3" t="n">
        <v>51</v>
      </c>
      <c r="E105" s="3" t="s">
        <v>126</v>
      </c>
      <c r="F105" s="3" t="s">
        <v>124</v>
      </c>
      <c r="G105" s="3" t="s">
        <v>124</v>
      </c>
      <c r="H105" s="3" t="s">
        <v>189</v>
      </c>
    </row>
    <row r="106" customFormat="false" ht="15" hidden="false" customHeight="false" outlineLevel="0" collapsed="false">
      <c r="A106" s="3" t="s">
        <v>165</v>
      </c>
      <c r="B106" s="3" t="n">
        <v>25</v>
      </c>
      <c r="C106" s="3" t="s">
        <v>122</v>
      </c>
      <c r="D106" s="3" t="n">
        <v>40</v>
      </c>
      <c r="E106" s="3" t="s">
        <v>123</v>
      </c>
      <c r="F106" s="3" t="s">
        <v>124</v>
      </c>
      <c r="G106" s="3" t="s">
        <v>124</v>
      </c>
      <c r="H106" s="3" t="s">
        <v>190</v>
      </c>
    </row>
    <row r="107" customFormat="false" ht="15" hidden="false" customHeight="false" outlineLevel="0" collapsed="false">
      <c r="A107" s="3" t="s">
        <v>165</v>
      </c>
      <c r="B107" s="3" t="n">
        <v>25</v>
      </c>
      <c r="C107" s="3" t="s">
        <v>122</v>
      </c>
      <c r="D107" s="3" t="n">
        <v>13</v>
      </c>
      <c r="E107" s="3" t="s">
        <v>126</v>
      </c>
      <c r="F107" s="3" t="s">
        <v>124</v>
      </c>
      <c r="G107" s="3" t="s">
        <v>124</v>
      </c>
      <c r="H107" s="3" t="s">
        <v>190</v>
      </c>
    </row>
    <row r="108" customFormat="false" ht="15" hidden="false" customHeight="false" outlineLevel="0" collapsed="false">
      <c r="A108" s="3" t="s">
        <v>165</v>
      </c>
      <c r="B108" s="3" t="n">
        <v>26</v>
      </c>
      <c r="C108" s="3" t="s">
        <v>122</v>
      </c>
      <c r="D108" s="3" t="n">
        <v>40</v>
      </c>
      <c r="E108" s="3" t="s">
        <v>123</v>
      </c>
      <c r="F108" s="3" t="s">
        <v>124</v>
      </c>
      <c r="G108" s="3" t="s">
        <v>124</v>
      </c>
      <c r="H108" s="3" t="s">
        <v>191</v>
      </c>
    </row>
    <row r="109" customFormat="false" ht="15" hidden="false" customHeight="false" outlineLevel="0" collapsed="false">
      <c r="A109" s="3" t="s">
        <v>165</v>
      </c>
      <c r="B109" s="3" t="n">
        <v>26</v>
      </c>
      <c r="C109" s="3" t="s">
        <v>122</v>
      </c>
      <c r="D109" s="3" t="n">
        <v>12</v>
      </c>
      <c r="E109" s="3" t="s">
        <v>126</v>
      </c>
      <c r="F109" s="3" t="s">
        <v>124</v>
      </c>
      <c r="G109" s="3" t="s">
        <v>124</v>
      </c>
      <c r="H109" s="3" t="s">
        <v>191</v>
      </c>
    </row>
    <row r="110" customFormat="false" ht="15" hidden="false" customHeight="false" outlineLevel="0" collapsed="false">
      <c r="A110" s="3" t="s">
        <v>165</v>
      </c>
      <c r="B110" s="3" t="n">
        <v>26</v>
      </c>
      <c r="C110" s="3" t="s">
        <v>122</v>
      </c>
      <c r="D110" s="3" t="n">
        <v>19</v>
      </c>
      <c r="E110" s="3" t="s">
        <v>126</v>
      </c>
      <c r="F110" s="3" t="s">
        <v>124</v>
      </c>
      <c r="G110" s="3" t="s">
        <v>124</v>
      </c>
      <c r="H110" s="3" t="s">
        <v>191</v>
      </c>
    </row>
    <row r="111" customFormat="false" ht="15" hidden="false" customHeight="false" outlineLevel="0" collapsed="false">
      <c r="A111" s="3" t="s">
        <v>165</v>
      </c>
      <c r="B111" s="3" t="n">
        <v>27</v>
      </c>
      <c r="C111" s="3" t="s">
        <v>122</v>
      </c>
      <c r="D111" s="3" t="n">
        <v>11</v>
      </c>
      <c r="E111" s="3" t="s">
        <v>123</v>
      </c>
      <c r="F111" s="3" t="s">
        <v>124</v>
      </c>
      <c r="G111" s="3" t="s">
        <v>124</v>
      </c>
      <c r="H111" s="3" t="s">
        <v>192</v>
      </c>
    </row>
    <row r="112" customFormat="false" ht="15" hidden="false" customHeight="false" outlineLevel="0" collapsed="false">
      <c r="A112" s="3" t="s">
        <v>165</v>
      </c>
      <c r="B112" s="3" t="n">
        <v>27</v>
      </c>
      <c r="C112" s="3" t="s">
        <v>122</v>
      </c>
      <c r="D112" s="3" t="n">
        <v>40</v>
      </c>
      <c r="E112" s="3" t="s">
        <v>126</v>
      </c>
      <c r="F112" s="3" t="s">
        <v>124</v>
      </c>
      <c r="G112" s="3" t="s">
        <v>124</v>
      </c>
      <c r="H112" s="3" t="s">
        <v>192</v>
      </c>
    </row>
    <row r="113" customFormat="false" ht="15" hidden="false" customHeight="false" outlineLevel="0" collapsed="false">
      <c r="A113" s="3" t="s">
        <v>165</v>
      </c>
      <c r="B113" s="3" t="n">
        <v>28</v>
      </c>
      <c r="C113" s="3" t="s">
        <v>122</v>
      </c>
      <c r="D113" s="3" t="n">
        <v>7</v>
      </c>
      <c r="E113" s="3" t="s">
        <v>123</v>
      </c>
      <c r="F113" s="3" t="s">
        <v>124</v>
      </c>
      <c r="G113" s="3" t="s">
        <v>124</v>
      </c>
      <c r="H113" s="3" t="s">
        <v>193</v>
      </c>
    </row>
    <row r="114" customFormat="false" ht="15" hidden="false" customHeight="false" outlineLevel="0" collapsed="false">
      <c r="A114" s="3" t="s">
        <v>165</v>
      </c>
      <c r="B114" s="3" t="n">
        <v>28</v>
      </c>
      <c r="C114" s="3" t="s">
        <v>122</v>
      </c>
      <c r="D114" s="3" t="n">
        <v>40</v>
      </c>
      <c r="E114" s="3" t="s">
        <v>126</v>
      </c>
      <c r="F114" s="3" t="s">
        <v>124</v>
      </c>
      <c r="G114" s="3" t="s">
        <v>124</v>
      </c>
      <c r="H114" s="3" t="s">
        <v>193</v>
      </c>
    </row>
    <row r="115" customFormat="false" ht="15" hidden="false" customHeight="false" outlineLevel="0" collapsed="false">
      <c r="A115" s="3" t="s">
        <v>165</v>
      </c>
      <c r="B115" s="3" t="n">
        <v>28</v>
      </c>
      <c r="C115" s="3" t="s">
        <v>122</v>
      </c>
      <c r="D115" s="3" t="n">
        <v>31</v>
      </c>
      <c r="E115" s="3" t="s">
        <v>126</v>
      </c>
      <c r="F115" s="3" t="s">
        <v>124</v>
      </c>
      <c r="G115" s="3" t="s">
        <v>124</v>
      </c>
      <c r="H115" s="3" t="s">
        <v>193</v>
      </c>
    </row>
    <row r="116" customFormat="false" ht="15" hidden="false" customHeight="false" outlineLevel="0" collapsed="false">
      <c r="A116" s="3" t="s">
        <v>165</v>
      </c>
      <c r="B116" s="3" t="n">
        <v>29</v>
      </c>
      <c r="C116" s="3" t="s">
        <v>122</v>
      </c>
      <c r="D116" s="3" t="n">
        <v>51</v>
      </c>
      <c r="E116" s="3" t="s">
        <v>123</v>
      </c>
      <c r="F116" s="3" t="s">
        <v>124</v>
      </c>
      <c r="G116" s="3" t="s">
        <v>124</v>
      </c>
      <c r="H116" s="3" t="s">
        <v>194</v>
      </c>
    </row>
    <row r="117" customFormat="false" ht="15" hidden="false" customHeight="false" outlineLevel="0" collapsed="false">
      <c r="A117" s="3" t="s">
        <v>165</v>
      </c>
      <c r="B117" s="3" t="n">
        <v>29</v>
      </c>
      <c r="C117" s="3" t="s">
        <v>122</v>
      </c>
      <c r="D117" s="3" t="n">
        <v>40</v>
      </c>
      <c r="E117" s="3" t="s">
        <v>126</v>
      </c>
      <c r="F117" s="3" t="s">
        <v>124</v>
      </c>
      <c r="G117" s="3" t="s">
        <v>124</v>
      </c>
      <c r="H117" s="3" t="s">
        <v>194</v>
      </c>
    </row>
    <row r="118" customFormat="false" ht="15" hidden="false" customHeight="false" outlineLevel="0" collapsed="false">
      <c r="A118" s="3" t="s">
        <v>165</v>
      </c>
      <c r="B118" s="3" t="n">
        <v>29</v>
      </c>
      <c r="C118" s="3" t="s">
        <v>122</v>
      </c>
      <c r="D118" s="3" t="n">
        <v>32</v>
      </c>
      <c r="E118" s="3" t="s">
        <v>126</v>
      </c>
      <c r="F118" s="3" t="s">
        <v>124</v>
      </c>
      <c r="G118" s="3" t="s">
        <v>124</v>
      </c>
      <c r="H118" s="3" t="s">
        <v>194</v>
      </c>
    </row>
    <row r="119" customFormat="false" ht="15" hidden="false" customHeight="false" outlineLevel="0" collapsed="false">
      <c r="A119" s="3" t="s">
        <v>165</v>
      </c>
      <c r="B119" s="3" t="n">
        <v>30</v>
      </c>
      <c r="C119" s="3" t="s">
        <v>122</v>
      </c>
      <c r="D119" s="3" t="n">
        <v>31</v>
      </c>
      <c r="E119" s="3" t="s">
        <v>123</v>
      </c>
      <c r="F119" s="3" t="s">
        <v>124</v>
      </c>
      <c r="G119" s="3" t="s">
        <v>124</v>
      </c>
      <c r="H119" s="3" t="s">
        <v>195</v>
      </c>
    </row>
    <row r="120" customFormat="false" ht="15" hidden="false" customHeight="false" outlineLevel="0" collapsed="false">
      <c r="A120" s="3" t="s">
        <v>165</v>
      </c>
      <c r="B120" s="3" t="n">
        <v>30</v>
      </c>
      <c r="C120" s="3" t="s">
        <v>122</v>
      </c>
      <c r="D120" s="3" t="n">
        <v>5</v>
      </c>
      <c r="E120" s="3" t="s">
        <v>126</v>
      </c>
      <c r="F120" s="3" t="s">
        <v>124</v>
      </c>
      <c r="G120" s="3" t="s">
        <v>124</v>
      </c>
      <c r="H120" s="3" t="s">
        <v>195</v>
      </c>
    </row>
    <row r="121" customFormat="false" ht="15" hidden="false" customHeight="false" outlineLevel="0" collapsed="false">
      <c r="A121" s="3" t="s">
        <v>165</v>
      </c>
      <c r="B121" s="3" t="n">
        <v>31</v>
      </c>
      <c r="C121" s="3" t="s">
        <v>122</v>
      </c>
      <c r="D121" s="3" t="n">
        <v>69</v>
      </c>
      <c r="E121" s="3" t="s">
        <v>123</v>
      </c>
      <c r="F121" s="3" t="s">
        <v>124</v>
      </c>
      <c r="G121" s="3" t="s">
        <v>124</v>
      </c>
      <c r="H121" s="3" t="s">
        <v>196</v>
      </c>
    </row>
    <row r="122" customFormat="false" ht="15" hidden="false" customHeight="false" outlineLevel="0" collapsed="false">
      <c r="A122" s="3" t="s">
        <v>165</v>
      </c>
      <c r="B122" s="3" t="n">
        <v>31</v>
      </c>
      <c r="C122" s="3" t="s">
        <v>122</v>
      </c>
      <c r="D122" s="3" t="n">
        <v>47</v>
      </c>
      <c r="E122" s="3" t="s">
        <v>126</v>
      </c>
      <c r="F122" s="3" t="s">
        <v>124</v>
      </c>
      <c r="G122" s="3" t="s">
        <v>124</v>
      </c>
      <c r="H122" s="3" t="s">
        <v>196</v>
      </c>
    </row>
    <row r="123" customFormat="false" ht="15" hidden="false" customHeight="false" outlineLevel="0" collapsed="false">
      <c r="A123" s="3" t="s">
        <v>165</v>
      </c>
      <c r="B123" s="3" t="n">
        <v>32</v>
      </c>
      <c r="C123" s="3" t="s">
        <v>122</v>
      </c>
      <c r="D123" s="3" t="n">
        <v>20</v>
      </c>
      <c r="E123" s="3" t="s">
        <v>123</v>
      </c>
      <c r="F123" s="3" t="s">
        <v>124</v>
      </c>
      <c r="G123" s="3" t="s">
        <v>124</v>
      </c>
      <c r="H123" s="3" t="s">
        <v>197</v>
      </c>
    </row>
    <row r="124" customFormat="false" ht="15" hidden="false" customHeight="false" outlineLevel="0" collapsed="false">
      <c r="A124" s="3" t="s">
        <v>165</v>
      </c>
      <c r="B124" s="3" t="n">
        <v>32</v>
      </c>
      <c r="C124" s="3" t="s">
        <v>122</v>
      </c>
      <c r="D124" s="3" t="n">
        <v>56</v>
      </c>
      <c r="E124" s="3" t="s">
        <v>126</v>
      </c>
      <c r="F124" s="3" t="s">
        <v>124</v>
      </c>
      <c r="G124" s="3" t="s">
        <v>124</v>
      </c>
      <c r="H124" s="3" t="s">
        <v>197</v>
      </c>
    </row>
    <row r="125" customFormat="false" ht="15" hidden="false" customHeight="false" outlineLevel="0" collapsed="false">
      <c r="A125" s="3" t="s">
        <v>165</v>
      </c>
      <c r="B125" s="3" t="n">
        <v>33</v>
      </c>
      <c r="C125" s="3" t="s">
        <v>122</v>
      </c>
      <c r="D125" s="3" t="n">
        <v>3</v>
      </c>
      <c r="E125" s="3" t="s">
        <v>123</v>
      </c>
      <c r="F125" s="3" t="s">
        <v>124</v>
      </c>
      <c r="G125" s="3" t="s">
        <v>124</v>
      </c>
      <c r="H125" s="3" t="s">
        <v>198</v>
      </c>
    </row>
    <row r="126" customFormat="false" ht="15" hidden="false" customHeight="false" outlineLevel="0" collapsed="false">
      <c r="A126" s="3" t="s">
        <v>165</v>
      </c>
      <c r="B126" s="3" t="n">
        <v>33</v>
      </c>
      <c r="C126" s="3" t="s">
        <v>122</v>
      </c>
      <c r="D126" s="3" t="n">
        <v>19</v>
      </c>
      <c r="E126" s="3" t="s">
        <v>126</v>
      </c>
      <c r="F126" s="3" t="s">
        <v>124</v>
      </c>
      <c r="G126" s="3" t="s">
        <v>124</v>
      </c>
      <c r="H126" s="3" t="s">
        <v>198</v>
      </c>
    </row>
    <row r="127" customFormat="false" ht="15" hidden="false" customHeight="false" outlineLevel="0" collapsed="false">
      <c r="A127" s="3" t="s">
        <v>165</v>
      </c>
      <c r="B127" s="3" t="n">
        <v>34</v>
      </c>
      <c r="C127" s="3" t="s">
        <v>122</v>
      </c>
      <c r="D127" s="3" t="n">
        <v>31</v>
      </c>
      <c r="E127" s="3" t="s">
        <v>123</v>
      </c>
      <c r="F127" s="3" t="s">
        <v>124</v>
      </c>
      <c r="G127" s="3" t="s">
        <v>124</v>
      </c>
      <c r="H127" s="3" t="s">
        <v>199</v>
      </c>
    </row>
    <row r="128" customFormat="false" ht="15" hidden="false" customHeight="false" outlineLevel="0" collapsed="false">
      <c r="A128" s="3" t="s">
        <v>165</v>
      </c>
      <c r="B128" s="3" t="n">
        <v>35</v>
      </c>
      <c r="C128" s="3" t="s">
        <v>122</v>
      </c>
      <c r="D128" s="3" t="n">
        <v>74</v>
      </c>
      <c r="E128" s="3" t="s">
        <v>123</v>
      </c>
      <c r="F128" s="3" t="s">
        <v>124</v>
      </c>
      <c r="G128" s="3" t="s">
        <v>124</v>
      </c>
      <c r="H128" s="3" t="s">
        <v>200</v>
      </c>
    </row>
    <row r="129" customFormat="false" ht="15" hidden="false" customHeight="false" outlineLevel="0" collapsed="false">
      <c r="A129" s="3" t="s">
        <v>165</v>
      </c>
      <c r="B129" s="3" t="n">
        <v>36</v>
      </c>
      <c r="C129" s="3" t="s">
        <v>122</v>
      </c>
      <c r="D129" s="3" t="n">
        <v>12</v>
      </c>
      <c r="E129" s="3" t="s">
        <v>123</v>
      </c>
      <c r="F129" s="3" t="s">
        <v>124</v>
      </c>
      <c r="G129" s="3" t="s">
        <v>124</v>
      </c>
      <c r="H129" s="3" t="s">
        <v>201</v>
      </c>
    </row>
    <row r="130" customFormat="false" ht="15" hidden="false" customHeight="false" outlineLevel="0" collapsed="false">
      <c r="A130" s="3" t="s">
        <v>165</v>
      </c>
      <c r="B130" s="3" t="n">
        <v>36</v>
      </c>
      <c r="C130" s="3" t="s">
        <v>122</v>
      </c>
      <c r="D130" s="3" t="n">
        <v>72</v>
      </c>
      <c r="E130" s="3" t="s">
        <v>126</v>
      </c>
      <c r="F130" s="3" t="s">
        <v>124</v>
      </c>
      <c r="G130" s="3" t="s">
        <v>124</v>
      </c>
      <c r="H130" s="3" t="s">
        <v>201</v>
      </c>
    </row>
    <row r="131" customFormat="false" ht="15" hidden="false" customHeight="false" outlineLevel="0" collapsed="false">
      <c r="A131" s="3" t="s">
        <v>165</v>
      </c>
      <c r="B131" s="3" t="n">
        <v>36</v>
      </c>
      <c r="C131" s="3" t="s">
        <v>122</v>
      </c>
      <c r="D131" s="3" t="n">
        <v>71</v>
      </c>
      <c r="E131" s="3" t="s">
        <v>126</v>
      </c>
      <c r="F131" s="3" t="s">
        <v>124</v>
      </c>
      <c r="G131" s="3" t="s">
        <v>124</v>
      </c>
      <c r="H131" s="3" t="s">
        <v>201</v>
      </c>
    </row>
    <row r="132" customFormat="false" ht="15" hidden="false" customHeight="false" outlineLevel="0" collapsed="false">
      <c r="A132" s="3" t="s">
        <v>165</v>
      </c>
      <c r="B132" s="3" t="n">
        <v>37</v>
      </c>
      <c r="C132" s="3" t="s">
        <v>122</v>
      </c>
      <c r="D132" s="3" t="n">
        <v>38</v>
      </c>
      <c r="E132" s="3" t="s">
        <v>123</v>
      </c>
      <c r="F132" s="3" t="s">
        <v>124</v>
      </c>
      <c r="G132" s="3" t="s">
        <v>124</v>
      </c>
      <c r="H132" s="3" t="s">
        <v>202</v>
      </c>
    </row>
    <row r="133" customFormat="false" ht="15" hidden="false" customHeight="false" outlineLevel="0" collapsed="false">
      <c r="A133" s="3" t="s">
        <v>165</v>
      </c>
      <c r="B133" s="3" t="n">
        <v>37</v>
      </c>
      <c r="C133" s="3" t="s">
        <v>122</v>
      </c>
      <c r="D133" s="3" t="n">
        <v>46</v>
      </c>
      <c r="E133" s="3" t="s">
        <v>126</v>
      </c>
      <c r="F133" s="3" t="s">
        <v>124</v>
      </c>
      <c r="G133" s="3" t="s">
        <v>124</v>
      </c>
      <c r="H133" s="3" t="s">
        <v>202</v>
      </c>
    </row>
    <row r="134" customFormat="false" ht="15" hidden="false" customHeight="false" outlineLevel="0" collapsed="false">
      <c r="A134" s="3" t="s">
        <v>165</v>
      </c>
      <c r="B134" s="3" t="n">
        <v>37</v>
      </c>
      <c r="C134" s="3" t="s">
        <v>122</v>
      </c>
      <c r="D134" s="3" t="n">
        <v>73</v>
      </c>
      <c r="E134" s="3" t="s">
        <v>126</v>
      </c>
      <c r="F134" s="3" t="s">
        <v>124</v>
      </c>
      <c r="G134" s="3" t="s">
        <v>124</v>
      </c>
      <c r="H134" s="3" t="s">
        <v>202</v>
      </c>
    </row>
    <row r="135" customFormat="false" ht="15" hidden="false" customHeight="false" outlineLevel="0" collapsed="false">
      <c r="A135" s="3" t="s">
        <v>165</v>
      </c>
      <c r="B135" s="3" t="n">
        <v>37</v>
      </c>
      <c r="C135" s="3" t="s">
        <v>122</v>
      </c>
      <c r="D135" s="3" t="n">
        <v>65</v>
      </c>
      <c r="E135" s="3" t="s">
        <v>126</v>
      </c>
      <c r="F135" s="3" t="s">
        <v>124</v>
      </c>
      <c r="G135" s="3" t="s">
        <v>124</v>
      </c>
      <c r="H135" s="3" t="s">
        <v>202</v>
      </c>
    </row>
    <row r="136" customFormat="false" ht="15" hidden="false" customHeight="false" outlineLevel="0" collapsed="false">
      <c r="A136" s="3" t="s">
        <v>203</v>
      </c>
      <c r="B136" s="3" t="n">
        <v>1</v>
      </c>
      <c r="C136" s="3" t="s">
        <v>122</v>
      </c>
      <c r="D136" s="3" t="n">
        <v>79</v>
      </c>
      <c r="E136" s="3" t="s">
        <v>123</v>
      </c>
      <c r="F136" s="3" t="s">
        <v>204</v>
      </c>
      <c r="G136" s="3" t="s">
        <v>124</v>
      </c>
      <c r="H136" s="3" t="s">
        <v>205</v>
      </c>
    </row>
    <row r="137" customFormat="false" ht="15" hidden="false" customHeight="false" outlineLevel="0" collapsed="false">
      <c r="A137" s="3" t="s">
        <v>203</v>
      </c>
      <c r="B137" s="3" t="n">
        <v>1</v>
      </c>
      <c r="C137" s="3" t="s">
        <v>122</v>
      </c>
      <c r="D137" s="3" t="n">
        <v>78</v>
      </c>
      <c r="E137" s="3" t="s">
        <v>126</v>
      </c>
      <c r="F137" s="3" t="s">
        <v>204</v>
      </c>
      <c r="G137" s="3" t="s">
        <v>124</v>
      </c>
      <c r="H137" s="3" t="s">
        <v>205</v>
      </c>
    </row>
    <row r="138" customFormat="false" ht="15" hidden="false" customHeight="false" outlineLevel="0" collapsed="false">
      <c r="A138" s="3" t="s">
        <v>203</v>
      </c>
      <c r="B138" s="3" t="n">
        <v>2</v>
      </c>
      <c r="C138" s="3" t="s">
        <v>122</v>
      </c>
      <c r="D138" s="3" t="n">
        <v>67</v>
      </c>
      <c r="E138" s="3" t="s">
        <v>123</v>
      </c>
      <c r="F138" s="3" t="s">
        <v>204</v>
      </c>
      <c r="G138" s="3" t="s">
        <v>124</v>
      </c>
      <c r="H138" s="3" t="s">
        <v>206</v>
      </c>
    </row>
    <row r="139" customFormat="false" ht="15" hidden="false" customHeight="false" outlineLevel="0" collapsed="false">
      <c r="A139" s="3" t="s">
        <v>203</v>
      </c>
      <c r="B139" s="3" t="n">
        <v>2</v>
      </c>
      <c r="C139" s="3" t="s">
        <v>122</v>
      </c>
      <c r="D139" s="3" t="n">
        <v>3</v>
      </c>
      <c r="E139" s="3" t="s">
        <v>126</v>
      </c>
      <c r="F139" s="3" t="s">
        <v>204</v>
      </c>
      <c r="G139" s="3" t="s">
        <v>124</v>
      </c>
      <c r="H139" s="3" t="s">
        <v>206</v>
      </c>
    </row>
    <row r="140" customFormat="false" ht="15" hidden="false" customHeight="false" outlineLevel="0" collapsed="false">
      <c r="A140" s="3" t="s">
        <v>203</v>
      </c>
      <c r="B140" s="3" t="n">
        <v>2</v>
      </c>
      <c r="C140" s="3" t="s">
        <v>122</v>
      </c>
      <c r="D140" s="3" t="n">
        <v>19</v>
      </c>
      <c r="E140" s="3" t="s">
        <v>126</v>
      </c>
      <c r="F140" s="3" t="s">
        <v>204</v>
      </c>
      <c r="G140" s="3" t="s">
        <v>124</v>
      </c>
      <c r="H140" s="3" t="s">
        <v>206</v>
      </c>
    </row>
    <row r="141" customFormat="false" ht="15" hidden="false" customHeight="false" outlineLevel="0" collapsed="false">
      <c r="A141" s="3" t="s">
        <v>203</v>
      </c>
      <c r="B141" s="3" t="n">
        <v>3</v>
      </c>
      <c r="C141" s="3" t="s">
        <v>122</v>
      </c>
      <c r="D141" s="3" t="n">
        <v>16</v>
      </c>
      <c r="E141" s="3" t="s">
        <v>123</v>
      </c>
      <c r="F141" s="3" t="s">
        <v>204</v>
      </c>
      <c r="G141" s="3" t="s">
        <v>124</v>
      </c>
      <c r="H141" s="3" t="s">
        <v>207</v>
      </c>
    </row>
    <row r="142" customFormat="false" ht="15" hidden="false" customHeight="false" outlineLevel="0" collapsed="false">
      <c r="A142" s="3" t="s">
        <v>203</v>
      </c>
      <c r="B142" s="3" t="n">
        <v>4</v>
      </c>
      <c r="C142" s="3" t="s">
        <v>122</v>
      </c>
      <c r="D142" s="3" t="n">
        <v>10</v>
      </c>
      <c r="E142" s="3" t="s">
        <v>123</v>
      </c>
      <c r="F142" s="3" t="s">
        <v>204</v>
      </c>
      <c r="G142" s="3" t="s">
        <v>124</v>
      </c>
      <c r="H142" s="3" t="s">
        <v>208</v>
      </c>
    </row>
    <row r="143" customFormat="false" ht="15" hidden="false" customHeight="false" outlineLevel="0" collapsed="false">
      <c r="A143" s="3" t="s">
        <v>203</v>
      </c>
      <c r="B143" s="3" t="n">
        <v>5</v>
      </c>
      <c r="C143" s="3" t="s">
        <v>122</v>
      </c>
      <c r="D143" s="3" t="n">
        <v>51</v>
      </c>
      <c r="E143" s="3" t="s">
        <v>123</v>
      </c>
      <c r="F143" s="3" t="s">
        <v>204</v>
      </c>
      <c r="G143" s="3" t="s">
        <v>124</v>
      </c>
      <c r="H143" s="3" t="s">
        <v>209</v>
      </c>
    </row>
    <row r="144" customFormat="false" ht="15" hidden="false" customHeight="false" outlineLevel="0" collapsed="false">
      <c r="A144" s="3" t="s">
        <v>203</v>
      </c>
      <c r="B144" s="3" t="n">
        <v>5</v>
      </c>
      <c r="C144" s="3" t="s">
        <v>122</v>
      </c>
      <c r="D144" s="3" t="n">
        <v>31</v>
      </c>
      <c r="E144" s="3" t="s">
        <v>126</v>
      </c>
      <c r="F144" s="3" t="s">
        <v>204</v>
      </c>
      <c r="G144" s="3" t="s">
        <v>124</v>
      </c>
      <c r="H144" s="3" t="s">
        <v>209</v>
      </c>
    </row>
    <row r="145" customFormat="false" ht="15" hidden="false" customHeight="false" outlineLevel="0" collapsed="false">
      <c r="A145" s="3" t="s">
        <v>203</v>
      </c>
      <c r="B145" s="3" t="n">
        <v>6</v>
      </c>
      <c r="C145" s="3" t="s">
        <v>122</v>
      </c>
      <c r="D145" s="3" t="n">
        <v>6</v>
      </c>
      <c r="E145" s="3" t="s">
        <v>123</v>
      </c>
      <c r="F145" s="3" t="s">
        <v>204</v>
      </c>
      <c r="G145" s="3" t="s">
        <v>124</v>
      </c>
      <c r="H145" s="3" t="s">
        <v>210</v>
      </c>
    </row>
    <row r="146" customFormat="false" ht="15" hidden="false" customHeight="false" outlineLevel="0" collapsed="false">
      <c r="A146" s="3" t="s">
        <v>203</v>
      </c>
      <c r="B146" s="3" t="n">
        <v>6</v>
      </c>
      <c r="C146" s="3" t="s">
        <v>122</v>
      </c>
      <c r="D146" s="3" t="n">
        <v>3</v>
      </c>
      <c r="E146" s="3" t="s">
        <v>126</v>
      </c>
      <c r="F146" s="3" t="s">
        <v>204</v>
      </c>
      <c r="G146" s="3" t="s">
        <v>124</v>
      </c>
      <c r="H146" s="3" t="s">
        <v>210</v>
      </c>
    </row>
    <row r="147" customFormat="false" ht="15" hidden="false" customHeight="false" outlineLevel="0" collapsed="false">
      <c r="A147" s="3" t="s">
        <v>203</v>
      </c>
      <c r="B147" s="3" t="n">
        <v>7</v>
      </c>
      <c r="C147" s="3" t="s">
        <v>122</v>
      </c>
      <c r="D147" s="3" t="n">
        <v>40</v>
      </c>
      <c r="E147" s="3" t="s">
        <v>123</v>
      </c>
      <c r="F147" s="3" t="s">
        <v>204</v>
      </c>
      <c r="G147" s="3" t="s">
        <v>124</v>
      </c>
      <c r="H147" s="3" t="s">
        <v>211</v>
      </c>
    </row>
    <row r="148" customFormat="false" ht="15" hidden="false" customHeight="false" outlineLevel="0" collapsed="false">
      <c r="A148" s="3" t="s">
        <v>203</v>
      </c>
      <c r="B148" s="3" t="n">
        <v>7</v>
      </c>
      <c r="C148" s="3" t="s">
        <v>122</v>
      </c>
      <c r="D148" s="3" t="n">
        <v>31</v>
      </c>
      <c r="E148" s="3" t="s">
        <v>126</v>
      </c>
      <c r="F148" s="3" t="s">
        <v>204</v>
      </c>
      <c r="G148" s="3" t="s">
        <v>124</v>
      </c>
      <c r="H148" s="3" t="s">
        <v>211</v>
      </c>
    </row>
    <row r="149" customFormat="false" ht="15" hidden="false" customHeight="false" outlineLevel="0" collapsed="false">
      <c r="A149" s="3" t="s">
        <v>203</v>
      </c>
      <c r="B149" s="3" t="n">
        <v>7</v>
      </c>
      <c r="C149" s="3" t="s">
        <v>122</v>
      </c>
      <c r="D149" s="3" t="n">
        <v>19</v>
      </c>
      <c r="E149" s="3" t="s">
        <v>126</v>
      </c>
      <c r="F149" s="3" t="s">
        <v>204</v>
      </c>
      <c r="G149" s="3" t="s">
        <v>124</v>
      </c>
      <c r="H149" s="3" t="s">
        <v>211</v>
      </c>
    </row>
    <row r="150" customFormat="false" ht="15" hidden="false" customHeight="false" outlineLevel="0" collapsed="false">
      <c r="A150" s="3" t="s">
        <v>203</v>
      </c>
      <c r="B150" s="3" t="n">
        <v>8</v>
      </c>
      <c r="C150" s="3" t="s">
        <v>122</v>
      </c>
      <c r="D150" s="3" t="n">
        <v>3</v>
      </c>
      <c r="E150" s="3" t="s">
        <v>123</v>
      </c>
      <c r="F150" s="3" t="s">
        <v>204</v>
      </c>
      <c r="G150" s="3" t="s">
        <v>124</v>
      </c>
      <c r="H150" s="3" t="s">
        <v>212</v>
      </c>
    </row>
    <row r="151" customFormat="false" ht="15" hidden="false" customHeight="false" outlineLevel="0" collapsed="false">
      <c r="A151" s="3" t="s">
        <v>203</v>
      </c>
      <c r="B151" s="3" t="n">
        <v>8</v>
      </c>
      <c r="C151" s="3" t="s">
        <v>122</v>
      </c>
      <c r="D151" s="3" t="n">
        <v>12</v>
      </c>
      <c r="E151" s="3" t="s">
        <v>126</v>
      </c>
      <c r="F151" s="3" t="s">
        <v>204</v>
      </c>
      <c r="G151" s="3" t="s">
        <v>124</v>
      </c>
      <c r="H151" s="3" t="s">
        <v>212</v>
      </c>
    </row>
    <row r="152" customFormat="false" ht="15" hidden="false" customHeight="false" outlineLevel="0" collapsed="false">
      <c r="A152" s="3" t="s">
        <v>203</v>
      </c>
      <c r="B152" s="3" t="n">
        <v>8</v>
      </c>
      <c r="C152" s="3" t="s">
        <v>122</v>
      </c>
      <c r="D152" s="3" t="n">
        <v>19</v>
      </c>
      <c r="E152" s="3" t="s">
        <v>126</v>
      </c>
      <c r="F152" s="3" t="s">
        <v>204</v>
      </c>
      <c r="G152" s="3" t="s">
        <v>124</v>
      </c>
      <c r="H152" s="3" t="s">
        <v>212</v>
      </c>
    </row>
    <row r="153" customFormat="false" ht="15" hidden="false" customHeight="false" outlineLevel="0" collapsed="false">
      <c r="A153" s="3" t="s">
        <v>203</v>
      </c>
      <c r="B153" s="3" t="n">
        <v>9</v>
      </c>
      <c r="C153" s="3" t="s">
        <v>122</v>
      </c>
      <c r="D153" s="3" t="n">
        <v>13</v>
      </c>
      <c r="E153" s="3" t="s">
        <v>123</v>
      </c>
      <c r="F153" s="3" t="s">
        <v>204</v>
      </c>
      <c r="G153" s="3" t="s">
        <v>124</v>
      </c>
      <c r="H153" s="3" t="s">
        <v>213</v>
      </c>
    </row>
    <row r="154" customFormat="false" ht="15" hidden="false" customHeight="false" outlineLevel="0" collapsed="false">
      <c r="A154" s="3" t="s">
        <v>203</v>
      </c>
      <c r="B154" s="3" t="n">
        <v>9</v>
      </c>
      <c r="C154" s="3" t="s">
        <v>122</v>
      </c>
      <c r="D154" s="3" t="n">
        <v>7</v>
      </c>
      <c r="E154" s="3" t="s">
        <v>126</v>
      </c>
      <c r="F154" s="3" t="s">
        <v>204</v>
      </c>
      <c r="G154" s="3" t="s">
        <v>124</v>
      </c>
      <c r="H154" s="3" t="s">
        <v>213</v>
      </c>
    </row>
    <row r="155" customFormat="false" ht="15" hidden="false" customHeight="false" outlineLevel="0" collapsed="false">
      <c r="A155" s="3" t="s">
        <v>203</v>
      </c>
      <c r="B155" s="3" t="n">
        <v>10</v>
      </c>
      <c r="C155" s="3" t="s">
        <v>122</v>
      </c>
      <c r="D155" s="3" t="n">
        <v>5</v>
      </c>
      <c r="E155" s="3" t="s">
        <v>123</v>
      </c>
      <c r="F155" s="3" t="s">
        <v>204</v>
      </c>
      <c r="G155" s="3" t="s">
        <v>124</v>
      </c>
      <c r="H155" s="3" t="s">
        <v>214</v>
      </c>
    </row>
    <row r="156" customFormat="false" ht="15" hidden="false" customHeight="false" outlineLevel="0" collapsed="false">
      <c r="A156" s="3" t="s">
        <v>215</v>
      </c>
      <c r="B156" s="3" t="n">
        <v>1</v>
      </c>
      <c r="C156" s="3" t="s">
        <v>122</v>
      </c>
      <c r="D156" s="3" t="n">
        <v>19</v>
      </c>
      <c r="E156" s="3" t="s">
        <v>123</v>
      </c>
      <c r="F156" s="3" t="s">
        <v>124</v>
      </c>
      <c r="G156" s="3" t="s">
        <v>204</v>
      </c>
      <c r="H156" s="3" t="s">
        <v>216</v>
      </c>
    </row>
    <row r="157" customFormat="false" ht="15" hidden="false" customHeight="false" outlineLevel="0" collapsed="false">
      <c r="A157" s="3" t="s">
        <v>215</v>
      </c>
      <c r="B157" s="3" t="n">
        <v>2</v>
      </c>
      <c r="C157" s="3" t="s">
        <v>122</v>
      </c>
      <c r="D157" s="3" t="n">
        <v>83</v>
      </c>
      <c r="E157" s="3" t="s">
        <v>123</v>
      </c>
      <c r="F157" s="3" t="s">
        <v>124</v>
      </c>
      <c r="G157" s="3" t="s">
        <v>204</v>
      </c>
      <c r="H157" s="3" t="s">
        <v>217</v>
      </c>
    </row>
    <row r="158" customFormat="false" ht="15" hidden="false" customHeight="false" outlineLevel="0" collapsed="false">
      <c r="A158" s="3" t="s">
        <v>215</v>
      </c>
      <c r="B158" s="3" t="n">
        <v>2</v>
      </c>
      <c r="C158" s="3" t="s">
        <v>122</v>
      </c>
      <c r="D158" s="3" t="n">
        <v>82</v>
      </c>
      <c r="E158" s="3" t="s">
        <v>126</v>
      </c>
      <c r="F158" s="3" t="s">
        <v>124</v>
      </c>
      <c r="G158" s="3" t="s">
        <v>204</v>
      </c>
      <c r="H158" s="3" t="s">
        <v>217</v>
      </c>
    </row>
    <row r="159" customFormat="false" ht="15" hidden="false" customHeight="false" outlineLevel="0" collapsed="false">
      <c r="A159" s="3" t="s">
        <v>215</v>
      </c>
      <c r="B159" s="3" t="n">
        <v>2</v>
      </c>
      <c r="C159" s="3" t="s">
        <v>122</v>
      </c>
      <c r="D159" s="3" t="n">
        <v>41</v>
      </c>
      <c r="E159" s="3" t="s">
        <v>126</v>
      </c>
      <c r="F159" s="3" t="s">
        <v>124</v>
      </c>
      <c r="G159" s="3" t="s">
        <v>204</v>
      </c>
      <c r="H159" s="3" t="s">
        <v>217</v>
      </c>
    </row>
    <row r="160" customFormat="false" ht="15" hidden="false" customHeight="false" outlineLevel="0" collapsed="false">
      <c r="A160" s="3" t="s">
        <v>215</v>
      </c>
      <c r="B160" s="3" t="n">
        <v>3</v>
      </c>
      <c r="C160" s="3" t="s">
        <v>122</v>
      </c>
      <c r="D160" s="3" t="n">
        <v>5</v>
      </c>
      <c r="E160" s="3" t="s">
        <v>123</v>
      </c>
      <c r="F160" s="3" t="s">
        <v>124</v>
      </c>
      <c r="G160" s="3" t="s">
        <v>204</v>
      </c>
      <c r="H160" s="3" t="s">
        <v>218</v>
      </c>
    </row>
    <row r="161" customFormat="false" ht="15" hidden="false" customHeight="false" outlineLevel="0" collapsed="false">
      <c r="A161" s="3" t="s">
        <v>215</v>
      </c>
      <c r="B161" s="3" t="n">
        <v>3</v>
      </c>
      <c r="C161" s="3" t="s">
        <v>122</v>
      </c>
      <c r="D161" s="3" t="n">
        <v>10</v>
      </c>
      <c r="E161" s="3" t="s">
        <v>126</v>
      </c>
      <c r="F161" s="3" t="s">
        <v>124</v>
      </c>
      <c r="G161" s="3" t="s">
        <v>204</v>
      </c>
      <c r="H161" s="3" t="s">
        <v>218</v>
      </c>
    </row>
    <row r="162" customFormat="false" ht="15" hidden="false" customHeight="false" outlineLevel="0" collapsed="false">
      <c r="A162" s="3" t="s">
        <v>215</v>
      </c>
      <c r="B162" s="3" t="n">
        <v>4</v>
      </c>
      <c r="C162" s="3" t="s">
        <v>122</v>
      </c>
      <c r="D162" s="3" t="n">
        <v>12</v>
      </c>
      <c r="E162" s="3" t="s">
        <v>123</v>
      </c>
      <c r="F162" s="3" t="s">
        <v>124</v>
      </c>
      <c r="G162" s="3" t="s">
        <v>204</v>
      </c>
      <c r="H162" s="3" t="s">
        <v>219</v>
      </c>
    </row>
    <row r="163" customFormat="false" ht="15" hidden="false" customHeight="false" outlineLevel="0" collapsed="false">
      <c r="A163" s="3" t="s">
        <v>215</v>
      </c>
      <c r="B163" s="3" t="n">
        <v>4</v>
      </c>
      <c r="C163" s="3" t="s">
        <v>122</v>
      </c>
      <c r="D163" s="3" t="n">
        <v>10</v>
      </c>
      <c r="E163" s="3" t="s">
        <v>126</v>
      </c>
      <c r="F163" s="3" t="s">
        <v>124</v>
      </c>
      <c r="G163" s="3" t="s">
        <v>204</v>
      </c>
      <c r="H163" s="3" t="s">
        <v>219</v>
      </c>
    </row>
    <row r="164" customFormat="false" ht="15" hidden="false" customHeight="false" outlineLevel="0" collapsed="false">
      <c r="A164" s="3" t="s">
        <v>220</v>
      </c>
      <c r="B164" s="3" t="n">
        <v>1</v>
      </c>
      <c r="C164" s="3" t="s">
        <v>122</v>
      </c>
      <c r="D164" s="3" t="n">
        <v>21</v>
      </c>
      <c r="E164" s="3" t="s">
        <v>123</v>
      </c>
      <c r="F164" s="3" t="s">
        <v>204</v>
      </c>
      <c r="G164" s="3" t="s">
        <v>204</v>
      </c>
      <c r="H164" s="3" t="s">
        <v>221</v>
      </c>
    </row>
    <row r="165" customFormat="false" ht="15" hidden="false" customHeight="false" outlineLevel="0" collapsed="false">
      <c r="A165" s="3" t="s">
        <v>220</v>
      </c>
      <c r="B165" s="3" t="n">
        <v>2</v>
      </c>
      <c r="C165" s="3" t="s">
        <v>122</v>
      </c>
      <c r="D165" s="3" t="n">
        <v>51</v>
      </c>
      <c r="E165" s="3" t="s">
        <v>123</v>
      </c>
      <c r="F165" s="3" t="s">
        <v>204</v>
      </c>
      <c r="G165" s="3" t="s">
        <v>204</v>
      </c>
      <c r="H165" s="3" t="s">
        <v>222</v>
      </c>
    </row>
    <row r="166" customFormat="false" ht="15" hidden="false" customHeight="false" outlineLevel="0" collapsed="false">
      <c r="A166" s="3" t="s">
        <v>220</v>
      </c>
      <c r="B166" s="3" t="n">
        <v>2</v>
      </c>
      <c r="C166" s="3" t="s">
        <v>122</v>
      </c>
      <c r="D166" s="3" t="n">
        <v>10</v>
      </c>
      <c r="E166" s="3" t="s">
        <v>126</v>
      </c>
      <c r="F166" s="3" t="s">
        <v>204</v>
      </c>
      <c r="G166" s="3" t="s">
        <v>204</v>
      </c>
      <c r="H166" s="3" t="s">
        <v>222</v>
      </c>
    </row>
    <row r="167" customFormat="false" ht="15" hidden="false" customHeight="false" outlineLevel="0" collapsed="false">
      <c r="A167" s="3" t="s">
        <v>220</v>
      </c>
      <c r="B167" s="3" t="n">
        <v>3</v>
      </c>
      <c r="C167" s="3" t="s">
        <v>122</v>
      </c>
      <c r="D167" s="3" t="n">
        <v>40</v>
      </c>
      <c r="E167" s="3" t="s">
        <v>123</v>
      </c>
      <c r="F167" s="3" t="s">
        <v>204</v>
      </c>
      <c r="G167" s="3" t="s">
        <v>204</v>
      </c>
      <c r="H167" s="3" t="s">
        <v>223</v>
      </c>
    </row>
    <row r="168" customFormat="false" ht="15" hidden="false" customHeight="false" outlineLevel="0" collapsed="false">
      <c r="A168" s="3" t="s">
        <v>220</v>
      </c>
      <c r="B168" s="3" t="n">
        <v>3</v>
      </c>
      <c r="C168" s="3" t="s">
        <v>122</v>
      </c>
      <c r="D168" s="3" t="n">
        <v>32</v>
      </c>
      <c r="E168" s="3" t="s">
        <v>126</v>
      </c>
      <c r="F168" s="3" t="s">
        <v>204</v>
      </c>
      <c r="G168" s="3" t="s">
        <v>204</v>
      </c>
      <c r="H168" s="3" t="s">
        <v>223</v>
      </c>
    </row>
    <row r="169" customFormat="false" ht="15" hidden="false" customHeight="false" outlineLevel="0" collapsed="false">
      <c r="A169" s="3" t="s">
        <v>220</v>
      </c>
      <c r="B169" s="3" t="n">
        <v>3</v>
      </c>
      <c r="C169" s="3" t="s">
        <v>122</v>
      </c>
      <c r="D169" s="3" t="n">
        <v>10</v>
      </c>
      <c r="E169" s="3" t="s">
        <v>126</v>
      </c>
      <c r="F169" s="3" t="s">
        <v>204</v>
      </c>
      <c r="G169" s="3" t="s">
        <v>204</v>
      </c>
      <c r="H169" s="3" t="s">
        <v>223</v>
      </c>
    </row>
    <row r="170" customFormat="false" ht="15" hidden="false" customHeight="false" outlineLevel="0" collapsed="false">
      <c r="A170" s="3" t="s">
        <v>220</v>
      </c>
      <c r="B170" s="3" t="n">
        <v>4</v>
      </c>
      <c r="C170" s="3" t="s">
        <v>122</v>
      </c>
      <c r="D170" s="3" t="n">
        <v>40</v>
      </c>
      <c r="E170" s="3" t="s">
        <v>123</v>
      </c>
      <c r="F170" s="3" t="s">
        <v>204</v>
      </c>
      <c r="G170" s="3" t="s">
        <v>204</v>
      </c>
      <c r="H170" s="3" t="s">
        <v>224</v>
      </c>
    </row>
    <row r="171" customFormat="false" ht="15" hidden="false" customHeight="false" outlineLevel="0" collapsed="false">
      <c r="A171" s="3" t="s">
        <v>220</v>
      </c>
      <c r="B171" s="3" t="n">
        <v>4</v>
      </c>
      <c r="C171" s="3" t="s">
        <v>122</v>
      </c>
      <c r="D171" s="3" t="n">
        <v>21</v>
      </c>
      <c r="E171" s="3" t="s">
        <v>126</v>
      </c>
      <c r="F171" s="3" t="s">
        <v>204</v>
      </c>
      <c r="G171" s="3" t="s">
        <v>204</v>
      </c>
      <c r="H171" s="3" t="s">
        <v>224</v>
      </c>
    </row>
    <row r="172" customFormat="false" ht="15" hidden="false" customHeight="false" outlineLevel="0" collapsed="false">
      <c r="A172" s="3" t="s">
        <v>220</v>
      </c>
      <c r="B172" s="3" t="n">
        <v>4</v>
      </c>
      <c r="C172" s="3" t="s">
        <v>122</v>
      </c>
      <c r="D172" s="3" t="n">
        <v>32</v>
      </c>
      <c r="E172" s="3" t="s">
        <v>126</v>
      </c>
      <c r="F172" s="3" t="s">
        <v>204</v>
      </c>
      <c r="G172" s="3" t="s">
        <v>204</v>
      </c>
      <c r="H172" s="3" t="s">
        <v>224</v>
      </c>
    </row>
    <row r="173" customFormat="false" ht="15" hidden="false" customHeight="false" outlineLevel="0" collapsed="false">
      <c r="A173" s="3" t="s">
        <v>220</v>
      </c>
      <c r="B173" s="3" t="n">
        <v>4</v>
      </c>
      <c r="C173" s="3" t="s">
        <v>122</v>
      </c>
      <c r="D173" s="3" t="n">
        <v>62</v>
      </c>
      <c r="E173" s="3" t="s">
        <v>126</v>
      </c>
      <c r="F173" s="3" t="s">
        <v>204</v>
      </c>
      <c r="G173" s="3" t="s">
        <v>204</v>
      </c>
      <c r="H173" s="3" t="s">
        <v>224</v>
      </c>
    </row>
    <row r="174" customFormat="false" ht="15" hidden="false" customHeight="false" outlineLevel="0" collapsed="false">
      <c r="A174" s="3" t="s">
        <v>220</v>
      </c>
      <c r="B174" s="3" t="n">
        <v>5</v>
      </c>
      <c r="C174" s="3" t="s">
        <v>122</v>
      </c>
      <c r="D174" s="3" t="n">
        <v>13</v>
      </c>
      <c r="E174" s="3" t="s">
        <v>123</v>
      </c>
      <c r="F174" s="3" t="s">
        <v>204</v>
      </c>
      <c r="G174" s="3" t="s">
        <v>204</v>
      </c>
      <c r="H174" s="3" t="s">
        <v>225</v>
      </c>
    </row>
    <row r="175" customFormat="false" ht="15" hidden="false" customHeight="false" outlineLevel="0" collapsed="false">
      <c r="A175" s="3" t="s">
        <v>220</v>
      </c>
      <c r="B175" s="3" t="n">
        <v>5</v>
      </c>
      <c r="C175" s="3" t="s">
        <v>122</v>
      </c>
      <c r="D175" s="3" t="n">
        <v>19</v>
      </c>
      <c r="E175" s="3" t="s">
        <v>126</v>
      </c>
      <c r="F175" s="3" t="s">
        <v>204</v>
      </c>
      <c r="G175" s="3" t="s">
        <v>204</v>
      </c>
      <c r="H175" s="3" t="s">
        <v>225</v>
      </c>
    </row>
    <row r="176" customFormat="false" ht="15" hidden="false" customHeight="false" outlineLevel="0" collapsed="false">
      <c r="A176" s="3" t="s">
        <v>220</v>
      </c>
      <c r="B176" s="3" t="n">
        <v>6</v>
      </c>
      <c r="C176" s="3" t="s">
        <v>122</v>
      </c>
      <c r="D176" s="3" t="n">
        <v>12</v>
      </c>
      <c r="E176" s="3" t="s">
        <v>123</v>
      </c>
      <c r="F176" s="3" t="s">
        <v>204</v>
      </c>
      <c r="G176" s="3" t="s">
        <v>204</v>
      </c>
      <c r="H176" s="3" t="s">
        <v>226</v>
      </c>
    </row>
    <row r="177" customFormat="false" ht="15" hidden="false" customHeight="false" outlineLevel="0" collapsed="false">
      <c r="A177" s="3" t="s">
        <v>220</v>
      </c>
      <c r="B177" s="3" t="n">
        <v>6</v>
      </c>
      <c r="C177" s="3" t="s">
        <v>122</v>
      </c>
      <c r="D177" s="3" t="n">
        <v>19</v>
      </c>
      <c r="E177" s="3" t="s">
        <v>126</v>
      </c>
      <c r="F177" s="3" t="s">
        <v>204</v>
      </c>
      <c r="G177" s="3" t="s">
        <v>204</v>
      </c>
      <c r="H177" s="3" t="s">
        <v>226</v>
      </c>
    </row>
    <row r="178" customFormat="false" ht="15" hidden="false" customHeight="false" outlineLevel="0" collapsed="false">
      <c r="A178" s="3" t="s">
        <v>220</v>
      </c>
      <c r="B178" s="3" t="n">
        <v>6</v>
      </c>
      <c r="C178" s="3" t="s">
        <v>122</v>
      </c>
      <c r="D178" s="3" t="n">
        <v>40</v>
      </c>
      <c r="E178" s="3" t="s">
        <v>126</v>
      </c>
      <c r="F178" s="3" t="s">
        <v>204</v>
      </c>
      <c r="G178" s="3" t="s">
        <v>204</v>
      </c>
      <c r="H178" s="3" t="s">
        <v>226</v>
      </c>
    </row>
    <row r="179" customFormat="false" ht="15" hidden="false" customHeight="false" outlineLevel="0" collapsed="false">
      <c r="A179" s="3" t="s">
        <v>220</v>
      </c>
      <c r="B179" s="3" t="n">
        <v>6</v>
      </c>
      <c r="C179" s="3" t="s">
        <v>122</v>
      </c>
      <c r="D179" s="3" t="n">
        <v>31</v>
      </c>
      <c r="E179" s="3" t="s">
        <v>126</v>
      </c>
      <c r="F179" s="3" t="s">
        <v>204</v>
      </c>
      <c r="G179" s="3" t="s">
        <v>204</v>
      </c>
      <c r="H179" s="3" t="s">
        <v>226</v>
      </c>
    </row>
    <row r="180" customFormat="false" ht="15" hidden="false" customHeight="false" outlineLevel="0" collapsed="false">
      <c r="A180" s="3" t="s">
        <v>220</v>
      </c>
      <c r="B180" s="3" t="n">
        <v>7</v>
      </c>
      <c r="C180" s="3" t="s">
        <v>122</v>
      </c>
      <c r="D180" s="3" t="n">
        <v>31</v>
      </c>
      <c r="E180" s="3" t="s">
        <v>123</v>
      </c>
      <c r="F180" s="3" t="s">
        <v>204</v>
      </c>
      <c r="G180" s="3" t="s">
        <v>204</v>
      </c>
      <c r="H180" s="3" t="s">
        <v>227</v>
      </c>
    </row>
    <row r="181" customFormat="false" ht="15" hidden="false" customHeight="false" outlineLevel="0" collapsed="false">
      <c r="A181" s="3" t="s">
        <v>220</v>
      </c>
      <c r="B181" s="3" t="n">
        <v>7</v>
      </c>
      <c r="C181" s="3" t="s">
        <v>122</v>
      </c>
      <c r="D181" s="3" t="n">
        <v>68</v>
      </c>
      <c r="E181" s="3" t="s">
        <v>126</v>
      </c>
      <c r="F181" s="3" t="s">
        <v>204</v>
      </c>
      <c r="G181" s="3" t="s">
        <v>204</v>
      </c>
      <c r="H181" s="3" t="s">
        <v>227</v>
      </c>
    </row>
    <row r="182" customFormat="false" ht="15" hidden="false" customHeight="false" outlineLevel="0" collapsed="false">
      <c r="A182" s="3" t="s">
        <v>220</v>
      </c>
      <c r="B182" s="3" t="n">
        <v>7</v>
      </c>
      <c r="C182" s="3" t="s">
        <v>122</v>
      </c>
      <c r="D182" s="3" t="n">
        <v>40</v>
      </c>
      <c r="E182" s="3" t="s">
        <v>126</v>
      </c>
      <c r="F182" s="3" t="s">
        <v>204</v>
      </c>
      <c r="G182" s="3" t="s">
        <v>204</v>
      </c>
      <c r="H182" s="3" t="s">
        <v>227</v>
      </c>
    </row>
    <row r="183" customFormat="false" ht="15" hidden="false" customHeight="false" outlineLevel="0" collapsed="false">
      <c r="A183" s="3" t="s">
        <v>220</v>
      </c>
      <c r="B183" s="3" t="n">
        <v>7</v>
      </c>
      <c r="C183" s="3" t="s">
        <v>122</v>
      </c>
      <c r="D183" s="3" t="n">
        <v>19</v>
      </c>
      <c r="E183" s="3" t="s">
        <v>126</v>
      </c>
      <c r="F183" s="3" t="s">
        <v>204</v>
      </c>
      <c r="G183" s="3" t="s">
        <v>204</v>
      </c>
      <c r="H183" s="3" t="s">
        <v>227</v>
      </c>
    </row>
    <row r="184" customFormat="false" ht="15" hidden="false" customHeight="false" outlineLevel="0" collapsed="false">
      <c r="A184" s="3" t="s">
        <v>220</v>
      </c>
      <c r="B184" s="3" t="n">
        <v>8</v>
      </c>
      <c r="C184" s="3" t="s">
        <v>122</v>
      </c>
      <c r="D184" s="3" t="n">
        <v>21</v>
      </c>
      <c r="E184" s="3" t="s">
        <v>123</v>
      </c>
      <c r="F184" s="3" t="s">
        <v>204</v>
      </c>
      <c r="G184" s="3" t="s">
        <v>204</v>
      </c>
      <c r="H184" s="3" t="s">
        <v>228</v>
      </c>
    </row>
    <row r="185" customFormat="false" ht="15" hidden="false" customHeight="false" outlineLevel="0" collapsed="false">
      <c r="A185" s="3" t="s">
        <v>220</v>
      </c>
      <c r="B185" s="3" t="n">
        <v>8</v>
      </c>
      <c r="C185" s="3" t="s">
        <v>122</v>
      </c>
      <c r="D185" s="3" t="n">
        <v>13</v>
      </c>
      <c r="E185" s="3" t="s">
        <v>126</v>
      </c>
      <c r="F185" s="3" t="s">
        <v>204</v>
      </c>
      <c r="G185" s="3" t="s">
        <v>204</v>
      </c>
      <c r="H185" s="3" t="s">
        <v>228</v>
      </c>
    </row>
    <row r="186" customFormat="false" ht="15" hidden="false" customHeight="false" outlineLevel="0" collapsed="false">
      <c r="A186" s="3" t="s">
        <v>220</v>
      </c>
      <c r="B186" s="3" t="n">
        <v>9</v>
      </c>
      <c r="C186" s="3" t="s">
        <v>122</v>
      </c>
      <c r="D186" s="3" t="n">
        <v>8</v>
      </c>
      <c r="E186" s="3" t="s">
        <v>123</v>
      </c>
      <c r="F186" s="3" t="s">
        <v>204</v>
      </c>
      <c r="G186" s="3" t="s">
        <v>204</v>
      </c>
      <c r="H186" s="3" t="s">
        <v>229</v>
      </c>
    </row>
    <row r="187" customFormat="false" ht="15" hidden="false" customHeight="false" outlineLevel="0" collapsed="false">
      <c r="A187" s="3" t="s">
        <v>220</v>
      </c>
      <c r="B187" s="3" t="n">
        <v>9</v>
      </c>
      <c r="C187" s="3" t="s">
        <v>122</v>
      </c>
      <c r="D187" s="3" t="n">
        <v>16</v>
      </c>
      <c r="E187" s="3" t="s">
        <v>126</v>
      </c>
      <c r="F187" s="3" t="s">
        <v>204</v>
      </c>
      <c r="G187" s="3" t="s">
        <v>204</v>
      </c>
      <c r="H187" s="3" t="s">
        <v>229</v>
      </c>
    </row>
    <row r="188" customFormat="false" ht="15" hidden="false" customHeight="false" outlineLevel="0" collapsed="false">
      <c r="A188" s="3" t="s">
        <v>220</v>
      </c>
      <c r="B188" s="3" t="n">
        <v>9</v>
      </c>
      <c r="C188" s="3" t="s">
        <v>122</v>
      </c>
      <c r="D188" s="3" t="n">
        <v>1</v>
      </c>
      <c r="E188" s="3" t="s">
        <v>126</v>
      </c>
      <c r="F188" s="3" t="s">
        <v>204</v>
      </c>
      <c r="G188" s="3" t="s">
        <v>204</v>
      </c>
      <c r="H188" s="3" t="s">
        <v>229</v>
      </c>
    </row>
    <row r="189" customFormat="false" ht="15" hidden="false" customHeight="false" outlineLevel="0" collapsed="false">
      <c r="A189" s="3" t="s">
        <v>220</v>
      </c>
      <c r="B189" s="3" t="n">
        <v>10</v>
      </c>
      <c r="C189" s="3" t="s">
        <v>122</v>
      </c>
      <c r="D189" s="3" t="n">
        <v>14</v>
      </c>
      <c r="E189" s="3" t="s">
        <v>123</v>
      </c>
      <c r="F189" s="3" t="s">
        <v>204</v>
      </c>
      <c r="G189" s="3" t="s">
        <v>204</v>
      </c>
      <c r="H189" s="3" t="s">
        <v>230</v>
      </c>
    </row>
    <row r="190" customFormat="false" ht="15" hidden="false" customHeight="false" outlineLevel="0" collapsed="false">
      <c r="A190" s="3" t="s">
        <v>220</v>
      </c>
      <c r="B190" s="3" t="n">
        <v>11</v>
      </c>
      <c r="C190" s="3" t="s">
        <v>122</v>
      </c>
      <c r="D190" s="3" t="n">
        <v>6</v>
      </c>
      <c r="E190" s="3" t="s">
        <v>123</v>
      </c>
      <c r="F190" s="3" t="s">
        <v>204</v>
      </c>
      <c r="G190" s="3" t="s">
        <v>204</v>
      </c>
      <c r="H190" s="3" t="s">
        <v>231</v>
      </c>
    </row>
    <row r="191" customFormat="false" ht="15" hidden="false" customHeight="false" outlineLevel="0" collapsed="false">
      <c r="A191" s="3" t="s">
        <v>220</v>
      </c>
      <c r="B191" s="3" t="n">
        <v>11</v>
      </c>
      <c r="C191" s="3" t="s">
        <v>122</v>
      </c>
      <c r="D191" s="3" t="n">
        <v>3</v>
      </c>
      <c r="E191" s="3" t="s">
        <v>126</v>
      </c>
      <c r="F191" s="3" t="s">
        <v>204</v>
      </c>
      <c r="G191" s="3" t="s">
        <v>204</v>
      </c>
      <c r="H191" s="3" t="s">
        <v>231</v>
      </c>
    </row>
    <row r="192" customFormat="false" ht="15" hidden="false" customHeight="false" outlineLevel="0" collapsed="false">
      <c r="A192" s="3" t="s">
        <v>220</v>
      </c>
      <c r="B192" s="3" t="n">
        <v>14</v>
      </c>
      <c r="C192" s="3" t="s">
        <v>122</v>
      </c>
      <c r="D192" s="3" t="n">
        <v>31</v>
      </c>
      <c r="E192" s="3" t="s">
        <v>123</v>
      </c>
      <c r="F192" s="3" t="s">
        <v>204</v>
      </c>
      <c r="G192" s="3" t="s">
        <v>204</v>
      </c>
      <c r="H192" s="3" t="s">
        <v>232</v>
      </c>
    </row>
    <row r="193" customFormat="false" ht="15" hidden="false" customHeight="false" outlineLevel="0" collapsed="false">
      <c r="A193" s="3" t="s">
        <v>220</v>
      </c>
      <c r="B193" s="3" t="n">
        <v>14</v>
      </c>
      <c r="C193" s="3" t="s">
        <v>122</v>
      </c>
      <c r="D193" s="3" t="n">
        <v>19</v>
      </c>
      <c r="E193" s="3" t="s">
        <v>126</v>
      </c>
      <c r="F193" s="3" t="s">
        <v>204</v>
      </c>
      <c r="G193" s="3" t="s">
        <v>204</v>
      </c>
      <c r="H193" s="3" t="s">
        <v>232</v>
      </c>
    </row>
    <row r="194" customFormat="false" ht="15" hidden="false" customHeight="false" outlineLevel="0" collapsed="false">
      <c r="A194" s="3" t="s">
        <v>220</v>
      </c>
      <c r="B194" s="3" t="n">
        <v>15</v>
      </c>
      <c r="C194" s="3" t="s">
        <v>122</v>
      </c>
      <c r="D194" s="3" t="n">
        <v>40</v>
      </c>
      <c r="E194" s="3" t="s">
        <v>123</v>
      </c>
      <c r="F194" s="3" t="s">
        <v>204</v>
      </c>
      <c r="G194" s="3" t="s">
        <v>204</v>
      </c>
      <c r="H194" s="3" t="s">
        <v>233</v>
      </c>
    </row>
    <row r="195" customFormat="false" ht="15" hidden="false" customHeight="false" outlineLevel="0" collapsed="false">
      <c r="A195" s="3" t="s">
        <v>220</v>
      </c>
      <c r="B195" s="3" t="n">
        <v>15</v>
      </c>
      <c r="C195" s="3" t="s">
        <v>122</v>
      </c>
      <c r="D195" s="3" t="n">
        <v>31</v>
      </c>
      <c r="E195" s="3" t="s">
        <v>126</v>
      </c>
      <c r="F195" s="3" t="s">
        <v>204</v>
      </c>
      <c r="G195" s="3" t="s">
        <v>204</v>
      </c>
      <c r="H195" s="3" t="s">
        <v>233</v>
      </c>
    </row>
    <row r="196" customFormat="false" ht="15" hidden="false" customHeight="false" outlineLevel="0" collapsed="false">
      <c r="A196" s="3" t="s">
        <v>234</v>
      </c>
      <c r="B196" s="3" t="n">
        <v>1</v>
      </c>
      <c r="C196" s="3" t="s">
        <v>122</v>
      </c>
      <c r="D196" s="3" t="n">
        <v>25</v>
      </c>
      <c r="E196" s="3" t="s">
        <v>123</v>
      </c>
      <c r="F196" s="3" t="s">
        <v>124</v>
      </c>
      <c r="G196" s="3" t="s">
        <v>124</v>
      </c>
      <c r="H196" s="3" t="s">
        <v>235</v>
      </c>
    </row>
    <row r="197" customFormat="false" ht="15" hidden="false" customHeight="false" outlineLevel="0" collapsed="false">
      <c r="A197" s="3" t="s">
        <v>234</v>
      </c>
      <c r="B197" s="3" t="n">
        <v>1</v>
      </c>
      <c r="C197" s="3" t="s">
        <v>122</v>
      </c>
      <c r="D197" s="3" t="n">
        <v>31</v>
      </c>
      <c r="E197" s="3" t="s">
        <v>126</v>
      </c>
      <c r="F197" s="3" t="s">
        <v>124</v>
      </c>
      <c r="G197" s="3" t="s">
        <v>124</v>
      </c>
      <c r="H197" s="3" t="s">
        <v>235</v>
      </c>
    </row>
    <row r="198" customFormat="false" ht="15" hidden="false" customHeight="false" outlineLevel="0" collapsed="false">
      <c r="A198" s="3" t="s">
        <v>234</v>
      </c>
      <c r="B198" s="3" t="n">
        <v>2</v>
      </c>
      <c r="C198" s="3" t="s">
        <v>122</v>
      </c>
      <c r="D198" s="3" t="n">
        <v>31</v>
      </c>
      <c r="E198" s="3" t="s">
        <v>123</v>
      </c>
      <c r="F198" s="3" t="s">
        <v>124</v>
      </c>
      <c r="G198" s="3" t="s">
        <v>124</v>
      </c>
      <c r="H198" s="3" t="s">
        <v>236</v>
      </c>
    </row>
    <row r="199" customFormat="false" ht="15" hidden="false" customHeight="false" outlineLevel="0" collapsed="false">
      <c r="A199" s="3" t="s">
        <v>234</v>
      </c>
      <c r="B199" s="3" t="n">
        <v>2</v>
      </c>
      <c r="C199" s="3" t="s">
        <v>122</v>
      </c>
      <c r="D199" s="3" t="n">
        <v>12</v>
      </c>
      <c r="E199" s="3" t="s">
        <v>126</v>
      </c>
      <c r="F199" s="3" t="s">
        <v>124</v>
      </c>
      <c r="G199" s="3" t="s">
        <v>124</v>
      </c>
      <c r="H199" s="3" t="s">
        <v>236</v>
      </c>
    </row>
    <row r="200" customFormat="false" ht="15" hidden="false" customHeight="false" outlineLevel="0" collapsed="false">
      <c r="A200" s="3" t="s">
        <v>234</v>
      </c>
      <c r="B200" s="3" t="n">
        <v>3</v>
      </c>
      <c r="C200" s="3" t="s">
        <v>122</v>
      </c>
      <c r="D200" s="3" t="n">
        <v>5</v>
      </c>
      <c r="E200" s="3" t="s">
        <v>123</v>
      </c>
      <c r="F200" s="3" t="s">
        <v>124</v>
      </c>
      <c r="G200" s="3" t="s">
        <v>124</v>
      </c>
      <c r="H200" s="3" t="s">
        <v>237</v>
      </c>
    </row>
    <row r="201" customFormat="false" ht="15" hidden="false" customHeight="false" outlineLevel="0" collapsed="false">
      <c r="A201" s="3" t="s">
        <v>234</v>
      </c>
      <c r="B201" s="3" t="n">
        <v>4</v>
      </c>
      <c r="C201" s="3" t="s">
        <v>122</v>
      </c>
      <c r="D201" s="3" t="n">
        <v>68</v>
      </c>
      <c r="E201" s="3" t="s">
        <v>123</v>
      </c>
      <c r="F201" s="3" t="s">
        <v>124</v>
      </c>
      <c r="G201" s="3" t="s">
        <v>124</v>
      </c>
      <c r="H201" s="3" t="s">
        <v>238</v>
      </c>
    </row>
    <row r="202" customFormat="false" ht="15" hidden="false" customHeight="false" outlineLevel="0" collapsed="false">
      <c r="A202" s="3" t="s">
        <v>234</v>
      </c>
      <c r="B202" s="3" t="n">
        <v>4</v>
      </c>
      <c r="C202" s="3" t="s">
        <v>122</v>
      </c>
      <c r="D202" s="3" t="n">
        <v>15</v>
      </c>
      <c r="E202" s="3" t="s">
        <v>126</v>
      </c>
      <c r="F202" s="3" t="s">
        <v>124</v>
      </c>
      <c r="G202" s="3" t="s">
        <v>124</v>
      </c>
      <c r="H202" s="3" t="s">
        <v>238</v>
      </c>
    </row>
    <row r="203" customFormat="false" ht="15" hidden="false" customHeight="false" outlineLevel="0" collapsed="false">
      <c r="A203" s="3" t="s">
        <v>234</v>
      </c>
      <c r="B203" s="3" t="n">
        <v>5</v>
      </c>
      <c r="C203" s="3" t="s">
        <v>122</v>
      </c>
      <c r="D203" s="3" t="n">
        <v>10</v>
      </c>
      <c r="E203" s="3" t="s">
        <v>123</v>
      </c>
      <c r="F203" s="3" t="s">
        <v>124</v>
      </c>
      <c r="G203" s="3" t="s">
        <v>124</v>
      </c>
      <c r="H203" s="3" t="s">
        <v>239</v>
      </c>
    </row>
    <row r="204" customFormat="false" ht="15" hidden="false" customHeight="false" outlineLevel="0" collapsed="false">
      <c r="A204" s="3" t="s">
        <v>234</v>
      </c>
      <c r="B204" s="3" t="n">
        <v>6</v>
      </c>
      <c r="C204" s="3" t="s">
        <v>122</v>
      </c>
      <c r="D204" s="3" t="n">
        <v>69</v>
      </c>
      <c r="E204" s="3" t="s">
        <v>123</v>
      </c>
      <c r="F204" s="3" t="s">
        <v>124</v>
      </c>
      <c r="G204" s="3" t="s">
        <v>124</v>
      </c>
      <c r="H204" s="3" t="s">
        <v>240</v>
      </c>
    </row>
    <row r="205" customFormat="false" ht="15" hidden="false" customHeight="false" outlineLevel="0" collapsed="false">
      <c r="A205" s="3" t="s">
        <v>234</v>
      </c>
      <c r="B205" s="3" t="n">
        <v>7</v>
      </c>
      <c r="C205" s="3" t="s">
        <v>122</v>
      </c>
      <c r="D205" s="3" t="n">
        <v>31</v>
      </c>
      <c r="E205" s="3" t="s">
        <v>123</v>
      </c>
      <c r="F205" s="3" t="s">
        <v>124</v>
      </c>
      <c r="G205" s="3" t="s">
        <v>124</v>
      </c>
      <c r="H205" s="3" t="s">
        <v>241</v>
      </c>
    </row>
    <row r="206" customFormat="false" ht="15" hidden="false" customHeight="false" outlineLevel="0" collapsed="false">
      <c r="A206" s="3" t="s">
        <v>234</v>
      </c>
      <c r="B206" s="3" t="n">
        <v>8</v>
      </c>
      <c r="C206" s="3" t="s">
        <v>122</v>
      </c>
      <c r="D206" s="3" t="n">
        <v>3</v>
      </c>
      <c r="E206" s="3" t="s">
        <v>123</v>
      </c>
      <c r="F206" s="3" t="s">
        <v>124</v>
      </c>
      <c r="G206" s="3" t="s">
        <v>124</v>
      </c>
      <c r="H206" s="3" t="s">
        <v>242</v>
      </c>
    </row>
    <row r="207" customFormat="false" ht="15" hidden="false" customHeight="false" outlineLevel="0" collapsed="false">
      <c r="A207" s="3" t="s">
        <v>234</v>
      </c>
      <c r="B207" s="3" t="n">
        <v>8</v>
      </c>
      <c r="C207" s="3" t="s">
        <v>122</v>
      </c>
      <c r="D207" s="3" t="n">
        <v>47</v>
      </c>
      <c r="E207" s="3" t="s">
        <v>126</v>
      </c>
      <c r="F207" s="3" t="s">
        <v>124</v>
      </c>
      <c r="G207" s="3" t="s">
        <v>124</v>
      </c>
      <c r="H207" s="3" t="s">
        <v>242</v>
      </c>
    </row>
    <row r="208" customFormat="false" ht="15" hidden="false" customHeight="false" outlineLevel="0" collapsed="false">
      <c r="A208" s="3" t="s">
        <v>234</v>
      </c>
      <c r="B208" s="3" t="n">
        <v>9</v>
      </c>
      <c r="C208" s="3" t="s">
        <v>122</v>
      </c>
      <c r="D208" s="3" t="n">
        <v>72</v>
      </c>
      <c r="E208" s="3" t="s">
        <v>123</v>
      </c>
      <c r="F208" s="3" t="s">
        <v>124</v>
      </c>
      <c r="G208" s="3" t="s">
        <v>124</v>
      </c>
      <c r="H208" s="3" t="s">
        <v>243</v>
      </c>
    </row>
    <row r="209" customFormat="false" ht="15" hidden="false" customHeight="false" outlineLevel="0" collapsed="false">
      <c r="A209" s="3" t="s">
        <v>234</v>
      </c>
      <c r="B209" s="3" t="n">
        <v>9</v>
      </c>
      <c r="C209" s="3" t="s">
        <v>122</v>
      </c>
      <c r="D209" s="3" t="n">
        <v>71</v>
      </c>
      <c r="E209" s="3" t="s">
        <v>126</v>
      </c>
      <c r="F209" s="3" t="s">
        <v>124</v>
      </c>
      <c r="G209" s="3" t="s">
        <v>124</v>
      </c>
      <c r="H209" s="3" t="s">
        <v>243</v>
      </c>
    </row>
    <row r="210" customFormat="false" ht="15" hidden="false" customHeight="false" outlineLevel="0" collapsed="false">
      <c r="A210" s="3" t="s">
        <v>234</v>
      </c>
      <c r="B210" s="3" t="n">
        <v>10</v>
      </c>
      <c r="C210" s="3" t="s">
        <v>122</v>
      </c>
      <c r="D210" s="3" t="n">
        <v>31</v>
      </c>
      <c r="E210" s="3" t="s">
        <v>123</v>
      </c>
      <c r="F210" s="3" t="s">
        <v>124</v>
      </c>
      <c r="G210" s="3" t="s">
        <v>124</v>
      </c>
      <c r="H210" s="3" t="s">
        <v>244</v>
      </c>
    </row>
    <row r="211" customFormat="false" ht="15" hidden="false" customHeight="false" outlineLevel="0" collapsed="false">
      <c r="A211" s="3" t="s">
        <v>234</v>
      </c>
      <c r="B211" s="3" t="n">
        <v>10</v>
      </c>
      <c r="C211" s="3" t="s">
        <v>122</v>
      </c>
      <c r="D211" s="3" t="n">
        <v>40</v>
      </c>
      <c r="E211" s="3" t="s">
        <v>126</v>
      </c>
      <c r="F211" s="3" t="s">
        <v>124</v>
      </c>
      <c r="G211" s="3" t="s">
        <v>124</v>
      </c>
      <c r="H211" s="3" t="s">
        <v>244</v>
      </c>
    </row>
    <row r="212" customFormat="false" ht="15" hidden="false" customHeight="false" outlineLevel="0" collapsed="false">
      <c r="A212" s="3" t="s">
        <v>234</v>
      </c>
      <c r="B212" s="3" t="n">
        <v>11</v>
      </c>
      <c r="C212" s="3" t="s">
        <v>122</v>
      </c>
      <c r="D212" s="3" t="n">
        <v>71</v>
      </c>
      <c r="E212" s="3" t="s">
        <v>123</v>
      </c>
      <c r="F212" s="3" t="s">
        <v>124</v>
      </c>
      <c r="G212" s="3" t="s">
        <v>124</v>
      </c>
      <c r="H212" s="3" t="s">
        <v>245</v>
      </c>
    </row>
    <row r="213" customFormat="false" ht="15" hidden="false" customHeight="false" outlineLevel="0" collapsed="false">
      <c r="A213" s="3" t="s">
        <v>234</v>
      </c>
      <c r="B213" s="3" t="n">
        <v>12</v>
      </c>
      <c r="C213" s="3" t="s">
        <v>122</v>
      </c>
      <c r="D213" s="3" t="n">
        <v>21</v>
      </c>
      <c r="E213" s="3" t="s">
        <v>123</v>
      </c>
      <c r="F213" s="3" t="s">
        <v>124</v>
      </c>
      <c r="G213" s="3" t="s">
        <v>124</v>
      </c>
      <c r="H213" s="3" t="s">
        <v>246</v>
      </c>
    </row>
    <row r="214" customFormat="false" ht="15" hidden="false" customHeight="false" outlineLevel="0" collapsed="false">
      <c r="A214" s="3" t="s">
        <v>234</v>
      </c>
      <c r="B214" s="3" t="n">
        <v>13</v>
      </c>
      <c r="C214" s="3" t="s">
        <v>122</v>
      </c>
      <c r="D214" s="3" t="n">
        <v>21</v>
      </c>
      <c r="E214" s="3" t="s">
        <v>123</v>
      </c>
      <c r="F214" s="3" t="s">
        <v>124</v>
      </c>
      <c r="G214" s="3" t="s">
        <v>124</v>
      </c>
      <c r="H214" s="3" t="s">
        <v>247</v>
      </c>
    </row>
    <row r="215" customFormat="false" ht="15" hidden="false" customHeight="false" outlineLevel="0" collapsed="false">
      <c r="A215" s="3" t="s">
        <v>234</v>
      </c>
      <c r="B215" s="3" t="n">
        <v>13</v>
      </c>
      <c r="C215" s="3" t="s">
        <v>122</v>
      </c>
      <c r="D215" s="3" t="n">
        <v>19</v>
      </c>
      <c r="E215" s="3" t="s">
        <v>126</v>
      </c>
      <c r="F215" s="3" t="s">
        <v>124</v>
      </c>
      <c r="G215" s="3" t="s">
        <v>124</v>
      </c>
      <c r="H215" s="3" t="s">
        <v>247</v>
      </c>
    </row>
    <row r="216" customFormat="false" ht="15" hidden="false" customHeight="false" outlineLevel="0" collapsed="false">
      <c r="A216" s="3" t="s">
        <v>234</v>
      </c>
      <c r="B216" s="3" t="n">
        <v>14</v>
      </c>
      <c r="C216" s="3" t="s">
        <v>122</v>
      </c>
      <c r="D216" s="3" t="n">
        <v>68</v>
      </c>
      <c r="E216" s="3" t="s">
        <v>123</v>
      </c>
      <c r="F216" s="3" t="s">
        <v>124</v>
      </c>
      <c r="G216" s="3" t="s">
        <v>124</v>
      </c>
      <c r="H216" s="3" t="s">
        <v>248</v>
      </c>
    </row>
    <row r="217" customFormat="false" ht="15" hidden="false" customHeight="false" outlineLevel="0" collapsed="false">
      <c r="A217" s="3" t="s">
        <v>234</v>
      </c>
      <c r="B217" s="3" t="n">
        <v>14</v>
      </c>
      <c r="C217" s="3" t="s">
        <v>122</v>
      </c>
      <c r="D217" s="3" t="n">
        <v>67</v>
      </c>
      <c r="E217" s="3" t="s">
        <v>126</v>
      </c>
      <c r="F217" s="3" t="s">
        <v>124</v>
      </c>
      <c r="G217" s="3" t="s">
        <v>124</v>
      </c>
      <c r="H217" s="3" t="s">
        <v>248</v>
      </c>
    </row>
    <row r="218" customFormat="false" ht="15" hidden="false" customHeight="false" outlineLevel="0" collapsed="false">
      <c r="A218" s="3" t="s">
        <v>234</v>
      </c>
      <c r="B218" s="3" t="n">
        <v>15</v>
      </c>
      <c r="C218" s="3" t="s">
        <v>122</v>
      </c>
      <c r="D218" s="3" t="n">
        <v>20</v>
      </c>
      <c r="E218" s="3" t="s">
        <v>123</v>
      </c>
      <c r="F218" s="3" t="s">
        <v>124</v>
      </c>
      <c r="G218" s="3" t="s">
        <v>124</v>
      </c>
      <c r="H218" s="3" t="s">
        <v>249</v>
      </c>
    </row>
    <row r="219" customFormat="false" ht="15" hidden="false" customHeight="false" outlineLevel="0" collapsed="false">
      <c r="A219" s="3" t="s">
        <v>234</v>
      </c>
      <c r="B219" s="3" t="n">
        <v>15</v>
      </c>
      <c r="C219" s="3" t="s">
        <v>122</v>
      </c>
      <c r="D219" s="3" t="n">
        <v>31</v>
      </c>
      <c r="E219" s="3" t="s">
        <v>126</v>
      </c>
      <c r="F219" s="3" t="s">
        <v>124</v>
      </c>
      <c r="G219" s="3" t="s">
        <v>124</v>
      </c>
      <c r="H219" s="3" t="s">
        <v>249</v>
      </c>
    </row>
    <row r="220" customFormat="false" ht="15" hidden="false" customHeight="false" outlineLevel="0" collapsed="false">
      <c r="A220" s="3" t="s">
        <v>234</v>
      </c>
      <c r="B220" s="3" t="n">
        <v>16</v>
      </c>
      <c r="C220" s="3" t="s">
        <v>122</v>
      </c>
      <c r="D220" s="3" t="n">
        <v>38</v>
      </c>
      <c r="E220" s="3" t="s">
        <v>123</v>
      </c>
      <c r="F220" s="3" t="s">
        <v>124</v>
      </c>
      <c r="G220" s="3" t="s">
        <v>124</v>
      </c>
      <c r="H220" s="3" t="s">
        <v>250</v>
      </c>
    </row>
    <row r="221" customFormat="false" ht="15" hidden="false" customHeight="false" outlineLevel="0" collapsed="false">
      <c r="A221" s="3" t="s">
        <v>234</v>
      </c>
      <c r="B221" s="3" t="n">
        <v>16</v>
      </c>
      <c r="C221" s="3" t="s">
        <v>122</v>
      </c>
      <c r="D221" s="3" t="n">
        <v>31</v>
      </c>
      <c r="E221" s="3" t="s">
        <v>126</v>
      </c>
      <c r="F221" s="3" t="s">
        <v>124</v>
      </c>
      <c r="G221" s="3" t="s">
        <v>124</v>
      </c>
      <c r="H221" s="3" t="s">
        <v>250</v>
      </c>
    </row>
    <row r="222" customFormat="false" ht="15" hidden="false" customHeight="false" outlineLevel="0" collapsed="false">
      <c r="A222" s="3" t="s">
        <v>234</v>
      </c>
      <c r="B222" s="3" t="n">
        <v>17</v>
      </c>
      <c r="C222" s="3" t="s">
        <v>122</v>
      </c>
      <c r="D222" s="3" t="n">
        <v>13</v>
      </c>
      <c r="E222" s="3" t="s">
        <v>123</v>
      </c>
      <c r="F222" s="3" t="s">
        <v>124</v>
      </c>
      <c r="G222" s="3" t="s">
        <v>124</v>
      </c>
      <c r="H222" s="3" t="s">
        <v>251</v>
      </c>
    </row>
    <row r="223" customFormat="false" ht="15" hidden="false" customHeight="false" outlineLevel="0" collapsed="false">
      <c r="A223" s="3" t="s">
        <v>234</v>
      </c>
      <c r="B223" s="3" t="n">
        <v>17</v>
      </c>
      <c r="C223" s="3" t="s">
        <v>122</v>
      </c>
      <c r="D223" s="3" t="n">
        <v>62</v>
      </c>
      <c r="E223" s="3" t="s">
        <v>126</v>
      </c>
      <c r="F223" s="3" t="s">
        <v>124</v>
      </c>
      <c r="G223" s="3" t="s">
        <v>124</v>
      </c>
      <c r="H223" s="3" t="s">
        <v>251</v>
      </c>
    </row>
    <row r="224" customFormat="false" ht="15" hidden="false" customHeight="false" outlineLevel="0" collapsed="false">
      <c r="A224" s="3" t="s">
        <v>234</v>
      </c>
      <c r="B224" s="3" t="n">
        <v>18</v>
      </c>
      <c r="C224" s="3" t="s">
        <v>122</v>
      </c>
      <c r="D224" s="3" t="n">
        <v>34</v>
      </c>
      <c r="E224" s="3" t="s">
        <v>123</v>
      </c>
      <c r="F224" s="3" t="s">
        <v>124</v>
      </c>
      <c r="G224" s="3" t="s">
        <v>124</v>
      </c>
      <c r="H224" s="3" t="s">
        <v>252</v>
      </c>
    </row>
    <row r="225" customFormat="false" ht="15" hidden="false" customHeight="false" outlineLevel="0" collapsed="false">
      <c r="A225" s="3" t="s">
        <v>234</v>
      </c>
      <c r="B225" s="3" t="n">
        <v>19</v>
      </c>
      <c r="C225" s="3" t="s">
        <v>122</v>
      </c>
      <c r="D225" s="3" t="n">
        <v>49</v>
      </c>
      <c r="E225" s="3" t="s">
        <v>123</v>
      </c>
      <c r="F225" s="3" t="s">
        <v>124</v>
      </c>
      <c r="G225" s="3" t="s">
        <v>124</v>
      </c>
      <c r="H225" s="3" t="s">
        <v>253</v>
      </c>
    </row>
    <row r="226" customFormat="false" ht="15" hidden="false" customHeight="false" outlineLevel="0" collapsed="false">
      <c r="A226" s="3" t="s">
        <v>234</v>
      </c>
      <c r="B226" s="3" t="n">
        <v>19</v>
      </c>
      <c r="C226" s="3" t="s">
        <v>122</v>
      </c>
      <c r="D226" s="3" t="n">
        <v>69</v>
      </c>
      <c r="E226" s="3" t="s">
        <v>126</v>
      </c>
      <c r="F226" s="3" t="s">
        <v>124</v>
      </c>
      <c r="G226" s="3" t="s">
        <v>124</v>
      </c>
      <c r="H226" s="3" t="s">
        <v>253</v>
      </c>
    </row>
    <row r="227" customFormat="false" ht="15" hidden="false" customHeight="false" outlineLevel="0" collapsed="false">
      <c r="A227" s="3" t="s">
        <v>234</v>
      </c>
      <c r="B227" s="3" t="n">
        <v>20</v>
      </c>
      <c r="C227" s="3" t="s">
        <v>122</v>
      </c>
      <c r="D227" s="3" t="n">
        <v>17</v>
      </c>
      <c r="E227" s="3" t="s">
        <v>123</v>
      </c>
      <c r="F227" s="3" t="s">
        <v>124</v>
      </c>
      <c r="G227" s="3" t="s">
        <v>124</v>
      </c>
      <c r="H227" s="3" t="s">
        <v>254</v>
      </c>
    </row>
    <row r="228" customFormat="false" ht="15" hidden="false" customHeight="false" outlineLevel="0" collapsed="false">
      <c r="A228" s="3" t="s">
        <v>234</v>
      </c>
      <c r="B228" s="3" t="n">
        <v>20</v>
      </c>
      <c r="C228" s="3" t="s">
        <v>122</v>
      </c>
      <c r="D228" s="3" t="n">
        <v>19</v>
      </c>
      <c r="E228" s="3" t="s">
        <v>126</v>
      </c>
      <c r="F228" s="3" t="s">
        <v>124</v>
      </c>
      <c r="G228" s="3" t="s">
        <v>124</v>
      </c>
      <c r="H228" s="3" t="s">
        <v>254</v>
      </c>
    </row>
    <row r="229" customFormat="false" ht="15" hidden="false" customHeight="false" outlineLevel="0" collapsed="false">
      <c r="A229" s="3" t="s">
        <v>234</v>
      </c>
      <c r="B229" s="3" t="n">
        <v>21</v>
      </c>
      <c r="C229" s="3" t="s">
        <v>122</v>
      </c>
      <c r="D229" s="3" t="n">
        <v>1</v>
      </c>
      <c r="E229" s="3" t="s">
        <v>123</v>
      </c>
      <c r="F229" s="3" t="s">
        <v>124</v>
      </c>
      <c r="G229" s="3" t="s">
        <v>124</v>
      </c>
      <c r="H229" s="3" t="s">
        <v>255</v>
      </c>
    </row>
    <row r="230" customFormat="false" ht="15" hidden="false" customHeight="false" outlineLevel="0" collapsed="false">
      <c r="A230" s="3" t="s">
        <v>234</v>
      </c>
      <c r="B230" s="3" t="n">
        <v>21</v>
      </c>
      <c r="C230" s="3" t="s">
        <v>122</v>
      </c>
      <c r="D230" s="3" t="n">
        <v>21</v>
      </c>
      <c r="E230" s="3" t="s">
        <v>126</v>
      </c>
      <c r="F230" s="3" t="s">
        <v>124</v>
      </c>
      <c r="G230" s="3" t="s">
        <v>124</v>
      </c>
      <c r="H230" s="3" t="s">
        <v>255</v>
      </c>
    </row>
    <row r="231" customFormat="false" ht="15" hidden="false" customHeight="false" outlineLevel="0" collapsed="false">
      <c r="A231" s="3" t="s">
        <v>234</v>
      </c>
      <c r="B231" s="3" t="n">
        <v>22</v>
      </c>
      <c r="C231" s="3" t="s">
        <v>122</v>
      </c>
      <c r="D231" s="3" t="n">
        <v>19</v>
      </c>
      <c r="E231" s="3" t="s">
        <v>123</v>
      </c>
      <c r="F231" s="3" t="s">
        <v>124</v>
      </c>
      <c r="G231" s="3" t="s">
        <v>124</v>
      </c>
      <c r="H231" s="3" t="s">
        <v>256</v>
      </c>
    </row>
    <row r="232" customFormat="false" ht="15" hidden="false" customHeight="false" outlineLevel="0" collapsed="false">
      <c r="A232" s="3" t="s">
        <v>234</v>
      </c>
      <c r="B232" s="3" t="n">
        <v>22</v>
      </c>
      <c r="C232" s="3" t="s">
        <v>122</v>
      </c>
      <c r="D232" s="3" t="n">
        <v>56</v>
      </c>
      <c r="E232" s="3" t="s">
        <v>126</v>
      </c>
      <c r="F232" s="3" t="s">
        <v>124</v>
      </c>
      <c r="G232" s="3" t="s">
        <v>124</v>
      </c>
      <c r="H232" s="3" t="s">
        <v>256</v>
      </c>
    </row>
    <row r="233" customFormat="false" ht="15" hidden="false" customHeight="false" outlineLevel="0" collapsed="false">
      <c r="A233" s="3" t="s">
        <v>234</v>
      </c>
      <c r="B233" s="3" t="n">
        <v>22</v>
      </c>
      <c r="C233" s="3" t="s">
        <v>122</v>
      </c>
      <c r="D233" s="3" t="n">
        <v>21</v>
      </c>
      <c r="E233" s="3" t="s">
        <v>126</v>
      </c>
      <c r="F233" s="3" t="s">
        <v>124</v>
      </c>
      <c r="G233" s="3" t="s">
        <v>124</v>
      </c>
      <c r="H233" s="3" t="s">
        <v>256</v>
      </c>
    </row>
    <row r="234" customFormat="false" ht="15" hidden="false" customHeight="false" outlineLevel="0" collapsed="false">
      <c r="A234" s="3" t="s">
        <v>257</v>
      </c>
      <c r="B234" s="3" t="n">
        <v>1</v>
      </c>
      <c r="C234" s="3" t="s">
        <v>122</v>
      </c>
      <c r="D234" s="3" t="n">
        <v>11</v>
      </c>
      <c r="E234" s="3" t="s">
        <v>123</v>
      </c>
      <c r="F234" s="3" t="s">
        <v>124</v>
      </c>
      <c r="G234" s="3" t="s">
        <v>124</v>
      </c>
      <c r="H234" s="3" t="s">
        <v>258</v>
      </c>
    </row>
    <row r="235" customFormat="false" ht="15" hidden="false" customHeight="false" outlineLevel="0" collapsed="false">
      <c r="A235" s="3" t="s">
        <v>257</v>
      </c>
      <c r="B235" s="3" t="n">
        <v>2</v>
      </c>
      <c r="C235" s="3" t="s">
        <v>122</v>
      </c>
      <c r="D235" s="3" t="n">
        <v>47</v>
      </c>
      <c r="E235" s="3" t="s">
        <v>123</v>
      </c>
      <c r="F235" s="3" t="s">
        <v>124</v>
      </c>
      <c r="G235" s="3" t="s">
        <v>124</v>
      </c>
      <c r="H235" s="3" t="s">
        <v>259</v>
      </c>
    </row>
    <row r="236" customFormat="false" ht="15" hidden="false" customHeight="false" outlineLevel="0" collapsed="false">
      <c r="A236" s="3" t="s">
        <v>257</v>
      </c>
      <c r="B236" s="3" t="n">
        <v>2</v>
      </c>
      <c r="C236" s="3" t="s">
        <v>122</v>
      </c>
      <c r="D236" s="3" t="n">
        <v>6</v>
      </c>
      <c r="E236" s="3" t="s">
        <v>126</v>
      </c>
      <c r="F236" s="3" t="s">
        <v>124</v>
      </c>
      <c r="G236" s="3" t="s">
        <v>124</v>
      </c>
      <c r="H236" s="3" t="s">
        <v>259</v>
      </c>
    </row>
    <row r="237" customFormat="false" ht="15" hidden="false" customHeight="false" outlineLevel="0" collapsed="false">
      <c r="A237" s="3" t="s">
        <v>257</v>
      </c>
      <c r="B237" s="3" t="n">
        <v>3</v>
      </c>
      <c r="C237" s="3" t="s">
        <v>122</v>
      </c>
      <c r="D237" s="3" t="n">
        <v>4</v>
      </c>
      <c r="E237" s="3" t="s">
        <v>123</v>
      </c>
      <c r="F237" s="3" t="s">
        <v>124</v>
      </c>
      <c r="G237" s="3" t="s">
        <v>124</v>
      </c>
      <c r="H237" s="3" t="s">
        <v>260</v>
      </c>
    </row>
    <row r="238" customFormat="false" ht="15" hidden="false" customHeight="false" outlineLevel="0" collapsed="false">
      <c r="A238" s="3" t="s">
        <v>257</v>
      </c>
      <c r="B238" s="3" t="n">
        <v>4</v>
      </c>
      <c r="C238" s="3" t="s">
        <v>122</v>
      </c>
      <c r="D238" s="3" t="n">
        <v>5</v>
      </c>
      <c r="E238" s="3" t="s">
        <v>123</v>
      </c>
      <c r="F238" s="3" t="s">
        <v>124</v>
      </c>
      <c r="G238" s="3" t="s">
        <v>124</v>
      </c>
      <c r="H238" s="3" t="s">
        <v>261</v>
      </c>
    </row>
    <row r="239" customFormat="false" ht="15" hidden="false" customHeight="false" outlineLevel="0" collapsed="false">
      <c r="A239" s="3" t="s">
        <v>257</v>
      </c>
      <c r="B239" s="3" t="n">
        <v>5</v>
      </c>
      <c r="C239" s="3" t="s">
        <v>122</v>
      </c>
      <c r="D239" s="3" t="n">
        <v>29</v>
      </c>
      <c r="E239" s="3" t="s">
        <v>123</v>
      </c>
      <c r="F239" s="3" t="s">
        <v>124</v>
      </c>
      <c r="G239" s="3" t="s">
        <v>124</v>
      </c>
      <c r="H239" s="3" t="s">
        <v>262</v>
      </c>
    </row>
    <row r="240" customFormat="false" ht="15" hidden="false" customHeight="false" outlineLevel="0" collapsed="false">
      <c r="A240" s="3" t="s">
        <v>257</v>
      </c>
      <c r="B240" s="3" t="n">
        <v>5</v>
      </c>
      <c r="C240" s="3" t="s">
        <v>122</v>
      </c>
      <c r="D240" s="3" t="n">
        <v>6</v>
      </c>
      <c r="E240" s="3" t="s">
        <v>126</v>
      </c>
      <c r="F240" s="3" t="s">
        <v>124</v>
      </c>
      <c r="G240" s="3" t="s">
        <v>124</v>
      </c>
      <c r="H240" s="3" t="s">
        <v>262</v>
      </c>
    </row>
    <row r="241" customFormat="false" ht="15" hidden="false" customHeight="false" outlineLevel="0" collapsed="false">
      <c r="A241" s="3" t="s">
        <v>257</v>
      </c>
      <c r="B241" s="3" t="n">
        <v>6</v>
      </c>
      <c r="C241" s="3" t="s">
        <v>122</v>
      </c>
      <c r="D241" s="3" t="n">
        <v>72</v>
      </c>
      <c r="E241" s="3" t="s">
        <v>123</v>
      </c>
      <c r="F241" s="3" t="s">
        <v>124</v>
      </c>
      <c r="G241" s="3" t="s">
        <v>124</v>
      </c>
      <c r="H241" s="3" t="s">
        <v>263</v>
      </c>
    </row>
    <row r="242" customFormat="false" ht="15" hidden="false" customHeight="false" outlineLevel="0" collapsed="false">
      <c r="A242" s="3" t="s">
        <v>257</v>
      </c>
      <c r="B242" s="3" t="n">
        <v>6</v>
      </c>
      <c r="C242" s="3" t="s">
        <v>122</v>
      </c>
      <c r="D242" s="3" t="n">
        <v>40</v>
      </c>
      <c r="E242" s="3" t="s">
        <v>126</v>
      </c>
      <c r="F242" s="3" t="s">
        <v>124</v>
      </c>
      <c r="G242" s="3" t="s">
        <v>124</v>
      </c>
      <c r="H242" s="3" t="s">
        <v>263</v>
      </c>
    </row>
    <row r="243" customFormat="false" ht="15" hidden="false" customHeight="false" outlineLevel="0" collapsed="false">
      <c r="A243" s="3" t="s">
        <v>257</v>
      </c>
      <c r="B243" s="3" t="n">
        <v>7</v>
      </c>
      <c r="C243" s="3" t="s">
        <v>122</v>
      </c>
      <c r="D243" s="3" t="n">
        <v>6</v>
      </c>
      <c r="E243" s="3" t="s">
        <v>123</v>
      </c>
      <c r="F243" s="3" t="s">
        <v>124</v>
      </c>
      <c r="G243" s="3" t="s">
        <v>124</v>
      </c>
      <c r="H243" s="3" t="s">
        <v>264</v>
      </c>
    </row>
    <row r="244" customFormat="false" ht="15" hidden="false" customHeight="false" outlineLevel="0" collapsed="false">
      <c r="A244" s="3" t="s">
        <v>257</v>
      </c>
      <c r="B244" s="3" t="n">
        <v>7</v>
      </c>
      <c r="C244" s="3" t="s">
        <v>122</v>
      </c>
      <c r="D244" s="3" t="n">
        <v>29</v>
      </c>
      <c r="E244" s="3" t="s">
        <v>126</v>
      </c>
      <c r="F244" s="3" t="s">
        <v>124</v>
      </c>
      <c r="G244" s="3" t="s">
        <v>124</v>
      </c>
      <c r="H244" s="3" t="s">
        <v>264</v>
      </c>
    </row>
    <row r="245" customFormat="false" ht="15" hidden="false" customHeight="false" outlineLevel="0" collapsed="false">
      <c r="A245" s="3" t="s">
        <v>257</v>
      </c>
      <c r="B245" s="3" t="n">
        <v>8</v>
      </c>
      <c r="C245" s="3" t="s">
        <v>122</v>
      </c>
      <c r="D245" s="3" t="n">
        <v>69</v>
      </c>
      <c r="E245" s="3" t="s">
        <v>123</v>
      </c>
      <c r="F245" s="3" t="s">
        <v>124</v>
      </c>
      <c r="G245" s="3" t="s">
        <v>124</v>
      </c>
      <c r="H245" s="3" t="s">
        <v>265</v>
      </c>
    </row>
    <row r="246" customFormat="false" ht="15" hidden="false" customHeight="false" outlineLevel="0" collapsed="false">
      <c r="A246" s="3" t="s">
        <v>257</v>
      </c>
      <c r="B246" s="3" t="n">
        <v>8</v>
      </c>
      <c r="C246" s="3" t="s">
        <v>122</v>
      </c>
      <c r="D246" s="3" t="n">
        <v>31</v>
      </c>
      <c r="E246" s="3" t="s">
        <v>126</v>
      </c>
      <c r="F246" s="3" t="s">
        <v>124</v>
      </c>
      <c r="G246" s="3" t="s">
        <v>124</v>
      </c>
      <c r="H246" s="3" t="s">
        <v>265</v>
      </c>
    </row>
    <row r="247" customFormat="false" ht="15" hidden="false" customHeight="false" outlineLevel="0" collapsed="false">
      <c r="A247" s="3" t="s">
        <v>257</v>
      </c>
      <c r="B247" s="3" t="n">
        <v>9</v>
      </c>
      <c r="C247" s="3" t="s">
        <v>122</v>
      </c>
      <c r="D247" s="3" t="n">
        <v>31</v>
      </c>
      <c r="E247" s="3" t="s">
        <v>123</v>
      </c>
      <c r="F247" s="3" t="s">
        <v>124</v>
      </c>
      <c r="G247" s="3" t="s">
        <v>124</v>
      </c>
      <c r="H247" s="3" t="s">
        <v>266</v>
      </c>
    </row>
    <row r="248" customFormat="false" ht="15" hidden="false" customHeight="false" outlineLevel="0" collapsed="false">
      <c r="A248" s="3" t="s">
        <v>257</v>
      </c>
      <c r="B248" s="3" t="n">
        <v>9</v>
      </c>
      <c r="C248" s="3" t="s">
        <v>122</v>
      </c>
      <c r="D248" s="3" t="n">
        <v>19</v>
      </c>
      <c r="E248" s="3" t="s">
        <v>126</v>
      </c>
      <c r="F248" s="3" t="s">
        <v>124</v>
      </c>
      <c r="G248" s="3" t="s">
        <v>124</v>
      </c>
      <c r="H248" s="3" t="s">
        <v>266</v>
      </c>
    </row>
    <row r="249" customFormat="false" ht="15" hidden="false" customHeight="false" outlineLevel="0" collapsed="false">
      <c r="A249" s="3" t="s">
        <v>257</v>
      </c>
      <c r="B249" s="3" t="n">
        <v>10</v>
      </c>
      <c r="C249" s="3" t="s">
        <v>122</v>
      </c>
      <c r="D249" s="3" t="n">
        <v>14</v>
      </c>
      <c r="E249" s="3" t="s">
        <v>123</v>
      </c>
      <c r="F249" s="3" t="s">
        <v>124</v>
      </c>
      <c r="G249" s="3" t="s">
        <v>124</v>
      </c>
      <c r="H249" s="3" t="s">
        <v>267</v>
      </c>
    </row>
    <row r="250" customFormat="false" ht="15" hidden="false" customHeight="false" outlineLevel="0" collapsed="false">
      <c r="A250" s="3" t="s">
        <v>257</v>
      </c>
      <c r="B250" s="3" t="n">
        <v>11</v>
      </c>
      <c r="C250" s="3" t="s">
        <v>122</v>
      </c>
      <c r="D250" s="3" t="n">
        <v>84</v>
      </c>
      <c r="E250" s="3" t="s">
        <v>123</v>
      </c>
      <c r="F250" s="3" t="s">
        <v>124</v>
      </c>
      <c r="G250" s="3" t="s">
        <v>124</v>
      </c>
      <c r="H250" s="3" t="s">
        <v>268</v>
      </c>
    </row>
    <row r="251" customFormat="false" ht="15" hidden="false" customHeight="false" outlineLevel="0" collapsed="false">
      <c r="A251" s="3" t="s">
        <v>257</v>
      </c>
      <c r="B251" s="3" t="n">
        <v>11</v>
      </c>
      <c r="C251" s="3" t="s">
        <v>122</v>
      </c>
      <c r="D251" s="3" t="n">
        <v>12</v>
      </c>
      <c r="E251" s="3" t="s">
        <v>126</v>
      </c>
      <c r="F251" s="3" t="s">
        <v>124</v>
      </c>
      <c r="G251" s="3" t="s">
        <v>124</v>
      </c>
      <c r="H251" s="3" t="s">
        <v>268</v>
      </c>
    </row>
    <row r="252" customFormat="false" ht="15" hidden="false" customHeight="false" outlineLevel="0" collapsed="false">
      <c r="A252" s="3" t="s">
        <v>257</v>
      </c>
      <c r="B252" s="3" t="n">
        <v>13</v>
      </c>
      <c r="C252" s="3" t="s">
        <v>122</v>
      </c>
      <c r="D252" s="3" t="n">
        <v>17</v>
      </c>
      <c r="E252" s="3" t="s">
        <v>123</v>
      </c>
      <c r="F252" s="3" t="s">
        <v>124</v>
      </c>
      <c r="G252" s="3" t="s">
        <v>124</v>
      </c>
      <c r="H252" s="3" t="s">
        <v>269</v>
      </c>
    </row>
    <row r="253" customFormat="false" ht="15" hidden="false" customHeight="false" outlineLevel="0" collapsed="false">
      <c r="A253" s="3" t="s">
        <v>257</v>
      </c>
      <c r="B253" s="3" t="n">
        <v>13</v>
      </c>
      <c r="C253" s="3" t="s">
        <v>122</v>
      </c>
      <c r="D253" s="3" t="n">
        <v>19</v>
      </c>
      <c r="E253" s="3" t="s">
        <v>126</v>
      </c>
      <c r="F253" s="3" t="s">
        <v>124</v>
      </c>
      <c r="G253" s="3" t="s">
        <v>124</v>
      </c>
      <c r="H253" s="3" t="s">
        <v>269</v>
      </c>
    </row>
    <row r="254" customFormat="false" ht="15" hidden="false" customHeight="false" outlineLevel="0" collapsed="false">
      <c r="A254" s="3" t="s">
        <v>257</v>
      </c>
      <c r="B254" s="3" t="n">
        <v>14</v>
      </c>
      <c r="C254" s="3" t="s">
        <v>122</v>
      </c>
      <c r="D254" s="3" t="n">
        <v>5</v>
      </c>
      <c r="E254" s="3" t="s">
        <v>123</v>
      </c>
      <c r="F254" s="3" t="s">
        <v>124</v>
      </c>
      <c r="G254" s="3" t="s">
        <v>124</v>
      </c>
      <c r="H254" s="3" t="s">
        <v>270</v>
      </c>
    </row>
    <row r="255" customFormat="false" ht="15" hidden="false" customHeight="false" outlineLevel="0" collapsed="false">
      <c r="A255" s="3" t="s">
        <v>257</v>
      </c>
      <c r="B255" s="3" t="n">
        <v>14</v>
      </c>
      <c r="C255" s="3" t="s">
        <v>122</v>
      </c>
      <c r="D255" s="3" t="n">
        <v>21</v>
      </c>
      <c r="E255" s="3" t="s">
        <v>126</v>
      </c>
      <c r="F255" s="3" t="s">
        <v>124</v>
      </c>
      <c r="G255" s="3" t="s">
        <v>124</v>
      </c>
      <c r="H255" s="3" t="s">
        <v>270</v>
      </c>
    </row>
    <row r="256" customFormat="false" ht="15" hidden="false" customHeight="false" outlineLevel="0" collapsed="false">
      <c r="A256" s="3" t="s">
        <v>257</v>
      </c>
      <c r="B256" s="3" t="n">
        <v>15</v>
      </c>
      <c r="C256" s="3" t="s">
        <v>122</v>
      </c>
      <c r="D256" s="3" t="n">
        <v>25</v>
      </c>
      <c r="E256" s="3" t="s">
        <v>123</v>
      </c>
      <c r="F256" s="3" t="s">
        <v>124</v>
      </c>
      <c r="G256" s="3" t="s">
        <v>124</v>
      </c>
      <c r="H256" s="3" t="s">
        <v>271</v>
      </c>
    </row>
    <row r="257" customFormat="false" ht="15" hidden="false" customHeight="false" outlineLevel="0" collapsed="false">
      <c r="A257" s="3" t="s">
        <v>257</v>
      </c>
      <c r="B257" s="3" t="n">
        <v>15</v>
      </c>
      <c r="C257" s="3" t="s">
        <v>122</v>
      </c>
      <c r="D257" s="3" t="n">
        <v>24</v>
      </c>
      <c r="E257" s="3" t="s">
        <v>126</v>
      </c>
      <c r="F257" s="3" t="s">
        <v>124</v>
      </c>
      <c r="G257" s="3" t="s">
        <v>124</v>
      </c>
      <c r="H257" s="3" t="s">
        <v>271</v>
      </c>
    </row>
    <row r="258" customFormat="false" ht="15" hidden="false" customHeight="false" outlineLevel="0" collapsed="false">
      <c r="A258" s="3" t="s">
        <v>257</v>
      </c>
      <c r="B258" s="3" t="n">
        <v>16</v>
      </c>
      <c r="C258" s="3" t="s">
        <v>122</v>
      </c>
      <c r="D258" s="3" t="n">
        <v>78</v>
      </c>
      <c r="E258" s="3" t="s">
        <v>123</v>
      </c>
      <c r="F258" s="3" t="s">
        <v>124</v>
      </c>
      <c r="G258" s="3" t="s">
        <v>124</v>
      </c>
      <c r="H258" s="3" t="s">
        <v>272</v>
      </c>
    </row>
    <row r="259" customFormat="false" ht="15" hidden="false" customHeight="false" outlineLevel="0" collapsed="false">
      <c r="A259" s="3" t="s">
        <v>257</v>
      </c>
      <c r="B259" s="3" t="n">
        <v>16</v>
      </c>
      <c r="C259" s="3" t="s">
        <v>122</v>
      </c>
      <c r="D259" s="3" t="n">
        <v>79</v>
      </c>
      <c r="E259" s="3" t="s">
        <v>126</v>
      </c>
      <c r="F259" s="3" t="s">
        <v>124</v>
      </c>
      <c r="G259" s="3" t="s">
        <v>124</v>
      </c>
      <c r="H259" s="3" t="s">
        <v>272</v>
      </c>
    </row>
    <row r="260" customFormat="false" ht="15" hidden="false" customHeight="false" outlineLevel="0" collapsed="false">
      <c r="A260" s="3" t="s">
        <v>257</v>
      </c>
      <c r="B260" s="3" t="n">
        <v>17</v>
      </c>
      <c r="C260" s="3" t="s">
        <v>122</v>
      </c>
      <c r="D260" s="3" t="n">
        <v>56</v>
      </c>
      <c r="E260" s="3" t="s">
        <v>123</v>
      </c>
      <c r="F260" s="3" t="s">
        <v>124</v>
      </c>
      <c r="G260" s="3" t="s">
        <v>124</v>
      </c>
      <c r="H260" s="3" t="s">
        <v>273</v>
      </c>
    </row>
    <row r="261" customFormat="false" ht="15" hidden="false" customHeight="false" outlineLevel="0" collapsed="false">
      <c r="A261" s="3" t="s">
        <v>257</v>
      </c>
      <c r="B261" s="3" t="n">
        <v>17</v>
      </c>
      <c r="C261" s="3" t="s">
        <v>122</v>
      </c>
      <c r="D261" s="3" t="n">
        <v>31</v>
      </c>
      <c r="E261" s="3" t="s">
        <v>126</v>
      </c>
      <c r="F261" s="3" t="s">
        <v>124</v>
      </c>
      <c r="G261" s="3" t="s">
        <v>124</v>
      </c>
      <c r="H261" s="3" t="s">
        <v>273</v>
      </c>
    </row>
    <row r="262" customFormat="false" ht="15" hidden="false" customHeight="false" outlineLevel="0" collapsed="false">
      <c r="A262" s="3" t="s">
        <v>257</v>
      </c>
      <c r="B262" s="3" t="n">
        <v>18</v>
      </c>
      <c r="C262" s="3" t="s">
        <v>122</v>
      </c>
      <c r="D262" s="3" t="n">
        <v>41</v>
      </c>
      <c r="E262" s="3" t="s">
        <v>123</v>
      </c>
      <c r="F262" s="3" t="s">
        <v>124</v>
      </c>
      <c r="G262" s="3" t="s">
        <v>124</v>
      </c>
      <c r="H262" s="3" t="s">
        <v>274</v>
      </c>
    </row>
    <row r="263" customFormat="false" ht="15" hidden="false" customHeight="false" outlineLevel="0" collapsed="false">
      <c r="A263" s="3" t="s">
        <v>257</v>
      </c>
      <c r="B263" s="3" t="n">
        <v>18</v>
      </c>
      <c r="C263" s="3" t="s">
        <v>122</v>
      </c>
      <c r="D263" s="3" t="n">
        <v>40</v>
      </c>
      <c r="E263" s="3" t="s">
        <v>126</v>
      </c>
      <c r="F263" s="3" t="s">
        <v>124</v>
      </c>
      <c r="G263" s="3" t="s">
        <v>124</v>
      </c>
      <c r="H263" s="3" t="s">
        <v>274</v>
      </c>
    </row>
    <row r="264" customFormat="false" ht="15" hidden="false" customHeight="false" outlineLevel="0" collapsed="false">
      <c r="A264" s="3" t="s">
        <v>257</v>
      </c>
      <c r="B264" s="3" t="n">
        <v>19</v>
      </c>
      <c r="C264" s="3" t="s">
        <v>122</v>
      </c>
      <c r="D264" s="3" t="n">
        <v>51</v>
      </c>
      <c r="E264" s="3" t="s">
        <v>123</v>
      </c>
      <c r="F264" s="3" t="s">
        <v>124</v>
      </c>
      <c r="G264" s="3" t="s">
        <v>124</v>
      </c>
      <c r="H264" s="3" t="s">
        <v>275</v>
      </c>
    </row>
    <row r="265" customFormat="false" ht="15" hidden="false" customHeight="false" outlineLevel="0" collapsed="false">
      <c r="A265" s="3" t="s">
        <v>257</v>
      </c>
      <c r="B265" s="3" t="n">
        <v>19</v>
      </c>
      <c r="C265" s="3" t="s">
        <v>122</v>
      </c>
      <c r="D265" s="3" t="n">
        <v>40</v>
      </c>
      <c r="E265" s="3" t="s">
        <v>126</v>
      </c>
      <c r="F265" s="3" t="s">
        <v>124</v>
      </c>
      <c r="G265" s="3" t="s">
        <v>124</v>
      </c>
      <c r="H265" s="3" t="s">
        <v>275</v>
      </c>
    </row>
    <row r="266" customFormat="false" ht="15" hidden="false" customHeight="false" outlineLevel="0" collapsed="false">
      <c r="A266" s="3" t="s">
        <v>257</v>
      </c>
      <c r="B266" s="3" t="n">
        <v>19</v>
      </c>
      <c r="C266" s="3" t="s">
        <v>122</v>
      </c>
      <c r="D266" s="3" t="n">
        <v>21</v>
      </c>
      <c r="E266" s="3" t="s">
        <v>126</v>
      </c>
      <c r="F266" s="3" t="s">
        <v>124</v>
      </c>
      <c r="G266" s="3" t="s">
        <v>124</v>
      </c>
      <c r="H266" s="3" t="s">
        <v>275</v>
      </c>
    </row>
    <row r="267" customFormat="false" ht="15" hidden="false" customHeight="false" outlineLevel="0" collapsed="false">
      <c r="A267" s="3" t="s">
        <v>257</v>
      </c>
      <c r="B267" s="3" t="n">
        <v>20</v>
      </c>
      <c r="C267" s="3" t="s">
        <v>122</v>
      </c>
      <c r="D267" s="3" t="n">
        <v>71</v>
      </c>
      <c r="E267" s="3" t="s">
        <v>123</v>
      </c>
      <c r="F267" s="3" t="s">
        <v>124</v>
      </c>
      <c r="G267" s="3" t="s">
        <v>124</v>
      </c>
      <c r="H267" s="3" t="s">
        <v>276</v>
      </c>
    </row>
    <row r="268" customFormat="false" ht="15" hidden="false" customHeight="false" outlineLevel="0" collapsed="false">
      <c r="A268" s="3" t="s">
        <v>257</v>
      </c>
      <c r="B268" s="3" t="n">
        <v>20</v>
      </c>
      <c r="C268" s="3" t="s">
        <v>122</v>
      </c>
      <c r="D268" s="3" t="n">
        <v>72</v>
      </c>
      <c r="E268" s="3" t="s">
        <v>126</v>
      </c>
      <c r="F268" s="3" t="s">
        <v>124</v>
      </c>
      <c r="G268" s="3" t="s">
        <v>124</v>
      </c>
      <c r="H268" s="3" t="s">
        <v>276</v>
      </c>
    </row>
    <row r="269" customFormat="false" ht="15" hidden="false" customHeight="false" outlineLevel="0" collapsed="false">
      <c r="A269" s="3" t="s">
        <v>257</v>
      </c>
      <c r="B269" s="3" t="n">
        <v>21</v>
      </c>
      <c r="C269" s="3" t="s">
        <v>122</v>
      </c>
      <c r="D269" s="3" t="n">
        <v>21</v>
      </c>
      <c r="E269" s="3" t="s">
        <v>123</v>
      </c>
      <c r="F269" s="3" t="s">
        <v>124</v>
      </c>
      <c r="G269" s="3" t="s">
        <v>124</v>
      </c>
      <c r="H269" s="3" t="s">
        <v>277</v>
      </c>
    </row>
    <row r="270" customFormat="false" ht="15" hidden="false" customHeight="false" outlineLevel="0" collapsed="false">
      <c r="A270" s="3" t="s">
        <v>257</v>
      </c>
      <c r="B270" s="3" t="n">
        <v>22</v>
      </c>
      <c r="C270" s="3" t="s">
        <v>122</v>
      </c>
      <c r="D270" s="3" t="n">
        <v>78</v>
      </c>
      <c r="E270" s="3" t="s">
        <v>123</v>
      </c>
      <c r="F270" s="3" t="s">
        <v>124</v>
      </c>
      <c r="G270" s="3" t="s">
        <v>124</v>
      </c>
      <c r="H270" s="3" t="s">
        <v>278</v>
      </c>
    </row>
    <row r="271" customFormat="false" ht="15" hidden="false" customHeight="false" outlineLevel="0" collapsed="false">
      <c r="A271" s="3" t="s">
        <v>257</v>
      </c>
      <c r="B271" s="3" t="n">
        <v>22</v>
      </c>
      <c r="C271" s="3" t="s">
        <v>122</v>
      </c>
      <c r="D271" s="3" t="n">
        <v>79</v>
      </c>
      <c r="E271" s="3" t="s">
        <v>126</v>
      </c>
      <c r="F271" s="3" t="s">
        <v>124</v>
      </c>
      <c r="G271" s="3" t="s">
        <v>124</v>
      </c>
      <c r="H271" s="3" t="s">
        <v>278</v>
      </c>
    </row>
    <row r="272" customFormat="false" ht="15" hidden="false" customHeight="false" outlineLevel="0" collapsed="false">
      <c r="A272" s="3" t="s">
        <v>257</v>
      </c>
      <c r="B272" s="3" t="n">
        <v>23</v>
      </c>
      <c r="C272" s="3" t="s">
        <v>122</v>
      </c>
      <c r="D272" s="3" t="n">
        <v>20</v>
      </c>
      <c r="E272" s="3" t="s">
        <v>123</v>
      </c>
      <c r="F272" s="3" t="s">
        <v>124</v>
      </c>
      <c r="G272" s="3" t="s">
        <v>124</v>
      </c>
      <c r="H272" s="3" t="s">
        <v>279</v>
      </c>
    </row>
    <row r="273" customFormat="false" ht="15" hidden="false" customHeight="false" outlineLevel="0" collapsed="false">
      <c r="A273" s="3" t="s">
        <v>257</v>
      </c>
      <c r="B273" s="3" t="n">
        <v>23</v>
      </c>
      <c r="C273" s="3" t="s">
        <v>122</v>
      </c>
      <c r="D273" s="3" t="n">
        <v>31</v>
      </c>
      <c r="E273" s="3" t="s">
        <v>126</v>
      </c>
      <c r="F273" s="3" t="s">
        <v>124</v>
      </c>
      <c r="G273" s="3" t="s">
        <v>124</v>
      </c>
      <c r="H273" s="3" t="s">
        <v>279</v>
      </c>
    </row>
    <row r="274" customFormat="false" ht="15" hidden="false" customHeight="false" outlineLevel="0" collapsed="false">
      <c r="A274" s="3" t="s">
        <v>257</v>
      </c>
      <c r="B274" s="3" t="n">
        <v>24</v>
      </c>
      <c r="C274" s="3" t="s">
        <v>122</v>
      </c>
      <c r="D274" s="3" t="n">
        <v>20</v>
      </c>
      <c r="E274" s="3" t="s">
        <v>123</v>
      </c>
      <c r="F274" s="3" t="s">
        <v>124</v>
      </c>
      <c r="G274" s="3" t="s">
        <v>124</v>
      </c>
      <c r="H274" s="3" t="s">
        <v>280</v>
      </c>
    </row>
    <row r="275" customFormat="false" ht="15" hidden="false" customHeight="false" outlineLevel="0" collapsed="false">
      <c r="A275" s="3" t="s">
        <v>257</v>
      </c>
      <c r="B275" s="3" t="n">
        <v>24</v>
      </c>
      <c r="C275" s="3" t="s">
        <v>122</v>
      </c>
      <c r="D275" s="3" t="n">
        <v>14</v>
      </c>
      <c r="E275" s="3" t="s">
        <v>126</v>
      </c>
      <c r="F275" s="3" t="s">
        <v>124</v>
      </c>
      <c r="G275" s="3" t="s">
        <v>124</v>
      </c>
      <c r="H275" s="3" t="s">
        <v>280</v>
      </c>
    </row>
    <row r="276" customFormat="false" ht="15" hidden="false" customHeight="false" outlineLevel="0" collapsed="false">
      <c r="A276" s="3" t="s">
        <v>257</v>
      </c>
      <c r="B276" s="3" t="n">
        <v>25</v>
      </c>
      <c r="C276" s="3" t="s">
        <v>122</v>
      </c>
      <c r="D276" s="3" t="n">
        <v>20</v>
      </c>
      <c r="E276" s="3" t="s">
        <v>123</v>
      </c>
      <c r="F276" s="3" t="s">
        <v>124</v>
      </c>
      <c r="G276" s="3" t="s">
        <v>124</v>
      </c>
      <c r="H276" s="3" t="s">
        <v>281</v>
      </c>
    </row>
    <row r="277" customFormat="false" ht="15" hidden="false" customHeight="false" outlineLevel="0" collapsed="false">
      <c r="A277" s="3" t="s">
        <v>257</v>
      </c>
      <c r="B277" s="3" t="n">
        <v>25</v>
      </c>
      <c r="C277" s="3" t="s">
        <v>122</v>
      </c>
      <c r="D277" s="3" t="n">
        <v>31</v>
      </c>
      <c r="E277" s="3" t="s">
        <v>126</v>
      </c>
      <c r="F277" s="3" t="s">
        <v>124</v>
      </c>
      <c r="G277" s="3" t="s">
        <v>124</v>
      </c>
      <c r="H277" s="3" t="s">
        <v>281</v>
      </c>
    </row>
    <row r="278" customFormat="false" ht="15" hidden="false" customHeight="false" outlineLevel="0" collapsed="false">
      <c r="A278" s="3" t="s">
        <v>257</v>
      </c>
      <c r="B278" s="3" t="n">
        <v>25</v>
      </c>
      <c r="C278" s="3" t="s">
        <v>122</v>
      </c>
      <c r="D278" s="3" t="n">
        <v>40</v>
      </c>
      <c r="E278" s="3" t="s">
        <v>126</v>
      </c>
      <c r="F278" s="3" t="s">
        <v>124</v>
      </c>
      <c r="G278" s="3" t="s">
        <v>124</v>
      </c>
      <c r="H278" s="3" t="s">
        <v>281</v>
      </c>
    </row>
    <row r="279" customFormat="false" ht="15" hidden="false" customHeight="false" outlineLevel="0" collapsed="false">
      <c r="A279" s="3" t="s">
        <v>257</v>
      </c>
      <c r="B279" s="3" t="n">
        <v>26</v>
      </c>
      <c r="C279" s="3" t="s">
        <v>122</v>
      </c>
      <c r="D279" s="3" t="n">
        <v>31</v>
      </c>
      <c r="E279" s="3" t="s">
        <v>123</v>
      </c>
      <c r="F279" s="3" t="s">
        <v>124</v>
      </c>
      <c r="G279" s="3" t="s">
        <v>124</v>
      </c>
      <c r="H279" s="3" t="s">
        <v>282</v>
      </c>
    </row>
    <row r="280" customFormat="false" ht="15" hidden="false" customHeight="false" outlineLevel="0" collapsed="false">
      <c r="A280" s="3" t="s">
        <v>257</v>
      </c>
      <c r="B280" s="3" t="n">
        <v>26</v>
      </c>
      <c r="C280" s="3" t="s">
        <v>122</v>
      </c>
      <c r="D280" s="3" t="n">
        <v>29</v>
      </c>
      <c r="E280" s="3" t="s">
        <v>126</v>
      </c>
      <c r="F280" s="3" t="s">
        <v>124</v>
      </c>
      <c r="G280" s="3" t="s">
        <v>124</v>
      </c>
      <c r="H280" s="3" t="s">
        <v>282</v>
      </c>
    </row>
    <row r="281" customFormat="false" ht="15" hidden="false" customHeight="false" outlineLevel="0" collapsed="false">
      <c r="A281" s="3" t="s">
        <v>257</v>
      </c>
      <c r="B281" s="3" t="n">
        <v>27</v>
      </c>
      <c r="C281" s="3" t="s">
        <v>122</v>
      </c>
      <c r="D281" s="3" t="n">
        <v>40</v>
      </c>
      <c r="E281" s="3" t="s">
        <v>123</v>
      </c>
      <c r="F281" s="3" t="s">
        <v>124</v>
      </c>
      <c r="G281" s="3" t="s">
        <v>124</v>
      </c>
      <c r="H281" s="3" t="s">
        <v>283</v>
      </c>
    </row>
    <row r="282" customFormat="false" ht="15" hidden="false" customHeight="false" outlineLevel="0" collapsed="false">
      <c r="A282" s="3" t="s">
        <v>257</v>
      </c>
      <c r="B282" s="3" t="n">
        <v>27</v>
      </c>
      <c r="C282" s="3" t="s">
        <v>122</v>
      </c>
      <c r="D282" s="3" t="n">
        <v>38</v>
      </c>
      <c r="E282" s="3" t="s">
        <v>126</v>
      </c>
      <c r="F282" s="3" t="s">
        <v>124</v>
      </c>
      <c r="G282" s="3" t="s">
        <v>124</v>
      </c>
      <c r="H282" s="3" t="s">
        <v>283</v>
      </c>
    </row>
    <row r="283" customFormat="false" ht="15" hidden="false" customHeight="false" outlineLevel="0" collapsed="false">
      <c r="A283" s="3" t="s">
        <v>257</v>
      </c>
      <c r="B283" s="3" t="n">
        <v>28</v>
      </c>
      <c r="C283" s="3" t="s">
        <v>122</v>
      </c>
      <c r="D283" s="3" t="n">
        <v>20</v>
      </c>
      <c r="E283" s="3" t="s">
        <v>123</v>
      </c>
      <c r="F283" s="3" t="s">
        <v>124</v>
      </c>
      <c r="G283" s="3" t="s">
        <v>124</v>
      </c>
      <c r="H283" s="3" t="s">
        <v>284</v>
      </c>
    </row>
    <row r="284" customFormat="false" ht="15" hidden="false" customHeight="false" outlineLevel="0" collapsed="false">
      <c r="A284" s="3" t="s">
        <v>257</v>
      </c>
      <c r="B284" s="3" t="n">
        <v>28</v>
      </c>
      <c r="C284" s="3" t="s">
        <v>122</v>
      </c>
      <c r="D284" s="3" t="n">
        <v>6</v>
      </c>
      <c r="E284" s="3" t="s">
        <v>126</v>
      </c>
      <c r="F284" s="3" t="s">
        <v>124</v>
      </c>
      <c r="G284" s="3" t="s">
        <v>124</v>
      </c>
      <c r="H284" s="3" t="s">
        <v>284</v>
      </c>
    </row>
    <row r="285" customFormat="false" ht="15" hidden="false" customHeight="false" outlineLevel="0" collapsed="false">
      <c r="A285" s="3" t="s">
        <v>257</v>
      </c>
      <c r="B285" s="3" t="n">
        <v>29</v>
      </c>
      <c r="C285" s="3" t="s">
        <v>122</v>
      </c>
      <c r="D285" s="3" t="n">
        <v>21</v>
      </c>
      <c r="E285" s="3" t="s">
        <v>123</v>
      </c>
      <c r="F285" s="3" t="s">
        <v>124</v>
      </c>
      <c r="G285" s="3" t="s">
        <v>124</v>
      </c>
      <c r="H285" s="3" t="s">
        <v>285</v>
      </c>
    </row>
    <row r="286" customFormat="false" ht="15" hidden="false" customHeight="false" outlineLevel="0" collapsed="false">
      <c r="A286" s="3" t="s">
        <v>257</v>
      </c>
      <c r="B286" s="3" t="n">
        <v>29</v>
      </c>
      <c r="C286" s="3" t="s">
        <v>122</v>
      </c>
      <c r="D286" s="3" t="n">
        <v>31</v>
      </c>
      <c r="E286" s="3" t="s">
        <v>126</v>
      </c>
      <c r="F286" s="3" t="s">
        <v>124</v>
      </c>
      <c r="G286" s="3" t="s">
        <v>124</v>
      </c>
      <c r="H286" s="3" t="s">
        <v>285</v>
      </c>
    </row>
    <row r="287" customFormat="false" ht="15" hidden="false" customHeight="false" outlineLevel="0" collapsed="false">
      <c r="A287" s="3" t="s">
        <v>257</v>
      </c>
      <c r="B287" s="3" t="n">
        <v>30</v>
      </c>
      <c r="C287" s="3" t="s">
        <v>122</v>
      </c>
      <c r="D287" s="3" t="n">
        <v>21</v>
      </c>
      <c r="E287" s="3" t="s">
        <v>123</v>
      </c>
      <c r="F287" s="3" t="s">
        <v>124</v>
      </c>
      <c r="G287" s="3" t="s">
        <v>124</v>
      </c>
      <c r="H287" s="3" t="s">
        <v>286</v>
      </c>
    </row>
    <row r="288" customFormat="false" ht="15" hidden="false" customHeight="false" outlineLevel="0" collapsed="false">
      <c r="A288" s="3" t="s">
        <v>257</v>
      </c>
      <c r="B288" s="3" t="n">
        <v>30</v>
      </c>
      <c r="C288" s="3" t="s">
        <v>122</v>
      </c>
      <c r="D288" s="3" t="n">
        <v>40</v>
      </c>
      <c r="E288" s="3" t="s">
        <v>126</v>
      </c>
      <c r="F288" s="3" t="s">
        <v>124</v>
      </c>
      <c r="G288" s="3" t="s">
        <v>124</v>
      </c>
      <c r="H288" s="3" t="s">
        <v>286</v>
      </c>
    </row>
    <row r="289" customFormat="false" ht="15" hidden="false" customHeight="false" outlineLevel="0" collapsed="false">
      <c r="A289" s="3" t="s">
        <v>257</v>
      </c>
      <c r="B289" s="3" t="n">
        <v>31</v>
      </c>
      <c r="C289" s="3" t="s">
        <v>122</v>
      </c>
      <c r="D289" s="3" t="n">
        <v>68</v>
      </c>
      <c r="E289" s="3" t="s">
        <v>123</v>
      </c>
      <c r="F289" s="3" t="s">
        <v>124</v>
      </c>
      <c r="G289" s="3" t="s">
        <v>124</v>
      </c>
      <c r="H289" s="3" t="s">
        <v>287</v>
      </c>
    </row>
    <row r="290" customFormat="false" ht="15" hidden="false" customHeight="false" outlineLevel="0" collapsed="false">
      <c r="A290" s="3" t="s">
        <v>257</v>
      </c>
      <c r="B290" s="3" t="n">
        <v>31</v>
      </c>
      <c r="C290" s="3" t="s">
        <v>122</v>
      </c>
      <c r="D290" s="3" t="n">
        <v>17</v>
      </c>
      <c r="E290" s="3" t="s">
        <v>126</v>
      </c>
      <c r="F290" s="3" t="s">
        <v>124</v>
      </c>
      <c r="G290" s="3" t="s">
        <v>124</v>
      </c>
      <c r="H290" s="3" t="s">
        <v>287</v>
      </c>
    </row>
    <row r="291" customFormat="false" ht="15" hidden="false" customHeight="false" outlineLevel="0" collapsed="false">
      <c r="A291" s="3" t="s">
        <v>288</v>
      </c>
      <c r="B291" s="3" t="n">
        <v>1</v>
      </c>
      <c r="C291" s="3" t="s">
        <v>289</v>
      </c>
      <c r="D291" s="3" t="n">
        <v>5</v>
      </c>
      <c r="E291" s="3" t="s">
        <v>123</v>
      </c>
      <c r="F291" s="3" t="s">
        <v>124</v>
      </c>
      <c r="G291" s="3" t="s">
        <v>124</v>
      </c>
      <c r="H291" s="3" t="s">
        <v>290</v>
      </c>
    </row>
    <row r="292" customFormat="false" ht="15" hidden="false" customHeight="false" outlineLevel="0" collapsed="false">
      <c r="A292" s="3" t="s">
        <v>288</v>
      </c>
      <c r="B292" s="3" t="n">
        <v>2</v>
      </c>
      <c r="C292" s="3" t="s">
        <v>289</v>
      </c>
      <c r="D292" s="3" t="n">
        <v>8</v>
      </c>
      <c r="E292" s="3" t="s">
        <v>123</v>
      </c>
      <c r="F292" s="3" t="s">
        <v>124</v>
      </c>
      <c r="G292" s="3" t="s">
        <v>124</v>
      </c>
      <c r="H292" s="3" t="s">
        <v>291</v>
      </c>
    </row>
    <row r="293" customFormat="false" ht="15" hidden="false" customHeight="false" outlineLevel="0" collapsed="false">
      <c r="A293" s="3" t="s">
        <v>288</v>
      </c>
      <c r="B293" s="3" t="n">
        <v>3</v>
      </c>
      <c r="C293" s="3" t="s">
        <v>289</v>
      </c>
      <c r="D293" s="3" t="n">
        <v>16</v>
      </c>
      <c r="E293" s="3" t="s">
        <v>123</v>
      </c>
      <c r="F293" s="3" t="s">
        <v>124</v>
      </c>
      <c r="G293" s="3" t="s">
        <v>124</v>
      </c>
      <c r="H293" s="3" t="s">
        <v>292</v>
      </c>
    </row>
    <row r="294" customFormat="false" ht="15" hidden="false" customHeight="false" outlineLevel="0" collapsed="false">
      <c r="A294" s="3" t="s">
        <v>288</v>
      </c>
      <c r="B294" s="3" t="n">
        <v>4</v>
      </c>
      <c r="C294" s="3" t="s">
        <v>289</v>
      </c>
      <c r="D294" s="3" t="n">
        <v>17</v>
      </c>
      <c r="E294" s="3" t="s">
        <v>123</v>
      </c>
      <c r="F294" s="3" t="s">
        <v>124</v>
      </c>
      <c r="G294" s="3" t="s">
        <v>124</v>
      </c>
      <c r="H294" s="3" t="s">
        <v>293</v>
      </c>
    </row>
    <row r="295" customFormat="false" ht="15" hidden="false" customHeight="false" outlineLevel="0" collapsed="false">
      <c r="A295" s="3" t="s">
        <v>288</v>
      </c>
      <c r="B295" s="3" t="n">
        <v>5</v>
      </c>
      <c r="C295" s="3" t="s">
        <v>289</v>
      </c>
      <c r="D295" s="3" t="n">
        <v>5</v>
      </c>
      <c r="E295" s="3" t="s">
        <v>123</v>
      </c>
      <c r="F295" s="3" t="s">
        <v>124</v>
      </c>
      <c r="G295" s="3" t="s">
        <v>124</v>
      </c>
      <c r="H295" s="3" t="s">
        <v>294</v>
      </c>
    </row>
    <row r="296" customFormat="false" ht="15" hidden="false" customHeight="false" outlineLevel="0" collapsed="false">
      <c r="A296" s="3" t="s">
        <v>288</v>
      </c>
      <c r="B296" s="3" t="n">
        <v>6</v>
      </c>
      <c r="C296" s="3" t="s">
        <v>289</v>
      </c>
      <c r="D296" s="3" t="n">
        <v>21</v>
      </c>
      <c r="E296" s="3" t="s">
        <v>123</v>
      </c>
      <c r="F296" s="3" t="s">
        <v>124</v>
      </c>
      <c r="G296" s="3" t="s">
        <v>124</v>
      </c>
      <c r="H296" s="3" t="s">
        <v>295</v>
      </c>
    </row>
    <row r="297" customFormat="false" ht="15" hidden="false" customHeight="false" outlineLevel="0" collapsed="false">
      <c r="A297" s="3" t="s">
        <v>288</v>
      </c>
      <c r="B297" s="3" t="n">
        <v>7</v>
      </c>
      <c r="C297" s="3" t="s">
        <v>289</v>
      </c>
      <c r="D297" s="3" t="n">
        <v>8</v>
      </c>
      <c r="E297" s="3" t="s">
        <v>123</v>
      </c>
      <c r="F297" s="3" t="s">
        <v>124</v>
      </c>
      <c r="G297" s="3" t="s">
        <v>124</v>
      </c>
      <c r="H297" s="3" t="s">
        <v>296</v>
      </c>
    </row>
    <row r="298" customFormat="false" ht="15" hidden="false" customHeight="false" outlineLevel="0" collapsed="false">
      <c r="A298" s="3" t="s">
        <v>288</v>
      </c>
      <c r="B298" s="3" t="n">
        <v>7</v>
      </c>
      <c r="C298" s="3" t="s">
        <v>289</v>
      </c>
      <c r="D298" s="3" t="n">
        <v>5</v>
      </c>
      <c r="E298" s="3" t="s">
        <v>126</v>
      </c>
      <c r="F298" s="3" t="s">
        <v>124</v>
      </c>
      <c r="G298" s="3" t="s">
        <v>124</v>
      </c>
      <c r="H298" s="3" t="s">
        <v>296</v>
      </c>
    </row>
    <row r="299" customFormat="false" ht="15" hidden="false" customHeight="false" outlineLevel="0" collapsed="false">
      <c r="A299" s="3" t="s">
        <v>288</v>
      </c>
      <c r="B299" s="3" t="n">
        <v>8</v>
      </c>
      <c r="C299" s="3" t="s">
        <v>289</v>
      </c>
      <c r="D299" s="3" t="n">
        <v>5</v>
      </c>
      <c r="E299" s="3" t="s">
        <v>123</v>
      </c>
      <c r="F299" s="3" t="s">
        <v>124</v>
      </c>
      <c r="G299" s="3" t="s">
        <v>124</v>
      </c>
      <c r="H299" s="3" t="s">
        <v>297</v>
      </c>
    </row>
    <row r="300" customFormat="false" ht="15" hidden="false" customHeight="false" outlineLevel="0" collapsed="false">
      <c r="A300" s="3" t="s">
        <v>288</v>
      </c>
      <c r="B300" s="3" t="n">
        <v>9</v>
      </c>
      <c r="C300" s="3" t="s">
        <v>289</v>
      </c>
      <c r="D300" s="3" t="n">
        <v>5</v>
      </c>
      <c r="E300" s="3" t="s">
        <v>123</v>
      </c>
      <c r="F300" s="3" t="s">
        <v>124</v>
      </c>
      <c r="G300" s="3" t="s">
        <v>124</v>
      </c>
      <c r="H300" s="3" t="s">
        <v>298</v>
      </c>
    </row>
    <row r="301" customFormat="false" ht="15" hidden="false" customHeight="false" outlineLevel="0" collapsed="false">
      <c r="A301" s="3" t="s">
        <v>288</v>
      </c>
      <c r="B301" s="3" t="n">
        <v>10</v>
      </c>
      <c r="C301" s="3" t="s">
        <v>289</v>
      </c>
      <c r="D301" s="3" t="n">
        <v>5</v>
      </c>
      <c r="E301" s="3" t="s">
        <v>123</v>
      </c>
      <c r="F301" s="3" t="s">
        <v>124</v>
      </c>
      <c r="G301" s="3" t="s">
        <v>124</v>
      </c>
      <c r="H301" s="3" t="s">
        <v>299</v>
      </c>
    </row>
    <row r="302" customFormat="false" ht="15" hidden="false" customHeight="false" outlineLevel="0" collapsed="false">
      <c r="A302" s="3" t="s">
        <v>288</v>
      </c>
      <c r="B302" s="3" t="n">
        <v>11</v>
      </c>
      <c r="C302" s="3" t="s">
        <v>289</v>
      </c>
      <c r="D302" s="3" t="n">
        <v>5</v>
      </c>
      <c r="E302" s="3" t="s">
        <v>123</v>
      </c>
      <c r="F302" s="3" t="s">
        <v>124</v>
      </c>
      <c r="G302" s="3" t="s">
        <v>124</v>
      </c>
      <c r="H302" s="3" t="s">
        <v>300</v>
      </c>
    </row>
    <row r="303" customFormat="false" ht="15" hidden="false" customHeight="false" outlineLevel="0" collapsed="false">
      <c r="A303" s="3" t="s">
        <v>288</v>
      </c>
      <c r="B303" s="3" t="n">
        <v>11</v>
      </c>
      <c r="C303" s="3" t="s">
        <v>289</v>
      </c>
      <c r="D303" s="3" t="n">
        <v>16</v>
      </c>
      <c r="E303" s="3" t="s">
        <v>126</v>
      </c>
      <c r="F303" s="3" t="s">
        <v>124</v>
      </c>
      <c r="G303" s="3" t="s">
        <v>124</v>
      </c>
      <c r="H303" s="3" t="s">
        <v>300</v>
      </c>
    </row>
    <row r="304" customFormat="false" ht="15" hidden="false" customHeight="false" outlineLevel="0" collapsed="false">
      <c r="A304" s="3" t="s">
        <v>288</v>
      </c>
      <c r="B304" s="3" t="n">
        <v>12</v>
      </c>
      <c r="C304" s="3" t="s">
        <v>289</v>
      </c>
      <c r="D304" s="3" t="n">
        <v>16</v>
      </c>
      <c r="E304" s="3" t="s">
        <v>123</v>
      </c>
      <c r="F304" s="3" t="s">
        <v>124</v>
      </c>
      <c r="G304" s="3" t="s">
        <v>124</v>
      </c>
      <c r="H304" s="3" t="s">
        <v>301</v>
      </c>
    </row>
    <row r="305" customFormat="false" ht="15" hidden="false" customHeight="false" outlineLevel="0" collapsed="false">
      <c r="A305" s="3" t="s">
        <v>288</v>
      </c>
      <c r="B305" s="3" t="n">
        <v>13</v>
      </c>
      <c r="C305" s="3" t="s">
        <v>289</v>
      </c>
      <c r="D305" s="3" t="n">
        <v>5</v>
      </c>
      <c r="E305" s="3" t="s">
        <v>123</v>
      </c>
      <c r="F305" s="3" t="s">
        <v>124</v>
      </c>
      <c r="G305" s="3" t="s">
        <v>124</v>
      </c>
      <c r="H305" s="3" t="s">
        <v>302</v>
      </c>
    </row>
    <row r="306" customFormat="false" ht="15" hidden="false" customHeight="false" outlineLevel="0" collapsed="false">
      <c r="A306" s="3" t="s">
        <v>288</v>
      </c>
      <c r="B306" s="3" t="n">
        <v>14</v>
      </c>
      <c r="C306" s="3" t="s">
        <v>289</v>
      </c>
      <c r="D306" s="3" t="n">
        <v>5</v>
      </c>
      <c r="E306" s="3" t="s">
        <v>123</v>
      </c>
      <c r="F306" s="3" t="s">
        <v>124</v>
      </c>
      <c r="G306" s="3" t="s">
        <v>124</v>
      </c>
      <c r="H306" s="3" t="s">
        <v>303</v>
      </c>
    </row>
    <row r="307" customFormat="false" ht="15" hidden="false" customHeight="false" outlineLevel="0" collapsed="false">
      <c r="A307" s="3" t="s">
        <v>288</v>
      </c>
      <c r="B307" s="3" t="n">
        <v>15</v>
      </c>
      <c r="C307" s="3" t="s">
        <v>289</v>
      </c>
      <c r="D307" s="3" t="n">
        <v>8</v>
      </c>
      <c r="E307" s="3" t="s">
        <v>123</v>
      </c>
      <c r="F307" s="3" t="s">
        <v>124</v>
      </c>
      <c r="G307" s="3" t="s">
        <v>124</v>
      </c>
      <c r="H307" s="3" t="s">
        <v>304</v>
      </c>
    </row>
    <row r="308" customFormat="false" ht="15" hidden="false" customHeight="false" outlineLevel="0" collapsed="false">
      <c r="A308" s="3" t="s">
        <v>288</v>
      </c>
      <c r="B308" s="3" t="n">
        <v>16</v>
      </c>
      <c r="C308" s="3" t="s">
        <v>289</v>
      </c>
      <c r="D308" s="3" t="n">
        <v>5</v>
      </c>
      <c r="E308" s="3" t="s">
        <v>123</v>
      </c>
      <c r="F308" s="3" t="s">
        <v>124</v>
      </c>
      <c r="G308" s="3" t="s">
        <v>124</v>
      </c>
      <c r="H308" s="3" t="s">
        <v>305</v>
      </c>
    </row>
    <row r="309" customFormat="false" ht="15" hidden="false" customHeight="false" outlineLevel="0" collapsed="false">
      <c r="A309" s="3" t="s">
        <v>288</v>
      </c>
      <c r="B309" s="3" t="n">
        <v>17</v>
      </c>
      <c r="C309" s="3" t="s">
        <v>289</v>
      </c>
      <c r="D309" s="3" t="n">
        <v>10</v>
      </c>
      <c r="E309" s="3" t="s">
        <v>123</v>
      </c>
      <c r="F309" s="3" t="s">
        <v>124</v>
      </c>
      <c r="G309" s="3" t="s">
        <v>124</v>
      </c>
      <c r="H309" s="3" t="s">
        <v>306</v>
      </c>
    </row>
    <row r="310" customFormat="false" ht="15" hidden="false" customHeight="false" outlineLevel="0" collapsed="false">
      <c r="A310" s="3" t="s">
        <v>288</v>
      </c>
      <c r="B310" s="3" t="n">
        <v>18</v>
      </c>
      <c r="C310" s="3" t="s">
        <v>289</v>
      </c>
      <c r="D310" s="3" t="n">
        <v>20</v>
      </c>
      <c r="E310" s="3" t="s">
        <v>123</v>
      </c>
      <c r="F310" s="3" t="s">
        <v>124</v>
      </c>
      <c r="G310" s="3" t="s">
        <v>124</v>
      </c>
      <c r="H310" s="3" t="s">
        <v>307</v>
      </c>
    </row>
    <row r="311" customFormat="false" ht="15" hidden="false" customHeight="false" outlineLevel="0" collapsed="false">
      <c r="A311" s="3" t="s">
        <v>288</v>
      </c>
      <c r="B311" s="3" t="n">
        <v>19</v>
      </c>
      <c r="C311" s="3" t="s">
        <v>289</v>
      </c>
      <c r="D311" s="3" t="n">
        <v>7</v>
      </c>
      <c r="E311" s="3" t="s">
        <v>123</v>
      </c>
      <c r="F311" s="3" t="s">
        <v>124</v>
      </c>
      <c r="G311" s="3" t="s">
        <v>124</v>
      </c>
      <c r="H311" s="3" t="s">
        <v>308</v>
      </c>
    </row>
    <row r="312" customFormat="false" ht="15" hidden="false" customHeight="false" outlineLevel="0" collapsed="false">
      <c r="A312" s="3" t="s">
        <v>288</v>
      </c>
      <c r="B312" s="3" t="n">
        <v>20</v>
      </c>
      <c r="C312" s="3" t="s">
        <v>289</v>
      </c>
      <c r="D312" s="3" t="n">
        <v>21</v>
      </c>
      <c r="E312" s="3" t="s">
        <v>123</v>
      </c>
      <c r="F312" s="3" t="s">
        <v>124</v>
      </c>
      <c r="G312" s="3" t="s">
        <v>124</v>
      </c>
      <c r="H312" s="3" t="s">
        <v>309</v>
      </c>
    </row>
    <row r="313" customFormat="false" ht="15" hidden="false" customHeight="false" outlineLevel="0" collapsed="false">
      <c r="A313" s="3" t="s">
        <v>288</v>
      </c>
      <c r="B313" s="3" t="n">
        <v>21</v>
      </c>
      <c r="C313" s="3" t="s">
        <v>289</v>
      </c>
      <c r="D313" s="3" t="n">
        <v>29</v>
      </c>
      <c r="E313" s="3" t="s">
        <v>123</v>
      </c>
      <c r="F313" s="3" t="s">
        <v>124</v>
      </c>
      <c r="G313" s="3" t="s">
        <v>124</v>
      </c>
      <c r="H313" s="3" t="s">
        <v>310</v>
      </c>
    </row>
    <row r="314" customFormat="false" ht="15" hidden="false" customHeight="false" outlineLevel="0" collapsed="false">
      <c r="A314" s="3" t="s">
        <v>288</v>
      </c>
      <c r="B314" s="3" t="n">
        <v>21</v>
      </c>
      <c r="C314" s="3" t="s">
        <v>289</v>
      </c>
      <c r="D314" s="3" t="n">
        <v>6</v>
      </c>
      <c r="E314" s="3" t="s">
        <v>126</v>
      </c>
      <c r="F314" s="3" t="s">
        <v>124</v>
      </c>
      <c r="G314" s="3" t="s">
        <v>124</v>
      </c>
      <c r="H314" s="3" t="s">
        <v>310</v>
      </c>
    </row>
    <row r="315" customFormat="false" ht="15" hidden="false" customHeight="false" outlineLevel="0" collapsed="false">
      <c r="A315" s="3" t="s">
        <v>288</v>
      </c>
      <c r="B315" s="3" t="n">
        <v>22</v>
      </c>
      <c r="C315" s="3" t="s">
        <v>289</v>
      </c>
      <c r="D315" s="3" t="n">
        <v>6</v>
      </c>
      <c r="E315" s="3" t="s">
        <v>123</v>
      </c>
      <c r="F315" s="3" t="s">
        <v>124</v>
      </c>
      <c r="G315" s="3" t="s">
        <v>124</v>
      </c>
      <c r="H315" s="3" t="s">
        <v>311</v>
      </c>
    </row>
    <row r="316" customFormat="false" ht="15" hidden="false" customHeight="false" outlineLevel="0" collapsed="false">
      <c r="A316" s="3" t="s">
        <v>288</v>
      </c>
      <c r="B316" s="3" t="n">
        <v>23</v>
      </c>
      <c r="C316" s="3" t="s">
        <v>289</v>
      </c>
      <c r="D316" s="3" t="n">
        <v>10</v>
      </c>
      <c r="E316" s="3" t="s">
        <v>123</v>
      </c>
      <c r="F316" s="3" t="s">
        <v>124</v>
      </c>
      <c r="G316" s="3" t="s">
        <v>124</v>
      </c>
      <c r="H316" s="3" t="s">
        <v>312</v>
      </c>
    </row>
    <row r="317" customFormat="false" ht="15" hidden="false" customHeight="false" outlineLevel="0" collapsed="false">
      <c r="A317" s="3" t="s">
        <v>288</v>
      </c>
      <c r="B317" s="3" t="n">
        <v>23</v>
      </c>
      <c r="C317" s="3" t="s">
        <v>289</v>
      </c>
      <c r="D317" s="3" t="n">
        <v>78</v>
      </c>
      <c r="E317" s="3" t="s">
        <v>126</v>
      </c>
      <c r="F317" s="3" t="s">
        <v>124</v>
      </c>
      <c r="G317" s="3" t="s">
        <v>124</v>
      </c>
      <c r="H317" s="3" t="s">
        <v>312</v>
      </c>
    </row>
    <row r="318" customFormat="false" ht="15" hidden="false" customHeight="false" outlineLevel="0" collapsed="false">
      <c r="A318" s="3" t="s">
        <v>288</v>
      </c>
      <c r="B318" s="3" t="n">
        <v>24</v>
      </c>
      <c r="C318" s="3" t="s">
        <v>289</v>
      </c>
      <c r="D318" s="3" t="n">
        <v>14</v>
      </c>
      <c r="E318" s="3" t="s">
        <v>123</v>
      </c>
      <c r="F318" s="3" t="s">
        <v>124</v>
      </c>
      <c r="G318" s="3" t="s">
        <v>124</v>
      </c>
      <c r="H318" s="3" t="s">
        <v>313</v>
      </c>
    </row>
    <row r="319" customFormat="false" ht="15" hidden="false" customHeight="false" outlineLevel="0" collapsed="false">
      <c r="A319" s="3" t="s">
        <v>314</v>
      </c>
      <c r="B319" s="3" t="n">
        <v>1</v>
      </c>
      <c r="C319" s="3" t="s">
        <v>289</v>
      </c>
      <c r="D319" s="3" t="n">
        <v>21</v>
      </c>
      <c r="E319" s="3" t="s">
        <v>123</v>
      </c>
      <c r="F319" s="3" t="s">
        <v>124</v>
      </c>
      <c r="G319" s="3" t="s">
        <v>124</v>
      </c>
      <c r="H319" s="3" t="s">
        <v>315</v>
      </c>
    </row>
    <row r="320" customFormat="false" ht="15" hidden="false" customHeight="false" outlineLevel="0" collapsed="false">
      <c r="A320" s="3" t="s">
        <v>314</v>
      </c>
      <c r="B320" s="3" t="n">
        <v>2</v>
      </c>
      <c r="C320" s="3" t="s">
        <v>289</v>
      </c>
      <c r="D320" s="3" t="n">
        <v>24</v>
      </c>
      <c r="E320" s="3" t="s">
        <v>123</v>
      </c>
      <c r="F320" s="3" t="s">
        <v>124</v>
      </c>
      <c r="G320" s="3" t="s">
        <v>124</v>
      </c>
      <c r="H320" s="3" t="s">
        <v>316</v>
      </c>
    </row>
    <row r="321" customFormat="false" ht="15" hidden="false" customHeight="false" outlineLevel="0" collapsed="false">
      <c r="A321" s="3" t="s">
        <v>314</v>
      </c>
      <c r="B321" s="3" t="n">
        <v>2</v>
      </c>
      <c r="C321" s="3" t="s">
        <v>289</v>
      </c>
      <c r="D321" s="3" t="n">
        <v>25</v>
      </c>
      <c r="E321" s="3" t="s">
        <v>126</v>
      </c>
      <c r="F321" s="3" t="s">
        <v>124</v>
      </c>
      <c r="G321" s="3" t="s">
        <v>124</v>
      </c>
      <c r="H321" s="3" t="s">
        <v>316</v>
      </c>
    </row>
    <row r="322" customFormat="false" ht="15" hidden="false" customHeight="false" outlineLevel="0" collapsed="false">
      <c r="A322" s="3" t="s">
        <v>314</v>
      </c>
      <c r="B322" s="3" t="n">
        <v>3</v>
      </c>
      <c r="C322" s="3" t="s">
        <v>289</v>
      </c>
      <c r="D322" s="3" t="n">
        <v>34</v>
      </c>
      <c r="E322" s="3" t="s">
        <v>123</v>
      </c>
      <c r="F322" s="3" t="s">
        <v>124</v>
      </c>
      <c r="G322" s="3" t="s">
        <v>124</v>
      </c>
      <c r="H322" s="3" t="s">
        <v>317</v>
      </c>
    </row>
    <row r="323" customFormat="false" ht="15" hidden="false" customHeight="false" outlineLevel="0" collapsed="false">
      <c r="A323" s="3" t="s">
        <v>314</v>
      </c>
      <c r="B323" s="3" t="n">
        <v>3</v>
      </c>
      <c r="C323" s="3" t="s">
        <v>289</v>
      </c>
      <c r="D323" s="3" t="n">
        <v>40</v>
      </c>
      <c r="E323" s="3" t="s">
        <v>126</v>
      </c>
      <c r="F323" s="3" t="s">
        <v>124</v>
      </c>
      <c r="G323" s="3" t="s">
        <v>124</v>
      </c>
      <c r="H323" s="3" t="s">
        <v>317</v>
      </c>
    </row>
    <row r="324" customFormat="false" ht="15" hidden="false" customHeight="false" outlineLevel="0" collapsed="false">
      <c r="A324" s="3" t="s">
        <v>314</v>
      </c>
      <c r="B324" s="3" t="n">
        <v>4</v>
      </c>
      <c r="C324" s="3" t="s">
        <v>289</v>
      </c>
      <c r="D324" s="3" t="n">
        <v>4</v>
      </c>
      <c r="E324" s="3" t="s">
        <v>123</v>
      </c>
      <c r="F324" s="3" t="s">
        <v>124</v>
      </c>
      <c r="G324" s="3" t="s">
        <v>124</v>
      </c>
      <c r="H324" s="3" t="s">
        <v>318</v>
      </c>
    </row>
    <row r="325" customFormat="false" ht="15" hidden="false" customHeight="false" outlineLevel="0" collapsed="false">
      <c r="A325" s="3" t="s">
        <v>314</v>
      </c>
      <c r="B325" s="3" t="n">
        <v>4</v>
      </c>
      <c r="C325" s="3" t="s">
        <v>289</v>
      </c>
      <c r="D325" s="3" t="n">
        <v>31</v>
      </c>
      <c r="E325" s="3" t="s">
        <v>126</v>
      </c>
      <c r="F325" s="3" t="s">
        <v>124</v>
      </c>
      <c r="G325" s="3" t="s">
        <v>124</v>
      </c>
      <c r="H325" s="3" t="s">
        <v>318</v>
      </c>
    </row>
    <row r="326" customFormat="false" ht="15" hidden="false" customHeight="false" outlineLevel="0" collapsed="false">
      <c r="A326" s="3" t="s">
        <v>314</v>
      </c>
      <c r="B326" s="3" t="n">
        <v>5</v>
      </c>
      <c r="C326" s="3" t="s">
        <v>289</v>
      </c>
      <c r="D326" s="3" t="n">
        <v>10</v>
      </c>
      <c r="E326" s="3" t="s">
        <v>123</v>
      </c>
      <c r="F326" s="3" t="s">
        <v>124</v>
      </c>
      <c r="G326" s="3" t="s">
        <v>124</v>
      </c>
      <c r="H326" s="3" t="s">
        <v>319</v>
      </c>
    </row>
    <row r="327" customFormat="false" ht="15" hidden="false" customHeight="false" outlineLevel="0" collapsed="false">
      <c r="A327" s="3" t="s">
        <v>314</v>
      </c>
      <c r="B327" s="3" t="n">
        <v>6</v>
      </c>
      <c r="C327" s="3" t="s">
        <v>289</v>
      </c>
      <c r="D327" s="3" t="n">
        <v>29</v>
      </c>
      <c r="E327" s="3" t="s">
        <v>123</v>
      </c>
      <c r="F327" s="3" t="s">
        <v>124</v>
      </c>
      <c r="G327" s="3" t="s">
        <v>124</v>
      </c>
      <c r="H327" s="3" t="s">
        <v>320</v>
      </c>
    </row>
    <row r="328" customFormat="false" ht="15" hidden="false" customHeight="false" outlineLevel="0" collapsed="false">
      <c r="A328" s="3" t="s">
        <v>314</v>
      </c>
      <c r="B328" s="3" t="n">
        <v>6</v>
      </c>
      <c r="C328" s="3" t="s">
        <v>289</v>
      </c>
      <c r="D328" s="3" t="n">
        <v>6</v>
      </c>
      <c r="E328" s="3" t="s">
        <v>126</v>
      </c>
      <c r="F328" s="3" t="s">
        <v>124</v>
      </c>
      <c r="G328" s="3" t="s">
        <v>124</v>
      </c>
      <c r="H328" s="3" t="s">
        <v>320</v>
      </c>
    </row>
    <row r="329" customFormat="false" ht="15" hidden="false" customHeight="false" outlineLevel="0" collapsed="false">
      <c r="A329" s="3" t="s">
        <v>314</v>
      </c>
      <c r="B329" s="3" t="n">
        <v>7</v>
      </c>
      <c r="C329" s="3" t="s">
        <v>289</v>
      </c>
      <c r="D329" s="3" t="n">
        <v>1</v>
      </c>
      <c r="E329" s="3" t="s">
        <v>123</v>
      </c>
      <c r="F329" s="3" t="s">
        <v>124</v>
      </c>
      <c r="G329" s="3" t="s">
        <v>124</v>
      </c>
      <c r="H329" s="3" t="s">
        <v>321</v>
      </c>
    </row>
    <row r="330" customFormat="false" ht="15" hidden="false" customHeight="false" outlineLevel="0" collapsed="false">
      <c r="A330" s="3" t="s">
        <v>314</v>
      </c>
      <c r="B330" s="3" t="n">
        <v>7</v>
      </c>
      <c r="C330" s="3" t="s">
        <v>289</v>
      </c>
      <c r="D330" s="3" t="n">
        <v>7</v>
      </c>
      <c r="E330" s="3" t="s">
        <v>126</v>
      </c>
      <c r="F330" s="3" t="s">
        <v>124</v>
      </c>
      <c r="G330" s="3" t="s">
        <v>124</v>
      </c>
      <c r="H330" s="3" t="s">
        <v>321</v>
      </c>
    </row>
    <row r="331" customFormat="false" ht="15" hidden="false" customHeight="false" outlineLevel="0" collapsed="false">
      <c r="A331" s="3" t="s">
        <v>314</v>
      </c>
      <c r="B331" s="3" t="n">
        <v>8</v>
      </c>
      <c r="C331" s="3" t="s">
        <v>289</v>
      </c>
      <c r="D331" s="3" t="n">
        <v>3</v>
      </c>
      <c r="E331" s="3" t="s">
        <v>123</v>
      </c>
      <c r="F331" s="3" t="s">
        <v>124</v>
      </c>
      <c r="G331" s="3" t="s">
        <v>124</v>
      </c>
      <c r="H331" s="3" t="s">
        <v>322</v>
      </c>
    </row>
    <row r="332" customFormat="false" ht="15" hidden="false" customHeight="false" outlineLevel="0" collapsed="false">
      <c r="A332" s="3" t="s">
        <v>314</v>
      </c>
      <c r="B332" s="3" t="n">
        <v>8</v>
      </c>
      <c r="C332" s="3" t="s">
        <v>289</v>
      </c>
      <c r="D332" s="3" t="n">
        <v>7</v>
      </c>
      <c r="E332" s="3" t="s">
        <v>126</v>
      </c>
      <c r="F332" s="3" t="s">
        <v>124</v>
      </c>
      <c r="G332" s="3" t="s">
        <v>124</v>
      </c>
      <c r="H332" s="3" t="s">
        <v>322</v>
      </c>
    </row>
    <row r="333" customFormat="false" ht="15" hidden="false" customHeight="false" outlineLevel="0" collapsed="false">
      <c r="A333" s="3" t="s">
        <v>314</v>
      </c>
      <c r="B333" s="3" t="n">
        <v>9</v>
      </c>
      <c r="C333" s="3" t="s">
        <v>289</v>
      </c>
      <c r="D333" s="3" t="n">
        <v>75</v>
      </c>
      <c r="E333" s="3" t="s">
        <v>123</v>
      </c>
      <c r="F333" s="3" t="s">
        <v>124</v>
      </c>
      <c r="G333" s="3" t="s">
        <v>124</v>
      </c>
      <c r="H333" s="3" t="s">
        <v>323</v>
      </c>
    </row>
    <row r="334" customFormat="false" ht="15" hidden="false" customHeight="false" outlineLevel="0" collapsed="false">
      <c r="A334" s="3" t="s">
        <v>314</v>
      </c>
      <c r="B334" s="3" t="n">
        <v>10</v>
      </c>
      <c r="C334" s="3" t="s">
        <v>289</v>
      </c>
      <c r="D334" s="3" t="n">
        <v>56</v>
      </c>
      <c r="E334" s="3" t="s">
        <v>123</v>
      </c>
      <c r="F334" s="3" t="s">
        <v>124</v>
      </c>
      <c r="G334" s="3" t="s">
        <v>124</v>
      </c>
      <c r="H334" s="3" t="s">
        <v>324</v>
      </c>
    </row>
    <row r="335" customFormat="false" ht="15" hidden="false" customHeight="false" outlineLevel="0" collapsed="false">
      <c r="A335" s="3" t="s">
        <v>314</v>
      </c>
      <c r="B335" s="3" t="n">
        <v>10</v>
      </c>
      <c r="C335" s="3" t="s">
        <v>289</v>
      </c>
      <c r="D335" s="3" t="n">
        <v>40</v>
      </c>
      <c r="E335" s="3" t="s">
        <v>126</v>
      </c>
      <c r="F335" s="3" t="s">
        <v>124</v>
      </c>
      <c r="G335" s="3" t="s">
        <v>124</v>
      </c>
      <c r="H335" s="3" t="s">
        <v>324</v>
      </c>
    </row>
    <row r="336" customFormat="false" ht="15" hidden="false" customHeight="false" outlineLevel="0" collapsed="false">
      <c r="A336" s="3" t="s">
        <v>314</v>
      </c>
      <c r="B336" s="3" t="n">
        <v>11</v>
      </c>
      <c r="C336" s="3" t="s">
        <v>289</v>
      </c>
      <c r="D336" s="3" t="n">
        <v>21</v>
      </c>
      <c r="E336" s="3" t="s">
        <v>123</v>
      </c>
      <c r="F336" s="3" t="s">
        <v>124</v>
      </c>
      <c r="G336" s="3" t="s">
        <v>124</v>
      </c>
      <c r="H336" s="3" t="s">
        <v>325</v>
      </c>
    </row>
    <row r="337" customFormat="false" ht="15" hidden="false" customHeight="false" outlineLevel="0" collapsed="false">
      <c r="A337" s="3" t="s">
        <v>314</v>
      </c>
      <c r="B337" s="3" t="n">
        <v>11</v>
      </c>
      <c r="C337" s="3" t="s">
        <v>289</v>
      </c>
      <c r="D337" s="3" t="n">
        <v>8</v>
      </c>
      <c r="E337" s="3" t="s">
        <v>126</v>
      </c>
      <c r="F337" s="3" t="s">
        <v>124</v>
      </c>
      <c r="G337" s="3" t="s">
        <v>124</v>
      </c>
      <c r="H337" s="3" t="s">
        <v>325</v>
      </c>
    </row>
    <row r="338" customFormat="false" ht="15" hidden="false" customHeight="false" outlineLevel="0" collapsed="false">
      <c r="A338" s="3" t="s">
        <v>314</v>
      </c>
      <c r="B338" s="3" t="n">
        <v>12</v>
      </c>
      <c r="C338" s="3" t="s">
        <v>289</v>
      </c>
      <c r="D338" s="3" t="n">
        <v>31</v>
      </c>
      <c r="E338" s="3" t="s">
        <v>123</v>
      </c>
      <c r="F338" s="3" t="s">
        <v>124</v>
      </c>
      <c r="G338" s="3" t="s">
        <v>124</v>
      </c>
      <c r="H338" s="3" t="s">
        <v>326</v>
      </c>
    </row>
    <row r="339" customFormat="false" ht="15" hidden="false" customHeight="false" outlineLevel="0" collapsed="false">
      <c r="A339" s="3" t="s">
        <v>314</v>
      </c>
      <c r="B339" s="3" t="n">
        <v>13</v>
      </c>
      <c r="C339" s="3" t="s">
        <v>289</v>
      </c>
      <c r="D339" s="3" t="n">
        <v>21</v>
      </c>
      <c r="E339" s="3" t="s">
        <v>123</v>
      </c>
      <c r="F339" s="3" t="s">
        <v>124</v>
      </c>
      <c r="G339" s="3" t="s">
        <v>124</v>
      </c>
      <c r="H339" s="3" t="s">
        <v>327</v>
      </c>
    </row>
    <row r="340" customFormat="false" ht="15" hidden="false" customHeight="false" outlineLevel="0" collapsed="false">
      <c r="A340" s="3" t="s">
        <v>314</v>
      </c>
      <c r="B340" s="3" t="n">
        <v>13</v>
      </c>
      <c r="C340" s="3" t="s">
        <v>289</v>
      </c>
      <c r="D340" s="3" t="n">
        <v>5</v>
      </c>
      <c r="E340" s="3" t="s">
        <v>126</v>
      </c>
      <c r="F340" s="3" t="s">
        <v>124</v>
      </c>
      <c r="G340" s="3" t="s">
        <v>124</v>
      </c>
      <c r="H340" s="3" t="s">
        <v>327</v>
      </c>
    </row>
    <row r="341" customFormat="false" ht="15" hidden="false" customHeight="false" outlineLevel="0" collapsed="false">
      <c r="A341" s="3" t="s">
        <v>314</v>
      </c>
      <c r="B341" s="3" t="n">
        <v>14</v>
      </c>
      <c r="C341" s="3" t="s">
        <v>289</v>
      </c>
      <c r="D341" s="3" t="n">
        <v>21</v>
      </c>
      <c r="E341" s="3" t="s">
        <v>123</v>
      </c>
      <c r="F341" s="3" t="s">
        <v>124</v>
      </c>
      <c r="G341" s="3" t="s">
        <v>124</v>
      </c>
      <c r="H341" s="3" t="s">
        <v>328</v>
      </c>
    </row>
    <row r="342" customFormat="false" ht="15" hidden="false" customHeight="false" outlineLevel="0" collapsed="false">
      <c r="A342" s="3" t="s">
        <v>314</v>
      </c>
      <c r="B342" s="3" t="n">
        <v>15</v>
      </c>
      <c r="C342" s="3" t="s">
        <v>289</v>
      </c>
      <c r="D342" s="3" t="n">
        <v>12</v>
      </c>
      <c r="E342" s="3" t="s">
        <v>123</v>
      </c>
      <c r="F342" s="3" t="s">
        <v>124</v>
      </c>
      <c r="G342" s="3" t="s">
        <v>124</v>
      </c>
      <c r="H342" s="3" t="s">
        <v>329</v>
      </c>
    </row>
    <row r="343" customFormat="false" ht="15" hidden="false" customHeight="false" outlineLevel="0" collapsed="false">
      <c r="A343" s="3" t="s">
        <v>330</v>
      </c>
      <c r="B343" s="3" t="n">
        <v>1</v>
      </c>
      <c r="C343" s="3" t="s">
        <v>289</v>
      </c>
      <c r="D343" s="3" t="n">
        <v>21</v>
      </c>
      <c r="E343" s="3" t="s">
        <v>123</v>
      </c>
      <c r="F343" s="3" t="s">
        <v>124</v>
      </c>
      <c r="G343" s="3" t="s">
        <v>124</v>
      </c>
      <c r="H343" s="3" t="s">
        <v>331</v>
      </c>
    </row>
    <row r="344" customFormat="false" ht="15" hidden="false" customHeight="false" outlineLevel="0" collapsed="false">
      <c r="A344" s="3" t="s">
        <v>330</v>
      </c>
      <c r="B344" s="3" t="n">
        <v>2</v>
      </c>
      <c r="C344" s="3" t="s">
        <v>289</v>
      </c>
      <c r="D344" s="3" t="n">
        <v>68</v>
      </c>
      <c r="E344" s="3" t="s">
        <v>123</v>
      </c>
      <c r="F344" s="3" t="s">
        <v>124</v>
      </c>
      <c r="G344" s="3" t="s">
        <v>124</v>
      </c>
      <c r="H344" s="3" t="s">
        <v>332</v>
      </c>
    </row>
    <row r="345" customFormat="false" ht="15" hidden="false" customHeight="false" outlineLevel="0" collapsed="false">
      <c r="A345" s="3" t="s">
        <v>330</v>
      </c>
      <c r="B345" s="3" t="n">
        <v>2</v>
      </c>
      <c r="C345" s="3" t="s">
        <v>289</v>
      </c>
      <c r="D345" s="3" t="n">
        <v>15</v>
      </c>
      <c r="E345" s="3" t="s">
        <v>126</v>
      </c>
      <c r="F345" s="3" t="s">
        <v>124</v>
      </c>
      <c r="G345" s="3" t="s">
        <v>124</v>
      </c>
      <c r="H345" s="3" t="s">
        <v>332</v>
      </c>
    </row>
    <row r="346" customFormat="false" ht="15" hidden="false" customHeight="false" outlineLevel="0" collapsed="false">
      <c r="A346" s="3" t="s">
        <v>330</v>
      </c>
      <c r="B346" s="3" t="n">
        <v>3</v>
      </c>
      <c r="C346" s="3" t="s">
        <v>289</v>
      </c>
      <c r="D346" s="3" t="n">
        <v>20</v>
      </c>
      <c r="E346" s="3" t="s">
        <v>123</v>
      </c>
      <c r="F346" s="3" t="s">
        <v>124</v>
      </c>
      <c r="G346" s="3" t="s">
        <v>124</v>
      </c>
      <c r="H346" s="3" t="s">
        <v>139</v>
      </c>
    </row>
    <row r="347" customFormat="false" ht="15" hidden="false" customHeight="false" outlineLevel="0" collapsed="false">
      <c r="A347" s="3" t="s">
        <v>330</v>
      </c>
      <c r="B347" s="3" t="n">
        <v>3</v>
      </c>
      <c r="C347" s="3" t="s">
        <v>289</v>
      </c>
      <c r="D347" s="3" t="n">
        <v>19</v>
      </c>
      <c r="E347" s="3" t="s">
        <v>126</v>
      </c>
      <c r="F347" s="3" t="s">
        <v>124</v>
      </c>
      <c r="G347" s="3" t="s">
        <v>124</v>
      </c>
      <c r="H347" s="3" t="s">
        <v>139</v>
      </c>
    </row>
    <row r="348" customFormat="false" ht="15" hidden="false" customHeight="false" outlineLevel="0" collapsed="false">
      <c r="A348" s="3" t="s">
        <v>330</v>
      </c>
      <c r="B348" s="3" t="n">
        <v>4</v>
      </c>
      <c r="C348" s="3" t="s">
        <v>289</v>
      </c>
      <c r="D348" s="3" t="n">
        <v>68</v>
      </c>
      <c r="E348" s="3" t="s">
        <v>123</v>
      </c>
      <c r="F348" s="3" t="s">
        <v>124</v>
      </c>
      <c r="G348" s="3" t="s">
        <v>124</v>
      </c>
      <c r="H348" s="3" t="s">
        <v>333</v>
      </c>
    </row>
    <row r="349" customFormat="false" ht="15" hidden="false" customHeight="false" outlineLevel="0" collapsed="false">
      <c r="A349" s="3" t="s">
        <v>330</v>
      </c>
      <c r="B349" s="3" t="n">
        <v>4</v>
      </c>
      <c r="C349" s="3" t="s">
        <v>289</v>
      </c>
      <c r="D349" s="3" t="n">
        <v>67</v>
      </c>
      <c r="E349" s="3" t="s">
        <v>126</v>
      </c>
      <c r="F349" s="3" t="s">
        <v>124</v>
      </c>
      <c r="G349" s="3" t="s">
        <v>124</v>
      </c>
      <c r="H349" s="3" t="s">
        <v>333</v>
      </c>
    </row>
    <row r="350" customFormat="false" ht="15" hidden="false" customHeight="false" outlineLevel="0" collapsed="false">
      <c r="A350" s="3" t="s">
        <v>330</v>
      </c>
      <c r="B350" s="3" t="n">
        <v>4</v>
      </c>
      <c r="C350" s="3" t="s">
        <v>289</v>
      </c>
      <c r="D350" s="3" t="n">
        <v>32</v>
      </c>
      <c r="E350" s="3" t="s">
        <v>126</v>
      </c>
      <c r="F350" s="3" t="s">
        <v>124</v>
      </c>
      <c r="G350" s="3" t="s">
        <v>124</v>
      </c>
      <c r="H350" s="3" t="s">
        <v>333</v>
      </c>
    </row>
    <row r="351" customFormat="false" ht="15" hidden="false" customHeight="false" outlineLevel="0" collapsed="false">
      <c r="A351" s="3" t="s">
        <v>330</v>
      </c>
      <c r="B351" s="3" t="n">
        <v>5</v>
      </c>
      <c r="C351" s="3" t="s">
        <v>289</v>
      </c>
      <c r="D351" s="3" t="n">
        <v>56</v>
      </c>
      <c r="E351" s="3" t="s">
        <v>123</v>
      </c>
      <c r="F351" s="3" t="s">
        <v>124</v>
      </c>
      <c r="G351" s="3" t="s">
        <v>124</v>
      </c>
      <c r="H351" s="3" t="s">
        <v>334</v>
      </c>
    </row>
    <row r="352" customFormat="false" ht="15" hidden="false" customHeight="false" outlineLevel="0" collapsed="false">
      <c r="A352" s="3" t="s">
        <v>330</v>
      </c>
      <c r="B352" s="3" t="n">
        <v>6</v>
      </c>
      <c r="C352" s="3" t="s">
        <v>289</v>
      </c>
      <c r="D352" s="3" t="n">
        <v>41</v>
      </c>
      <c r="E352" s="3" t="s">
        <v>123</v>
      </c>
      <c r="F352" s="3" t="s">
        <v>124</v>
      </c>
      <c r="G352" s="3" t="s">
        <v>124</v>
      </c>
      <c r="H352" s="3" t="s">
        <v>335</v>
      </c>
    </row>
    <row r="353" customFormat="false" ht="15" hidden="false" customHeight="false" outlineLevel="0" collapsed="false">
      <c r="A353" s="3" t="s">
        <v>330</v>
      </c>
      <c r="B353" s="3" t="n">
        <v>7</v>
      </c>
      <c r="C353" s="3" t="s">
        <v>289</v>
      </c>
      <c r="D353" s="3" t="n">
        <v>74</v>
      </c>
      <c r="E353" s="3" t="s">
        <v>123</v>
      </c>
      <c r="F353" s="3" t="s">
        <v>124</v>
      </c>
      <c r="G353" s="3" t="s">
        <v>124</v>
      </c>
      <c r="H353" s="3" t="s">
        <v>336</v>
      </c>
    </row>
    <row r="354" customFormat="false" ht="15" hidden="false" customHeight="false" outlineLevel="0" collapsed="false">
      <c r="A354" s="3" t="s">
        <v>330</v>
      </c>
      <c r="B354" s="3" t="n">
        <v>8</v>
      </c>
      <c r="C354" s="3" t="s">
        <v>289</v>
      </c>
      <c r="D354" s="3" t="n">
        <v>79</v>
      </c>
      <c r="E354" s="3" t="s">
        <v>123</v>
      </c>
      <c r="F354" s="3" t="s">
        <v>124</v>
      </c>
      <c r="G354" s="3" t="s">
        <v>124</v>
      </c>
      <c r="H354" s="3" t="s">
        <v>337</v>
      </c>
    </row>
    <row r="355" customFormat="false" ht="15" hidden="false" customHeight="false" outlineLevel="0" collapsed="false">
      <c r="A355" s="3" t="s">
        <v>330</v>
      </c>
      <c r="B355" s="3" t="n">
        <v>8</v>
      </c>
      <c r="C355" s="3" t="s">
        <v>289</v>
      </c>
      <c r="D355" s="3" t="n">
        <v>78</v>
      </c>
      <c r="E355" s="3" t="s">
        <v>126</v>
      </c>
      <c r="F355" s="3" t="s">
        <v>124</v>
      </c>
      <c r="G355" s="3" t="s">
        <v>124</v>
      </c>
      <c r="H355" s="3" t="s">
        <v>337</v>
      </c>
    </row>
    <row r="356" customFormat="false" ht="15" hidden="false" customHeight="false" outlineLevel="0" collapsed="false">
      <c r="A356" s="3" t="s">
        <v>330</v>
      </c>
      <c r="B356" s="3" t="n">
        <v>9</v>
      </c>
      <c r="C356" s="3" t="s">
        <v>289</v>
      </c>
      <c r="D356" s="3" t="n">
        <v>79</v>
      </c>
      <c r="E356" s="3" t="s">
        <v>123</v>
      </c>
      <c r="F356" s="3" t="s">
        <v>124</v>
      </c>
      <c r="G356" s="3" t="s">
        <v>124</v>
      </c>
      <c r="H356" s="3" t="s">
        <v>338</v>
      </c>
    </row>
    <row r="357" customFormat="false" ht="15" hidden="false" customHeight="false" outlineLevel="0" collapsed="false">
      <c r="A357" s="3" t="s">
        <v>330</v>
      </c>
      <c r="B357" s="3" t="n">
        <v>9</v>
      </c>
      <c r="C357" s="3" t="s">
        <v>289</v>
      </c>
      <c r="D357" s="3" t="n">
        <v>78</v>
      </c>
      <c r="E357" s="3" t="s">
        <v>126</v>
      </c>
      <c r="F357" s="3" t="s">
        <v>124</v>
      </c>
      <c r="G357" s="3" t="s">
        <v>124</v>
      </c>
      <c r="H357" s="3" t="s">
        <v>338</v>
      </c>
    </row>
    <row r="358" customFormat="false" ht="15" hidden="false" customHeight="false" outlineLevel="0" collapsed="false">
      <c r="A358" s="3" t="s">
        <v>330</v>
      </c>
      <c r="B358" s="3" t="n">
        <v>10</v>
      </c>
      <c r="C358" s="3" t="s">
        <v>289</v>
      </c>
      <c r="D358" s="3" t="n">
        <v>56</v>
      </c>
      <c r="E358" s="3" t="s">
        <v>123</v>
      </c>
      <c r="F358" s="3" t="s">
        <v>124</v>
      </c>
      <c r="G358" s="3" t="s">
        <v>124</v>
      </c>
      <c r="H358" s="3" t="s">
        <v>339</v>
      </c>
    </row>
    <row r="359" customFormat="false" ht="15" hidden="false" customHeight="false" outlineLevel="0" collapsed="false">
      <c r="A359" s="3" t="s">
        <v>330</v>
      </c>
      <c r="B359" s="3" t="n">
        <v>11</v>
      </c>
      <c r="C359" s="3" t="s">
        <v>289</v>
      </c>
      <c r="D359" s="3" t="n">
        <v>31</v>
      </c>
      <c r="E359" s="3" t="s">
        <v>123</v>
      </c>
      <c r="F359" s="3" t="s">
        <v>124</v>
      </c>
      <c r="G359" s="3" t="s">
        <v>124</v>
      </c>
      <c r="H359" s="3" t="s">
        <v>340</v>
      </c>
    </row>
    <row r="360" customFormat="false" ht="15" hidden="false" customHeight="false" outlineLevel="0" collapsed="false">
      <c r="A360" s="3" t="s">
        <v>330</v>
      </c>
      <c r="B360" s="3" t="n">
        <v>11</v>
      </c>
      <c r="C360" s="3" t="s">
        <v>289</v>
      </c>
      <c r="D360" s="3" t="n">
        <v>40</v>
      </c>
      <c r="E360" s="3" t="s">
        <v>126</v>
      </c>
      <c r="F360" s="3" t="s">
        <v>124</v>
      </c>
      <c r="G360" s="3" t="s">
        <v>124</v>
      </c>
      <c r="H360" s="3" t="s">
        <v>340</v>
      </c>
    </row>
    <row r="361" customFormat="false" ht="15" hidden="false" customHeight="false" outlineLevel="0" collapsed="false">
      <c r="A361" s="3" t="s">
        <v>330</v>
      </c>
      <c r="B361" s="3" t="n">
        <v>12</v>
      </c>
      <c r="C361" s="3" t="s">
        <v>289</v>
      </c>
      <c r="D361" s="3" t="n">
        <v>40</v>
      </c>
      <c r="E361" s="3" t="s">
        <v>123</v>
      </c>
      <c r="F361" s="3" t="s">
        <v>124</v>
      </c>
      <c r="G361" s="3" t="s">
        <v>124</v>
      </c>
      <c r="H361" s="3" t="s">
        <v>341</v>
      </c>
    </row>
    <row r="362" customFormat="false" ht="15" hidden="false" customHeight="false" outlineLevel="0" collapsed="false">
      <c r="A362" s="3" t="s">
        <v>330</v>
      </c>
      <c r="B362" s="3" t="n">
        <v>12</v>
      </c>
      <c r="C362" s="3" t="s">
        <v>289</v>
      </c>
      <c r="D362" s="3" t="n">
        <v>21</v>
      </c>
      <c r="E362" s="3" t="s">
        <v>126</v>
      </c>
      <c r="F362" s="3" t="s">
        <v>124</v>
      </c>
      <c r="G362" s="3" t="s">
        <v>124</v>
      </c>
      <c r="H362" s="3" t="s">
        <v>341</v>
      </c>
    </row>
    <row r="363" customFormat="false" ht="15" hidden="false" customHeight="false" outlineLevel="0" collapsed="false">
      <c r="A363" s="3" t="s">
        <v>330</v>
      </c>
      <c r="B363" s="3" t="n">
        <v>13</v>
      </c>
      <c r="C363" s="3" t="s">
        <v>289</v>
      </c>
      <c r="D363" s="3" t="n">
        <v>56</v>
      </c>
      <c r="E363" s="3" t="s">
        <v>123</v>
      </c>
      <c r="F363" s="3" t="s">
        <v>124</v>
      </c>
      <c r="G363" s="3" t="s">
        <v>124</v>
      </c>
      <c r="H363" s="3" t="s">
        <v>342</v>
      </c>
    </row>
    <row r="364" customFormat="false" ht="15" hidden="false" customHeight="false" outlineLevel="0" collapsed="false">
      <c r="A364" s="3" t="s">
        <v>330</v>
      </c>
      <c r="B364" s="3" t="n">
        <v>14</v>
      </c>
      <c r="C364" s="3" t="s">
        <v>289</v>
      </c>
      <c r="D364" s="3" t="n">
        <v>61</v>
      </c>
      <c r="E364" s="3" t="s">
        <v>123</v>
      </c>
      <c r="F364" s="3" t="s">
        <v>124</v>
      </c>
      <c r="G364" s="3" t="s">
        <v>124</v>
      </c>
      <c r="H364" s="3" t="s">
        <v>343</v>
      </c>
    </row>
    <row r="365" customFormat="false" ht="15" hidden="false" customHeight="false" outlineLevel="0" collapsed="false">
      <c r="A365" s="3" t="s">
        <v>330</v>
      </c>
      <c r="B365" s="3" t="n">
        <v>14</v>
      </c>
      <c r="C365" s="3" t="s">
        <v>289</v>
      </c>
      <c r="D365" s="3" t="n">
        <v>56</v>
      </c>
      <c r="E365" s="3" t="s">
        <v>126</v>
      </c>
      <c r="F365" s="3" t="s">
        <v>124</v>
      </c>
      <c r="G365" s="3" t="s">
        <v>124</v>
      </c>
      <c r="H365" s="3" t="s">
        <v>343</v>
      </c>
    </row>
    <row r="366" customFormat="false" ht="15" hidden="false" customHeight="false" outlineLevel="0" collapsed="false">
      <c r="A366" s="3" t="s">
        <v>330</v>
      </c>
      <c r="B366" s="3" t="n">
        <v>15</v>
      </c>
      <c r="C366" s="3" t="s">
        <v>289</v>
      </c>
      <c r="D366" s="3" t="n">
        <v>56</v>
      </c>
      <c r="E366" s="3" t="s">
        <v>123</v>
      </c>
      <c r="F366" s="3" t="s">
        <v>124</v>
      </c>
      <c r="G366" s="3" t="s">
        <v>124</v>
      </c>
      <c r="H366" s="3" t="s">
        <v>344</v>
      </c>
    </row>
    <row r="367" customFormat="false" ht="15" hidden="false" customHeight="false" outlineLevel="0" collapsed="false">
      <c r="A367" s="3" t="s">
        <v>330</v>
      </c>
      <c r="B367" s="3" t="n">
        <v>15</v>
      </c>
      <c r="C367" s="3" t="s">
        <v>289</v>
      </c>
      <c r="D367" s="3" t="n">
        <v>61</v>
      </c>
      <c r="E367" s="3" t="s">
        <v>126</v>
      </c>
      <c r="F367" s="3" t="s">
        <v>124</v>
      </c>
      <c r="G367" s="3" t="s">
        <v>124</v>
      </c>
      <c r="H367" s="3" t="s">
        <v>344</v>
      </c>
    </row>
    <row r="368" customFormat="false" ht="15" hidden="false" customHeight="false" outlineLevel="0" collapsed="false">
      <c r="A368" s="3" t="s">
        <v>330</v>
      </c>
      <c r="B368" s="3" t="n">
        <v>16</v>
      </c>
      <c r="C368" s="3" t="s">
        <v>289</v>
      </c>
      <c r="D368" s="3" t="n">
        <v>21</v>
      </c>
      <c r="E368" s="3" t="s">
        <v>123</v>
      </c>
      <c r="F368" s="3" t="s">
        <v>124</v>
      </c>
      <c r="G368" s="3" t="s">
        <v>124</v>
      </c>
      <c r="H368" s="3" t="s">
        <v>345</v>
      </c>
    </row>
    <row r="369" customFormat="false" ht="15" hidden="false" customHeight="false" outlineLevel="0" collapsed="false">
      <c r="A369" s="3" t="s">
        <v>330</v>
      </c>
      <c r="B369" s="3" t="n">
        <v>16</v>
      </c>
      <c r="C369" s="3" t="s">
        <v>289</v>
      </c>
      <c r="D369" s="3" t="n">
        <v>40</v>
      </c>
      <c r="E369" s="3" t="s">
        <v>126</v>
      </c>
      <c r="F369" s="3" t="s">
        <v>124</v>
      </c>
      <c r="G369" s="3" t="s">
        <v>124</v>
      </c>
      <c r="H369" s="3" t="s">
        <v>345</v>
      </c>
    </row>
    <row r="370" customFormat="false" ht="15" hidden="false" customHeight="false" outlineLevel="0" collapsed="false">
      <c r="A370" s="3" t="s">
        <v>330</v>
      </c>
      <c r="B370" s="3" t="n">
        <v>17</v>
      </c>
      <c r="C370" s="3" t="s">
        <v>289</v>
      </c>
      <c r="D370" s="3" t="n">
        <v>21</v>
      </c>
      <c r="E370" s="3" t="s">
        <v>123</v>
      </c>
      <c r="F370" s="3" t="s">
        <v>124</v>
      </c>
      <c r="G370" s="3" t="s">
        <v>124</v>
      </c>
      <c r="H370" s="3" t="s">
        <v>346</v>
      </c>
    </row>
    <row r="371" customFormat="false" ht="15" hidden="false" customHeight="false" outlineLevel="0" collapsed="false">
      <c r="A371" s="3" t="s">
        <v>330</v>
      </c>
      <c r="B371" s="3" t="n">
        <v>17</v>
      </c>
      <c r="C371" s="3" t="s">
        <v>289</v>
      </c>
      <c r="D371" s="3" t="n">
        <v>7</v>
      </c>
      <c r="E371" s="3" t="s">
        <v>126</v>
      </c>
      <c r="F371" s="3" t="s">
        <v>124</v>
      </c>
      <c r="G371" s="3" t="s">
        <v>124</v>
      </c>
      <c r="H371" s="3" t="s">
        <v>346</v>
      </c>
    </row>
    <row r="372" customFormat="false" ht="15" hidden="false" customHeight="false" outlineLevel="0" collapsed="false">
      <c r="A372" s="3" t="s">
        <v>330</v>
      </c>
      <c r="B372" s="3" t="n">
        <v>18</v>
      </c>
      <c r="C372" s="3" t="s">
        <v>289</v>
      </c>
      <c r="D372" s="3" t="n">
        <v>8</v>
      </c>
      <c r="E372" s="3" t="s">
        <v>123</v>
      </c>
      <c r="F372" s="3" t="s">
        <v>124</v>
      </c>
      <c r="G372" s="3" t="s">
        <v>124</v>
      </c>
      <c r="H372" s="3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113</v>
      </c>
      <c r="B1" s="1" t="s">
        <v>114</v>
      </c>
      <c r="C1" s="1" t="s">
        <v>120</v>
      </c>
    </row>
    <row r="2" customFormat="false" ht="15" hidden="false" customHeight="false" outlineLevel="0" collapsed="false">
      <c r="A2" s="3" t="s">
        <v>257</v>
      </c>
      <c r="B2" s="3" t="n">
        <v>12</v>
      </c>
      <c r="C2" s="3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349</v>
      </c>
    </row>
    <row r="3" customFormat="false" ht="15" hidden="false" customHeight="false" outlineLevel="0" collapsed="false">
      <c r="A3" s="5" t="s">
        <v>350</v>
      </c>
      <c r="B3" s="6" t="n">
        <v>2</v>
      </c>
    </row>
    <row r="4" customFormat="false" ht="15" hidden="false" customHeight="false" outlineLevel="0" collapsed="false">
      <c r="A4" s="5" t="s">
        <v>351</v>
      </c>
      <c r="B4" s="6" t="n">
        <v>2</v>
      </c>
    </row>
    <row r="5" customFormat="false" ht="15" hidden="false" customHeight="false" outlineLevel="0" collapsed="false">
      <c r="A5" s="5" t="s">
        <v>352</v>
      </c>
      <c r="B5" s="6" t="n">
        <v>1</v>
      </c>
    </row>
    <row r="7" customFormat="false" ht="15" hidden="false" customHeight="false" outlineLevel="0" collapsed="false">
      <c r="A7" s="7" t="s">
        <v>353</v>
      </c>
    </row>
    <row r="8" customFormat="false" ht="15" hidden="false" customHeight="false" outlineLevel="0" collapsed="false">
      <c r="A8" s="7" t="s">
        <v>354</v>
      </c>
    </row>
    <row r="9" customFormat="false" ht="15" hidden="false" customHeight="false" outlineLevel="0" collapsed="false">
      <c r="A9" s="7" t="s">
        <v>355</v>
      </c>
    </row>
    <row r="10" customFormat="false" ht="15" hidden="false" customHeight="false" outlineLevel="0" collapsed="false">
      <c r="A10" s="7" t="s">
        <v>356</v>
      </c>
    </row>
    <row r="11" customFormat="false" ht="15" hidden="false" customHeight="false" outlineLevel="0" collapsed="false">
      <c r="A11" s="7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2026-10-17T19:41:40Z</dcterms:created>
  <dc:creator>openpyxl</dc:creator>
  <dc:description/>
  <dc:language>en-US</dc:language>
  <cp:lastModifiedBy/>
  <dcterms:modified xsi:type="dcterms:W3CDTF">2026-10-17T19:41:40Z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