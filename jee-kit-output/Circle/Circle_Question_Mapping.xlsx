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<sst xmlns="http://schemas.openxmlformats.org/spreadsheetml/2006/main" count="4371" uniqueCount="624">
  <si>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</si>
  <si>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</si>
  <si>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</si>
  <si>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</si>
  <si>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</si>
  <si>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</si>
  <si>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</si>
  <si>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</si>
  <si>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</si>
  <si>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</si>
  <si>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</si>
  <si>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Basic Geometry about Circles</t>
  </si>
  <si>
    <t xml:space="preserve">What is the relation between the length of a chord and the angle subtended by the chord at the centre?</t>
  </si>
  <si>
    <t xml:space="preserve">Original</t>
  </si>
  <si>
    <t xml:space="preserve">Revise all properties mentioned in this heading.</t>
  </si>
  <si>
    <t xml:space="preserve">Circle: Definition and Equation</t>
  </si>
  <si>
    <t xml:space="preserve">Define circle, its centre and radius.</t>
  </si>
  <si>
    <t xml:space="preserve">How to find the equation of a circle if the centre and radius are known?</t>
  </si>
  <si>
    <t xml:space="preserve">What is the general form of the equation of a circle?</t>
  </si>
  <si>
    <t xml:space="preserve">How to find the centre and radius from the general equation of a circle?</t>
  </si>
  <si>
    <t xml:space="preserve">What is the standard form of the equation of a circle?</t>
  </si>
  <si>
    <t xml:space="preserve">What is the necessary and sufficient condition for the general equation of 2nd degree to represent a circle?</t>
  </si>
  <si>
    <t xml:space="preserve">What do you mean by point circle and imaginary circle?</t>
  </si>
  <si>
    <t xml:space="preserve">How to find the equation of a circle passing through 3 given points?</t>
  </si>
  <si>
    <t xml:space="preserve">How to prove that 4 given points are concyclic?</t>
  </si>
  <si>
    <t xml:space="preserve">How to find the image (reflection) of a circle in a given line?</t>
  </si>
  <si>
    <t xml:space="preserve">Added</t>
  </si>
  <si>
    <t xml:space="preserve">J-M(XII) 35; J-M(XIII) 2, 5, 18; DPP-1 2; QB 40, 57, 60, 68</t>
  </si>
  <si>
    <t xml:space="preserve">Diametrical Form of a Circle</t>
  </si>
  <si>
    <t xml:space="preserve">Write the expression for the diametrical form of a circle.</t>
  </si>
  <si>
    <t xml:space="preserve">What is the smallest circle passing through 2 given points A and B?</t>
  </si>
  <si>
    <t xml:space="preserve">How to find the equation of the circle drawn on the chord cut by a given line on a given 2nd degree curve as diameter?</t>
  </si>
  <si>
    <t xml:space="preserve">Intercepts</t>
  </si>
  <si>
    <t xml:space="preserve">What is the formula for the length of a chord of a circle and how is it derived?</t>
  </si>
  <si>
    <t xml:space="preserve">What is the formula for the x-intercept and y-intercept of a circle?</t>
  </si>
  <si>
    <t xml:space="preserve">What is the general method to find the length of a chord for any 2nd degree curve?</t>
  </si>
  <si>
    <t xml:space="preserve">What is the general method to find the x-intercept and y-intercept for any 2nd degree curve?</t>
  </si>
  <si>
    <t xml:space="preserve">What is the condition for a circle to intersect the x-axis / y-axis at 2 distinct points?</t>
  </si>
  <si>
    <t xml:space="preserve">What is the condition for a circle to touch the x-axis / y-axis?</t>
  </si>
  <si>
    <t xml:space="preserve">What is the condition for a circle neither touching nor intersecting the x-axis / y-axis?</t>
  </si>
  <si>
    <t xml:space="preserve">What is the condition on the coordinates of the centre if the circle touches the x-axis / y-axis?</t>
  </si>
  <si>
    <t xml:space="preserve">Draw the diagram of a chord drawn in a circle and find all lengths / area / angle.</t>
  </si>
  <si>
    <t xml:space="preserve">Parametric Form of a Circle</t>
  </si>
  <si>
    <t xml:space="preserve">How to assume the coordinates of a point on a given circle?</t>
  </si>
  <si>
    <t xml:space="preserve">What are the parametric coordinates of a point on the standard circle?</t>
  </si>
  <si>
    <t xml:space="preserve">Position of a Point w.r.t. a Circle</t>
  </si>
  <si>
    <t xml:space="preserve">How to define S, S1 and T for a point w.r.t. any 2nd degree curve?</t>
  </si>
  <si>
    <t xml:space="preserve">How to find the relative position of a point w.r.t. a circle?</t>
  </si>
  <si>
    <t xml:space="preserve">How to find the greatest and least distance of a given point A from a circle?</t>
  </si>
  <si>
    <t xml:space="preserve">How to find the point on a circle lying at the greatest / least distance from a given point A?</t>
  </si>
  <si>
    <t xml:space="preserve">How to find the least distance between a line and a circle?</t>
  </si>
  <si>
    <t xml:space="preserve">Line and Circle</t>
  </si>
  <si>
    <t xml:space="preserve">What is the condition of tangency for a circle and how is it used?</t>
  </si>
  <si>
    <t xml:space="preserve">How to determine the relative position of a line w.r.t. a circle?</t>
  </si>
  <si>
    <t xml:space="preserve">What is the general method to find the relative position of a line w.r.t. a 2nd degree curve?</t>
  </si>
  <si>
    <t xml:space="preserve">What is the general method to find the condition of tangency of a line w.r.t. a 2nd degree curve?</t>
  </si>
  <si>
    <t xml:space="preserve">Tangent and Normal</t>
  </si>
  <si>
    <t xml:space="preserve">Define tangent.</t>
  </si>
  <si>
    <t xml:space="preserve">How to find the equation of the tangent to a 2nd degree curve if the point of tangency is given?</t>
  </si>
  <si>
    <t xml:space="preserve">How to find the equation of a tangent to a 2nd degree curve if any condition other than the point of tangency is given?</t>
  </si>
  <si>
    <t xml:space="preserve">What is the equation of the tangent at a point given in parametric form on the standard circle?</t>
  </si>
  <si>
    <t xml:space="preserve">How to find the equations of tangents to a circle passing through an external point?</t>
  </si>
  <si>
    <t xml:space="preserve">Define normal.</t>
  </si>
  <si>
    <t xml:space="preserve">How to find the equation of a normal to a circle?</t>
  </si>
  <si>
    <t xml:space="preserve">What is the equation of the chord joining two points P(\alpha), Q(\beta) on the standard circle?</t>
  </si>
  <si>
    <t xml:space="preserve">To Find the Point of Tangency</t>
  </si>
  <si>
    <t xml:space="preserve">How to find the point of tangency on a circle if the equation of the tangent is given?</t>
  </si>
  <si>
    <t xml:space="preserve">How to find the point of tangency on a 2nd degree curve if the equation of the tangent is given?</t>
  </si>
  <si>
    <t xml:space="preserve">Length of Tangent</t>
  </si>
  <si>
    <t xml:space="preserve">Write the expression for the length of the tangent from an external point.</t>
  </si>
  <si>
    <t xml:space="preserve">Define chord of contact for an external point.</t>
  </si>
  <si>
    <t xml:space="preserve">How to find the angle between the tangents drawn from an external point to a circle?</t>
  </si>
  <si>
    <t xml:space="preserve">What is the angle subtended by a circle at an external point?</t>
  </si>
  <si>
    <t xml:space="preserve">How to find the equation of the circumcircle of the triangle formed by the tangents from an external point and its chord of contact?</t>
  </si>
  <si>
    <t xml:space="preserve">Draw the diagram of tangents drawn from an external point to a circle and find all lengths / area / angle.</t>
  </si>
  <si>
    <t xml:space="preserve">Power of a Point</t>
  </si>
  <si>
    <t xml:space="preserve">Define the power of a point w.r.t. a circle and how to find it.</t>
  </si>
  <si>
    <t xml:space="preserve">What is the power of a point according to its position relative to the circle?</t>
  </si>
  <si>
    <t xml:space="preserve">Director Circle</t>
  </si>
  <si>
    <t xml:space="preserve">Define the director circle of a curve.</t>
  </si>
  <si>
    <t xml:space="preserve">What is the director circle of a circle?</t>
  </si>
  <si>
    <t xml:space="preserve">What is the general method to find the director circle of a 2nd degree curve?</t>
  </si>
  <si>
    <t xml:space="preserve">How to find the locus of an external point P for which the angle between the tangents from P to the circle is constant?</t>
  </si>
  <si>
    <t xml:space="preserve">Chord whose Mid-point is Given</t>
  </si>
  <si>
    <t xml:space="preserve">Write the equation of a chord of a 2nd degree curve whose mid-point is given.</t>
  </si>
  <si>
    <t xml:space="preserve">What is the formula for the length of a chord of a circle whose mid-point is given?</t>
  </si>
  <si>
    <t xml:space="preserve">How to find the mid-point of a chord of a circle whose equation is given?</t>
  </si>
  <si>
    <t xml:space="preserve">What is the general method to find the mid-point of a chord, whose equation is given, of a 2nd degree curve?</t>
  </si>
  <si>
    <t xml:space="preserve">Which is the shortest chord of a circle passing through an internal point?</t>
  </si>
  <si>
    <t xml:space="preserve">What is the locus of the mid-point of a variable chord of a circle passing through a fixed point P?</t>
  </si>
  <si>
    <t xml:space="preserve">Chord of Contact</t>
  </si>
  <si>
    <t xml:space="preserve">Write the equation of the chord of contact w.r.t. a 2nd degree curve for an external point.</t>
  </si>
  <si>
    <t xml:space="preserve">How to find the external point if the equation of the chord of contact is given?</t>
  </si>
  <si>
    <t xml:space="preserve">What is the point of intersection of the tangents drawn at P(\alpha), Q(\beta) on the standard circle?</t>
  </si>
  <si>
    <t xml:space="preserve">Pair of Tangents</t>
  </si>
  <si>
    <t xml:space="preserve">Write the combined equation of the pair of tangents from an external point to a 2nd degree curve.</t>
  </si>
  <si>
    <t xml:space="preserve">Family of Circles: Type 1</t>
  </si>
  <si>
    <t xml:space="preserve">How to find the equation of a circle passing through the points of intersection of two circles S1 and S2?</t>
  </si>
  <si>
    <t xml:space="preserve">How to check whether the value of \lambda is infinite by observing the calculations, and how to find the required circle in that case?</t>
  </si>
  <si>
    <t xml:space="preserve">Family of Circles: Type 2</t>
  </si>
  <si>
    <t xml:space="preserve">How to find the equation of a circle passing through the points of intersection of a circle S and a line L?</t>
  </si>
  <si>
    <t xml:space="preserve">What does the equation of a variable circle S+\lambda L=0 represent?</t>
  </si>
  <si>
    <t xml:space="preserve">Family of Circles: Type 3</t>
  </si>
  <si>
    <t xml:space="preserve">How to find the equation of the family of circles passing through two given points A and B?</t>
  </si>
  <si>
    <t xml:space="preserve">Family of Circles: Type 4</t>
  </si>
  <si>
    <t xml:space="preserve">How to find the equation of a circle touching a given line L at its given point P?</t>
  </si>
  <si>
    <t xml:space="preserve">How to find the equation of a circle touching a given 2nd degree curve at its given point P?</t>
  </si>
  <si>
    <t xml:space="preserve">How to find the equation of the circumcircle of the triangle formed by three lines whose equations are given?</t>
  </si>
  <si>
    <t xml:space="preserve">How to find the equation of the circumcircle of a cyclic quadrilateral formed by 4 lines whose equations are given?</t>
  </si>
  <si>
    <t xml:space="preserve">Common Tangents</t>
  </si>
  <si>
    <t xml:space="preserve">Define common tangents and their types DCT and TCT.</t>
  </si>
  <si>
    <t xml:space="preserve">Which common tangent is called external and which one internal?</t>
  </si>
  <si>
    <t xml:space="preserve">How to check whether a common tangent is a DCT or a TCT?</t>
  </si>
  <si>
    <t xml:space="preserve">What is the relative position of the centres of two circles w.r.t. a DCT / TCT?</t>
  </si>
  <si>
    <t xml:space="preserve">In what ratio does the point of intersection of the DCTs / TCTs divide the line joining the centres?</t>
  </si>
  <si>
    <t xml:space="preserve">What is the condition on the DCTs if the radii of the two circles are equal?</t>
  </si>
  <si>
    <t xml:space="preserve">What is the formula for the length of a DCT / TCT?</t>
  </si>
  <si>
    <t xml:space="preserve">How to find the equations of the DCTs / TCTs of two circles?</t>
  </si>
  <si>
    <t xml:space="preserve">How to find the equation of the DCT / TCT if two circles touch each other?</t>
  </si>
  <si>
    <t xml:space="preserve">How to find the angle between the DCTs / TCTs?</t>
  </si>
  <si>
    <t xml:space="preserve">Position of Two Circles relative to Each Other</t>
  </si>
  <si>
    <t xml:space="preserve">When are two circles separated from each other, and how many common tangents are there?</t>
  </si>
  <si>
    <t xml:space="preserve">When do two circles touch each other externally, and how many common tangents are there?</t>
  </si>
  <si>
    <t xml:space="preserve">When do two circles intersect at 2 distinct points, and how many common tangents are there?</t>
  </si>
  <si>
    <t xml:space="preserve">When does one circle touch another internally, and how many common tangents are there?</t>
  </si>
  <si>
    <t xml:space="preserve">When is one circle contained in another, and how many common tangents are there?</t>
  </si>
  <si>
    <t xml:space="preserve">What is the minimum distance between two circles in every relative position?</t>
  </si>
  <si>
    <t xml:space="preserve">Radical Axis</t>
  </si>
  <si>
    <t xml:space="preserve">Define the radical axis of two circles.</t>
  </si>
  <si>
    <t xml:space="preserve">Write the expression for the radical axis of two circles S1 = 0 and S2 = 0.</t>
  </si>
  <si>
    <t xml:space="preserve">Which line is the radical axis of two circles if they intersect at 2 distinct points?</t>
  </si>
  <si>
    <t xml:space="preserve">Which line is the radical axis of two circles if they touch each other?</t>
  </si>
  <si>
    <t xml:space="preserve">What is the condition on the radical axis w.r.t. the line joining the centres?</t>
  </si>
  <si>
    <t xml:space="preserve">What is the condition on the radical axis w.r.t. a common tangent of two circles?</t>
  </si>
  <si>
    <t xml:space="preserve">Which type of two circles will not have a radical axis?</t>
  </si>
  <si>
    <t xml:space="preserve">How to find the equation of the common chord of two circles?</t>
  </si>
  <si>
    <t xml:space="preserve">What is the condition if one circle bisects the circumference of the other circle?</t>
  </si>
  <si>
    <t xml:space="preserve">How to check the relative position of two circles with the help of the radical axis?</t>
  </si>
  <si>
    <t xml:space="preserve">Radical Centre</t>
  </si>
  <si>
    <t xml:space="preserve">Define the radical centre of three circles.</t>
  </si>
  <si>
    <t xml:space="preserve">How to find the radical centre of three circles if their equations are given?</t>
  </si>
  <si>
    <t xml:space="preserve">Which is the point from which the tangents drawn to the three circles are equal?</t>
  </si>
  <si>
    <t xml:space="preserve">Which point is the radical centre of three circles drawn on the three sides of a triangle as diameters?</t>
  </si>
  <si>
    <t xml:space="preserve">Coaxial System of Circles</t>
  </si>
  <si>
    <t xml:space="preserve">Define a coaxial system of circles.</t>
  </si>
  <si>
    <t xml:space="preserve">How to find the equation of a circle belonging to a given coaxial system?</t>
  </si>
  <si>
    <t xml:space="preserve">Angle between a Line and a Circle</t>
  </si>
  <si>
    <t xml:space="preserve">Define the angle of intersection of two curves.</t>
  </si>
  <si>
    <t xml:space="preserve">What is the angle of intersection of two curves if they have no common point?</t>
  </si>
  <si>
    <t xml:space="preserve">How to find the angle between a line and a circle?</t>
  </si>
  <si>
    <t xml:space="preserve">What do you mean when a line cuts a circle orthogonally?</t>
  </si>
  <si>
    <t xml:space="preserve">Angle between Two Circles and Orthogonality</t>
  </si>
  <si>
    <t xml:space="preserve">How to find the angle between two circles?</t>
  </si>
  <si>
    <t xml:space="preserve">What is the condition of orthogonality of two circles in terms of their radii and the distance between centres?</t>
  </si>
  <si>
    <t xml:space="preserve">What is the condition of orthogonality of two circles in terms of their equations?</t>
  </si>
  <si>
    <t xml:space="preserve">How to find the equation of a circle cutting three given circles orthogonally?</t>
  </si>
  <si>
    <t xml:space="preserve">What is the locus of the centre of a variable circle cutting two given circles orthogonally?</t>
  </si>
  <si>
    <t xml:space="preserve">Pole and Polar</t>
  </si>
  <si>
    <t xml:space="preserve">Define pole and polar for a 2nd degree curve.</t>
  </si>
  <si>
    <t xml:space="preserve">Write the equation of the polar of a given point.</t>
  </si>
  <si>
    <t xml:space="preserve">What does T = 0 represent for a point, according to its position relative to the circle?</t>
  </si>
  <si>
    <t xml:space="preserve">How to find the coordinates of the pole of a given line?</t>
  </si>
  <si>
    <t xml:space="preserve">From any variable point on a fixed line, tangents are drawn to a 2nd degree curve; the chord of contact passes through which point?</t>
  </si>
  <si>
    <t xml:space="preserve">What is the locus of the harmonic conjugate of a point P w.r.t. the 2 points in which any variable line through P cuts a 2nd degree curve?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</si>
  <si>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</si>
  <si>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</si>
  <si>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</si>
  <si>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</si>
  <si>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</si>
  <si>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</si>
  <si>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</si>
  <si>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</si>
  <si>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</si>
  <si>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</si>
  <si>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</si>
  <si>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</si>
  <si>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The radius of the circle passing through the points (1, 2), (5, 2) and (5, – 2) is :</t>
  </si>
  <si>
    <t xml:space="preserve">The lines 2x – 3y = 5 and 3x – 4y =7 are diameters of a circle having area as 154 sq. units. Then the equation of the circle is : (Take  = </t>
  </si>
  <si>
    <t xml:space="preserve">The equation of the circle passing through the points (1, 0) and (0, 1) and having the smallest radius is : [AIEEE-2011]</t>
  </si>
  <si>
    <t xml:space="preserve">The two lines through (2, 3) from which the circle x2 + y2 = 25 intercepts chords of length 8 units have equations: cukr kgS</t>
  </si>
  <si>
    <t xml:space="preserve">Also</t>
  </si>
  <si>
    <t xml:space="preserve">A variable circle passes through the fixed point A (p, q) and touches x –axis. The locus of the other end of the diameter through A is :</t>
  </si>
  <si>
    <t xml:space="preserve">Two thin rods AB &amp; CD of lengths 2a &amp; 2b move along OX &amp; OY respectively, when ‘O’ is the origin. The equation of the locus of the centre of</t>
  </si>
  <si>
    <t xml:space="preserve">The centre of a set of circles, each of radius 3, lie on the circle x2+y2= 25. The locus of any point in the set is :</t>
  </si>
  <si>
    <t xml:space="preserve">If = 4, then all possible values of (x – y) is given by : xy x 2  y2 xy</t>
  </si>
  <si>
    <t xml:space="preserve">The circle x² + y² – 6x – 10y+ c = 0 does not intersect or touch either axis, &amp; the point (1, 4) is inside the circle. Then the range of pos</t>
  </si>
  <si>
    <t xml:space="preserve">The tangent lines to the circle x² + y² – 6x + 4y = 12 which are parallel to the line 4x + 3y + 5 = 0 are given by :</t>
  </si>
  <si>
    <t xml:space="preserve">The condition so that the line (x + g) cos + (y + f) sin  = k is a tangent to x2 + y2 + 2gx + 2fy + c = 0 is : i zfr cU/kgS:</t>
  </si>
  <si>
    <t xml:space="preserve">The tangent to the circle x2 + y2 = 5 at the point (1, –2) also touches the circle x2 + y2 – 8x + 6y + 20 = 0 at :</t>
  </si>
  <si>
    <t xml:space="preserve">The lengths of the tangents from any point of the circle 15x² + 15y² – 48x + 64y = 0 to the two circles 5x² + 5y² – 24x + 32y + 75 = 0 , 5x²</t>
  </si>
  <si>
    <t xml:space="preserve">If L1 and L2 are the length of the tangent from (0, 5) to the circles x2 + y2 + 2x – 4 = 0 and x2 + y2 – y + 1 = 0 then : r ks:</t>
  </si>
  <si>
    <t xml:space="preserve">If the tangent at the point P on the circle x2 + y2 + 6x + 6y = 2 meets the straight line 5x – 2y + 6 = 0 at a point Q on the y–axis, then t</t>
  </si>
  <si>
    <t xml:space="preserve">Tangents drawn from the point P(l, 8) to the circle x2 + y2 – 6x – 4y – 11 = 0 touch the circle at the points A and B. The equation of the c</t>
  </si>
  <si>
    <t xml:space="preserve">The angle between the two tangents from the origin to the circle (x – 7)2 + (y + 1)2 = 25 equals :     6 3 2 4</t>
  </si>
  <si>
    <t xml:space="preserve">The equation of the diameter of the circle (x – 2)2 + (y + 1)2 = 16 which bisects the chord cut off by the circle on the line x – 2y – 3 = 0</t>
  </si>
  <si>
    <t xml:space="preserve">The co–ordinates of the middle point of the chord cut off on 2x – 5y + 18 = 0 by the circle x2 + y2 – 6x + 2y – 54 = 0 are :</t>
  </si>
  <si>
    <t xml:space="preserve">If the chord y = mx + 1 of the circle x2 + y2 =1 subtends an angle of measure 45º at the major segment of the circle then value of m is :</t>
  </si>
  <si>
    <t xml:space="preserve">Let C be the circle with centre (0, 0) and radius 3 units. The equation of the locus of the mid points of the chords 2 of the circle C that</t>
  </si>
  <si>
    <t xml:space="preserve">The chord of contact of the tangents drawn from a point on the circle, x2 + y2 = a2 to the circle x2 + y2 = b2 touches the circle x2 + y2 = </t>
  </si>
  <si>
    <t xml:space="preserve">If tangent at (1, 2) to the circle c1 : x2 + y2 = 5 intersects the circle c2 : x2 + y2 = 9 at A and B and tangents at A and B to the second </t>
  </si>
  <si>
    <t xml:space="preserve">Combined equation to the pair of tangents drawn from the origin to the circle x² + y² + 4x + 6y + 9 = 0 is :</t>
  </si>
  <si>
    <t xml:space="preserve">If x = 3 is the chord of contact of the circle x2  y2 = 81, then the equation of the corresponding pair of tangents, is :</t>
  </si>
  <si>
    <t xml:space="preserve">Intercept on the line y = x by the circle x2 +y2 –2x =0, is AB. Equation of the circle on AB as a diameter is :</t>
  </si>
  <si>
    <t xml:space="preserve">The length of the diameter of the circle which touches the x–axis at the point (1, 0) and passes through the point (2, 3) is : [AIEEE-2012] </t>
  </si>
  <si>
    <t xml:space="preserve">The circle passing through the point (–1, 0) and touching the y–axis at (0, 2) also passes through the point : [JEE-2011]  3   5   3 5</t>
  </si>
  <si>
    <t xml:space="preserve">A circle touches the x – axis and also touches the circle with centre at (0, 3) and radius 2. The locus of the centre of the circle is :</t>
  </si>
  <si>
    <t xml:space="preserve">The centre of the circle passing through (0,0) and (1, 0) and touching the circle x2+y2 =9 is : 1 1 1  3 1 1 3  2 2 2   2 2  </t>
  </si>
  <si>
    <t xml:space="preserve">Let C be the circle with centre at (1, 1) and radius = 1. If T is the circle centred at (0, y), passing through origin and touching the circ</t>
  </si>
  <si>
    <t xml:space="preserve">The equation of the common tangent to the circle x2 + y2 – 4x – 6y – 12 = 0 and x2 + y2 + 6x + 18y + 26 = 0 at their point of contact is :</t>
  </si>
  <si>
    <t xml:space="preserve">The locus of the centre of the circle which bisects the circumferences of the circles x² + y² = 4 &amp; x² + y² – 2x + 6y + 1 = 0 is :</t>
  </si>
  <si>
    <t xml:space="preserve">The circumference of the circle x2 + y2 – 2x + 8y – q = 0 is bisected by the circle x2 + y2 + 4x + 12y + p = 0, then p + q is equal to :</t>
  </si>
  <si>
    <t xml:space="preserve">If P and Q are the points of intersection of the circles x2 + y2 + 3x + 7y + 2p – 5 = 0 and x2 + y2 + 2x + 2y – p2 =0, then there is a circl</t>
  </si>
  <si>
    <t xml:space="preserve">If one of the diameters of the circle, given by the equation, x2 + y2 – 4x + 6y – 12 = 0, is a chord of a circle S, whose centre is at (–3, </t>
  </si>
  <si>
    <t xml:space="preserve">If the two circles, x2 + y2 + 2 g1x + 2 f1y = 0 and x2 + y2 + 2 g2x + 2 f2y = 0 touch each other then : f1 f 2 g1 g 2 f1 f 2 g1 g 2</t>
  </si>
  <si>
    <t xml:space="preserve">Equation of the circle cutting orthogonally the three circles x2 + y2 – 2x + 3y – 7 = 0, x2 + y2 + 5x – 5y + 9 = 0 and x2 + y2 + 7x – 9y + 2</t>
  </si>
  <si>
    <t xml:space="preserve">If a circle passes through the point (a, b) and cuts the circle x2 + y2 = 4 orthogonally, then the locus of its centre is:</t>
  </si>
  <si>
    <t xml:space="preserve">J-II</t>
  </si>
  <si>
    <t xml:space="preserve">Determine the nature of the quadrilateral formed by four lines 3x + 4y – 5 = 0; 4x – 3y – 5 = 0; 3x + 4y + 5 = 0 and 4x – 3y + 5 = 0. Find t</t>
  </si>
  <si>
    <t xml:space="preserve">A circle S = 0 is drawn with its centre at (–1, 1) so as to touch the circle x2 + y2 – 4x + 6y – 3 = 0 externally. Find the intercept made b</t>
  </si>
  <si>
    <t xml:space="preserve">The line lx + my + n = 0 intersects the curve ax2 + 2hxy + by2 = 1 at the point P and Q. The circle on PQ as diameter passes through the ori</t>
  </si>
  <si>
    <t xml:space="preserve">One of the diameters of the circle circumscribing the rectangle ABCD in order is 4y = x + 7. If A &amp; B are the points (–3, 4) &amp; (5,4) respect</t>
  </si>
  <si>
    <t xml:space="preserve">In the given figure, the circle x2 + y2 = 25 intersects the x-axis at the point A and B. The line x = 11 intersects the x-axis at the point </t>
  </si>
  <si>
    <t xml:space="preserve">Let L1 be a straight line through the origin and L2 be the straight line x + y = 1 . If the intercepts made by the circle x2 + y2 – x + 3y =</t>
  </si>
  <si>
    <t xml:space="preserve">Find the equation of a line with gradient 1 such that the two circles x2 + y2 = 4 and x2 + y2 – 10x – 14y + 65 = 0 intercept equal length on</t>
  </si>
  <si>
    <t xml:space="preserve">Consider a circle S with centre at the origin and radius 4. Four circles A, B, C and D each with radius unity and centres (–3, 0), (–1, 0), </t>
  </si>
  <si>
    <t xml:space="preserve">Real number x, y satisfies x2 + y2 = 1. If the maximum and minimum value of the expression z  are M and 7x m respectively, then find the v</t>
  </si>
  <si>
    <t xml:space="preserve">Given that x2 + y2 = 14x + 6y + 6, find the largest possible value of the expression E = 3x + 4y.</t>
  </si>
  <si>
    <t xml:space="preserve">Find the shortest distance from the point M (– 7, 2) to the circle x2 + y2 – 10x – 14y – 151 = 0.</t>
  </si>
  <si>
    <t xml:space="preserve">Find the co-ordinate of the point on the circle x² + y² – 12x– 4y+ 30 = 0, which is farthest from the origin.</t>
  </si>
  <si>
    <t xml:space="preserve">The straight line 2x – 3y = 1 divides the circular region x 2 + y2  6 int o t wo part s. If  3   5 3   1 1   1 1   S   2,  , </t>
  </si>
  <si>
    <t xml:space="preserve">A circle passes through the points (–1, 1), (0, 6) and (5, 5). Find the points on the circle the tangents at which are parallel to the strai</t>
  </si>
  <si>
    <t xml:space="preserve">A circle is drawn with its centre on the line x + y = 2 to touch the line 4x – 3y + 4 = 0 and pass through the point (0, 1). Find its equati</t>
  </si>
  <si>
    <t xml:space="preserve">Find the locus of the middle points of portions of the tangents to the circle x2 + y2 = a2 terminated by the coordinate axes.</t>
  </si>
  <si>
    <t xml:space="preserve">Tangents are drawn to the concentric circles x2 + y2 = a2 and x2 + y2 = b2 at right angle to one another. Show that the locus of their point</t>
  </si>
  <si>
    <t xml:space="preserve">If the variable line 3x – 4y + k = 0 lies between the circles x2 + y2 – 2x – 2y + 1 = 0 and x2 + y2 – 16x – 2y + 61=0 without intersecting o</t>
  </si>
  <si>
    <t xml:space="preserve">A circle with center in the first quadrant is tangent to y = x + 10, y = x – 6, and the y-axis. Let (h, k) be the center of the circle. If t</t>
  </si>
  <si>
    <t xml:space="preserve">A point moving around circle (x + 4)2 + (y + 2)2 = 25 with centre C broke away from it either at the point A or point B on the circle and mo</t>
  </si>
  <si>
    <t xml:space="preserve">Through a given point P(5, 2), secants are drawn to cut the circle x2 + y2 = 25 at points A1(B1), A2(B2), A3(B3), A4(B4) and A5(B5) such tha</t>
  </si>
  <si>
    <t xml:space="preserve">Chord AB of the circle x2 + y2 = 100 passes through the point (7, 1) and subtends an angle of 60° at the circumference of the circle. If m1 </t>
  </si>
  <si>
    <t xml:space="preserve">Find the locus of the mid point of the chord of a circle x2 + y2 = 4 such that the segment intercepted by the chord on the curve x2 – 2x – 2</t>
  </si>
  <si>
    <t xml:space="preserve">Find the locus of the mid point of all chords of the circle x2 + y2 – 2x – 2y = 0 such that the pair of lines joining (0, 0) and the point o</t>
  </si>
  <si>
    <t xml:space="preserve">Find the equation of the circle passing through the three points (4, 7), (5, 6) and (1, 8). Also find the coordinates of the point of inters</t>
  </si>
  <si>
    <t xml:space="preserve">Tangents TP and TQ are drawn from a point T to the circle x2 + y2 = a2. If the point T lies on the line px + qy = r, find the locus of centr</t>
  </si>
  <si>
    <t xml:space="preserve">Find the point of intersection of the tangents drawn to the circle x2 + y2 – 4x + 3y – 1 = 0 at the points where the line 2x + y + 12 = 0 me</t>
  </si>
  <si>
    <t xml:space="preserve">The chords of contact of the pair of tangents to the circle x2 + y2 = 1 drawn from any point on the line 2x + y = 4 pass through the point (</t>
  </si>
  <si>
    <t xml:space="preserve">The line 2x – 3y + 1 = 0 is tangent to a circle S = 0 at (1, 1). If the radius of the circle is 13 . Find the equation of the circle S.</t>
  </si>
  <si>
    <t xml:space="preserve">Find the equation of the circle which passes through the point (1, 1) &amp; which touches the circle x2 + y2 + 4x – 6y – 3 = 0 at the point (2, </t>
  </si>
  <si>
    <t xml:space="preserve">Find the equation of the circle whose radius is 3 and which touches the circle x2 + y2 – 4x – 6y – 12=0 internally at the point (–1, – 1). d</t>
  </si>
  <si>
    <t xml:space="preserve">Find the equation of the circle passing through the points of intersection of the circles x2 + y2 – 2x – 4y – 4 = 0 and x2 + y2 – 10x – 12y </t>
  </si>
  <si>
    <t xml:space="preserve">Find the equation to the circle which passes through the points (1, – 2) and (4, – 3) and which has its centre on the straight line 3x + 4y </t>
  </si>
  <si>
    <t xml:space="preserve">Let P and Q be 2 circles externally tangent at point X. A straight line is tangent to P at point A and is tangent to Q at point B(A  B). Th</t>
  </si>
  <si>
    <t xml:space="preserve">Find the sum of all integral value(s) of 'r'(r &gt; 0) for which the circles x2 + y2 – 10x + 16y + 89 – r2 = 0 and x2 + y2 + 6x – 14y + 42 = 0 </t>
  </si>
  <si>
    <t xml:space="preserve">The centres of two circles C1 and C2 each of unit radius are at a distance of 6 units from each other. Let P be the and C2 and C be a circle</t>
  </si>
  <si>
    <t xml:space="preserve">Show that the equation of a straight line meeting the circle x2 + y2 = a2 in two points at equal distances 'd' from a  d2  2 point (x1 , y</t>
  </si>
  <si>
    <t xml:space="preserve">If the circle x2 + y2 + 4x + 22y + a = 0 bisects the circumference of the circle x2 + y2 – 2x + 8y – b = 0 (where a, b &gt; 0), then find the m</t>
  </si>
  <si>
    <t xml:space="preserve">Find the equation of a circle which is co–axial with circles 2x2 + 2y2 – 2x + 6y – 3 = 0 and x2 + y2 + 4x + 2y + 1 = 0. It is given that the</t>
  </si>
  <si>
    <t xml:space="preserve">Find the equation of the circle through the points of intersection of circles x 2 + y2 – 4x – 6y – 12 = 0 and x2 + y2 + 6x + 4y – 12 = 0 and</t>
  </si>
  <si>
    <t xml:space="preserve">The centre of the circle S = 0 lie on the line 2x – 2y + 9 = 0 and S = 0 cuts orthogonally the circle x2 + y2 = 4. Show that circle S = 0 pa</t>
  </si>
  <si>
    <t xml:space="preserve">Find the equation of a circle passing through the origin if the line pair, xy – 3x + 2y – 6 = 0 is orthogonal to it. If this circle is ortho</t>
  </si>
  <si>
    <t xml:space="preserve">Find the equation of the circle which cuts the circle x2 + y2 – 14x – 8y + 64 = 0 and the coordinate axes orthogonally.</t>
  </si>
  <si>
    <t xml:space="preserve">Find the equation of a circle which touches the line x + y = 5 at the point (–2, 7) and cuts the circle x2 + y2 + 4x – 6y + 9 = 0 orthogonal</t>
  </si>
  <si>
    <t xml:space="preserve">Find the equation of the circle passing through the point (–6 , 0) if the power of the point (1, 1) w.r.t. the circle is 5 and it cuts the c</t>
  </si>
  <si>
    <t xml:space="preserve">Find the equation of the circle which passes through the points of intersection of circles x2 + y2 – 2x – 6y + 6 = 0 and x2 + y2 + 2x – 6y +</t>
  </si>
  <si>
    <t xml:space="preserve">Line 2x + 3y + 1 = 0 is a tangent to a circle at (1, –1). This circle is orthogonal to a circle which is drawn having diameter as a line seg</t>
  </si>
  <si>
    <t xml:space="preserve">The centre of the circle C lies on</t>
  </si>
  <si>
    <t xml:space="preserve">If k = 4 then the radius of the circle is :</t>
  </si>
  <si>
    <t xml:space="preserve">If A and B are (–2, 0) and (2, 0) respectively, then the centre of the circle C is :</t>
  </si>
  <si>
    <t xml:space="preserve">The equation of circle C is : [JEE-2008] 1 2 2</t>
  </si>
  <si>
    <t xml:space="preserve">Points E and F are given by : [JEE-2008] fcUnq E o F gksxsa : [JEE-2008]  3 3  3 1  2 2  2 2  3 3  3 1 3 3  3 1  2 2  2 2</t>
  </si>
  <si>
    <t xml:space="preserve">Equations of the sides RP, RQ are : [JEE-2008] 2 2 1 3 3 3 3 3 2 2</t>
  </si>
  <si>
    <t xml:space="preserve">Point (2, 2) lies :</t>
  </si>
  <si>
    <t xml:space="preserve">The point (1, 2) lies :</t>
  </si>
  <si>
    <t xml:space="preserve">The line x – y + 2 2 = 0 is : js[kk x – y + 2 2 = 0 :</t>
  </si>
  <si>
    <t xml:space="preserve">A circle passes through the points ( 1, 1) , (0, 6) and (5, 5) . The point(s) on this circle, the tangent(s) at which is/are parallel to th</t>
  </si>
  <si>
    <t xml:space="preserve">Three distinct lines are drawn in a plane. Suppose there exist exactly n circles in the plane tangent to all the three lines, then the possi</t>
  </si>
  <si>
    <t xml:space="preserve">Equations of circles which pass through the points (1, –2) and (3, – 4) and touch the x–axis is :</t>
  </si>
  <si>
    <t xml:space="preserve">The circle x2 + y2 – 2 x – 3 k y – 2 = 0 passes through two fixed points, : </t>
  </si>
  <si>
    <t xml:space="preserve">The equation of the circle which touches both the axes and the line   1 and lies in the first quadrant is 3 4 (x – c)2 + (y – c)2 = c2 whe</t>
  </si>
  <si>
    <t xml:space="preserve">Tangents PA and PB are drawn to the circle S  x2 + y2 – 2y – 3 = 0 from the point P(3, 4). Which of the following alternative(s) is/are cor</t>
  </si>
  <si>
    <t xml:space="preserve">If the equation of circle touching the y-axis at (0, 3) and making an intercept of 8 unit on x-axis is x2 + y2 + 2gx + 2fy + c = 0, then (g </t>
  </si>
  <si>
    <t xml:space="preserve">The circles x2 + y2 – 2x – 4y + 1 = 0 and x2 + y2 + 4x + 4y – 1 = 0</t>
  </si>
  <si>
    <t xml:space="preserve">Which of the following is/are True? The circles x2 + y2 – 6x – 6y + 9 = 0 and x2 + y2 + 6x + 6y + 9 = 0 are such that:</t>
  </si>
  <si>
    <t xml:space="preserve">Consider the circles C1: x2 + y2 = 16 and C2 : x2 + y2 – 12x + 32 = 0. Which of the following statements is/are correct?</t>
  </si>
  <si>
    <t xml:space="preserve">If a circle passes through P(0, 1), Q(0, 9) and touches the x – axis, then which of the following statement(s) is/are TRUE?</t>
  </si>
  <si>
    <t xml:space="preserve">A family of linear functions is given by f (x) = 1 + c(x + 3) where c  R. If a member of this family meets a unit circle centred at origin </t>
  </si>
  <si>
    <t xml:space="preserve">Which of the following lines have the intercepts of equal lengths on the circle, x2 + y2 – 2x + 4y = 0?</t>
  </si>
  <si>
    <t xml:space="preserve">The equations of the tangents drawn from the origin to the circle, x² + y² – 2rx – 2hy + h² = 0 are :</t>
  </si>
  <si>
    <t xml:space="preserve">Match the following column : Column – I Column – II 2 2 2 2 x + y = 8 and (x – a) + y = 8 subtends a right angle at the origin is y = 22 3 (</t>
  </si>
  <si>
    <t xml:space="preserve">Match the following column : Column – I Column – II x2 + y2 – 2x = 0 and x2 + y2 + 6x – 6y + 2 = 0 is x2 + y2 – 4x – 10y + 4 = 0 &amp; x2 + y2 –</t>
  </si>
  <si>
    <t xml:space="preserve">J-A</t>
  </si>
  <si>
    <t xml:space="preserve">Y</t>
  </si>
  <si>
    <t xml:space="preserve">A possible equation of L is : [JEE-2012]</t>
  </si>
  <si>
    <t xml:space="preserve">A common tangent of the two circles is : [JEE-2012]</t>
  </si>
  <si>
    <t xml:space="preserve">The locus of the mid–point of the chord of contact of tangents drawn from points lying on the straight line 4x – 5y = 20 to the circle x 2 +</t>
  </si>
  <si>
    <t xml:space="preserve">Circle(s) touching x–axis at a distance 3 from the origin and having an intercept of length 2 7 on y–axis is (are) : [JEE(Adv.)2013] [JEE(Ad</t>
  </si>
  <si>
    <t xml:space="preserve">A circle S passes through the point (0,1) and is orthogonal to the circles (x – 1)2 + y2 = 16 and x2 + y2 = 1. Then: [JEE(Adv.)2014] [JEE(Ad</t>
  </si>
  <si>
    <t xml:space="preserve">Let RS be the diameter of the circle x2 + y2 = 1, where S is the point (1, 0). Let P be a variable point (other than R and S) on the circle </t>
  </si>
  <si>
    <t xml:space="preserve">For how many values of p, the circle x2 + y2 + 2x + 4y – p = 0 and the coordinate axes have exactly three common points? [JEE(Adv.)2017] [JE</t>
  </si>
  <si>
    <t xml:space="preserve">Let T be the line passing through the points P(–2, 7) and Q(2, –5). Let F1 be the set of all pairs of circles (S1, S2) such that T is tangen</t>
  </si>
  <si>
    <t xml:space="preserve">Let E1E2 and F1F2 be the chords of S passing through the point P0 (1,1) and parallel to the x–axis and the y–axis, r e s p e c t i v e l y .</t>
  </si>
  <si>
    <t xml:space="preserve">Let P be a point on the circle S with both coordinates being positive. Let the tangent to S at P intersect the coordinate axes at the points</t>
  </si>
  <si>
    <t xml:space="preserve">A line y = m x + 1 intersects the circle (x–3)2 + (y+2)2 = 25 at the points P and Q. If the midpoint of the line segment 3 PQ has x–coordina</t>
  </si>
  <si>
    <t xml:space="preserve">Let the point B be the reflection of the point A(2, 3) with respect to the line 8x – 6y – 23 = 0. Let A and B be circles of radii 2 and 1 </t>
  </si>
  <si>
    <t xml:space="preserve">Let O be the centre of the circle x2 + y2 = r2, where r &gt; . Suppose PQ is a chord of this circle and the equation 2 of the line passing thro</t>
  </si>
  <si>
    <t xml:space="preserve">Consider a triangle whose two sides lie on the x-axis and the line x + y + 1 = 0. If the orthocenter of is (1, 1), then the equation of </t>
  </si>
  <si>
    <t xml:space="preserve">Consider M with r  . Let k be the number of all those circles Cn that are inside M. Let l be the maximum 513 possible number of circles amo</t>
  </si>
  <si>
    <t xml:space="preserve">Consider M with r  . The number of all those circles Dn that are inside M is : 2198 [JEE(Adv.)2021] (2199  1) 2 2198 [JEE(Adv.)2021]</t>
  </si>
  <si>
    <t xml:space="preserve">Let ABC be the triangle with AB = 1, AC = 3 and BAC  . If a circle of radius r &gt; 0 touches the sides AB, 2 AC and also touches internally </t>
  </si>
  <si>
    <t xml:space="preserve">Let G be a circle of radius R &gt; 0. Let G1, G2, … , Gn be n circles of equal radius r &gt; 0. Suppose each of the n circles G1,G2,......Gn touch</t>
  </si>
  <si>
    <t xml:space="preserve">Let C1 be the circle of radius 1 with center at the origin. Let C2 be the circle of radius r with center at the point A = (4, 1), where 1 &lt; </t>
  </si>
  <si>
    <t xml:space="preserve">Let the straight line y = 2x touch a circle with center (0,),  &gt; 0, and radius r at a point A1. Let B1 be the point on the circle such tha</t>
  </si>
  <si>
    <t xml:space="preserve">C-I</t>
  </si>
  <si>
    <t xml:space="preserve">If a &gt; 2b &gt; 0 then the positive value of m for which y = mx – b 1 m 2 is a common tangent to x2 + y2 = b2 and (x – a)2 + y2 = b2 is : mHk; </t>
  </si>
  <si>
    <t xml:space="preserve">A circle touches a straight line lx + my + n = 0 &amp; cuts the circle x² + y² = 9 orthogonally. The locus of centres of such circles is : a:</t>
  </si>
  <si>
    <t xml:space="preserve">The circle x² + y² = 4 cuts the circle x² + y² + 2x + 3y – 5 = 0 in A &amp; B. Then the equation of the circle on AB as a diameter is : a:</t>
  </si>
  <si>
    <t xml:space="preserve">The triangle PQR is inscribed in the circle x2 + y2 = 25. If Q and R have co–ordinates (3, 4) and (–4, 3) respectively, the QPR is equal to</t>
  </si>
  <si>
    <t xml:space="preserve">If two distinct chords, drawn from the point (p, q) on the circle x2 + y2 = px + qy (where pq  0) are bisected by the x–axis, then : r ks:</t>
  </si>
  <si>
    <t xml:space="preserve">Let PQ and RS be tangents at the extremities of the diameter PR of a circle of radius r. If PS and RQ intersect at a point X on the circumfe</t>
  </si>
  <si>
    <t xml:space="preserve">A circle is given by x2 + (y – 1)2 = 1, another circle C touches it externally and also the x–axis, then the locus of its centre is :</t>
  </si>
  <si>
    <t xml:space="preserve">A circle with center (2,2) touches the coordinate axes and a straight line AB where A and B lie on positive direction of coordinate axes suc</t>
  </si>
  <si>
    <t xml:space="preserve">From a point 'P' on the line 2x + y + 4 = 0; which is nearest to the circle x2 + y2 – 12y + 35 = 0, tangents are drawn to given circle. The </t>
  </si>
  <si>
    <t xml:space="preserve">A s q u a r e O A B C i s f o r m e d b y l i n e p a ir s x y = 0 a n d x y + 1 = x + y w h e r e 'O ' i s t h e o r i g i n . A c i r c l </t>
  </si>
  <si>
    <t xml:space="preserve">A circle of radius unity is centred at origin. Two particles start moving at the same time from the point (1,0) and move around the circle i</t>
  </si>
  <si>
    <t xml:space="preserve">Let ABCD be a quadrilateral with area 18, with side AB parallel to the side CD and AB = 2CD. Let AD be perpendicular to AB and CD. If a circ</t>
  </si>
  <si>
    <t xml:space="preserve">A line meets the co-ordinate axes in A and B. A circle is circumscribed about the triangle OAB. If d1 and d2 are the distances of the tangen</t>
  </si>
  <si>
    <t xml:space="preserve">The locus of the point from which two given unequal circle subtend equal angles is :</t>
  </si>
  <si>
    <t xml:space="preserve">Triangle ABC is right angled at A. The circle with centre A and radius AB cuts BC and AC internally at D and E respectively. If BD = 20 and </t>
  </si>
  <si>
    <t xml:space="preserve">If H represent the harmonic mean between the abscissae, and K that between the ordinates of the points, in which a circle x2 + y2 = c2 is cu</t>
  </si>
  <si>
    <t xml:space="preserve">In the diagram, DC is a diameter of the large circle centered at A, and AC is a diameter of the smaller circle centered at B. If DE is tange</t>
  </si>
  <si>
    <t xml:space="preserve">AB is a diameter of a circle. CD is a chord parallel to AB and 2 CD = AB. The tangent at B meets the line AC produced at E then AE is equal </t>
  </si>
  <si>
    <t xml:space="preserve">If a = max {(x + 2)2 + (y – 3)2} and b = min {(x + 2)2 + (y – 3)2} where x,y satisfying x2 + y2 + 8x – 10y – 40 = 0, then : d j r sgS ] r ks</t>
  </si>
  <si>
    <t xml:space="preserve">A square is inscribed in the circle x2 + y2 – 2x + 4y – 93 = 0 with the sides parallel to the co–ordinate axes. The co– ordinate of the vert</t>
  </si>
  <si>
    <t xml:space="preserve">The centre(s) of the circle(s) passing through the points (0, 0), (1, 0) and touching the circle x2 + y2=9 is/are : 3 1 1 3  1 1/2  1</t>
  </si>
  <si>
    <t xml:space="preserve">Locus of the intersection of the two straight lines passing through (1, 0) and (–1, 0) respectively and including an angle of 45° can be a c</t>
  </si>
  <si>
    <t xml:space="preserve">The circles x2 + y2 + 2x + 4y – 20 = 0 and x2 + y2 + 6x – 8y + 10 = 0 : 3 2 3 2</t>
  </si>
  <si>
    <t xml:space="preserve">Consider the circle x2 + y2 – 8x – 18y + 93 = 0 with centre 'C' and point P(2, 5) outside it. From the point P, a pair of tangents PQ and PR</t>
  </si>
  <si>
    <t xml:space="preserve">C-II</t>
  </si>
  <si>
    <t xml:space="preserve">C1 &amp; C2 are two concentric circles, the radius of C2 being twice that of C1. From a point P on C2, tangents PA &amp; PB are drawn to C1. Prove t</t>
  </si>
  <si>
    <t xml:space="preserve">Two vertices of an equilateral triangle are (– 1, 0) and (1, 0) and its third vertex lies above the x–axis. The equation of its circumcirlce</t>
  </si>
  <si>
    <t xml:space="preserve">Let S : x2 + y2 – 8x – 6y + 24 = 0 be a circle and O is the origin. Let OAB is the line intersecting the circle at A and B. On the chord AB </t>
  </si>
  <si>
    <t xml:space="preserve">A circle x 2 + y2 + 4x – 2 2 y + c = 0 is the director circle of circle S1 and S1 is the director circle of circle S2 and so on. If the sum </t>
  </si>
  <si>
    <t xml:space="preserve">A rhombus ABCD has sides of length 10. A circle with centre 'A' passes through C (the opposite vertex) likewise, a circle with centre B pass</t>
  </si>
  <si>
    <t xml:space="preserve">The radical axis of the circles x2 + y2 + 2gx + 2fy + c = 0 and 2x2 + 2y2 + 3x + 8y + 2c = 0 touches the circle x² + y² + 2x – 2y + 1 = 0. S</t>
  </si>
  <si>
    <t xml:space="preserve">Consider a family of circles passing through two fixed points A (3, 7) &amp; B(6, 5). The the chords in which the circle x2 + y2 – 4x – 6y – 3 =</t>
  </si>
  <si>
    <t xml:space="preserve">Find the equation of circle passing through (1, 1) belonging to the system of co–axal circles that are tangent at (2, 2) to the locus of the</t>
  </si>
  <si>
    <t xml:space="preserve">The circle C : x2 + y2 + kx + (1 + k)y – (k + 1) = 0 passes through two fixed points for every real number k. Find (i) the coordinates of th</t>
  </si>
  <si>
    <t xml:space="preserve">Show that the locus of the centres of a circle which cuts two given circles orthogonally is a straight line &amp; hence deduce the locus of the </t>
  </si>
  <si>
    <t xml:space="preserve">Find the equation of a circle which touches the lines 7x 2 – 18xy + 7y2 = 0 and the circle x2 + y2 – 8x – 8y = 0 and is contained in the giv</t>
  </si>
  <si>
    <t xml:space="preserve">Let 2x2 + y2 – 3xy = 0 be the equation of a pair of tangents drawn from the origin 'O' to a circle of radius 3 with centre in the first quad</t>
  </si>
  <si>
    <t xml:space="preserve">Obtain the equations of the straight lines passing through the point A(2, 0) &amp; making 45° angle with the tangent at A to the circle (x + 2)2</t>
  </si>
  <si>
    <t xml:space="preserve">A circle C is tangent to the x and y axis in the first quadrant at the points P and Q respectively. BC and AD are parallel tangents to the c</t>
  </si>
  <si>
    <t xml:space="preserve">Circles C1 and C2 are externally tangent and they are both internally tangent to the circle C3. The radii of C1 and C2 are 4 and 10, respect</t>
  </si>
  <si>
    <t xml:space="preserve">Let S1 = 0 and S2 = 0 be two circles intersecting at P (6, 4) and both are tangent to x-axis and line y = mx 52 (where m &gt; 0). If product of</t>
  </si>
  <si>
    <t xml:space="preserve">Given that a right angled trapezium has an inscribed circle. Prove that the length of the right angled leg is the Harmonic mean of the lengt</t>
  </si>
  <si>
    <t xml:space="preserve">Tangents are drawn from any point on the circle x2 + y2 = R2 to the circle x2 + y2 = r2. Show that if the line joining the points of interse</t>
  </si>
  <si>
    <t xml:space="preserve">Prove that the length of the common chord of the two circles x2 + y2 = a2 and (x – c)2 + y2 = b2 is 1 (a  b  c) (a  b  c) (a  b  c) (</t>
  </si>
  <si>
    <t xml:space="preserve">Number of elements in the A  B  C is :</t>
  </si>
  <si>
    <t xml:space="preserve">(x + 1)2 + (y – 1)2 + (x – 5)2 + (y – 1)2 has the value equal to :</t>
  </si>
  <si>
    <t xml:space="preserve">If the locus of the point of intersection of the pair of perpendicular tangents to the circle B is the curve S then the area enclosed betwee</t>
  </si>
  <si>
    <t xml:space="preserve">The coordinates of Q are :</t>
  </si>
  <si>
    <t xml:space="preserve">Equation of the line PR is :   2</t>
  </si>
  <si>
    <t xml:space="preserve">If the area bounded by the circle, the x-axis and PQ is A(), then A   equals : 4  4   3 3   8 8 8 8</t>
  </si>
  <si>
    <t xml:space="preserve">Consider two circles C1 of radius 'a' and C2 of radius 'b' (b &gt; a) both lying in the first quadrant and touching the b coordinate axes. In e</t>
  </si>
  <si>
    <t xml:space="preserve">J-M(XII)</t>
  </si>
  <si>
    <t xml:space="preserve">Let the circle S: 36x2 + 36y2 – 108x + 120y + C = 0 be such that it neither intersects nor touches the co-ordinates axes. If the point of in</t>
  </si>
  <si>
    <t xml:space="preserve">Let A = {(x, y)  R × R |2x2 + 2y2 – 2x – 2y = 1}, B = {(x, y)  R × R |4x2 + 4y2 – 16y + 7 =0} and C = {(x, y)  R × R | x2 + y2 –4x –2y + </t>
  </si>
  <si>
    <t xml:space="preserve">Two tangents are drawn from the point P (–1, 1) to the circle x2 + y2 – 2x –6y + 6 = 0. If these tangents touch the circle at points A and B</t>
  </si>
  <si>
    <t xml:space="preserve">Let P and Q be two distinct points on a circle which has center at C(2,3) and which passes through origin O. If OC is perpendicular to both </t>
  </si>
  <si>
    <t xml:space="preserve">Consider a circle C which touches the y-axis at (0, 6) and cuts off an intercept 6 5 on the x-axis. Then the radius of the circle C is equal</t>
  </si>
  <si>
    <t xml:space="preserve">If a line along a chord of the circle 4x 2  4y 2  120x  675  0 , passes through the point (–30, 0) and is tangent to the parabola y2 = 3</t>
  </si>
  <si>
    <t xml:space="preserve">A circle C touches the line x = 2y at the point (2, 1) and itnersects the circle C1 : x2 + y2 + 2y – 5 = 0 at two points P and Q such that P</t>
  </si>
  <si>
    <t xml:space="preserve">Let Z be the set of all integers, A  {(x, y)  Z  Z : (x – 2)2  y 2  4} B  {(x, y)  Z  Z : x 2  y 2  4} C  {(x, y)  Z  Z : (x  </t>
  </si>
  <si>
    <t xml:space="preserve">If the variable line 3x + 4y =  lies between the two circles (x – 1)2 + (y – 1)2 = 1 and (x – 9)2 + (y – 1)2 = 4, without intercepting a ch</t>
  </si>
  <si>
    <t xml:space="preserve">Two circles each of radius 5 units touch each other at the point (1, 2). If the equation of their common tangent is 4x + 3y = 10, and C1(,</t>
  </si>
  <si>
    <t xml:space="preserve">The locus of a point, which moves such that the sum of squares of its distances from the points (0, 0), (1, 0), (0, 1), (1, 1) is 18 units, </t>
  </si>
  <si>
    <t xml:space="preserve">L et the equation x 2 + y2 + px + (1 – p)y + 5 = 0 represent circles of varying radius r  (0, 5]. Then the number of elements in the set S </t>
  </si>
  <si>
    <t xml:space="preserve">Let B be the centre of the circle x2 + y2 – 2x + 4y + 1 = 0. Let the tangents at two points P and Q on the circle  area APQ  intersect at</t>
  </si>
  <si>
    <t xml:space="preserve">Let a circle C touch the lines L1 : 4x – 3y + K1 = 0 and L2 : 4x – 3y + K2 = 0, K1, K2  R. If a line passing through the centre of the circ</t>
  </si>
  <si>
    <t xml:space="preserve">A circle touches both the y-axis and the line x + y = 0. Then the locus of its center is : [JEE(Main)June2022] [JEE(Main)June2022]</t>
  </si>
  <si>
    <t xml:space="preserve">Let C be a circle passing through the points A(2, –1) and B(3, 4). The line segment AB is not a diameter of C. If 13 r is the radius of C an</t>
  </si>
  <si>
    <t xml:space="preserve">The set of value of k, for which the circle C : 4x2 + 4y2 –12x + 8y + k = 0 lies inside the fourth quadrant and the  1 point  1,   lies</t>
  </si>
  <si>
    <t xml:space="preserve">  If the tangents drawn at the points O(0, 0) and P 1  5, 2 on the circle x2 + y2 – 2x – 4y = 0 intersect at the point Q, then the area o</t>
  </si>
  <si>
    <t xml:space="preserve">Let the tangent to the circle C 1 : x 2 + y2 = 2 at t he point M(–1, 1) intersect t he circle C2 : (x – 3)2 + (y – 2)2 = 5, at two distinct </t>
  </si>
  <si>
    <t xml:space="preserve">Let a triangle ABC be inscribed in the circle x 2  2  x  y   y 2  0 such that BAC  . If the length of side 2 AB is 2 , then the area</t>
  </si>
  <si>
    <t xml:space="preserve">Let circle C : (x –h)2 + (y – k)2 = r2, k &gt; 0, touch the x-axis at (1,0). If the line x + y = 0 intersects the circle C at P and Q such that</t>
  </si>
  <si>
    <t xml:space="preserve">Let the abscissae of the two points P and Q be the roots of 2x2 – rx + p = 0 and the ordinates of P and Q be the roots of x2 – sx – q = 0. I</t>
  </si>
  <si>
    <t xml:space="preserve">A rectangle R with end points of one of the its sides as (1, 2) and (3, 6) is inscribed in a circle. If the equation of diameter of the circ</t>
  </si>
  <si>
    <t xml:space="preserve">Let the circle C of radius 5 lie below the x-axis. The line L1 : 4x + 3y + 2 = 0 passes through the centre P of the circle C and intersects </t>
  </si>
  <si>
    <t xml:space="preserve">Let the lines y  2x  11  7 7 and 2y  x  2 11  6 7 be normal to a circle C :  x  h    y  k   r 2 . 5 77 If the line 11y  3x  </t>
  </si>
  <si>
    <t xml:space="preserve">If one of t he diamet ers of t he circle x 2  y 2  2 2x  6 2y  14  0 is a chord of t he circle 2 2  x  2 2    y  2 2   r , then</t>
  </si>
  <si>
    <t xml:space="preserve">Let the locus of the centre (, ),  &gt; 0, of the circle which touches the circle x2 + (y – 1)2 = 1 externally and also touches the x-axis b</t>
  </si>
  <si>
    <t xml:space="preserve">Let the abscissae of the two points P and Q on a circle be the roots of x2 – 4x – 6 = 0 and the ordinates of P and Q be the roots of y2 + 2y</t>
  </si>
  <si>
    <t xml:space="preserve">If the circle x2 + y2 – 2gx + 6y – 19c = 0, g, c  R passes through the point (6, 1) and its centre lies on the line x – 2cy = 8, then the l</t>
  </si>
  <si>
    <t xml:space="preserve">A circle C1 passes through the origion O and has diameter 4 on the positive x-axis. The line y = 2x gives a chord OA of circle C1. Let C2 be</t>
  </si>
  <si>
    <t xml:space="preserve">For t  (0, 2), if ABC is an equilateral triangle with vertices A(sin t, – cot t), B(cos t, sin t) and C(a, b) such that  1 its orthocent</t>
  </si>
  <si>
    <t xml:space="preserve">Let C be the centre of the circle x2 + y2 – x + 2y = and P be a point on the circle. A line passes through the point 4  C, makes an angle o</t>
  </si>
  <si>
    <t xml:space="preserve">Let the tangents at two points A and B on the circle x2 + y2 – 4x + 3 = 0 meet at origin O(0, 0). Then the area of the triangle OAB is : [JE</t>
  </si>
  <si>
    <t xml:space="preserve">    If the circles x2 + y2 + 6x + 8y + 16 = 0 and x   y 2  2 3  3 x  2 4  6 y  k  6 3  8 6 , k &gt; 0, touch 2 2  internally at t</t>
  </si>
  <si>
    <t xml:space="preserve">Let the mirror image of a circle c1 : x2 + y2 – 2x – 6y +  = 0 in line y = x + 1 be c2 : 5x2 + 5y2 + 10gx + 10fy + 38 = 0. If r is the radi</t>
  </si>
  <si>
    <t xml:space="preserve">Let AB be a chord of length 12 of the circle  x  2  2   y  1 2  . If tangents drawn to the circle at points A 4 and B intersect at t</t>
  </si>
  <si>
    <t xml:space="preserve">J-M(XIII)</t>
  </si>
  <si>
    <t xml:space="preserve">The locus of the mid points of the chords of the circle C1 : (x – 4)2 + (y – 5)2 = 4 which subtend an angle i at the  2 centre of the cir</t>
  </si>
  <si>
    <t xml:space="preserve">The points of intersection of the line ax + by = 0, (a  b) and the circle x2 + y2 – 2x = 0 are A (, 0) and B (1, ). The image of the circ</t>
  </si>
  <si>
    <t xml:space="preserve">Let the tangents at the point A(4,  11) and B(8,  5) on the circle x2 + y2  3x + 10y  15 = 0, intersect at the point C. Then the radius </t>
  </si>
  <si>
    <t xml:space="preserve">Let y = x + 2, 4y = 3x + 6 and 3y = 4x + 1 be three tangent lines to the circle (x  h)2 + (y  k)2 = r2. Then h + k is equal to : [JEE(Main</t>
  </si>
  <si>
    <t xml:space="preserve">Let a circle C1 be obtained on rolling the circle x2 + y2  4x  6y + 11 = 0 upwards 4 units on the tangent T to it at the point (3,2). Let </t>
  </si>
  <si>
    <t xml:space="preserve"> 1 a 1 a  The set of all values of a2 for which the line x + y = 0 bisects two distinct chords drawn from a point P  ,   2 2  on the</t>
  </si>
  <si>
    <t xml:space="preserve">Ponts P(–3, 2), Q(9,10) and R(, 4) lie on a circle C with PR as its diameter. The tangents to C at the points Q and R intersect at the poin</t>
  </si>
  <si>
    <t xml:space="preserve">A circle with centre (2, 3) and radius 4 intersects the line x + y = 3 at the points P and Q. If the tangents at P and Q intersect at the po</t>
  </si>
  <si>
    <t xml:space="preserve">Let P(a1, b1) and Q(a2,b2) be two distinct points on a circle with center C  2, 3  . Let O be the origin and OC 35 be perpendicular to bot</t>
  </si>
  <si>
    <t xml:space="preserve">If the tangents at the points P and Q on the circle x2 + y2 – 2x + y = 5 meet at the point R  , 2  , then the area of 4  the triangle PQ</t>
  </si>
  <si>
    <t xml:space="preserve">Let O be the origin and OP and OQ be the tangents to the circle x2 + y2 – 6x + 4y + 8 = 0 at the points P and Q  1 on it. If the circumcir</t>
  </si>
  <si>
    <t xml:space="preserve">A line segment AB of length  moves such that the points A and B remain on the periphery of a circle of radius . Then the locus of the poin</t>
  </si>
  <si>
    <t xml:space="preserve">Let A be the point (1, 2) and B be any point on the curve x2 + y2 = 16. If the centre of the locus of the point P, which divides the line se</t>
  </si>
  <si>
    <t xml:space="preserve">Let the centre of a circle be (, ) and its radius r &lt; 8. Let 3x + 4y = 24 and 3x – 4y = 32 be two tangents and 4x + 3y = 1 be a normal to </t>
  </si>
  <si>
    <t xml:space="preserve">The number of common tangents, to the circles x2 + y2 – 18x – 15y + 131 = 0 and x2 + y2 – 6x – 6y – 7 = 0 : [JEE(Main)April,2023] [JEE(Main)</t>
  </si>
  <si>
    <t xml:space="preserve">  Let the point (p, p + 1) lie inside the region E  (x, y) : 3  x  y  9  x 2 , 0  x  3 . If the set of all values of p is the inter</t>
  </si>
  <si>
    <t xml:space="preserve">A circle passing through the point P(, ) in the first quadrant touches the two coordinate axes at the points A and B. The point P is above</t>
  </si>
  <si>
    <t xml:space="preserve">Consider a circle C1 : x2 + y2 – 4x – 2y =  – 5. Let its mirror image in the line y = 2x + 1 be another circle C2 : 5x2 + 5y2 – 10fx – 10gy</t>
  </si>
  <si>
    <t xml:space="preserve">Two circles in the first quadrant of radii r1 and r2 touch the coordinate axes. Each of them cuts off an intercept of 2 units with the line </t>
  </si>
  <si>
    <t xml:space="preserve">Four distinct points (2k, 3k), (1,0), (0,1) and (0,0) lie on a circle for k equal to : [JEE(Main)Jan.2024] 3 1 5 2 13 13 13 13</t>
  </si>
  <si>
    <t xml:space="preserve">If the circles (x + 1)2 + (y + 2)2 = r2 and x2 + y2 – 4x – 4y + 4 = 0 intersect at exactly two distinct points, then: [JEE(Main)Jan.2024] [J</t>
  </si>
  <si>
    <t xml:space="preserve">If one of the diameters of the circle x2 + y2 – 10x + 4y + 13 = 0 is a chord of another circle C, whose center is the point of intersection </t>
  </si>
  <si>
    <t xml:space="preserve">Let a variable line passing through the centre of the circle x2 + y2 – 16x – 4y = 0, meet the positive co-ordinate axes at the points A and </t>
  </si>
  <si>
    <t xml:space="preserve">Let C : x2 + y2 = 4 and C : x2 + y2 – 4x + 9 = 0 be two circles. If the set of all values of  so that the circles C and C intersect at t</t>
  </si>
  <si>
    <t xml:space="preserve">Let the locus of the midpoints of the chords of the circle x2 + (y – 1)2 = 1 drawn from the origin intersect the line x + y = 1 at P and Q. </t>
  </si>
  <si>
    <t xml:space="preserve">Consider a circle (x – )2 + (y – )2 = 50 where ,  &gt; 0. If the circle touches the line y + x = 0 at the point P, whose distance from the </t>
  </si>
  <si>
    <t xml:space="preserve">Equation of two diameters of a circle are 2x – 3y = 5 and 3x – 4y = 7. The line joining the points   , 4  and  7   1    ,3  inter</t>
  </si>
  <si>
    <t xml:space="preserve">Consider two circles C1 : x2 +y2 = 25 and C2 :(x – )2 + y2 = 16, where  (5, 9). Let the angle between the two  63  radii (one to each </t>
  </si>
  <si>
    <t xml:space="preserve">A square is inscribed in the circle x2 + y2 – 10x – 6y + 30 = 0. One side of this square is parallel to y = x + 3. If (xi,  2 yi) are the v</t>
  </si>
  <si>
    <t xml:space="preserve">Let C be a circle with radius 10 units and centre at the origin. Let the line x + y = 2 intersects the circle C at the points P and Q. Let M</t>
  </si>
  <si>
    <t xml:space="preserve">Let a circle C of radius 1 and closer to the origin be such that the lines passing through the point (3, 2) and parallel to the coordinate a</t>
  </si>
  <si>
    <t xml:space="preserve">Let ABCD and AEFG be squares of side 4 and 2 units, respectively. Then point E is on the line segment AB and the point F is on the diagonal </t>
  </si>
  <si>
    <t xml:space="preserve">Let the circle C1 : x2 + y2 – 2(x + y) + 1 = 0 and C2 be a circle having centre at (–1, 0) and radius 2. If the line of common chord of C1 a</t>
  </si>
  <si>
    <t xml:space="preserve">A circle is inscribed in an equilateral triangle of side of length 12. If the area and perimeter of any square inscribed in this circle are </t>
  </si>
  <si>
    <t xml:space="preserve">2 Let the circles C1 :  x      y    2  x  8    y    r22 touch each other externally at  r12 and C2 : 2  2 the point (6</t>
  </si>
  <si>
    <t xml:space="preserve">If the image of the point (–4,5) in the line x + 2y = 2 lies on the circle (x + 4)2 + (y – 3)2 = r2, then r is equal to: [JEE(Main)April,202</t>
  </si>
  <si>
    <t xml:space="preserve">Let the centre of a circle, passing through the points (0, 0), (1, 0) and touching the circle x2 + y2 = 9, be (h, k). Then for all possible </t>
  </si>
  <si>
    <t xml:space="preserve">DPP-1</t>
  </si>
  <si>
    <t xml:space="preserve">DPP</t>
  </si>
  <si>
    <t xml:space="preserve">Centres of the three circles x2 + y2 – 4x – 6y – 14 = 0 x2 + y2 + 2x + 4y – 5 = 0 and x2 + y2 – 10x – 16y + 7 = 0 : rhu o`rksa x2 + y2 – 4x </t>
  </si>
  <si>
    <t xml:space="preserve">The equation of the image of the circle x2 + y2 + 16x  24y + 183 = 0 by the line mirror 4x + 7y + 13 = 0 is :</t>
  </si>
  <si>
    <t xml:space="preserve">2x2 + 2y2 + 2 x + 2 = 0 represents a circle for :</t>
  </si>
  <si>
    <t xml:space="preserve">Suppose that the equation of the circle having (–3, 5) and (5, – 1) as end points of a diameter is (x – a)2 + (y – b)2 = r2. Then a + b + r,</t>
  </si>
  <si>
    <t xml:space="preserve">A square and an equilateral triangle have the same perimeter. Let A be the area of the circle circumscribed about A the square and B be the </t>
  </si>
  <si>
    <t xml:space="preserve">The radii of the circles x2 + y2 = 1, x2 + y2 – 2x – 6y = 6 and x2 + y2 – 4x – 12y = 9 are in :</t>
  </si>
  <si>
    <t xml:space="preserve">A rhombus is inscribed in the region common to the two circles x 2 + y2  4x  12 = 0 and x2 + y2 + 4x  12 = 0 with two of its vertices on </t>
  </si>
  <si>
    <t xml:space="preserve">(6, 0), (0, 6) and (7, 7) are the vertices of a triangle. The circle inscribed in the triangle has the equation :</t>
  </si>
  <si>
    <t xml:space="preserve">Number of points in which the graphs of |y| = x + 1 and (x – 1)2 + y2 = 4 intersect, is :</t>
  </si>
  <si>
    <t xml:space="preserve">The points (x1, y1) , (x2, y2) , (x1, y2) and (x2, y1) are always :</t>
  </si>
  <si>
    <t xml:space="preserve">The line joining (5 , 0) to (10 cos  , 10 sin ) is divided internally in the ratio 2 : 3 at P. If  varies then the locus of P is :</t>
  </si>
  <si>
    <t xml:space="preserve">The points A (a , 0) , B (0 , b) , C (c , 0) and D (0 , d) are such that ac = bd and a, b, c, d are all non-zero. Then the points :</t>
  </si>
  <si>
    <t xml:space="preserve">Four unit circles pass through the origin and have their centres on the coordinate axes. The area of the quadrilateral whose vertices are th</t>
  </si>
  <si>
    <t xml:space="preserve">Number of value(s) of A for which the system of equations x2 = y2 and (x – A)2 + y2 = 1 has exactly 3 solutions, is:</t>
  </si>
  <si>
    <t xml:space="preserve">Coordinates of the centre of the circle which bisects the circumferences of the circles x2 + y2 = 1 ; x2 + y2 + 2x – 3 = 0 and x2 + y2 + 2y </t>
  </si>
  <si>
    <t xml:space="preserve">Find the coordinates of the centre and the radius of the circles whose equations are : (a) 3x2 + 3y2 – 5x – 6y + 4 = 0 (b) 4x2 + 4y2 – 16x –</t>
  </si>
  <si>
    <t xml:space="preserve">If (4, 1) is an extremity of a diameter of the circle x2 + y2 – 2x + 6y – 15 = 0, find the co-ordinates of the other extremity of the diamet</t>
  </si>
  <si>
    <t xml:space="preserve">Show that the point (7, – 5) lies on the circle x2 + y2 – 6x + 4y – 12 = 0 and find the co-ordinates of the other end of the diameter throug</t>
  </si>
  <si>
    <t xml:space="preserve">Find the radius of the circle (x cos  + y sin  – a)2 + (x sin  – y cos  – b)2 = k2 and if  varies, find the locus of its centre. Kkr dh</t>
  </si>
  <si>
    <t xml:space="preserve">Find the equation to the circle which circumscribes the triangle formed by the lines x = 3 ; x + y + 3 = 0 and x – y + 1 = 0.</t>
  </si>
  <si>
    <t xml:space="preserve">DPP-2</t>
  </si>
  <si>
    <t xml:space="preserve">y – 1 = m1(x – 3) and y – 3 = m2(x – 1) are two family of straight lines, at right angles to each other. The locus of their point of interse</t>
  </si>
  <si>
    <t xml:space="preserve">The circle described on the line joining the points (0 , 1) , (a , b) as diameter cuts the xaxis in points whose abscissae are roots of the</t>
  </si>
  <si>
    <t xml:space="preserve">B and C are fixed points having coordinates (3, 0) and ( 3, 0) respectively . If the vertical angle BAC is 90º, then the locus of the cent</t>
  </si>
  <si>
    <t xml:space="preserve">The ends of a quadrant of a circle have the coordinates (1, 3) and (3, 1) then the centre of the such a circle is :</t>
  </si>
  <si>
    <t xml:space="preserve">In the xy plane, the segment with end points (3, 8) and (–5, 2) is the diameter of the circle. The point (k, 10) lies on the circle for :</t>
  </si>
  <si>
    <t xml:space="preserve">A circle of radius 5 has its centre on the negative x-axis and passes through the point (2, 3). The intercept made by the circle on the y-ax</t>
  </si>
  <si>
    <t xml:space="preserve">The equation of a line inclined at an angle to the axis X, such that the two circles 4 x2 + y2 = 4, x2 + y2 – 10x – 14y + 65 = 0 intercept e</t>
  </si>
  <si>
    <t xml:space="preserve">The x-coordinate of the center of the circle in the first quadrant (see figure) tangent to the lines y = x, y = 4 and 2 the x-axis is : 1 2 </t>
  </si>
  <si>
    <t xml:space="preserve">A(1, 0) and B(0, 1) and two fixed points on the circle x2 + y2 = 1. C is a variable point on this circle. As C moves, the locus of the ortho</t>
  </si>
  <si>
    <t xml:space="preserve">  r , represents : cos  sin  x  x1 y  y1 cos  sin </t>
  </si>
  <si>
    <t xml:space="preserve">Let C be a circle x2 + y2 = 1. The line l intersects C at the point (–1, 0) and the point P. Suppose that the slope of the line l is a ratio</t>
  </si>
  <si>
    <t xml:space="preserve">Consider the points P (2, 1) ; Q (0, 0) ; R (4, –3) and the circle S : x2 + y2 – 5x + 2y – 5 = 0</t>
  </si>
  <si>
    <t xml:space="preserve">Find the equation to the circle which goes through the origin and cuts off intercepts equal to h and k from the positive parts of the axes.</t>
  </si>
  <si>
    <t xml:space="preserve">Find the equation to the circle which touches each positive axes at a distance 5 from the origin.</t>
  </si>
  <si>
    <t xml:space="preserve">Find the equation to the circle which touches the axis of x and passes through the two points (1, – 2) and (3, – 4).</t>
  </si>
  <si>
    <t xml:space="preserve">Find the equation to the circle which touches the axis of : (a) x at a distance + 3 from the origin and intercepts a distance 6 on the axis </t>
  </si>
  <si>
    <t xml:space="preserve">Let A (– 4, 0) and B (4, 0). Number of points C = (x, y) on the circle x2 + y2 = 16 such that the area of the triangle whose vertices are A,</t>
  </si>
  <si>
    <t xml:space="preserve">If the points (, – ) lies inside the circle x2 + y2 – 4x + 2y – 8 = 0, then find the range of .</t>
  </si>
  <si>
    <t xml:space="preserve">The circle x2 + y2 – 6x – 10y + c = 0 does not touch or intersect the coordinate axes and the point (1, 4) is inside the circle. Find the se</t>
  </si>
  <si>
    <t xml:space="preserve">DPP-3</t>
  </si>
  <si>
    <t xml:space="preserve">A straight line with slope 2 and y-intercept 10 touches the circle, x2 + y2 + 16x + 12y + c = 0 at a point Q for :</t>
  </si>
  <si>
    <t xml:space="preserve">The smallest distance between the circle (x – 5)2 + (y + 3)2 = 1 and the line 5x + 12y – 4 = 0, is : 1 2 3 4 13 13 15 15</t>
  </si>
  <si>
    <t xml:space="preserve">The value of 'c' for which the set, {(x, y)x2 + y2 + 2x  1}  {(x, y)x  y + c  0} contains only one point in common is :</t>
  </si>
  <si>
    <t xml:space="preserve">The shortest distance from the line 3x + 4y = 25 to the circle x2 + y2 = 6x – 8y is equal to :</t>
  </si>
  <si>
    <t xml:space="preserve">If the curve y = 1  4  x 2 and the line y = (x – 2)k + 4 has two distinct points of intersection then the range of k, is : 5   5 3 5 3</t>
  </si>
  <si>
    <t xml:space="preserve">Consider 3 non collinear points A, B, C with coordinates (0, 6), (5, 5) and (–1, 1) respectively. Equation of a line tangent to the circle c</t>
  </si>
  <si>
    <t xml:space="preserve">A straight line with slope 2 and y-intercept 5 touches the circle, x2 + y2 + 16x + 12y + c = 0 at a point Q. Then the coordinates of Q are :</t>
  </si>
  <si>
    <t xml:space="preserve">The line 2x – y + 1 = 0 is tangent to the circle at the point (2, 5) and the centre of the circles lies on x – 2y = 4. The radius of the cir</t>
  </si>
  <si>
    <t xml:space="preserve">To which of the following circles, the line y  x + 3 = 0 is normal at the point  3  , :  2 2  3 3   2 2 2 2 2 2  3   3   3  </t>
  </si>
  <si>
    <t xml:space="preserve">The equation of a line which is concurrent with lines L1 : x – 2y –1 = 0 and L2 : x + y – 2 = 0 and tangent to the circle x2 + y2 – 6x + 2y </t>
  </si>
  <si>
    <t xml:space="preserve">The radius of the circle whose two normals are represented by the equation x2 – 5xy – 5x + 25y = 0 and which touches externally the circle x</t>
  </si>
  <si>
    <t xml:space="preserve">The normal at the point (3, 4) on a circle cuts the circle at the point (–1, –2). Then the equation of the circle is :</t>
  </si>
  <si>
    <t xml:space="preserve">The tangent(s) from the point of intersection of the lines 2x  3y + 1 = 0 and 3x  2y  1 = 0 to the circle x2 + y2 + 2x  4y = 0 is(are) :</t>
  </si>
  <si>
    <t xml:space="preserve">A foot of the normal from the point (4, 3) to a circle is (2, 1) and a diameter of the circle has the equation 2x – y – 2 = 0. Then the equa</t>
  </si>
  <si>
    <t xml:space="preserve">The circle having 2x + y – 5 = 0 and 2x + y + 15 = 0 as tangents and (–5, –5) is one of the point of contact of one of them, then the equati</t>
  </si>
  <si>
    <t xml:space="preserve">Sum of all the radii of the circles touching the coordinate axes and the line 3x + 4y = 12, is : 9 2</t>
  </si>
  <si>
    <t xml:space="preserve">Show that the line 3x – 4y – c = 0 will meet the circle having centre at (2, 4) and the raidus 5 in real and distinct points if – 35 &lt; c &lt; 1</t>
  </si>
  <si>
    <t xml:space="preserve">Find the equation of the tangent to the circle : (a) x2 + y2 – 6x + 4y = 12, which are parallel to the straight line 4x + 3y + 5 = 0. (b) x2</t>
  </si>
  <si>
    <t xml:space="preserve">Find the equations of the tangents to the circle x2 + y2 – 6x – 4y + 5 = 0, which make an angle of 45° with the axis of x.</t>
  </si>
  <si>
    <t xml:space="preserve">The lines lx + my + n = 0 intersects the curve ax2 + by2 = 1 (a  b) in A and B. If AOB = 90°, that AB touches the circle say C. Find the eq</t>
  </si>
  <si>
    <t xml:space="preserve">A line with gradient 2 is passing through the point P(1, 7) and touches the circle x2 + y2 + 16x + 12y + c = 0 at the point Q. If (a, b) are</t>
  </si>
  <si>
    <t xml:space="preserve">If M and m are the maximum and minimum values of for pair of real number (x, y) which satisfy the equation x (x – 3)2 + (y – 3)2 = 6, then f</t>
  </si>
  <si>
    <t xml:space="preserve">DPP-4</t>
  </si>
  <si>
    <t xml:space="preserve">Let ABC be a triangle with  A = 45°. Let P be a point on the side BC with PB = 3 and PC = 5. If 'O' is the circumcentre of the triangle ABC</t>
  </si>
  <si>
    <t xml:space="preserve">In the xy-plane, the length of the shortest path from (0, 0) to (12, 16) that does not go inside the circle (x – 6)2 + (y – 8)2 = 25 is : gk</t>
  </si>
  <si>
    <t xml:space="preserve">A variable circle C has the equation x2 + y2 – 2(t2 – 3t + 1)x – 2(t2 + 2t)y + t = 0, where t is a parameter. If the power of point P(a,b) w</t>
  </si>
  <si>
    <t xml:space="preserve">A point (2 , 1) is outside the circle x² + y² + 2gx + 2fy + c = 0 and AP , AQ are tangents to the circle. The equation of the circle circums</t>
  </si>
  <si>
    <t xml:space="preserve">Tangents are drawn from (4, 4) to the circle x2 + y2  2x  2y  7 = 0 to meet the circle at A and B. The length of the chord AB is :</t>
  </si>
  <si>
    <t xml:space="preserve">The area of the quadrilateral formed by the tangents from the point (4 , 5) to the circle x² + y²  4x  2y  11 = 0 with the pair of radii </t>
  </si>
  <si>
    <t xml:space="preserve">Consider the circles, x2 + y2 = 25 and x2 + y2 = 9. From the point A (0, 5) two segments are drawn touching the inner circle at the points B</t>
  </si>
  <si>
    <t xml:space="preserve">If a circle of radius 3 units is touching the lines 3 y 2  4 xy  3 x 2  0 in the first quadrant then the length of chord of contact to th</t>
  </si>
  <si>
    <t xml:space="preserve">The value of  lies in the interval :</t>
  </si>
  <si>
    <t xml:space="preserve">The intercept made by a tangent on the x-axis is : Li'kZ js[kk x-v{k ij fdruk vUr%[k.M dkVsxh :</t>
  </si>
  <si>
    <t xml:space="preserve">Locus of the middle points of the portion of the tangent to the circle terminated by the coordinate axes is :</t>
  </si>
  <si>
    <t xml:space="preserve">Tangents OP and OQ are drawn from the origin O to the circle x2 + y2 + 2gx + 2fy + c = 0. Find the equation of the circumcircle of the trian</t>
  </si>
  <si>
    <t xml:space="preserve">From any point on the circle x2 + y2 + 2gx + 2fy + c = 0 tangent are drawn to the circle x2 + y2 + 2gx + 2fy + c sin2  + (g2 + f2) cos2  =</t>
  </si>
  <si>
    <t xml:space="preserve">If the length of the tangent from a point (f, g) to the circle x2 + y2 = 4 be four times the length of the tangent from it to the circle x2 </t>
  </si>
  <si>
    <t xml:space="preserve">DPP-5</t>
  </si>
  <si>
    <t xml:space="preserve">From (3 , 4) chords are drawn to the circle x² + y²  4x = 0 . The locus of the mid points of the chords is :</t>
  </si>
  <si>
    <t xml:space="preserve">The locus of the center of the circles such that the point (2 , 3) is the mid point of the chord 5x + 2y = 16 is :</t>
  </si>
  <si>
    <t xml:space="preserve">Number of integral values of 'k' for which the chord of the circle x2 + y2 = 125 passing through P(8, k) gets bisected at P (8, k) and has i</t>
  </si>
  <si>
    <t xml:space="preserve">Locus of the middle points of a system of parallel chords with slope 2, of the circle x2 + y2 – 4x – 2y – 4 = 0, has the equation :</t>
  </si>
  <si>
    <t xml:space="preserve">The feet of the perpendicular from the origin on a variable chord of the circle x2 + y2 – 2x – 2y = 0 is N. If the variable chord makes an a</t>
  </si>
  <si>
    <t xml:space="preserve">A circle of constant radius ' a ' passes through origin ' O ' and cuts the axes of coordinates in points P and Q, then the equation of the </t>
  </si>
  <si>
    <t xml:space="preserve">The equation of the locus of the mid points of the chords of the circle 4x2 + 4y2  12x + 4y + 1 = 0 that subtend 2 an angle of at its cent</t>
  </si>
  <si>
    <t xml:space="preserve">The locus of the foot of the perpendicular from the origin upon chords of the circle x2 + y2 –2x – 4y – 4 = 0, which subtend a right angle a</t>
  </si>
  <si>
    <t xml:space="preserve">The locus of the mid points of the chords of the circle x2 + y2  ax  by = 0 which subtend a right angle at a 2 , b 2 is : a 2 b 2 a 2 </t>
  </si>
  <si>
    <t xml:space="preserve">The locus of the midpoints of the chords of the circle x2 + y2  2x  4y  11 = 0 which subtend 600 at the centre is :</t>
  </si>
  <si>
    <t xml:space="preserve">The locus of the middle point of the chord of the circle x2 + y2 = 1 such that the segment of the chord on the parabola y = x2 – x subtends </t>
  </si>
  <si>
    <t xml:space="preserve">The distance between the chords of contact of tangents to the circle x2+ y2 + 2gx + 2fy + c = 0 from the origin and the point (g, f) is : 2 </t>
  </si>
  <si>
    <t xml:space="preserve">If a circle of constant radius 3k passes through the origin 'O' and meets co-ordinate axes at A and B then the locus of the centroid of the </t>
  </si>
  <si>
    <t xml:space="preserve">Tangents PA and PB are drawn to the circle x2 + y2 = 4, then the locus of the point P if the triangle PAB is equilateral, is equal to : fcUn</t>
  </si>
  <si>
    <t xml:space="preserve">Tangents are drawn to a unit circle x2 + y2 = 1 with centre at the origin from each point on the line 2x + y = 4. Then the equation to the l</t>
  </si>
  <si>
    <t xml:space="preserve">Find the co-ordinates of the middle point of the chord which the circle x2 + y2 + 4x – 2y – 3 = 0 cuts off the line x – y + 2 = 0.  3 1 </t>
  </si>
  <si>
    <t xml:space="preserve">Show that the point (1, 2) lies inside the circle x2 + y2 – 11x – 2y – 24 = 0 and find the equation of the chord of which it is the middle p</t>
  </si>
  <si>
    <t xml:space="preserve">Find the co-ordinates of the middle point of the chord which the circle x2 + y2 – 2x + 2y – 2 = 0 cuts off on the line y = x – 1. Find also </t>
  </si>
  <si>
    <t xml:space="preserve">A chord of the circle x2 – 2ax + y2 = 0 is drawn to pass through the origin. Show that the locus of the centre of the circle described on th</t>
  </si>
  <si>
    <t xml:space="preserve">The Straight line x – 2y + 1 = 0 intersects the circle x2 + y2 = 25 in points T and T', find the co-ordinates of a point of intersection of </t>
  </si>
  <si>
    <t xml:space="preserve">DPP-6</t>
  </si>
  <si>
    <t xml:space="preserve">Sum of the abscissa and ordinate of the centre of the circle touching the line 3x + y + 2 = 0 at the point (–1, 1) and passing through the p</t>
  </si>
  <si>
    <t xml:space="preserve">A circle touches the bisector of the first and third quadrant at the origin and passes through the point (2, 0). The equation of the circle </t>
  </si>
  <si>
    <t xml:space="preserve">A circle of radius 5 is tangent to the line 4x – 3y = 18 at M(3, – 2) and lies above the line. The equation of the circle, is :</t>
  </si>
  <si>
    <t xml:space="preserve">Two circles of radii 4 cms and 1 cm touch each other externally and  is the angle contained by their direct common tangents. Then sin  = 2</t>
  </si>
  <si>
    <t xml:space="preserve">The locus of the centre of a circle which touches externally the circle, x² + y²  6x  6y + 14 = 0 and also touches the y-axis is given by </t>
  </si>
  <si>
    <t xml:space="preserve">The circle x2 + y2 – 4x + 4y = 0 with centre C1 and x2 + y2 + 2x – 2y = 0 with centre C2 touch each other at point P. Then the coordinates o</t>
  </si>
  <si>
    <t xml:space="preserve">A circle with center A and radius 7 is tangent to the sides of an angle of 60°. A larger circle with center B is tangent to the sides of the</t>
  </si>
  <si>
    <t xml:space="preserve">The number of common tangents of the circles (x + 2)² + (y  2)² = 49 and (x  2)² + (y + 1)² = 4 is :</t>
  </si>
  <si>
    <t xml:space="preserve">Let C1 and C2 are circles defined by x2 + y2 – 20x + 64 = 0 and x2 + y2 + 30x + 144 = 0. The length of the shortest line segment PQ that is </t>
  </si>
  <si>
    <t xml:space="preserve">If the line x cos  + y sin  = 2 is the equation of a transverse common tangent to the circles x2 + y2 = 4 and x2 + y2  6 3 x  6y + 20 = </t>
  </si>
  <si>
    <t xml:space="preserve">Two circles have an external tangent with length 36 cm. The shortest distance between these circles is 14 cm. If the radius of the longer ci</t>
  </si>
  <si>
    <t xml:space="preserve">If the angle subtended by the circle S1 = 0 at point A is , then cos equals : 3 2 3 4 5 3 4 5</t>
  </si>
  <si>
    <t xml:space="preserve">The length of tangent from A to the circle S2 = 0, is : 5 7 9 11 2 2 2 2</t>
  </si>
  <si>
    <t xml:space="preserve">If one of the diameter of the circle S2 = 0 is a chord to the circle S3 = 0 with centre  , 3  , then radius of circle 2  S3 = 0, is : 3</t>
  </si>
  <si>
    <t xml:space="preserve">Find the equation of the circle passing through the point of intersection of the circles x2 + y2 – 6x + 2y + 4 = 0, x2 + y2 + 2x – 4y – 6 = </t>
  </si>
  <si>
    <t xml:space="preserve">Find the equation of the circle through points of intersection of the circle x2 + y2 – 2x – 4y + 4 = 0 and the line x + 2y = 4 which touches</t>
  </si>
  <si>
    <t xml:space="preserve">Find the equation of the circle drawn on the common chord of the following pair of circles as diameter x2 + y2 – 6x – 4y = 12 ; x2 + y2 – 2x</t>
  </si>
  <si>
    <t xml:space="preserve">Find the equations of the circles which pass through the common points of the following pair of circles : (a) x2 + y2 + 2x + 3y – 7 = 0 and </t>
  </si>
  <si>
    <t xml:space="preserve">Find the equation of the circle which touches the circle x2 + y2 – 6x + 6y + 17 = 0 externally and to which the lines x2 – 3xy – 3x + 9y = 0</t>
  </si>
  <si>
    <t xml:space="preserve">DPP-7</t>
  </si>
  <si>
    <t xml:space="preserve">Circle C1 has radius 2 and Circle C2 has radius 3, and the distance between the centers of C1 and C2 is 7. If two lines, one tangent to both</t>
  </si>
  <si>
    <t xml:space="preserve">If the two circles (x  1)² + (y  3)² = r² and x² + y²  8x + 2y + 8 = 0 intersect in two distinct points then :</t>
  </si>
  <si>
    <t xml:space="preserve">If the circles x2 + y2 + 2ax + cy + a = 0 and x2 + y2 – 3ax + dy – 1 = 0 intersect in two distinct points P and Q then the line 5x + by – a </t>
  </si>
  <si>
    <t xml:space="preserve">If the circle C1 : x2 + y2 = 16 intersects another circle C2 of radius 5 in such a manner that the common chord is of maximum length and has</t>
  </si>
  <si>
    <t xml:space="preserve">Suppose that two circles C1 and C2 in a plane have no points in common. Then :</t>
  </si>
  <si>
    <t xml:space="preserve">Circle K is inscribed in the first quadrant touching the circle x2 + y2 = 36 internally. The length of the radius of the circle K, is : 6 2</t>
  </si>
  <si>
    <t xml:space="preserve">The number of common tangent(s) to the circles x2 + y2 + 2x + 8y – 23 = 0 and x2 + y2 – 4x – 10y + 19 = 0 is :</t>
  </si>
  <si>
    <t xml:space="preserve">In the figure given, two circles with centres C1 and C2 are 35 units apart, i.e. C1C2 = 35. The radii of the circles with centres C1 and C2 </t>
  </si>
  <si>
    <t xml:space="preserve">Let C1 be the circle of radius r &gt; 0 with centre at (0, 0) and let C2 be the circle of radius 'r' with centre at (r, 0). The length of the a</t>
  </si>
  <si>
    <t xml:space="preserve">The centres of the three circles A, B and C are collinear with the centre of circle B lying between the centres of circle A and C. Circles A</t>
  </si>
  <si>
    <t xml:space="preserve">If the circles x2 + y2 + 2ax + 2by + c = 0 and x2 + y2 + 2bx + 2ay + c = 0 (a  b ) 2 where c &gt; 0, have exactly one point in common then the</t>
  </si>
  <si>
    <t xml:space="preserve">Three concentric circles of which the biggest is x2 + y2 = 1, have their radii in A.P. If the line y = x + 1 cuts all the circles in real an</t>
  </si>
  <si>
    <t xml:space="preserve">A tangent at a point on the circle x2 + y2 = a2 intersects a concentric circle C at two points P and Q. The tangents to the circle C at P an</t>
  </si>
  <si>
    <t xml:space="preserve">Tangents are drawn to the circle x 2 + y2 = 1 at the points where it is met by the circles, x2 + y2  ( + 6) x + (8  2 )y  3 = 0.  bein</t>
  </si>
  <si>
    <t xml:space="preserve">The coordinates of P1 are :</t>
  </si>
  <si>
    <t xml:space="preserve">The ratio is equal to : area (C1C 2C3 )</t>
  </si>
  <si>
    <t xml:space="preserve">P2 and P3 are image of each other with respect to line :</t>
  </si>
  <si>
    <t xml:space="preserve">Let S1 and S2 be circles of unit radius with centres at C1 (0, 0) and C2(1, 0) respectively. S3 is a circle of unit radius passing through C</t>
  </si>
  <si>
    <t xml:space="preserve">DPP-8</t>
  </si>
  <si>
    <t xml:space="preserve">The acute angle between the line 3x – 4y = 5 and the circle x2 + y2 – 4x + 2y – 4 = 0 is  then sin  equals : 5 1 2 2 2 3 3 3 3</t>
  </si>
  <si>
    <t xml:space="preserve">Two congruent circles with centres at (2, 3) and (5, 6) which intersect at right angles has radius equal to : gksxk :</t>
  </si>
  <si>
    <t xml:space="preserve">P is a point (a, b) in the first quadrant. If the two circles which pass through P and touch both the co-ordinate axes cut at right angles, </t>
  </si>
  <si>
    <t xml:space="preserve">The equation of a circle which touches the line x + y = 5 at N(–2, 7) and cuts the circle x2 + y2 + 4x – 6y + 9 = 0 orthogonally, is :</t>
  </si>
  <si>
    <t xml:space="preserve">Equation of the circle which cuts the circle x2 + y2 + 2x + 4y – 4 = 0 and the lines xy – 2x – y + 2 = 0 orthogonally, is :</t>
  </si>
  <si>
    <t xml:space="preserve">Two circles whose radii are equal to 4 and 8 intersect at right angles. The length of their common chord is : 16 8 5 5 5</t>
  </si>
  <si>
    <t xml:space="preserve">If a circle passes through the point (a , b) and cuts the circle x2 + y2 = K2 orthogonally, then the equation of the locus of itscentre is :</t>
  </si>
  <si>
    <t xml:space="preserve">A variable circle cuts each of the circles x2 + y2  2x = 0 and x2 + y2  4x  5 = 0 orthogonally. The variable circle passes through two fi</t>
  </si>
  <si>
    <t xml:space="preserve">The angle at which the circles (x – 1)2 + y2 = 10 and x2 + (y – 2)2 = 5 intersect is :     6 4 3 2</t>
  </si>
  <si>
    <t xml:space="preserve">Length of the chord AB equal :</t>
  </si>
  <si>
    <t xml:space="preserve">The angle subtended by the chord AB in the minor arc of S is : thok AB }kjk y?kq o`r pki S ij vkUrfjr dks.k gksxk : 3 5 2  4 6 3 4</t>
  </si>
  <si>
    <t xml:space="preserve">Acute angle between the line L and the circle S is :     2 3 4 6</t>
  </si>
  <si>
    <t xml:space="preserve">If the equation of the circle on AB as diameter is of the form x2 + y2 + ax + by + c = 0 then the magnitude of the  vector V  a î  b ˆj </t>
  </si>
  <si>
    <t xml:space="preserve">The distance between the points A and B, is :</t>
  </si>
  <si>
    <t xml:space="preserve">The area of an equilateral triangle inscribed in S, is : 27 3 9 3 27 3 4 2 2</t>
  </si>
  <si>
    <t xml:space="preserve">If the circle x2 + y2 – 10x + 2y + c = 0 is orthogonal to S = 0, then the value of c equals :</t>
  </si>
  <si>
    <t xml:space="preserve">Find the radical centre of the following set of circles x2 + y2 – 3x – 6y + 14 = 0 ; x2 + y2 – x – 4y + 8 = 0 ; x2 + y2 + 2x – 6y + 9 = 0 D;</t>
  </si>
  <si>
    <t xml:space="preserve">Find the equation to the circle orthogonal to the two circles x 2 + y2 – 4x – 6y + 11 = 0 ; x2 + y2 – 10x – 4y + 21 = 0 and has 2x + 3y = 7 </t>
  </si>
  <si>
    <t xml:space="preserve">Find the equation to the circle, cutting orthogonally each of the following circles x2 + y2 – 2x + 3y – 7 = 0; x2 + y2 + 5x – 5y + 9 = 0 ; x</t>
  </si>
  <si>
    <t xml:space="preserve">Tangents drawn from P(1, 8) to the circle x2 + y2 – 6x – 4y – 11 = 0 touches the circle at the points A and B respectively. If the radius of</t>
  </si>
  <si>
    <t xml:space="preserve">QB</t>
  </si>
  <si>
    <t xml:space="preserve">Question Bank</t>
  </si>
  <si>
    <t xml:space="preserve">If the four distinct points (4, 6), (–1, 5), (0, 0) and (k, 3k) lie on a circle of radius r, then 10k + r2 is equal to :</t>
  </si>
  <si>
    <t xml:space="preserve">Let C1 be the circle in the third quadrant of radius 3 , that touches both coordinate axes. Let C2 be the circle with m centre (1, 3) that t</t>
  </si>
  <si>
    <t xml:space="preserve">Let circle C be the image of x2 + y2 – 2x + 4y – 4 = 0 in the line 2x – 3y + 5 = 0 and A be the point on C such that OA is parallel to x-axi</t>
  </si>
  <si>
    <t xml:space="preserve">Let the equation of the circle, which touches x-axis at the point (a, 0), a &gt; 0 and cuts off an intercept of length b on y-axis be x2 + y2 –</t>
  </si>
  <si>
    <t xml:space="preserve">Let the line x + y = 1 meet the circle x2 + y2 = 4 at the points A and B. If the line perpendicular to AB and passing through the mid point </t>
  </si>
  <si>
    <t xml:space="preserve">Let a circle C pass through the points (4, 2) and (0, 2), and its centre lie on 3x + 2y + 2 = 0. Then the length of the chord, of the circle</t>
  </si>
  <si>
    <t xml:space="preserve">A square is inscribed in the circle x2 + y2 – 10x – 6y + 30 = 0. One side of this square is parallel to y = x + 3. If (xi, yi) are the verti</t>
  </si>
  <si>
    <t xml:space="preserve">Let the circle C1 : x2 + y2 – 2(x + y) + 1 = 0 and C2 be a circle having centre at (–1, 0) and radius 2. If the line of 92 ASSIGNMENT BOOKLE</t>
  </si>
  <si>
    <t xml:space="preserve"> 2 the point (6,6). If the point (6,6) divides the line segment joining the centres of the circle C1 and C2 internally in the  2 2  rati</t>
  </si>
  <si>
    <t xml:space="preserve">Let y = x + 2, 4y = 3x + 6 and 3y = 4x + 1 be three tangent lines to the circle (x  h)2 + (y  k)2 = r2. Then h + k is equal to :</t>
  </si>
  <si>
    <t xml:space="preserve">The set of all values of a2 for which the line x + y = 0 bisects two distinct chords drawn from a point P  ,   2 2  on the circle 2x2 + </t>
  </si>
  <si>
    <t xml:space="preserve">The absolute difference between the squares of the radii of the two circles passing through the point (–9, 4) and touching the lines x + y =</t>
  </si>
  <si>
    <t xml:space="preserve">An isosceles right angled triangle whose sides are 1, 1, 2 lies entirely in the first quadrant with the ends of the hypotenuse on the coordi</t>
  </si>
  <si>
    <t xml:space="preserve">Locus of all point P(x, y) satisfying x3 + y3 + 3xy = 1 consists of union of :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</si>
  <si>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</si>
  <si>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</si>
  <si>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</si>
  <si>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</si>
  <si>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</si>
  <si>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88 graded questions; High threshold 8 (about 9.1%).</t>
  </si>
  <si>
    <t xml:space="preserve">Batch XIII: 64 graded questions; High threshold 6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</si>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</sst>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4</v>
      </c>
      <c r="H2" s="2" t="str">
        <f aca="false">IF(G2&gt;=Settings!$B$3,"High",IF(G2&gt;=Settings!$B$5,"Medium","Low"))</f>
        <v>Medium</v>
      </c>
      <c r="I2" s="2" t="n">
        <f aca="false">COUNTIFS(Map!$D:$D,$A2,Map!$G:$G,"Y")</f>
        <v>3</v>
      </c>
      <c r="J2" s="2" t="str">
        <f aca="false">IF(I2&gt;=Settings!$B$4,"High",IF(I2&gt;=Settings!$B$5,"Medium","Low"))</f>
        <v>Medium</v>
      </c>
      <c r="K2" s="2" t="n">
        <f aca="false">COUNTIF(Map!$D:$D,$A2)</f>
        <v>15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3</v>
      </c>
      <c r="H3" s="2" t="str">
        <f aca="false">IF(G3&gt;=Settings!$B$3,"High",IF(G3&gt;=Settings!$B$5,"Medium","Low"))</f>
        <v>Medium</v>
      </c>
      <c r="I3" s="2" t="n">
        <f aca="false">COUNTIFS(Map!$D:$D,$A3,Map!$G:$G,"Y")</f>
        <v>1</v>
      </c>
      <c r="J3" s="2" t="str">
        <f aca="false">IF(I3&gt;=Settings!$B$4,"High",IF(I3&gt;=Settings!$B$5,"Medium","Low"))</f>
        <v>Medium</v>
      </c>
      <c r="K3" s="2" t="n">
        <f aca="false">COUNTIF(Map!$D:$D,$A3)</f>
        <v>21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0</v>
      </c>
    </row>
    <row r="5" customFormat="false" ht="15" hidden="false" customHeight="false" outlineLevel="0" collapsed="false">
      <c r="A5" s="2" t="n">
        <v>4</v>
      </c>
      <c r="B5" s="2" t="s">
        <v>15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2</v>
      </c>
      <c r="H5" s="2" t="str">
        <f aca="false">IF(G5&gt;=Settings!$B$3,"High",IF(G5&gt;=Settings!$B$5,"Medium","Low"))</f>
        <v>Medium</v>
      </c>
      <c r="I5" s="2" t="n">
        <f aca="false">COUNTIFS(Map!$D:$D,$A5,Map!$G:$G,"Y")</f>
        <v>3</v>
      </c>
      <c r="J5" s="2" t="str">
        <f aca="false">IF(I5&gt;=Settings!$B$4,"High",IF(I5&gt;=Settings!$B$5,"Medium","Low"))</f>
        <v>Medium</v>
      </c>
      <c r="K5" s="2" t="n">
        <f aca="false">COUNTIF(Map!$D:$D,$A5)</f>
        <v>10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0</v>
      </c>
    </row>
    <row r="7" customFormat="false" ht="15" hidden="false" customHeight="false" outlineLevel="0" collapsed="false">
      <c r="A7" s="2" t="n">
        <v>6</v>
      </c>
      <c r="B7" s="2" t="s">
        <v>15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8</v>
      </c>
      <c r="H7" s="2" t="str">
        <f aca="false">IF(G7&gt;=Settings!$B$3,"High",IF(G7&gt;=Settings!$B$5,"Medium","Low"))</f>
        <v>High</v>
      </c>
      <c r="I7" s="2" t="n">
        <f aca="false">COUNTIFS(Map!$D:$D,$A7,Map!$G:$G,"Y")</f>
        <v>2</v>
      </c>
      <c r="J7" s="2" t="str">
        <f aca="false">IF(I7&gt;=Settings!$B$4,"High",IF(I7&gt;=Settings!$B$5,"Medium","Low"))</f>
        <v>Medium</v>
      </c>
      <c r="K7" s="2" t="n">
        <f aca="false">COUNTIF(Map!$D:$D,$A7)</f>
        <v>20</v>
      </c>
    </row>
    <row r="8" customFormat="false" ht="15" hidden="false" customHeight="false" outlineLevel="0" collapsed="false">
      <c r="A8" s="2" t="n">
        <v>7</v>
      </c>
      <c r="B8" s="2" t="s">
        <v>15</v>
      </c>
      <c r="C8" s="2" t="s">
        <v>20</v>
      </c>
      <c r="D8" s="2" t="s">
        <v>13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0</v>
      </c>
    </row>
    <row r="9" customFormat="false" ht="23.85" hidden="false" customHeight="false" outlineLevel="0" collapsed="false">
      <c r="A9" s="2" t="n">
        <v>8</v>
      </c>
      <c r="B9" s="2" t="s">
        <v>15</v>
      </c>
      <c r="C9" s="2" t="s">
        <v>21</v>
      </c>
      <c r="D9" s="2" t="s">
        <v>13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1</v>
      </c>
    </row>
    <row r="10" customFormat="false" ht="15" hidden="false" customHeight="false" outlineLevel="0" collapsed="false">
      <c r="A10" s="2" t="n">
        <v>9</v>
      </c>
      <c r="B10" s="2" t="s">
        <v>15</v>
      </c>
      <c r="C10" s="2" t="s">
        <v>22</v>
      </c>
      <c r="D10" s="2" t="s">
        <v>13</v>
      </c>
      <c r="E10" s="2"/>
      <c r="F10" s="2" t="n">
        <v>9</v>
      </c>
      <c r="G10" s="2" t="n">
        <f aca="false">COUNTIFS(Map!$D:$D,$A10,Map!$F:$F,"Y")</f>
        <v>1</v>
      </c>
      <c r="H10" s="2" t="str">
        <f aca="false">IF(G10&gt;=Settings!$B$3,"High",IF(G10&gt;=Settings!$B$5,"Medium","Low"))</f>
        <v>Medium</v>
      </c>
      <c r="I10" s="2" t="n">
        <f aca="false">COUNTIFS(Map!$D:$D,$A10,Map!$G:$G,"Y")</f>
        <v>2</v>
      </c>
      <c r="J10" s="2" t="str">
        <f aca="false">IF(I10&gt;=Settings!$B$4,"High",IF(I10&gt;=Settings!$B$5,"Medium","Low"))</f>
        <v>Medium</v>
      </c>
      <c r="K10" s="2" t="n">
        <f aca="false">COUNTIF(Map!$D:$D,$A10)</f>
        <v>3</v>
      </c>
    </row>
    <row r="11" customFormat="false" ht="15" hidden="false" customHeight="false" outlineLevel="0" collapsed="false">
      <c r="A11" s="2" t="n">
        <v>10</v>
      </c>
      <c r="B11" s="2" t="s">
        <v>15</v>
      </c>
      <c r="C11" s="2" t="s">
        <v>23</v>
      </c>
      <c r="D11" s="2" t="s">
        <v>13</v>
      </c>
      <c r="E11" s="2"/>
      <c r="F11" s="2" t="n">
        <v>10</v>
      </c>
      <c r="G11" s="2" t="n">
        <f aca="false">COUNTIFS(Map!$D:$D,$A11,Map!$F:$F,"Y")</f>
        <v>2</v>
      </c>
      <c r="H11" s="2" t="str">
        <f aca="false">IF(G11&gt;=Settings!$B$3,"High",IF(G11&gt;=Settings!$B$5,"Medium","Low"))</f>
        <v>Medium</v>
      </c>
      <c r="I11" s="2" t="n">
        <f aca="false">COUNTIFS(Map!$D:$D,$A11,Map!$G:$G,"Y")</f>
        <v>1</v>
      </c>
      <c r="J11" s="2" t="str">
        <f aca="false">IF(I11&gt;=Settings!$B$4,"High",IF(I11&gt;=Settings!$B$5,"Medium","Low"))</f>
        <v>Medium</v>
      </c>
      <c r="K11" s="2" t="n">
        <f aca="false">COUNTIF(Map!$D:$D,$A11)</f>
        <v>10</v>
      </c>
    </row>
    <row r="12" customFormat="false" ht="15" hidden="false" customHeight="false" outlineLevel="0" collapsed="false">
      <c r="A12" s="2" t="n">
        <v>11</v>
      </c>
      <c r="B12" s="2" t="s">
        <v>15</v>
      </c>
      <c r="C12" s="2" t="s">
        <v>24</v>
      </c>
      <c r="D12" s="2" t="s">
        <v>13</v>
      </c>
      <c r="E12" s="2"/>
      <c r="F12" s="2" t="n">
        <v>11</v>
      </c>
      <c r="G12" s="2" t="n">
        <f aca="false">COUNTIFS(Map!$D:$D,$A12,Map!$F:$F,"Y")</f>
        <v>1</v>
      </c>
      <c r="H12" s="2" t="str">
        <f aca="false">IF(G12&gt;=Settings!$B$3,"High",IF(G12&gt;=Settings!$B$5,"Medium","Low"))</f>
        <v>Medium</v>
      </c>
      <c r="I12" s="2" t="n">
        <f aca="false">COUNTIFS(Map!$D:$D,$A12,Map!$G:$G,"Y")</f>
        <v>2</v>
      </c>
      <c r="J12" s="2" t="str">
        <f aca="false">IF(I12&gt;=Settings!$B$4,"High",IF(I12&gt;=Settings!$B$5,"Medium","Low"))</f>
        <v>Medium</v>
      </c>
      <c r="K12" s="2" t="n">
        <f aca="false">COUNTIF(Map!$D:$D,$A12)</f>
        <v>4</v>
      </c>
    </row>
    <row r="13" customFormat="false" ht="35.05" hidden="false" customHeight="false" outlineLevel="0" collapsed="false">
      <c r="A13" s="2" t="n">
        <v>12</v>
      </c>
      <c r="B13" s="2" t="s">
        <v>15</v>
      </c>
      <c r="C13" s="2" t="s">
        <v>25</v>
      </c>
      <c r="D13" s="2" t="s">
        <v>26</v>
      </c>
      <c r="E13" s="2" t="s">
        <v>27</v>
      </c>
      <c r="F13" s="2"/>
      <c r="G13" s="2" t="n">
        <f aca="false">COUNTIFS(Map!$D:$D,$A13,Map!$F:$F,"Y")</f>
        <v>5</v>
      </c>
      <c r="H13" s="2" t="str">
        <f aca="false">IF(G13&gt;=Settings!$B$3,"High",IF(G13&gt;=Settings!$B$5,"Medium","Low"))</f>
        <v>Medium</v>
      </c>
      <c r="I13" s="2" t="n">
        <f aca="false">COUNTIFS(Map!$D:$D,$A13,Map!$G:$G,"Y")</f>
        <v>4</v>
      </c>
      <c r="J13" s="2" t="str">
        <f aca="false">IF(I13&gt;=Settings!$B$4,"High",IF(I13&gt;=Settings!$B$5,"Medium","Low"))</f>
        <v>Medium</v>
      </c>
      <c r="K13" s="2" t="n">
        <f aca="false">COUNTIF(Map!$D:$D,$A13)</f>
        <v>9</v>
      </c>
    </row>
    <row r="14" customFormat="false" ht="15" hidden="false" customHeight="false" outlineLevel="0" collapsed="false">
      <c r="A14" s="2" t="n">
        <v>13</v>
      </c>
      <c r="B14" s="2" t="s">
        <v>28</v>
      </c>
      <c r="C14" s="2" t="s">
        <v>29</v>
      </c>
      <c r="D14" s="2" t="s">
        <v>13</v>
      </c>
      <c r="E14" s="2"/>
      <c r="F14" s="2" t="n">
        <v>12</v>
      </c>
      <c r="G14" s="2" t="n">
        <f aca="false">COUNTIFS(Map!$D:$D,$A14,Map!$F:$F,"Y")</f>
        <v>7</v>
      </c>
      <c r="H14" s="2" t="str">
        <f aca="false">IF(G14&gt;=Settings!$B$3,"High",IF(G14&gt;=Settings!$B$5,"Medium","Low"))</f>
        <v>Medium</v>
      </c>
      <c r="I14" s="2" t="n">
        <f aca="false">COUNTIFS(Map!$D:$D,$A14,Map!$G:$G,"Y")</f>
        <v>4</v>
      </c>
      <c r="J14" s="2" t="str">
        <f aca="false">IF(I14&gt;=Settings!$B$4,"High",IF(I14&gt;=Settings!$B$5,"Medium","Low"))</f>
        <v>Medium</v>
      </c>
      <c r="K14" s="2" t="n">
        <f aca="false">COUNTIF(Map!$D:$D,$A14)</f>
        <v>25</v>
      </c>
    </row>
    <row r="15" customFormat="false" ht="15" hidden="false" customHeight="false" outlineLevel="0" collapsed="false">
      <c r="A15" s="2" t="n">
        <v>14</v>
      </c>
      <c r="B15" s="2" t="s">
        <v>28</v>
      </c>
      <c r="C15" s="2" t="s">
        <v>30</v>
      </c>
      <c r="D15" s="2" t="s">
        <v>13</v>
      </c>
      <c r="E15" s="2"/>
      <c r="F15" s="2" t="n">
        <v>13</v>
      </c>
      <c r="G15" s="2" t="n">
        <f aca="false">COUNTIFS(Map!$D:$D,$A15,Map!$F:$F,"Y")</f>
        <v>0</v>
      </c>
      <c r="H15" s="2" t="str">
        <f aca="false">IF(G15&gt;=Settings!$B$3,"High",IF(G15&gt;=Settings!$B$5,"Medium","Low"))</f>
        <v>Low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1</v>
      </c>
    </row>
    <row r="16" customFormat="false" ht="23.85" hidden="false" customHeight="false" outlineLevel="0" collapsed="false">
      <c r="A16" s="2" t="n">
        <v>15</v>
      </c>
      <c r="B16" s="2" t="s">
        <v>28</v>
      </c>
      <c r="C16" s="2" t="s">
        <v>31</v>
      </c>
      <c r="D16" s="2" t="s">
        <v>13</v>
      </c>
      <c r="E16" s="2"/>
      <c r="F16" s="2" t="n">
        <v>14</v>
      </c>
      <c r="G16" s="2" t="n">
        <f aca="false">COUNTIFS(Map!$D:$D,$A16,Map!$F:$F,"Y")</f>
        <v>1</v>
      </c>
      <c r="H16" s="2" t="str">
        <f aca="false">IF(G16&gt;=Settings!$B$3,"High",IF(G16&gt;=Settings!$B$5,"Medium","Low"))</f>
        <v>Medium</v>
      </c>
      <c r="I16" s="2" t="n">
        <f aca="false">COUNTIFS(Map!$D:$D,$A16,Map!$G:$G,"Y")</f>
        <v>1</v>
      </c>
      <c r="J16" s="2" t="str">
        <f aca="false">IF(I16&gt;=Settings!$B$4,"High",IF(I16&gt;=Settings!$B$5,"Medium","Low"))</f>
        <v>Medium</v>
      </c>
      <c r="K16" s="2" t="n">
        <f aca="false">COUNTIF(Map!$D:$D,$A16)</f>
        <v>6</v>
      </c>
    </row>
    <row r="17" customFormat="false" ht="15" hidden="false" customHeight="false" outlineLevel="0" collapsed="false">
      <c r="A17" s="2" t="n">
        <v>16</v>
      </c>
      <c r="B17" s="2" t="s">
        <v>32</v>
      </c>
      <c r="C17" s="2" t="s">
        <v>33</v>
      </c>
      <c r="D17" s="2" t="s">
        <v>13</v>
      </c>
      <c r="E17" s="2"/>
      <c r="F17" s="2" t="n">
        <v>15</v>
      </c>
      <c r="G17" s="2" t="n">
        <f aca="false">COUNTIFS(Map!$D:$D,$A17,Map!$F:$F,"Y")</f>
        <v>6</v>
      </c>
      <c r="H17" s="2" t="str">
        <f aca="false">IF(G17&gt;=Settings!$B$3,"High",IF(G17&gt;=Settings!$B$5,"Medium","Low"))</f>
        <v>Medium</v>
      </c>
      <c r="I17" s="2" t="n">
        <f aca="false">COUNTIFS(Map!$D:$D,$A17,Map!$G:$G,"Y")</f>
        <v>4</v>
      </c>
      <c r="J17" s="2" t="str">
        <f aca="false">IF(I17&gt;=Settings!$B$4,"High",IF(I17&gt;=Settings!$B$5,"Medium","Low"))</f>
        <v>Medium</v>
      </c>
      <c r="K17" s="2" t="n">
        <f aca="false">COUNTIF(Map!$D:$D,$A17)</f>
        <v>19</v>
      </c>
    </row>
    <row r="18" customFormat="false" ht="15" hidden="false" customHeight="false" outlineLevel="0" collapsed="false">
      <c r="A18" s="2" t="n">
        <v>17</v>
      </c>
      <c r="B18" s="2" t="s">
        <v>32</v>
      </c>
      <c r="C18" s="2" t="s">
        <v>34</v>
      </c>
      <c r="D18" s="2" t="s">
        <v>13</v>
      </c>
      <c r="E18" s="2"/>
      <c r="F18" s="2" t="n">
        <v>16</v>
      </c>
      <c r="G18" s="2" t="n">
        <f aca="false">COUNTIFS(Map!$D:$D,$A18,Map!$F:$F,"Y")</f>
        <v>4</v>
      </c>
      <c r="H18" s="2" t="str">
        <f aca="false">IF(G18&gt;=Settings!$B$3,"High",IF(G18&gt;=Settings!$B$5,"Medium","Low"))</f>
        <v>Medium</v>
      </c>
      <c r="I18" s="2" t="n">
        <f aca="false">COUNTIFS(Map!$D:$D,$A18,Map!$G:$G,"Y")</f>
        <v>2</v>
      </c>
      <c r="J18" s="2" t="str">
        <f aca="false">IF(I18&gt;=Settings!$B$4,"High",IF(I18&gt;=Settings!$B$5,"Medium","Low"))</f>
        <v>Medium</v>
      </c>
      <c r="K18" s="2" t="n">
        <f aca="false">COUNTIF(Map!$D:$D,$A18)</f>
        <v>11</v>
      </c>
    </row>
    <row r="19" customFormat="false" ht="15" hidden="false" customHeight="false" outlineLevel="0" collapsed="false">
      <c r="A19" s="2" t="n">
        <v>18</v>
      </c>
      <c r="B19" s="2" t="s">
        <v>32</v>
      </c>
      <c r="C19" s="2" t="s">
        <v>35</v>
      </c>
      <c r="D19" s="2" t="s">
        <v>13</v>
      </c>
      <c r="E19" s="2"/>
      <c r="F19" s="2" t="n">
        <v>17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1</v>
      </c>
    </row>
    <row r="20" customFormat="false" ht="23.85" hidden="false" customHeight="false" outlineLevel="0" collapsed="false">
      <c r="A20" s="2" t="n">
        <v>19</v>
      </c>
      <c r="B20" s="2" t="s">
        <v>32</v>
      </c>
      <c r="C20" s="2" t="s">
        <v>36</v>
      </c>
      <c r="D20" s="2" t="s">
        <v>13</v>
      </c>
      <c r="E20" s="2"/>
      <c r="F20" s="2" t="n">
        <v>18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0</v>
      </c>
    </row>
    <row r="21" customFormat="false" ht="15" hidden="false" customHeight="false" outlineLevel="0" collapsed="false">
      <c r="A21" s="2" t="n">
        <v>20</v>
      </c>
      <c r="B21" s="2" t="s">
        <v>32</v>
      </c>
      <c r="C21" s="2" t="s">
        <v>37</v>
      </c>
      <c r="D21" s="2" t="s">
        <v>13</v>
      </c>
      <c r="E21" s="2"/>
      <c r="F21" s="2" t="n">
        <v>19</v>
      </c>
      <c r="G21" s="2" t="n">
        <f aca="false">COUNTIFS(Map!$D:$D,$A21,Map!$F:$F,"Y")</f>
        <v>1</v>
      </c>
      <c r="H21" s="2" t="str">
        <f aca="false">IF(G21&gt;=Settings!$B$3,"High",IF(G21&gt;=Settings!$B$5,"Medium","Low"))</f>
        <v>Medium</v>
      </c>
      <c r="I21" s="2" t="n">
        <f aca="false">COUNTIFS(Map!$D:$D,$A21,Map!$G:$G,"Y")</f>
        <v>1</v>
      </c>
      <c r="J21" s="2" t="str">
        <f aca="false">IF(I21&gt;=Settings!$B$4,"High",IF(I21&gt;=Settings!$B$5,"Medium","Low"))</f>
        <v>Medium</v>
      </c>
      <c r="K21" s="2" t="n">
        <f aca="false">COUNTIF(Map!$D:$D,$A21)</f>
        <v>1</v>
      </c>
    </row>
    <row r="22" customFormat="false" ht="15" hidden="false" customHeight="false" outlineLevel="0" collapsed="false">
      <c r="A22" s="2" t="n">
        <v>21</v>
      </c>
      <c r="B22" s="2" t="s">
        <v>32</v>
      </c>
      <c r="C22" s="2" t="s">
        <v>38</v>
      </c>
      <c r="D22" s="2" t="s">
        <v>13</v>
      </c>
      <c r="E22" s="2"/>
      <c r="F22" s="2" t="n">
        <v>20</v>
      </c>
      <c r="G22" s="2" t="n">
        <f aca="false">COUNTIFS(Map!$D:$D,$A22,Map!$F:$F,"Y")</f>
        <v>4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3</v>
      </c>
      <c r="J22" s="2" t="str">
        <f aca="false">IF(I22&gt;=Settings!$B$4,"High",IF(I22&gt;=Settings!$B$5,"Medium","Low"))</f>
        <v>Medium</v>
      </c>
      <c r="K22" s="2" t="n">
        <f aca="false">COUNTIF(Map!$D:$D,$A22)</f>
        <v>8</v>
      </c>
    </row>
    <row r="23" customFormat="false" ht="15" hidden="false" customHeight="false" outlineLevel="0" collapsed="false">
      <c r="A23" s="2" t="n">
        <v>22</v>
      </c>
      <c r="B23" s="2" t="s">
        <v>32</v>
      </c>
      <c r="C23" s="2" t="s">
        <v>39</v>
      </c>
      <c r="D23" s="2" t="s">
        <v>13</v>
      </c>
      <c r="E23" s="2"/>
      <c r="F23" s="2" t="n">
        <v>21</v>
      </c>
      <c r="G23" s="2" t="n">
        <f aca="false">COUNTIFS(Map!$D:$D,$A23,Map!$F:$F,"Y")</f>
        <v>2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4</v>
      </c>
    </row>
    <row r="24" customFormat="false" ht="23.85" hidden="false" customHeight="false" outlineLevel="0" collapsed="false">
      <c r="A24" s="2" t="n">
        <v>23</v>
      </c>
      <c r="B24" s="2" t="s">
        <v>32</v>
      </c>
      <c r="C24" s="2" t="s">
        <v>40</v>
      </c>
      <c r="D24" s="2" t="s">
        <v>13</v>
      </c>
      <c r="E24" s="2"/>
      <c r="F24" s="2" t="n">
        <v>22</v>
      </c>
      <c r="G24" s="2" t="n">
        <f aca="false">COUNTIFS(Map!$D:$D,$A24,Map!$F:$F,"Y")</f>
        <v>10</v>
      </c>
      <c r="H24" s="2" t="str">
        <f aca="false">IF(G24&gt;=Settings!$B$3,"High",IF(G24&gt;=Settings!$B$5,"Medium","Low"))</f>
        <v>High</v>
      </c>
      <c r="I24" s="2" t="n">
        <f aca="false">COUNTIFS(Map!$D:$D,$A24,Map!$G:$G,"Y")</f>
        <v>7</v>
      </c>
      <c r="J24" s="2" t="str">
        <f aca="false">IF(I24&gt;=Settings!$B$4,"High",IF(I24&gt;=Settings!$B$5,"Medium","Low"))</f>
        <v>High</v>
      </c>
      <c r="K24" s="2" t="n">
        <f aca="false">COUNTIF(Map!$D:$D,$A24)</f>
        <v>27</v>
      </c>
    </row>
    <row r="25" customFormat="false" ht="15" hidden="false" customHeight="false" outlineLevel="0" collapsed="false">
      <c r="A25" s="2" t="n">
        <v>24</v>
      </c>
      <c r="B25" s="2" t="s">
        <v>32</v>
      </c>
      <c r="C25" s="2" t="s">
        <v>41</v>
      </c>
      <c r="D25" s="2" t="s">
        <v>13</v>
      </c>
      <c r="E25" s="2"/>
      <c r="F25" s="2" t="n">
        <v>23</v>
      </c>
      <c r="G25" s="2" t="n">
        <f aca="false">COUNTIFS(Map!$D:$D,$A25,Map!$F:$F,"Y")</f>
        <v>1</v>
      </c>
      <c r="H25" s="2" t="str">
        <f aca="false">IF(G25&gt;=Settings!$B$3,"High",IF(G25&gt;=Settings!$B$5,"Medium","Low"))</f>
        <v>Medium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2</v>
      </c>
    </row>
    <row r="26" customFormat="false" ht="15" hidden="false" customHeight="false" outlineLevel="0" collapsed="false">
      <c r="A26" s="2" t="n">
        <v>25</v>
      </c>
      <c r="B26" s="2" t="s">
        <v>42</v>
      </c>
      <c r="C26" s="2" t="s">
        <v>43</v>
      </c>
      <c r="D26" s="2" t="s">
        <v>13</v>
      </c>
      <c r="E26" s="2"/>
      <c r="F26" s="2" t="n">
        <v>24</v>
      </c>
      <c r="G26" s="2" t="n">
        <f aca="false">COUNTIFS(Map!$D:$D,$A26,Map!$F:$F,"Y")</f>
        <v>3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3</v>
      </c>
      <c r="J26" s="2" t="str">
        <f aca="false">IF(I26&gt;=Settings!$B$4,"High",IF(I26&gt;=Settings!$B$5,"Medium","Low"))</f>
        <v>Medium</v>
      </c>
      <c r="K26" s="2" t="n">
        <f aca="false">COUNTIF(Map!$D:$D,$A26)</f>
        <v>11</v>
      </c>
    </row>
    <row r="27" customFormat="false" ht="15" hidden="false" customHeight="false" outlineLevel="0" collapsed="false">
      <c r="A27" s="2" t="n">
        <v>26</v>
      </c>
      <c r="B27" s="2" t="s">
        <v>42</v>
      </c>
      <c r="C27" s="2" t="s">
        <v>44</v>
      </c>
      <c r="D27" s="2" t="s">
        <v>13</v>
      </c>
      <c r="E27" s="2"/>
      <c r="F27" s="2" t="n">
        <v>25</v>
      </c>
      <c r="G27" s="2" t="n">
        <f aca="false">COUNTIFS(Map!$D:$D,$A27,Map!$F:$F,"Y")</f>
        <v>1</v>
      </c>
      <c r="H27" s="2" t="str">
        <f aca="false">IF(G27&gt;=Settings!$B$3,"High",IF(G27&gt;=Settings!$B$5,"Medium","Low"))</f>
        <v>Medium</v>
      </c>
      <c r="I27" s="2" t="n">
        <f aca="false">COUNTIFS(Map!$D:$D,$A27,Map!$G:$G,"Y")</f>
        <v>1</v>
      </c>
      <c r="J27" s="2" t="str">
        <f aca="false">IF(I27&gt;=Settings!$B$4,"High",IF(I27&gt;=Settings!$B$5,"Medium","Low"))</f>
        <v>Medium</v>
      </c>
      <c r="K27" s="2" t="n">
        <f aca="false">COUNTIF(Map!$D:$D,$A27)</f>
        <v>7</v>
      </c>
    </row>
    <row r="28" customFormat="false" ht="15" hidden="false" customHeight="false" outlineLevel="0" collapsed="false">
      <c r="A28" s="2" t="n">
        <v>27</v>
      </c>
      <c r="B28" s="2" t="s">
        <v>45</v>
      </c>
      <c r="C28" s="2" t="s">
        <v>46</v>
      </c>
      <c r="D28" s="2" t="s">
        <v>13</v>
      </c>
      <c r="E28" s="2"/>
      <c r="F28" s="2" t="n">
        <v>26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0</v>
      </c>
    </row>
    <row r="29" customFormat="false" ht="15" hidden="false" customHeight="false" outlineLevel="0" collapsed="false">
      <c r="A29" s="2" t="n">
        <v>28</v>
      </c>
      <c r="B29" s="2" t="s">
        <v>45</v>
      </c>
      <c r="C29" s="2" t="s">
        <v>47</v>
      </c>
      <c r="D29" s="2" t="s">
        <v>13</v>
      </c>
      <c r="E29" s="2"/>
      <c r="F29" s="2" t="n">
        <v>27</v>
      </c>
      <c r="G29" s="2" t="n">
        <f aca="false">COUNTIFS(Map!$D:$D,$A29,Map!$F:$F,"Y")</f>
        <v>4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1</v>
      </c>
      <c r="J29" s="2" t="str">
        <f aca="false">IF(I29&gt;=Settings!$B$4,"High",IF(I29&gt;=Settings!$B$5,"Medium","Low"))</f>
        <v>Medium</v>
      </c>
      <c r="K29" s="2" t="n">
        <f aca="false">COUNTIF(Map!$D:$D,$A29)</f>
        <v>15</v>
      </c>
    </row>
    <row r="30" customFormat="false" ht="15" hidden="false" customHeight="false" outlineLevel="0" collapsed="false">
      <c r="A30" s="2" t="n">
        <v>29</v>
      </c>
      <c r="B30" s="2" t="s">
        <v>45</v>
      </c>
      <c r="C30" s="2" t="s">
        <v>48</v>
      </c>
      <c r="D30" s="2" t="s">
        <v>13</v>
      </c>
      <c r="E30" s="2"/>
      <c r="F30" s="2" t="n">
        <v>28</v>
      </c>
      <c r="G30" s="2" t="n">
        <f aca="false">COUNTIFS(Map!$D:$D,$A30,Map!$F:$F,"Y")</f>
        <v>1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1</v>
      </c>
      <c r="J30" s="2" t="str">
        <f aca="false">IF(I30&gt;=Settings!$B$4,"High",IF(I30&gt;=Settings!$B$5,"Medium","Low"))</f>
        <v>Medium</v>
      </c>
      <c r="K30" s="2" t="n">
        <f aca="false">COUNTIF(Map!$D:$D,$A30)</f>
        <v>5</v>
      </c>
    </row>
    <row r="31" customFormat="false" ht="23.85" hidden="false" customHeight="false" outlineLevel="0" collapsed="false">
      <c r="A31" s="2" t="n">
        <v>30</v>
      </c>
      <c r="B31" s="2" t="s">
        <v>45</v>
      </c>
      <c r="C31" s="2" t="s">
        <v>49</v>
      </c>
      <c r="D31" s="2" t="s">
        <v>13</v>
      </c>
      <c r="E31" s="2"/>
      <c r="F31" s="2" t="n">
        <v>29</v>
      </c>
      <c r="G31" s="2" t="n">
        <f aca="false">COUNTIFS(Map!$D:$D,$A31,Map!$F:$F,"Y")</f>
        <v>0</v>
      </c>
      <c r="H31" s="2" t="str">
        <f aca="false">IF(G31&gt;=Settings!$B$3,"High",IF(G31&gt;=Settings!$B$5,"Medium","Low"))</f>
        <v>Low</v>
      </c>
      <c r="I31" s="2" t="n">
        <f aca="false">COUNTIFS(Map!$D:$D,$A31,Map!$G:$G,"Y")</f>
        <v>0</v>
      </c>
      <c r="J31" s="2" t="str">
        <f aca="false">IF(I31&gt;=Settings!$B$4,"High",IF(I31&gt;=Settings!$B$5,"Medium","Low"))</f>
        <v>Low</v>
      </c>
      <c r="K31" s="2" t="n">
        <f aca="false">COUNTIF(Map!$D:$D,$A31)</f>
        <v>1</v>
      </c>
    </row>
    <row r="32" customFormat="false" ht="15" hidden="false" customHeight="false" outlineLevel="0" collapsed="false">
      <c r="A32" s="2" t="n">
        <v>31</v>
      </c>
      <c r="B32" s="2" t="s">
        <v>45</v>
      </c>
      <c r="C32" s="2" t="s">
        <v>50</v>
      </c>
      <c r="D32" s="2" t="s">
        <v>13</v>
      </c>
      <c r="E32" s="2"/>
      <c r="F32" s="2" t="n">
        <v>30</v>
      </c>
      <c r="G32" s="2" t="n">
        <f aca="false">COUNTIFS(Map!$D:$D,$A32,Map!$F:$F,"Y")</f>
        <v>1</v>
      </c>
      <c r="H32" s="2" t="str">
        <f aca="false">IF(G32&gt;=Settings!$B$3,"High",IF(G32&gt;=Settings!$B$5,"Medium","Low"))</f>
        <v>Medium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5</v>
      </c>
    </row>
    <row r="33" customFormat="false" ht="15" hidden="false" customHeight="false" outlineLevel="0" collapsed="false">
      <c r="A33" s="2" t="n">
        <v>32</v>
      </c>
      <c r="B33" s="2" t="s">
        <v>51</v>
      </c>
      <c r="C33" s="2" t="s">
        <v>52</v>
      </c>
      <c r="D33" s="2" t="s">
        <v>13</v>
      </c>
      <c r="E33" s="2"/>
      <c r="F33" s="2" t="n">
        <v>31</v>
      </c>
      <c r="G33" s="2" t="n">
        <f aca="false">COUNTIFS(Map!$D:$D,$A33,Map!$F:$F,"Y")</f>
        <v>12</v>
      </c>
      <c r="H33" s="2" t="str">
        <f aca="false">IF(G33&gt;=Settings!$B$3,"High",IF(G33&gt;=Settings!$B$5,"Medium","Low"))</f>
        <v>High</v>
      </c>
      <c r="I33" s="2" t="n">
        <f aca="false">COUNTIFS(Map!$D:$D,$A33,Map!$G:$G,"Y")</f>
        <v>9</v>
      </c>
      <c r="J33" s="2" t="str">
        <f aca="false">IF(I33&gt;=Settings!$B$4,"High",IF(I33&gt;=Settings!$B$5,"Medium","Low"))</f>
        <v>High</v>
      </c>
      <c r="K33" s="2" t="n">
        <f aca="false">COUNTIF(Map!$D:$D,$A33)</f>
        <v>54</v>
      </c>
    </row>
    <row r="34" customFormat="false" ht="15" hidden="false" customHeight="false" outlineLevel="0" collapsed="false">
      <c r="A34" s="2" t="n">
        <v>33</v>
      </c>
      <c r="B34" s="2" t="s">
        <v>51</v>
      </c>
      <c r="C34" s="2" t="s">
        <v>53</v>
      </c>
      <c r="D34" s="2" t="s">
        <v>13</v>
      </c>
      <c r="E34" s="2"/>
      <c r="F34" s="2" t="n">
        <v>32</v>
      </c>
      <c r="G34" s="2" t="n">
        <f aca="false">COUNTIFS(Map!$D:$D,$A34,Map!$F:$F,"Y")</f>
        <v>2</v>
      </c>
      <c r="H34" s="2" t="str">
        <f aca="false">IF(G34&gt;=Settings!$B$3,"High",IF(G34&gt;=Settings!$B$5,"Medium","Low"))</f>
        <v>Medium</v>
      </c>
      <c r="I34" s="2" t="n">
        <f aca="false">COUNTIFS(Map!$D:$D,$A34,Map!$G:$G,"Y")</f>
        <v>1</v>
      </c>
      <c r="J34" s="2" t="str">
        <f aca="false">IF(I34&gt;=Settings!$B$4,"High",IF(I34&gt;=Settings!$B$5,"Medium","Low"))</f>
        <v>Medium</v>
      </c>
      <c r="K34" s="2" t="n">
        <f aca="false">COUNTIF(Map!$D:$D,$A34)</f>
        <v>11</v>
      </c>
    </row>
    <row r="35" customFormat="false" ht="23.85" hidden="false" customHeight="false" outlineLevel="0" collapsed="false">
      <c r="A35" s="2" t="n">
        <v>34</v>
      </c>
      <c r="B35" s="2" t="s">
        <v>51</v>
      </c>
      <c r="C35" s="2" t="s">
        <v>54</v>
      </c>
      <c r="D35" s="2" t="s">
        <v>13</v>
      </c>
      <c r="E35" s="2"/>
      <c r="F35" s="2" t="n">
        <v>33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2</v>
      </c>
    </row>
    <row r="36" customFormat="false" ht="23.85" hidden="false" customHeight="false" outlineLevel="0" collapsed="false">
      <c r="A36" s="2" t="n">
        <v>35</v>
      </c>
      <c r="B36" s="2" t="s">
        <v>51</v>
      </c>
      <c r="C36" s="2" t="s">
        <v>55</v>
      </c>
      <c r="D36" s="2" t="s">
        <v>13</v>
      </c>
      <c r="E36" s="2"/>
      <c r="F36" s="2" t="n">
        <v>34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0</v>
      </c>
    </row>
    <row r="37" customFormat="false" ht="15" hidden="false" customHeight="false" outlineLevel="0" collapsed="false">
      <c r="A37" s="2" t="n">
        <v>36</v>
      </c>
      <c r="B37" s="2" t="s">
        <v>56</v>
      </c>
      <c r="C37" s="2" t="s">
        <v>57</v>
      </c>
      <c r="D37" s="2" t="s">
        <v>13</v>
      </c>
      <c r="E37" s="2"/>
      <c r="F37" s="2" t="n">
        <v>35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0</v>
      </c>
    </row>
    <row r="38" customFormat="false" ht="23.85" hidden="false" customHeight="false" outlineLevel="0" collapsed="false">
      <c r="A38" s="2" t="n">
        <v>37</v>
      </c>
      <c r="B38" s="2" t="s">
        <v>56</v>
      </c>
      <c r="C38" s="2" t="s">
        <v>58</v>
      </c>
      <c r="D38" s="2" t="s">
        <v>13</v>
      </c>
      <c r="E38" s="2"/>
      <c r="F38" s="2" t="n">
        <v>36</v>
      </c>
      <c r="G38" s="2" t="n">
        <f aca="false">COUNTIFS(Map!$D:$D,$A38,Map!$F:$F,"Y")</f>
        <v>5</v>
      </c>
      <c r="H38" s="2" t="str">
        <f aca="false">IF(G38&gt;=Settings!$B$3,"High",IF(G38&gt;=Settings!$B$5,"Medium","Low"))</f>
        <v>Medium</v>
      </c>
      <c r="I38" s="2" t="n">
        <f aca="false">COUNTIFS(Map!$D:$D,$A38,Map!$G:$G,"Y")</f>
        <v>2</v>
      </c>
      <c r="J38" s="2" t="str">
        <f aca="false">IF(I38&gt;=Settings!$B$4,"High",IF(I38&gt;=Settings!$B$5,"Medium","Low"))</f>
        <v>Medium</v>
      </c>
      <c r="K38" s="2" t="n">
        <f aca="false">COUNTIF(Map!$D:$D,$A38)</f>
        <v>8</v>
      </c>
    </row>
    <row r="39" customFormat="false" ht="23.85" hidden="false" customHeight="false" outlineLevel="0" collapsed="false">
      <c r="A39" s="2" t="n">
        <v>38</v>
      </c>
      <c r="B39" s="2" t="s">
        <v>56</v>
      </c>
      <c r="C39" s="2" t="s">
        <v>59</v>
      </c>
      <c r="D39" s="2" t="s">
        <v>13</v>
      </c>
      <c r="E39" s="2"/>
      <c r="F39" s="2" t="n">
        <v>37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10</v>
      </c>
    </row>
    <row r="40" customFormat="false" ht="23.85" hidden="false" customHeight="false" outlineLevel="0" collapsed="false">
      <c r="A40" s="2" t="n">
        <v>39</v>
      </c>
      <c r="B40" s="2" t="s">
        <v>56</v>
      </c>
      <c r="C40" s="2" t="s">
        <v>60</v>
      </c>
      <c r="D40" s="2" t="s">
        <v>13</v>
      </c>
      <c r="E40" s="2"/>
      <c r="F40" s="2" t="n">
        <v>38</v>
      </c>
      <c r="G40" s="2" t="n">
        <f aca="false">COUNTIFS(Map!$D:$D,$A40,Map!$F:$F,"Y")</f>
        <v>2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2</v>
      </c>
      <c r="J40" s="2" t="str">
        <f aca="false">IF(I40&gt;=Settings!$B$4,"High",IF(I40&gt;=Settings!$B$5,"Medium","Low"))</f>
        <v>Medium</v>
      </c>
      <c r="K40" s="2" t="n">
        <f aca="false">COUNTIF(Map!$D:$D,$A40)</f>
        <v>8</v>
      </c>
    </row>
    <row r="41" customFormat="false" ht="15" hidden="false" customHeight="false" outlineLevel="0" collapsed="false">
      <c r="A41" s="2" t="n">
        <v>40</v>
      </c>
      <c r="B41" s="2" t="s">
        <v>56</v>
      </c>
      <c r="C41" s="2" t="s">
        <v>61</v>
      </c>
      <c r="D41" s="2" t="s">
        <v>13</v>
      </c>
      <c r="E41" s="2"/>
      <c r="F41" s="2" t="n">
        <v>39</v>
      </c>
      <c r="G41" s="2" t="n">
        <f aca="false">COUNTIFS(Map!$D:$D,$A41,Map!$F:$F,"Y")</f>
        <v>0</v>
      </c>
      <c r="H41" s="2" t="str">
        <f aca="false">IF(G41&gt;=Settings!$B$3,"High",IF(G41&gt;=Settings!$B$5,"Medium","Low"))</f>
        <v>Low</v>
      </c>
      <c r="I41" s="2" t="n">
        <f aca="false">COUNTIFS(Map!$D:$D,$A41,Map!$G:$G,"Y")</f>
        <v>0</v>
      </c>
      <c r="J41" s="2" t="str">
        <f aca="false">IF(I41&gt;=Settings!$B$4,"High",IF(I41&gt;=Settings!$B$5,"Medium","Low"))</f>
        <v>Low</v>
      </c>
      <c r="K41" s="2" t="n">
        <f aca="false">COUNTIF(Map!$D:$D,$A41)</f>
        <v>5</v>
      </c>
    </row>
    <row r="42" customFormat="false" ht="15" hidden="false" customHeight="false" outlineLevel="0" collapsed="false">
      <c r="A42" s="2" t="n">
        <v>41</v>
      </c>
      <c r="B42" s="2" t="s">
        <v>56</v>
      </c>
      <c r="C42" s="2" t="s">
        <v>62</v>
      </c>
      <c r="D42" s="2" t="s">
        <v>13</v>
      </c>
      <c r="E42" s="2"/>
      <c r="F42" s="2" t="n">
        <v>40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0</v>
      </c>
    </row>
    <row r="43" customFormat="false" ht="15" hidden="false" customHeight="false" outlineLevel="0" collapsed="false">
      <c r="A43" s="2" t="n">
        <v>42</v>
      </c>
      <c r="B43" s="2" t="s">
        <v>56</v>
      </c>
      <c r="C43" s="2" t="s">
        <v>63</v>
      </c>
      <c r="D43" s="2" t="s">
        <v>13</v>
      </c>
      <c r="E43" s="2"/>
      <c r="F43" s="2" t="n">
        <v>41</v>
      </c>
      <c r="G43" s="2" t="n">
        <f aca="false">COUNTIFS(Map!$D:$D,$A43,Map!$F:$F,"Y")</f>
        <v>4</v>
      </c>
      <c r="H43" s="2" t="str">
        <f aca="false">IF(G43&gt;=Settings!$B$3,"High",IF(G43&gt;=Settings!$B$5,"Medium","Low"))</f>
        <v>Medium</v>
      </c>
      <c r="I43" s="2" t="n">
        <f aca="false">COUNTIFS(Map!$D:$D,$A43,Map!$G:$G,"Y")</f>
        <v>2</v>
      </c>
      <c r="J43" s="2" t="str">
        <f aca="false">IF(I43&gt;=Settings!$B$4,"High",IF(I43&gt;=Settings!$B$5,"Medium","Low"))</f>
        <v>Medium</v>
      </c>
      <c r="K43" s="2" t="n">
        <f aca="false">COUNTIF(Map!$D:$D,$A43)</f>
        <v>13</v>
      </c>
    </row>
    <row r="44" customFormat="false" ht="23.85" hidden="false" customHeight="false" outlineLevel="0" collapsed="false">
      <c r="A44" s="2" t="n">
        <v>43</v>
      </c>
      <c r="B44" s="2" t="s">
        <v>56</v>
      </c>
      <c r="C44" s="2" t="s">
        <v>64</v>
      </c>
      <c r="D44" s="2" t="s">
        <v>13</v>
      </c>
      <c r="E44" s="2"/>
      <c r="F44" s="2" t="n">
        <v>42</v>
      </c>
      <c r="G44" s="2" t="n">
        <f aca="false">COUNTIFS(Map!$D:$D,$A44,Map!$F:$F,"Y")</f>
        <v>0</v>
      </c>
      <c r="H44" s="2" t="str">
        <f aca="false">IF(G44&gt;=Settings!$B$3,"High",IF(G44&gt;=Settings!$B$5,"Medium","Low"))</f>
        <v>Low</v>
      </c>
      <c r="I44" s="2" t="n">
        <f aca="false">COUNTIFS(Map!$D:$D,$A44,Map!$G:$G,"Y")</f>
        <v>0</v>
      </c>
      <c r="J44" s="2" t="str">
        <f aca="false">IF(I44&gt;=Settings!$B$4,"High",IF(I44&gt;=Settings!$B$5,"Medium","Low"))</f>
        <v>Low</v>
      </c>
      <c r="K44" s="2" t="n">
        <f aca="false">COUNTIF(Map!$D:$D,$A44)</f>
        <v>0</v>
      </c>
    </row>
    <row r="45" customFormat="false" ht="15" hidden="false" customHeight="false" outlineLevel="0" collapsed="false">
      <c r="A45" s="2" t="n">
        <v>44</v>
      </c>
      <c r="B45" s="2" t="s">
        <v>65</v>
      </c>
      <c r="C45" s="2" t="s">
        <v>66</v>
      </c>
      <c r="D45" s="2" t="s">
        <v>13</v>
      </c>
      <c r="E45" s="2"/>
      <c r="F45" s="2" t="n">
        <v>43</v>
      </c>
      <c r="G45" s="2" t="n">
        <f aca="false">COUNTIFS(Map!$D:$D,$A45,Map!$F:$F,"Y")</f>
        <v>3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2</v>
      </c>
      <c r="J45" s="2" t="str">
        <f aca="false">IF(I45&gt;=Settings!$B$4,"High",IF(I45&gt;=Settings!$B$5,"Medium","Low"))</f>
        <v>Medium</v>
      </c>
      <c r="K45" s="2" t="n">
        <f aca="false">COUNTIF(Map!$D:$D,$A45)</f>
        <v>10</v>
      </c>
    </row>
    <row r="46" customFormat="false" ht="23.85" hidden="false" customHeight="false" outlineLevel="0" collapsed="false">
      <c r="A46" s="2" t="n">
        <v>45</v>
      </c>
      <c r="B46" s="2" t="s">
        <v>65</v>
      </c>
      <c r="C46" s="2" t="s">
        <v>67</v>
      </c>
      <c r="D46" s="2" t="s">
        <v>13</v>
      </c>
      <c r="E46" s="2"/>
      <c r="F46" s="2" t="n">
        <v>44</v>
      </c>
      <c r="G46" s="2" t="n">
        <f aca="false">COUNTIFS(Map!$D:$D,$A46,Map!$F:$F,"Y")</f>
        <v>0</v>
      </c>
      <c r="H46" s="2" t="str">
        <f aca="false">IF(G46&gt;=Settings!$B$3,"High",IF(G46&gt;=Settings!$B$5,"Medium","Low"))</f>
        <v>Low</v>
      </c>
      <c r="I46" s="2" t="n">
        <f aca="false">COUNTIFS(Map!$D:$D,$A46,Map!$G:$G,"Y")</f>
        <v>0</v>
      </c>
      <c r="J46" s="2" t="str">
        <f aca="false">IF(I46&gt;=Settings!$B$4,"High",IF(I46&gt;=Settings!$B$5,"Medium","Low"))</f>
        <v>Low</v>
      </c>
      <c r="K46" s="2" t="n">
        <f aca="false">COUNTIF(Map!$D:$D,$A46)</f>
        <v>0</v>
      </c>
    </row>
    <row r="47" customFormat="false" ht="15" hidden="false" customHeight="false" outlineLevel="0" collapsed="false">
      <c r="A47" s="2" t="n">
        <v>46</v>
      </c>
      <c r="B47" s="2" t="s">
        <v>68</v>
      </c>
      <c r="C47" s="2" t="s">
        <v>69</v>
      </c>
      <c r="D47" s="2" t="s">
        <v>13</v>
      </c>
      <c r="E47" s="2"/>
      <c r="F47" s="2" t="n">
        <v>45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10</v>
      </c>
    </row>
    <row r="48" customFormat="false" ht="15" hidden="false" customHeight="false" outlineLevel="0" collapsed="false">
      <c r="A48" s="2" t="n">
        <v>47</v>
      </c>
      <c r="B48" s="2" t="s">
        <v>68</v>
      </c>
      <c r="C48" s="2" t="s">
        <v>70</v>
      </c>
      <c r="D48" s="2" t="s">
        <v>13</v>
      </c>
      <c r="E48" s="2"/>
      <c r="F48" s="2" t="n">
        <v>46</v>
      </c>
      <c r="G48" s="2" t="n">
        <f aca="false">COUNTIFS(Map!$D:$D,$A48,Map!$F:$F,"Y")</f>
        <v>0</v>
      </c>
      <c r="H48" s="2" t="str">
        <f aca="false">IF(G48&gt;=Settings!$B$3,"High",IF(G48&gt;=Settings!$B$5,"Medium","Low"))</f>
        <v>Low</v>
      </c>
      <c r="I48" s="2" t="n">
        <f aca="false">COUNTIFS(Map!$D:$D,$A48,Map!$G:$G,"Y")</f>
        <v>0</v>
      </c>
      <c r="J48" s="2" t="str">
        <f aca="false">IF(I48&gt;=Settings!$B$4,"High",IF(I48&gt;=Settings!$B$5,"Medium","Low"))</f>
        <v>Low</v>
      </c>
      <c r="K48" s="2" t="n">
        <f aca="false">COUNTIF(Map!$D:$D,$A48)</f>
        <v>0</v>
      </c>
    </row>
    <row r="49" customFormat="false" ht="15" hidden="false" customHeight="false" outlineLevel="0" collapsed="false">
      <c r="A49" s="2" t="n">
        <v>48</v>
      </c>
      <c r="B49" s="2" t="s">
        <v>68</v>
      </c>
      <c r="C49" s="2" t="s">
        <v>71</v>
      </c>
      <c r="D49" s="2" t="s">
        <v>13</v>
      </c>
      <c r="E49" s="2"/>
      <c r="F49" s="2" t="n">
        <v>47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0</v>
      </c>
      <c r="J49" s="2" t="str">
        <f aca="false">IF(I49&gt;=Settings!$B$4,"High",IF(I49&gt;=Settings!$B$5,"Medium","Low"))</f>
        <v>Low</v>
      </c>
      <c r="K49" s="2" t="n">
        <f aca="false">COUNTIF(Map!$D:$D,$A49)</f>
        <v>5</v>
      </c>
    </row>
    <row r="50" customFormat="false" ht="15" hidden="false" customHeight="false" outlineLevel="0" collapsed="false">
      <c r="A50" s="2" t="n">
        <v>49</v>
      </c>
      <c r="B50" s="2" t="s">
        <v>68</v>
      </c>
      <c r="C50" s="2" t="s">
        <v>72</v>
      </c>
      <c r="D50" s="2" t="s">
        <v>13</v>
      </c>
      <c r="E50" s="2"/>
      <c r="F50" s="2" t="n">
        <v>48</v>
      </c>
      <c r="G50" s="2" t="n">
        <f aca="false">COUNTIFS(Map!$D:$D,$A50,Map!$F:$F,"Y")</f>
        <v>0</v>
      </c>
      <c r="H50" s="2" t="str">
        <f aca="false">IF(G50&gt;=Settings!$B$3,"High",IF(G50&gt;=Settings!$B$5,"Medium","Low"))</f>
        <v>Low</v>
      </c>
      <c r="I50" s="2" t="n">
        <f aca="false">COUNTIFS(Map!$D:$D,$A50,Map!$G:$G,"Y")</f>
        <v>0</v>
      </c>
      <c r="J50" s="2" t="str">
        <f aca="false">IF(I50&gt;=Settings!$B$4,"High",IF(I50&gt;=Settings!$B$5,"Medium","Low"))</f>
        <v>Low</v>
      </c>
      <c r="K50" s="2" t="n">
        <f aca="false">COUNTIF(Map!$D:$D,$A50)</f>
        <v>2</v>
      </c>
    </row>
    <row r="51" customFormat="false" ht="23.85" hidden="false" customHeight="false" outlineLevel="0" collapsed="false">
      <c r="A51" s="2" t="n">
        <v>50</v>
      </c>
      <c r="B51" s="2" t="s">
        <v>68</v>
      </c>
      <c r="C51" s="2" t="s">
        <v>73</v>
      </c>
      <c r="D51" s="2" t="s">
        <v>13</v>
      </c>
      <c r="E51" s="2"/>
      <c r="F51" s="2" t="n">
        <v>49</v>
      </c>
      <c r="G51" s="2" t="n">
        <f aca="false">COUNTIFS(Map!$D:$D,$A51,Map!$F:$F,"Y")</f>
        <v>1</v>
      </c>
      <c r="H51" s="2" t="str">
        <f aca="false">IF(G51&gt;=Settings!$B$3,"High",IF(G51&gt;=Settings!$B$5,"Medium","Low"))</f>
        <v>Medium</v>
      </c>
      <c r="I51" s="2" t="n">
        <f aca="false">COUNTIFS(Map!$D:$D,$A51,Map!$G:$G,"Y")</f>
        <v>2</v>
      </c>
      <c r="J51" s="2" t="str">
        <f aca="false">IF(I51&gt;=Settings!$B$4,"High",IF(I51&gt;=Settings!$B$5,"Medium","Low"))</f>
        <v>Medium</v>
      </c>
      <c r="K51" s="2" t="n">
        <f aca="false">COUNTIF(Map!$D:$D,$A51)</f>
        <v>7</v>
      </c>
    </row>
    <row r="52" customFormat="false" ht="23.85" hidden="false" customHeight="false" outlineLevel="0" collapsed="false">
      <c r="A52" s="2" t="n">
        <v>51</v>
      </c>
      <c r="B52" s="2" t="s">
        <v>68</v>
      </c>
      <c r="C52" s="2" t="s">
        <v>74</v>
      </c>
      <c r="D52" s="2" t="s">
        <v>13</v>
      </c>
      <c r="E52" s="2"/>
      <c r="F52" s="2" t="n">
        <v>50</v>
      </c>
      <c r="G52" s="2" t="n">
        <f aca="false">COUNTIFS(Map!$D:$D,$A52,Map!$F:$F,"Y")</f>
        <v>6</v>
      </c>
      <c r="H52" s="2" t="str">
        <f aca="false">IF(G52&gt;=Settings!$B$3,"High",IF(G52&gt;=Settings!$B$5,"Medium","Low"))</f>
        <v>Medium</v>
      </c>
      <c r="I52" s="2" t="n">
        <f aca="false">COUNTIFS(Map!$D:$D,$A52,Map!$G:$G,"Y")</f>
        <v>1</v>
      </c>
      <c r="J52" s="2" t="str">
        <f aca="false">IF(I52&gt;=Settings!$B$4,"High",IF(I52&gt;=Settings!$B$5,"Medium","Low"))</f>
        <v>Medium</v>
      </c>
      <c r="K52" s="2" t="n">
        <f aca="false">COUNTIF(Map!$D:$D,$A52)</f>
        <v>15</v>
      </c>
    </row>
    <row r="53" customFormat="false" ht="15" hidden="false" customHeight="false" outlineLevel="0" collapsed="false">
      <c r="A53" s="2" t="n">
        <v>52</v>
      </c>
      <c r="B53" s="2" t="s">
        <v>75</v>
      </c>
      <c r="C53" s="2" t="s">
        <v>76</v>
      </c>
      <c r="D53" s="2" t="s">
        <v>13</v>
      </c>
      <c r="E53" s="2"/>
      <c r="F53" s="2" t="n">
        <v>51</v>
      </c>
      <c r="G53" s="2" t="n">
        <f aca="false">COUNTIFS(Map!$D:$D,$A53,Map!$F:$F,"Y")</f>
        <v>0</v>
      </c>
      <c r="H53" s="2" t="str">
        <f aca="false">IF(G53&gt;=Settings!$B$3,"High",IF(G53&gt;=Settings!$B$5,"Medium","Low"))</f>
        <v>Low</v>
      </c>
      <c r="I53" s="2" t="n">
        <f aca="false">COUNTIFS(Map!$D:$D,$A53,Map!$G:$G,"Y")</f>
        <v>0</v>
      </c>
      <c r="J53" s="2" t="str">
        <f aca="false">IF(I53&gt;=Settings!$B$4,"High",IF(I53&gt;=Settings!$B$5,"Medium","Low"))</f>
        <v>Low</v>
      </c>
      <c r="K53" s="2" t="n">
        <f aca="false">COUNTIF(Map!$D:$D,$A53)</f>
        <v>8</v>
      </c>
    </row>
    <row r="54" customFormat="false" ht="15" hidden="false" customHeight="false" outlineLevel="0" collapsed="false">
      <c r="A54" s="2" t="n">
        <v>53</v>
      </c>
      <c r="B54" s="2" t="s">
        <v>75</v>
      </c>
      <c r="C54" s="2" t="s">
        <v>77</v>
      </c>
      <c r="D54" s="2" t="s">
        <v>13</v>
      </c>
      <c r="E54" s="2"/>
      <c r="F54" s="2" t="n">
        <v>52</v>
      </c>
      <c r="G54" s="2" t="n">
        <f aca="false">COUNTIFS(Map!$D:$D,$A54,Map!$F:$F,"Y")</f>
        <v>0</v>
      </c>
      <c r="H54" s="2" t="str">
        <f aca="false">IF(G54&gt;=Settings!$B$3,"High",IF(G54&gt;=Settings!$B$5,"Medium","Low"))</f>
        <v>Low</v>
      </c>
      <c r="I54" s="2" t="n">
        <f aca="false">COUNTIFS(Map!$D:$D,$A54,Map!$G:$G,"Y")</f>
        <v>0</v>
      </c>
      <c r="J54" s="2" t="str">
        <f aca="false">IF(I54&gt;=Settings!$B$4,"High",IF(I54&gt;=Settings!$B$5,"Medium","Low"))</f>
        <v>Low</v>
      </c>
      <c r="K54" s="2" t="n">
        <f aca="false">COUNTIF(Map!$D:$D,$A54)</f>
        <v>0</v>
      </c>
    </row>
    <row r="55" customFormat="false" ht="15" hidden="false" customHeight="false" outlineLevel="0" collapsed="false">
      <c r="A55" s="2" t="n">
        <v>54</v>
      </c>
      <c r="B55" s="2" t="s">
        <v>78</v>
      </c>
      <c r="C55" s="2" t="s">
        <v>79</v>
      </c>
      <c r="D55" s="2" t="s">
        <v>13</v>
      </c>
      <c r="E55" s="2"/>
      <c r="F55" s="2" t="n">
        <v>53</v>
      </c>
      <c r="G55" s="2" t="n">
        <f aca="false">COUNTIFS(Map!$D:$D,$A55,Map!$F:$F,"Y")</f>
        <v>0</v>
      </c>
      <c r="H55" s="2" t="str">
        <f aca="false">IF(G55&gt;=Settings!$B$3,"High",IF(G55&gt;=Settings!$B$5,"Medium","Low"))</f>
        <v>Low</v>
      </c>
      <c r="I55" s="2" t="n">
        <f aca="false">COUNTIFS(Map!$D:$D,$A55,Map!$G:$G,"Y")</f>
        <v>0</v>
      </c>
      <c r="J55" s="2" t="str">
        <f aca="false">IF(I55&gt;=Settings!$B$4,"High",IF(I55&gt;=Settings!$B$5,"Medium","Low"))</f>
        <v>Low</v>
      </c>
      <c r="K55" s="2" t="n">
        <f aca="false">COUNTIF(Map!$D:$D,$A55)</f>
        <v>0</v>
      </c>
    </row>
    <row r="56" customFormat="false" ht="15" hidden="false" customHeight="false" outlineLevel="0" collapsed="false">
      <c r="A56" s="2" t="n">
        <v>55</v>
      </c>
      <c r="B56" s="2" t="s">
        <v>78</v>
      </c>
      <c r="C56" s="2" t="s">
        <v>80</v>
      </c>
      <c r="D56" s="2" t="s">
        <v>13</v>
      </c>
      <c r="E56" s="2"/>
      <c r="F56" s="2" t="n">
        <v>54</v>
      </c>
      <c r="G56" s="2" t="n">
        <f aca="false">COUNTIFS(Map!$D:$D,$A56,Map!$F:$F,"Y")</f>
        <v>0</v>
      </c>
      <c r="H56" s="2" t="str">
        <f aca="false">IF(G56&gt;=Settings!$B$3,"High",IF(G56&gt;=Settings!$B$5,"Medium","Low"))</f>
        <v>Low</v>
      </c>
      <c r="I56" s="2" t="n">
        <f aca="false">COUNTIFS(Map!$D:$D,$A56,Map!$G:$G,"Y")</f>
        <v>0</v>
      </c>
      <c r="J56" s="2" t="str">
        <f aca="false">IF(I56&gt;=Settings!$B$4,"High",IF(I56&gt;=Settings!$B$5,"Medium","Low"))</f>
        <v>Low</v>
      </c>
      <c r="K56" s="2" t="n">
        <f aca="false">COUNTIF(Map!$D:$D,$A56)</f>
        <v>3</v>
      </c>
    </row>
    <row r="57" customFormat="false" ht="15" hidden="false" customHeight="false" outlineLevel="0" collapsed="false">
      <c r="A57" s="2" t="n">
        <v>56</v>
      </c>
      <c r="B57" s="2" t="s">
        <v>78</v>
      </c>
      <c r="C57" s="2" t="s">
        <v>81</v>
      </c>
      <c r="D57" s="2" t="s">
        <v>13</v>
      </c>
      <c r="E57" s="2"/>
      <c r="F57" s="2" t="n">
        <v>55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0</v>
      </c>
    </row>
    <row r="58" customFormat="false" ht="23.85" hidden="false" customHeight="false" outlineLevel="0" collapsed="false">
      <c r="A58" s="2" t="n">
        <v>57</v>
      </c>
      <c r="B58" s="2" t="s">
        <v>78</v>
      </c>
      <c r="C58" s="2" t="s">
        <v>82</v>
      </c>
      <c r="D58" s="2" t="s">
        <v>13</v>
      </c>
      <c r="E58" s="2"/>
      <c r="F58" s="2" t="n">
        <v>56</v>
      </c>
      <c r="G58" s="2" t="n">
        <f aca="false">COUNTIFS(Map!$D:$D,$A58,Map!$F:$F,"Y")</f>
        <v>0</v>
      </c>
      <c r="H58" s="2" t="str">
        <f aca="false">IF(G58&gt;=Settings!$B$3,"High",IF(G58&gt;=Settings!$B$5,"Medium","Low"))</f>
        <v>Low</v>
      </c>
      <c r="I58" s="2" t="n">
        <f aca="false">COUNTIFS(Map!$D:$D,$A58,Map!$G:$G,"Y")</f>
        <v>0</v>
      </c>
      <c r="J58" s="2" t="str">
        <f aca="false">IF(I58&gt;=Settings!$B$4,"High",IF(I58&gt;=Settings!$B$5,"Medium","Low"))</f>
        <v>Low</v>
      </c>
      <c r="K58" s="2" t="n">
        <f aca="false">COUNTIF(Map!$D:$D,$A58)</f>
        <v>0</v>
      </c>
    </row>
    <row r="59" customFormat="false" ht="15" hidden="false" customHeight="false" outlineLevel="0" collapsed="false">
      <c r="A59" s="2" t="n">
        <v>58</v>
      </c>
      <c r="B59" s="2" t="s">
        <v>83</v>
      </c>
      <c r="C59" s="2" t="s">
        <v>84</v>
      </c>
      <c r="D59" s="2" t="s">
        <v>13</v>
      </c>
      <c r="E59" s="2"/>
      <c r="F59" s="2" t="n">
        <v>57</v>
      </c>
      <c r="G59" s="2" t="n">
        <f aca="false">COUNTIFS(Map!$D:$D,$A59,Map!$F:$F,"Y")</f>
        <v>2</v>
      </c>
      <c r="H59" s="2" t="str">
        <f aca="false">IF(G59&gt;=Settings!$B$3,"High",IF(G59&gt;=Settings!$B$5,"Medium","Low"))</f>
        <v>Medium</v>
      </c>
      <c r="I59" s="2" t="n">
        <f aca="false">COUNTIFS(Map!$D:$D,$A59,Map!$G:$G,"Y")</f>
        <v>2</v>
      </c>
      <c r="J59" s="2" t="str">
        <f aca="false">IF(I59&gt;=Settings!$B$4,"High",IF(I59&gt;=Settings!$B$5,"Medium","Low"))</f>
        <v>Medium</v>
      </c>
      <c r="K59" s="2" t="n">
        <f aca="false">COUNTIF(Map!$D:$D,$A59)</f>
        <v>16</v>
      </c>
    </row>
    <row r="60" customFormat="false" ht="15" hidden="false" customHeight="false" outlineLevel="0" collapsed="false">
      <c r="A60" s="2" t="n">
        <v>59</v>
      </c>
      <c r="B60" s="2" t="s">
        <v>83</v>
      </c>
      <c r="C60" s="2" t="s">
        <v>85</v>
      </c>
      <c r="D60" s="2" t="s">
        <v>13</v>
      </c>
      <c r="E60" s="2"/>
      <c r="F60" s="2" t="n">
        <v>58</v>
      </c>
      <c r="G60" s="2" t="n">
        <f aca="false">COUNTIFS(Map!$D:$D,$A60,Map!$F:$F,"Y")</f>
        <v>1</v>
      </c>
      <c r="H60" s="2" t="str">
        <f aca="false">IF(G60&gt;=Settings!$B$3,"High",IF(G60&gt;=Settings!$B$5,"Medium","Low"))</f>
        <v>Medium</v>
      </c>
      <c r="I60" s="2" t="n">
        <f aca="false">COUNTIFS(Map!$D:$D,$A60,Map!$G:$G,"Y")</f>
        <v>1</v>
      </c>
      <c r="J60" s="2" t="str">
        <f aca="false">IF(I60&gt;=Settings!$B$4,"High",IF(I60&gt;=Settings!$B$5,"Medium","Low"))</f>
        <v>Medium</v>
      </c>
      <c r="K60" s="2" t="n">
        <f aca="false">COUNTIF(Map!$D:$D,$A60)</f>
        <v>1</v>
      </c>
    </row>
    <row r="61" customFormat="false" ht="15" hidden="false" customHeight="false" outlineLevel="0" collapsed="false">
      <c r="A61" s="2" t="n">
        <v>60</v>
      </c>
      <c r="B61" s="2" t="s">
        <v>83</v>
      </c>
      <c r="C61" s="2" t="s">
        <v>86</v>
      </c>
      <c r="D61" s="2" t="s">
        <v>13</v>
      </c>
      <c r="E61" s="2"/>
      <c r="F61" s="2" t="n">
        <v>59</v>
      </c>
      <c r="G61" s="2" t="n">
        <f aca="false">COUNTIFS(Map!$D:$D,$A61,Map!$F:$F,"Y")</f>
        <v>2</v>
      </c>
      <c r="H61" s="2" t="str">
        <f aca="false">IF(G61&gt;=Settings!$B$3,"High",IF(G61&gt;=Settings!$B$5,"Medium","Low"))</f>
        <v>Medium</v>
      </c>
      <c r="I61" s="2" t="n">
        <f aca="false">COUNTIFS(Map!$D:$D,$A61,Map!$G:$G,"Y")</f>
        <v>2</v>
      </c>
      <c r="J61" s="2" t="str">
        <f aca="false">IF(I61&gt;=Settings!$B$4,"High",IF(I61&gt;=Settings!$B$5,"Medium","Low"))</f>
        <v>Medium</v>
      </c>
      <c r="K61" s="2" t="n">
        <f aca="false">COUNTIF(Map!$D:$D,$A61)</f>
        <v>7</v>
      </c>
    </row>
    <row r="62" customFormat="false" ht="23.85" hidden="false" customHeight="false" outlineLevel="0" collapsed="false">
      <c r="A62" s="2" t="n">
        <v>61</v>
      </c>
      <c r="B62" s="2" t="s">
        <v>83</v>
      </c>
      <c r="C62" s="2" t="s">
        <v>87</v>
      </c>
      <c r="D62" s="2" t="s">
        <v>13</v>
      </c>
      <c r="E62" s="2"/>
      <c r="F62" s="2" t="n">
        <v>60</v>
      </c>
      <c r="G62" s="2" t="n">
        <f aca="false">COUNTIFS(Map!$D:$D,$A62,Map!$F:$F,"Y")</f>
        <v>0</v>
      </c>
      <c r="H62" s="2" t="str">
        <f aca="false">IF(G62&gt;=Settings!$B$3,"High",IF(G62&gt;=Settings!$B$5,"Medium","Low"))</f>
        <v>Low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0</v>
      </c>
    </row>
    <row r="63" customFormat="false" ht="15" hidden="false" customHeight="false" outlineLevel="0" collapsed="false">
      <c r="A63" s="2" t="n">
        <v>62</v>
      </c>
      <c r="B63" s="2" t="s">
        <v>83</v>
      </c>
      <c r="C63" s="2" t="s">
        <v>88</v>
      </c>
      <c r="D63" s="2" t="s">
        <v>13</v>
      </c>
      <c r="E63" s="2"/>
      <c r="F63" s="2" t="n">
        <v>61</v>
      </c>
      <c r="G63" s="2" t="n">
        <f aca="false">COUNTIFS(Map!$D:$D,$A63,Map!$F:$F,"Y")</f>
        <v>0</v>
      </c>
      <c r="H63" s="2" t="str">
        <f aca="false">IF(G63&gt;=Settings!$B$3,"High",IF(G63&gt;=Settings!$B$5,"Medium","Low"))</f>
        <v>Low</v>
      </c>
      <c r="I63" s="2" t="n">
        <f aca="false">COUNTIFS(Map!$D:$D,$A63,Map!$G:$G,"Y")</f>
        <v>0</v>
      </c>
      <c r="J63" s="2" t="str">
        <f aca="false">IF(I63&gt;=Settings!$B$4,"High",IF(I63&gt;=Settings!$B$5,"Medium","Low"))</f>
        <v>Low</v>
      </c>
      <c r="K63" s="2" t="n">
        <f aca="false">COUNTIF(Map!$D:$D,$A63)</f>
        <v>0</v>
      </c>
    </row>
    <row r="64" customFormat="false" ht="23.85" hidden="false" customHeight="false" outlineLevel="0" collapsed="false">
      <c r="A64" s="2" t="n">
        <v>63</v>
      </c>
      <c r="B64" s="2" t="s">
        <v>83</v>
      </c>
      <c r="C64" s="2" t="s">
        <v>89</v>
      </c>
      <c r="D64" s="2" t="s">
        <v>13</v>
      </c>
      <c r="E64" s="2"/>
      <c r="F64" s="2" t="n">
        <v>62</v>
      </c>
      <c r="G64" s="2" t="n">
        <f aca="false">COUNTIFS(Map!$D:$D,$A64,Map!$F:$F,"Y")</f>
        <v>1</v>
      </c>
      <c r="H64" s="2" t="str">
        <f aca="false">IF(G64&gt;=Settings!$B$3,"High",IF(G64&gt;=Settings!$B$5,"Medium","Low"))</f>
        <v>Medium</v>
      </c>
      <c r="I64" s="2" t="n">
        <f aca="false">COUNTIFS(Map!$D:$D,$A64,Map!$G:$G,"Y")</f>
        <v>1</v>
      </c>
      <c r="J64" s="2" t="str">
        <f aca="false">IF(I64&gt;=Settings!$B$4,"High",IF(I64&gt;=Settings!$B$5,"Medium","Low"))</f>
        <v>Medium</v>
      </c>
      <c r="K64" s="2" t="n">
        <f aca="false">COUNTIF(Map!$D:$D,$A64)</f>
        <v>3</v>
      </c>
    </row>
    <row r="65" customFormat="false" ht="23.85" hidden="false" customHeight="false" outlineLevel="0" collapsed="false">
      <c r="A65" s="2" t="n">
        <v>64</v>
      </c>
      <c r="B65" s="2" t="s">
        <v>90</v>
      </c>
      <c r="C65" s="2" t="s">
        <v>91</v>
      </c>
      <c r="D65" s="2" t="s">
        <v>13</v>
      </c>
      <c r="E65" s="2"/>
      <c r="F65" s="2" t="n">
        <v>63</v>
      </c>
      <c r="G65" s="2" t="n">
        <f aca="false">COUNTIFS(Map!$D:$D,$A65,Map!$F:$F,"Y")</f>
        <v>2</v>
      </c>
      <c r="H65" s="2" t="str">
        <f aca="false">IF(G65&gt;=Settings!$B$3,"High",IF(G65&gt;=Settings!$B$5,"Medium","Low"))</f>
        <v>Medium</v>
      </c>
      <c r="I65" s="2" t="n">
        <f aca="false">COUNTIFS(Map!$D:$D,$A65,Map!$G:$G,"Y")</f>
        <v>1</v>
      </c>
      <c r="J65" s="2" t="str">
        <f aca="false">IF(I65&gt;=Settings!$B$4,"High",IF(I65&gt;=Settings!$B$5,"Medium","Low"))</f>
        <v>Medium</v>
      </c>
      <c r="K65" s="2" t="n">
        <f aca="false">COUNTIF(Map!$D:$D,$A65)</f>
        <v>8</v>
      </c>
    </row>
    <row r="66" customFormat="false" ht="15" hidden="false" customHeight="false" outlineLevel="0" collapsed="false">
      <c r="A66" s="2" t="n">
        <v>65</v>
      </c>
      <c r="B66" s="2" t="s">
        <v>90</v>
      </c>
      <c r="C66" s="2" t="s">
        <v>92</v>
      </c>
      <c r="D66" s="2" t="s">
        <v>13</v>
      </c>
      <c r="E66" s="2"/>
      <c r="F66" s="2" t="n">
        <v>64</v>
      </c>
      <c r="G66" s="2" t="n">
        <f aca="false">COUNTIFS(Map!$D:$D,$A66,Map!$F:$F,"Y")</f>
        <v>2</v>
      </c>
      <c r="H66" s="2" t="str">
        <f aca="false">IF(G66&gt;=Settings!$B$3,"High",IF(G66&gt;=Settings!$B$5,"Medium","Low"))</f>
        <v>Medium</v>
      </c>
      <c r="I66" s="2" t="n">
        <f aca="false">COUNTIFS(Map!$D:$D,$A66,Map!$G:$G,"Y")</f>
        <v>2</v>
      </c>
      <c r="J66" s="2" t="str">
        <f aca="false">IF(I66&gt;=Settings!$B$4,"High",IF(I66&gt;=Settings!$B$5,"Medium","Low"))</f>
        <v>Medium</v>
      </c>
      <c r="K66" s="2" t="n">
        <f aca="false">COUNTIF(Map!$D:$D,$A66)</f>
        <v>11</v>
      </c>
    </row>
    <row r="67" customFormat="false" ht="23.85" hidden="false" customHeight="false" outlineLevel="0" collapsed="false">
      <c r="A67" s="2" t="n">
        <v>66</v>
      </c>
      <c r="B67" s="2" t="s">
        <v>90</v>
      </c>
      <c r="C67" s="2" t="s">
        <v>93</v>
      </c>
      <c r="D67" s="2" t="s">
        <v>13</v>
      </c>
      <c r="E67" s="2"/>
      <c r="F67" s="2" t="n">
        <v>65</v>
      </c>
      <c r="G67" s="2" t="n">
        <f aca="false">COUNTIFS(Map!$D:$D,$A67,Map!$F:$F,"Y")</f>
        <v>2</v>
      </c>
      <c r="H67" s="2" t="str">
        <f aca="false">IF(G67&gt;=Settings!$B$3,"High",IF(G67&gt;=Settings!$B$5,"Medium","Low"))</f>
        <v>Medium</v>
      </c>
      <c r="I67" s="2" t="n">
        <f aca="false">COUNTIFS(Map!$D:$D,$A67,Map!$G:$G,"Y")</f>
        <v>3</v>
      </c>
      <c r="J67" s="2" t="str">
        <f aca="false">IF(I67&gt;=Settings!$B$4,"High",IF(I67&gt;=Settings!$B$5,"Medium","Low"))</f>
        <v>Medium</v>
      </c>
      <c r="K67" s="2" t="n">
        <f aca="false">COUNTIF(Map!$D:$D,$A67)</f>
        <v>4</v>
      </c>
    </row>
    <row r="68" customFormat="false" ht="23.85" hidden="false" customHeight="false" outlineLevel="0" collapsed="false">
      <c r="A68" s="2" t="n">
        <v>67</v>
      </c>
      <c r="B68" s="2" t="s">
        <v>94</v>
      </c>
      <c r="C68" s="2" t="s">
        <v>95</v>
      </c>
      <c r="D68" s="2" t="s">
        <v>13</v>
      </c>
      <c r="E68" s="2"/>
      <c r="F68" s="2" t="n">
        <v>66</v>
      </c>
      <c r="G68" s="2" t="n">
        <f aca="false">COUNTIFS(Map!$D:$D,$A68,Map!$F:$F,"Y")</f>
        <v>0</v>
      </c>
      <c r="H68" s="2" t="str">
        <f aca="false">IF(G68&gt;=Settings!$B$3,"High",IF(G68&gt;=Settings!$B$5,"Medium","Low"))</f>
        <v>Low</v>
      </c>
      <c r="I68" s="2" t="n">
        <f aca="false">COUNTIFS(Map!$D:$D,$A68,Map!$G:$G,"Y")</f>
        <v>0</v>
      </c>
      <c r="J68" s="2" t="str">
        <f aca="false">IF(I68&gt;=Settings!$B$4,"High",IF(I68&gt;=Settings!$B$5,"Medium","Low"))</f>
        <v>Low</v>
      </c>
      <c r="K68" s="2" t="n">
        <f aca="false">COUNTIF(Map!$D:$D,$A68)</f>
        <v>3</v>
      </c>
    </row>
    <row r="69" customFormat="false" ht="23.85" hidden="false" customHeight="false" outlineLevel="0" collapsed="false">
      <c r="A69" s="2" t="n">
        <v>68</v>
      </c>
      <c r="B69" s="2" t="s">
        <v>96</v>
      </c>
      <c r="C69" s="2" t="s">
        <v>97</v>
      </c>
      <c r="D69" s="2" t="s">
        <v>13</v>
      </c>
      <c r="E69" s="2"/>
      <c r="F69" s="2" t="n">
        <v>67</v>
      </c>
      <c r="G69" s="2" t="n">
        <f aca="false">COUNTIFS(Map!$D:$D,$A69,Map!$F:$F,"Y")</f>
        <v>0</v>
      </c>
      <c r="H69" s="2" t="str">
        <f aca="false">IF(G69&gt;=Settings!$B$3,"High",IF(G69&gt;=Settings!$B$5,"Medium","Low"))</f>
        <v>Low</v>
      </c>
      <c r="I69" s="2" t="n">
        <f aca="false">COUNTIFS(Map!$D:$D,$A69,Map!$G:$G,"Y")</f>
        <v>0</v>
      </c>
      <c r="J69" s="2" t="str">
        <f aca="false">IF(I69&gt;=Settings!$B$4,"High",IF(I69&gt;=Settings!$B$5,"Medium","Low"))</f>
        <v>Low</v>
      </c>
      <c r="K69" s="2" t="n">
        <f aca="false">COUNTIF(Map!$D:$D,$A69)</f>
        <v>9</v>
      </c>
    </row>
    <row r="70" customFormat="false" ht="23.85" hidden="false" customHeight="false" outlineLevel="0" collapsed="false">
      <c r="A70" s="2" t="n">
        <v>69</v>
      </c>
      <c r="B70" s="2" t="s">
        <v>96</v>
      </c>
      <c r="C70" s="2" t="s">
        <v>98</v>
      </c>
      <c r="D70" s="2" t="s">
        <v>13</v>
      </c>
      <c r="E70" s="2"/>
      <c r="F70" s="2" t="n">
        <v>68</v>
      </c>
      <c r="G70" s="2" t="n">
        <f aca="false">COUNTIFS(Map!$D:$D,$A70,Map!$F:$F,"Y")</f>
        <v>0</v>
      </c>
      <c r="H70" s="2" t="str">
        <f aca="false">IF(G70&gt;=Settings!$B$3,"High",IF(G70&gt;=Settings!$B$5,"Medium","Low"))</f>
        <v>Low</v>
      </c>
      <c r="I70" s="2" t="n">
        <f aca="false">COUNTIFS(Map!$D:$D,$A70,Map!$G:$G,"Y")</f>
        <v>0</v>
      </c>
      <c r="J70" s="2" t="str">
        <f aca="false">IF(I70&gt;=Settings!$B$4,"High",IF(I70&gt;=Settings!$B$5,"Medium","Low"))</f>
        <v>Low</v>
      </c>
      <c r="K70" s="2" t="n">
        <f aca="false">COUNTIF(Map!$D:$D,$A70)</f>
        <v>1</v>
      </c>
    </row>
    <row r="71" customFormat="false" ht="23.85" hidden="false" customHeight="false" outlineLevel="0" collapsed="false">
      <c r="A71" s="2" t="n">
        <v>70</v>
      </c>
      <c r="B71" s="2" t="s">
        <v>99</v>
      </c>
      <c r="C71" s="2" t="s">
        <v>100</v>
      </c>
      <c r="D71" s="2" t="s">
        <v>13</v>
      </c>
      <c r="E71" s="2"/>
      <c r="F71" s="2" t="n">
        <v>69</v>
      </c>
      <c r="G71" s="2" t="n">
        <f aca="false">COUNTIFS(Map!$D:$D,$A71,Map!$F:$F,"Y")</f>
        <v>0</v>
      </c>
      <c r="H71" s="2" t="str">
        <f aca="false">IF(G71&gt;=Settings!$B$3,"High",IF(G71&gt;=Settings!$B$5,"Medium","Low"))</f>
        <v>Low</v>
      </c>
      <c r="I71" s="2" t="n">
        <f aca="false">COUNTIFS(Map!$D:$D,$A71,Map!$G:$G,"Y")</f>
        <v>0</v>
      </c>
      <c r="J71" s="2" t="str">
        <f aca="false">IF(I71&gt;=Settings!$B$4,"High",IF(I71&gt;=Settings!$B$5,"Medium","Low"))</f>
        <v>Low</v>
      </c>
      <c r="K71" s="2" t="n">
        <f aca="false">COUNTIF(Map!$D:$D,$A71)</f>
        <v>2</v>
      </c>
    </row>
    <row r="72" customFormat="false" ht="15" hidden="false" customHeight="false" outlineLevel="0" collapsed="false">
      <c r="A72" s="2" t="n">
        <v>71</v>
      </c>
      <c r="B72" s="2" t="s">
        <v>99</v>
      </c>
      <c r="C72" s="2" t="s">
        <v>101</v>
      </c>
      <c r="D72" s="2" t="s">
        <v>13</v>
      </c>
      <c r="E72" s="2"/>
      <c r="F72" s="2" t="n">
        <v>70</v>
      </c>
      <c r="G72" s="2" t="n">
        <f aca="false">COUNTIFS(Map!$D:$D,$A72,Map!$F:$F,"Y")</f>
        <v>0</v>
      </c>
      <c r="H72" s="2" t="str">
        <f aca="false">IF(G72&gt;=Settings!$B$3,"High",IF(G72&gt;=Settings!$B$5,"Medium","Low"))</f>
        <v>Low</v>
      </c>
      <c r="I72" s="2" t="n">
        <f aca="false">COUNTIFS(Map!$D:$D,$A72,Map!$G:$G,"Y")</f>
        <v>0</v>
      </c>
      <c r="J72" s="2" t="str">
        <f aca="false">IF(I72&gt;=Settings!$B$4,"High",IF(I72&gt;=Settings!$B$5,"Medium","Low"))</f>
        <v>Low</v>
      </c>
      <c r="K72" s="2" t="n">
        <f aca="false">COUNTIF(Map!$D:$D,$A72)</f>
        <v>5</v>
      </c>
    </row>
    <row r="73" customFormat="false" ht="23.85" hidden="false" customHeight="false" outlineLevel="0" collapsed="false">
      <c r="A73" s="2" t="n">
        <v>72</v>
      </c>
      <c r="B73" s="2" t="s">
        <v>102</v>
      </c>
      <c r="C73" s="2" t="s">
        <v>103</v>
      </c>
      <c r="D73" s="2" t="s">
        <v>13</v>
      </c>
      <c r="E73" s="2"/>
      <c r="F73" s="2" t="n">
        <v>71</v>
      </c>
      <c r="G73" s="2" t="n">
        <f aca="false">COUNTIFS(Map!$D:$D,$A73,Map!$F:$F,"Y")</f>
        <v>0</v>
      </c>
      <c r="H73" s="2" t="str">
        <f aca="false">IF(G73&gt;=Settings!$B$3,"High",IF(G73&gt;=Settings!$B$5,"Medium","Low"))</f>
        <v>Low</v>
      </c>
      <c r="I73" s="2" t="n">
        <f aca="false">COUNTIFS(Map!$D:$D,$A73,Map!$G:$G,"Y")</f>
        <v>0</v>
      </c>
      <c r="J73" s="2" t="str">
        <f aca="false">IF(I73&gt;=Settings!$B$4,"High",IF(I73&gt;=Settings!$B$5,"Medium","Low"))</f>
        <v>Low</v>
      </c>
      <c r="K73" s="2" t="n">
        <f aca="false">COUNTIF(Map!$D:$D,$A73)</f>
        <v>5</v>
      </c>
    </row>
    <row r="74" customFormat="false" ht="15" hidden="false" customHeight="false" outlineLevel="0" collapsed="false">
      <c r="A74" s="2" t="n">
        <v>73</v>
      </c>
      <c r="B74" s="2" t="s">
        <v>104</v>
      </c>
      <c r="C74" s="2" t="s">
        <v>105</v>
      </c>
      <c r="D74" s="2" t="s">
        <v>13</v>
      </c>
      <c r="E74" s="2"/>
      <c r="F74" s="2" t="n">
        <v>72</v>
      </c>
      <c r="G74" s="2" t="n">
        <f aca="false">COUNTIFS(Map!$D:$D,$A74,Map!$F:$F,"Y")</f>
        <v>1</v>
      </c>
      <c r="H74" s="2" t="str">
        <f aca="false">IF(G74&gt;=Settings!$B$3,"High",IF(G74&gt;=Settings!$B$5,"Medium","Low"))</f>
        <v>Medium</v>
      </c>
      <c r="I74" s="2" t="n">
        <f aca="false">COUNTIFS(Map!$D:$D,$A74,Map!$G:$G,"Y")</f>
        <v>0</v>
      </c>
      <c r="J74" s="2" t="str">
        <f aca="false">IF(I74&gt;=Settings!$B$4,"High",IF(I74&gt;=Settings!$B$5,"Medium","Low"))</f>
        <v>Low</v>
      </c>
      <c r="K74" s="2" t="n">
        <f aca="false">COUNTIF(Map!$D:$D,$A74)</f>
        <v>11</v>
      </c>
    </row>
    <row r="75" customFormat="false" ht="23.85" hidden="false" customHeight="false" outlineLevel="0" collapsed="false">
      <c r="A75" s="2" t="n">
        <v>74</v>
      </c>
      <c r="B75" s="2" t="s">
        <v>104</v>
      </c>
      <c r="C75" s="2" t="s">
        <v>106</v>
      </c>
      <c r="D75" s="2" t="s">
        <v>13</v>
      </c>
      <c r="E75" s="2"/>
      <c r="F75" s="2" t="n">
        <v>73</v>
      </c>
      <c r="G75" s="2" t="n">
        <f aca="false">COUNTIFS(Map!$D:$D,$A75,Map!$F:$F,"Y")</f>
        <v>0</v>
      </c>
      <c r="H75" s="2" t="str">
        <f aca="false">IF(G75&gt;=Settings!$B$3,"High",IF(G75&gt;=Settings!$B$5,"Medium","Low"))</f>
        <v>Low</v>
      </c>
      <c r="I75" s="2" t="n">
        <f aca="false">COUNTIFS(Map!$D:$D,$A75,Map!$G:$G,"Y")</f>
        <v>0</v>
      </c>
      <c r="J75" s="2" t="str">
        <f aca="false">IF(I75&gt;=Settings!$B$4,"High",IF(I75&gt;=Settings!$B$5,"Medium","Low"))</f>
        <v>Low</v>
      </c>
      <c r="K75" s="2" t="n">
        <f aca="false">COUNTIF(Map!$D:$D,$A75)</f>
        <v>2</v>
      </c>
    </row>
    <row r="76" customFormat="false" ht="23.85" hidden="false" customHeight="false" outlineLevel="0" collapsed="false">
      <c r="A76" s="2" t="n">
        <v>75</v>
      </c>
      <c r="B76" s="2" t="s">
        <v>104</v>
      </c>
      <c r="C76" s="2" t="s">
        <v>107</v>
      </c>
      <c r="D76" s="2" t="s">
        <v>13</v>
      </c>
      <c r="E76" s="2"/>
      <c r="F76" s="2" t="n">
        <v>74</v>
      </c>
      <c r="G76" s="2" t="n">
        <f aca="false">COUNTIFS(Map!$D:$D,$A76,Map!$F:$F,"Y")</f>
        <v>0</v>
      </c>
      <c r="H76" s="2" t="str">
        <f aca="false">IF(G76&gt;=Settings!$B$3,"High",IF(G76&gt;=Settings!$B$5,"Medium","Low"))</f>
        <v>Low</v>
      </c>
      <c r="I76" s="2" t="n">
        <f aca="false">COUNTIFS(Map!$D:$D,$A76,Map!$G:$G,"Y")</f>
        <v>0</v>
      </c>
      <c r="J76" s="2" t="str">
        <f aca="false">IF(I76&gt;=Settings!$B$4,"High",IF(I76&gt;=Settings!$B$5,"Medium","Low"))</f>
        <v>Low</v>
      </c>
      <c r="K76" s="2" t="n">
        <f aca="false">COUNTIF(Map!$D:$D,$A76)</f>
        <v>1</v>
      </c>
    </row>
    <row r="77" customFormat="false" ht="23.85" hidden="false" customHeight="false" outlineLevel="0" collapsed="false">
      <c r="A77" s="2" t="n">
        <v>76</v>
      </c>
      <c r="B77" s="2" t="s">
        <v>104</v>
      </c>
      <c r="C77" s="2" t="s">
        <v>108</v>
      </c>
      <c r="D77" s="2" t="s">
        <v>13</v>
      </c>
      <c r="E77" s="2"/>
      <c r="F77" s="2" t="n">
        <v>75</v>
      </c>
      <c r="G77" s="2" t="n">
        <f aca="false">COUNTIFS(Map!$D:$D,$A77,Map!$F:$F,"Y")</f>
        <v>0</v>
      </c>
      <c r="H77" s="2" t="str">
        <f aca="false">IF(G77&gt;=Settings!$B$3,"High",IF(G77&gt;=Settings!$B$5,"Medium","Low"))</f>
        <v>Low</v>
      </c>
      <c r="I77" s="2" t="n">
        <f aca="false">COUNTIFS(Map!$D:$D,$A77,Map!$G:$G,"Y")</f>
        <v>0</v>
      </c>
      <c r="J77" s="2" t="str">
        <f aca="false">IF(I77&gt;=Settings!$B$4,"High",IF(I77&gt;=Settings!$B$5,"Medium","Low"))</f>
        <v>Low</v>
      </c>
      <c r="K77" s="2" t="n">
        <f aca="false">COUNTIF(Map!$D:$D,$A77)</f>
        <v>1</v>
      </c>
    </row>
    <row r="78" customFormat="false" ht="15" hidden="false" customHeight="false" outlineLevel="0" collapsed="false">
      <c r="A78" s="2" t="n">
        <v>77</v>
      </c>
      <c r="B78" s="2" t="s">
        <v>109</v>
      </c>
      <c r="C78" s="2" t="s">
        <v>110</v>
      </c>
      <c r="D78" s="2" t="s">
        <v>13</v>
      </c>
      <c r="E78" s="2"/>
      <c r="F78" s="2" t="n">
        <v>76</v>
      </c>
      <c r="G78" s="2" t="n">
        <f aca="false">COUNTIFS(Map!$D:$D,$A78,Map!$F:$F,"Y")</f>
        <v>0</v>
      </c>
      <c r="H78" s="2" t="str">
        <f aca="false">IF(G78&gt;=Settings!$B$3,"High",IF(G78&gt;=Settings!$B$5,"Medium","Low"))</f>
        <v>Low</v>
      </c>
      <c r="I78" s="2" t="n">
        <f aca="false">COUNTIFS(Map!$D:$D,$A78,Map!$G:$G,"Y")</f>
        <v>0</v>
      </c>
      <c r="J78" s="2" t="str">
        <f aca="false">IF(I78&gt;=Settings!$B$4,"High",IF(I78&gt;=Settings!$B$5,"Medium","Low"))</f>
        <v>Low</v>
      </c>
      <c r="K78" s="2" t="n">
        <f aca="false">COUNTIF(Map!$D:$D,$A78)</f>
        <v>0</v>
      </c>
    </row>
    <row r="79" customFormat="false" ht="15" hidden="false" customHeight="false" outlineLevel="0" collapsed="false">
      <c r="A79" s="2" t="n">
        <v>78</v>
      </c>
      <c r="B79" s="2" t="s">
        <v>109</v>
      </c>
      <c r="C79" s="2" t="s">
        <v>111</v>
      </c>
      <c r="D79" s="2" t="s">
        <v>13</v>
      </c>
      <c r="E79" s="2"/>
      <c r="F79" s="2" t="n">
        <v>77</v>
      </c>
      <c r="G79" s="2" t="n">
        <f aca="false">COUNTIFS(Map!$D:$D,$A79,Map!$F:$F,"Y")</f>
        <v>0</v>
      </c>
      <c r="H79" s="2" t="str">
        <f aca="false">IF(G79&gt;=Settings!$B$3,"High",IF(G79&gt;=Settings!$B$5,"Medium","Low"))</f>
        <v>Low</v>
      </c>
      <c r="I79" s="2" t="n">
        <f aca="false">COUNTIFS(Map!$D:$D,$A79,Map!$G:$G,"Y")</f>
        <v>0</v>
      </c>
      <c r="J79" s="2" t="str">
        <f aca="false">IF(I79&gt;=Settings!$B$4,"High",IF(I79&gt;=Settings!$B$5,"Medium","Low"))</f>
        <v>Low</v>
      </c>
      <c r="K79" s="2" t="n">
        <f aca="false">COUNTIF(Map!$D:$D,$A79)</f>
        <v>0</v>
      </c>
    </row>
    <row r="80" customFormat="false" ht="15" hidden="false" customHeight="false" outlineLevel="0" collapsed="false">
      <c r="A80" s="2" t="n">
        <v>79</v>
      </c>
      <c r="B80" s="2" t="s">
        <v>109</v>
      </c>
      <c r="C80" s="2" t="s">
        <v>112</v>
      </c>
      <c r="D80" s="2" t="s">
        <v>13</v>
      </c>
      <c r="E80" s="2"/>
      <c r="F80" s="2" t="n">
        <v>78</v>
      </c>
      <c r="G80" s="2" t="n">
        <f aca="false">COUNTIFS(Map!$D:$D,$A80,Map!$F:$F,"Y")</f>
        <v>0</v>
      </c>
      <c r="H80" s="2" t="str">
        <f aca="false">IF(G80&gt;=Settings!$B$3,"High",IF(G80&gt;=Settings!$B$5,"Medium","Low"))</f>
        <v>Low</v>
      </c>
      <c r="I80" s="2" t="n">
        <f aca="false">COUNTIFS(Map!$D:$D,$A80,Map!$G:$G,"Y")</f>
        <v>0</v>
      </c>
      <c r="J80" s="2" t="str">
        <f aca="false">IF(I80&gt;=Settings!$B$4,"High",IF(I80&gt;=Settings!$B$5,"Medium","Low"))</f>
        <v>Low</v>
      </c>
      <c r="K80" s="2" t="n">
        <f aca="false">COUNTIF(Map!$D:$D,$A80)</f>
        <v>0</v>
      </c>
    </row>
    <row r="81" customFormat="false" ht="15" hidden="false" customHeight="false" outlineLevel="0" collapsed="false">
      <c r="A81" s="2" t="n">
        <v>80</v>
      </c>
      <c r="B81" s="2" t="s">
        <v>109</v>
      </c>
      <c r="C81" s="2" t="s">
        <v>113</v>
      </c>
      <c r="D81" s="2" t="s">
        <v>13</v>
      </c>
      <c r="E81" s="2"/>
      <c r="F81" s="2" t="n">
        <v>79</v>
      </c>
      <c r="G81" s="2" t="n">
        <f aca="false">COUNTIFS(Map!$D:$D,$A81,Map!$F:$F,"Y")</f>
        <v>0</v>
      </c>
      <c r="H81" s="2" t="str">
        <f aca="false">IF(G81&gt;=Settings!$B$3,"High",IF(G81&gt;=Settings!$B$5,"Medium","Low"))</f>
        <v>Low</v>
      </c>
      <c r="I81" s="2" t="n">
        <f aca="false">COUNTIFS(Map!$D:$D,$A81,Map!$G:$G,"Y")</f>
        <v>0</v>
      </c>
      <c r="J81" s="2" t="str">
        <f aca="false">IF(I81&gt;=Settings!$B$4,"High",IF(I81&gt;=Settings!$B$5,"Medium","Low"))</f>
        <v>Low</v>
      </c>
      <c r="K81" s="2" t="n">
        <f aca="false">COUNTIF(Map!$D:$D,$A81)</f>
        <v>0</v>
      </c>
    </row>
    <row r="82" customFormat="false" ht="23.85" hidden="false" customHeight="false" outlineLevel="0" collapsed="false">
      <c r="A82" s="2" t="n">
        <v>81</v>
      </c>
      <c r="B82" s="2" t="s">
        <v>109</v>
      </c>
      <c r="C82" s="2" t="s">
        <v>114</v>
      </c>
      <c r="D82" s="2" t="s">
        <v>13</v>
      </c>
      <c r="E82" s="2"/>
      <c r="F82" s="2" t="n">
        <v>80</v>
      </c>
      <c r="G82" s="2" t="n">
        <f aca="false">COUNTIFS(Map!$D:$D,$A82,Map!$F:$F,"Y")</f>
        <v>2</v>
      </c>
      <c r="H82" s="2" t="str">
        <f aca="false">IF(G82&gt;=Settings!$B$3,"High",IF(G82&gt;=Settings!$B$5,"Medium","Low"))</f>
        <v>Medium</v>
      </c>
      <c r="I82" s="2" t="n">
        <f aca="false">COUNTIFS(Map!$D:$D,$A82,Map!$G:$G,"Y")</f>
        <v>2</v>
      </c>
      <c r="J82" s="2" t="str">
        <f aca="false">IF(I82&gt;=Settings!$B$4,"High",IF(I82&gt;=Settings!$B$5,"Medium","Low"))</f>
        <v>Medium</v>
      </c>
      <c r="K82" s="2" t="n">
        <f aca="false">COUNTIF(Map!$D:$D,$A82)</f>
        <v>7</v>
      </c>
    </row>
    <row r="83" customFormat="false" ht="15" hidden="false" customHeight="false" outlineLevel="0" collapsed="false">
      <c r="A83" s="2" t="n">
        <v>82</v>
      </c>
      <c r="B83" s="2" t="s">
        <v>109</v>
      </c>
      <c r="C83" s="2" t="s">
        <v>115</v>
      </c>
      <c r="D83" s="2" t="s">
        <v>13</v>
      </c>
      <c r="E83" s="2"/>
      <c r="F83" s="2" t="n">
        <v>81</v>
      </c>
      <c r="G83" s="2" t="n">
        <f aca="false">COUNTIFS(Map!$D:$D,$A83,Map!$F:$F,"Y")</f>
        <v>0</v>
      </c>
      <c r="H83" s="2" t="str">
        <f aca="false">IF(G83&gt;=Settings!$B$3,"High",IF(G83&gt;=Settings!$B$5,"Medium","Low"))</f>
        <v>Low</v>
      </c>
      <c r="I83" s="2" t="n">
        <f aca="false">COUNTIFS(Map!$D:$D,$A83,Map!$G:$G,"Y")</f>
        <v>0</v>
      </c>
      <c r="J83" s="2" t="str">
        <f aca="false">IF(I83&gt;=Settings!$B$4,"High",IF(I83&gt;=Settings!$B$5,"Medium","Low"))</f>
        <v>Low</v>
      </c>
      <c r="K83" s="2" t="n">
        <f aca="false">COUNTIF(Map!$D:$D,$A83)</f>
        <v>0</v>
      </c>
    </row>
    <row r="84" customFormat="false" ht="15" hidden="false" customHeight="false" outlineLevel="0" collapsed="false">
      <c r="A84" s="2" t="n">
        <v>83</v>
      </c>
      <c r="B84" s="2" t="s">
        <v>109</v>
      </c>
      <c r="C84" s="2" t="s">
        <v>116</v>
      </c>
      <c r="D84" s="2" t="s">
        <v>13</v>
      </c>
      <c r="E84" s="2"/>
      <c r="F84" s="2" t="n">
        <v>82</v>
      </c>
      <c r="G84" s="2" t="n">
        <f aca="false">COUNTIFS(Map!$D:$D,$A84,Map!$F:$F,"Y")</f>
        <v>2</v>
      </c>
      <c r="H84" s="2" t="str">
        <f aca="false">IF(G84&gt;=Settings!$B$3,"High",IF(G84&gt;=Settings!$B$5,"Medium","Low"))</f>
        <v>Medium</v>
      </c>
      <c r="I84" s="2" t="n">
        <f aca="false">COUNTIFS(Map!$D:$D,$A84,Map!$G:$G,"Y")</f>
        <v>2</v>
      </c>
      <c r="J84" s="2" t="str">
        <f aca="false">IF(I84&gt;=Settings!$B$4,"High",IF(I84&gt;=Settings!$B$5,"Medium","Low"))</f>
        <v>Medium</v>
      </c>
      <c r="K84" s="2" t="n">
        <f aca="false">COUNTIF(Map!$D:$D,$A84)</f>
        <v>8</v>
      </c>
    </row>
    <row r="85" customFormat="false" ht="15" hidden="false" customHeight="false" outlineLevel="0" collapsed="false">
      <c r="A85" s="2" t="n">
        <v>84</v>
      </c>
      <c r="B85" s="2" t="s">
        <v>109</v>
      </c>
      <c r="C85" s="2" t="s">
        <v>117</v>
      </c>
      <c r="D85" s="2" t="s">
        <v>13</v>
      </c>
      <c r="E85" s="2"/>
      <c r="F85" s="2" t="n">
        <v>83</v>
      </c>
      <c r="G85" s="2" t="n">
        <f aca="false">COUNTIFS(Map!$D:$D,$A85,Map!$F:$F,"Y")</f>
        <v>1</v>
      </c>
      <c r="H85" s="2" t="str">
        <f aca="false">IF(G85&gt;=Settings!$B$3,"High",IF(G85&gt;=Settings!$B$5,"Medium","Low"))</f>
        <v>Medium</v>
      </c>
      <c r="I85" s="2" t="n">
        <f aca="false">COUNTIFS(Map!$D:$D,$A85,Map!$G:$G,"Y")</f>
        <v>1</v>
      </c>
      <c r="J85" s="2" t="str">
        <f aca="false">IF(I85&gt;=Settings!$B$4,"High",IF(I85&gt;=Settings!$B$5,"Medium","Low"))</f>
        <v>Medium</v>
      </c>
      <c r="K85" s="2" t="n">
        <f aca="false">COUNTIF(Map!$D:$D,$A85)</f>
        <v>5</v>
      </c>
    </row>
    <row r="86" customFormat="false" ht="15" hidden="false" customHeight="false" outlineLevel="0" collapsed="false">
      <c r="A86" s="2" t="n">
        <v>85</v>
      </c>
      <c r="B86" s="2" t="s">
        <v>109</v>
      </c>
      <c r="C86" s="2" t="s">
        <v>118</v>
      </c>
      <c r="D86" s="2" t="s">
        <v>13</v>
      </c>
      <c r="E86" s="2"/>
      <c r="F86" s="2" t="n">
        <v>84</v>
      </c>
      <c r="G86" s="2" t="n">
        <f aca="false">COUNTIFS(Map!$D:$D,$A86,Map!$F:$F,"Y")</f>
        <v>2</v>
      </c>
      <c r="H86" s="2" t="str">
        <f aca="false">IF(G86&gt;=Settings!$B$3,"High",IF(G86&gt;=Settings!$B$5,"Medium","Low"))</f>
        <v>Medium</v>
      </c>
      <c r="I86" s="2" t="n">
        <f aca="false">COUNTIFS(Map!$D:$D,$A86,Map!$G:$G,"Y")</f>
        <v>0</v>
      </c>
      <c r="J86" s="2" t="str">
        <f aca="false">IF(I86&gt;=Settings!$B$4,"High",IF(I86&gt;=Settings!$B$5,"Medium","Low"))</f>
        <v>Low</v>
      </c>
      <c r="K86" s="2" t="n">
        <f aca="false">COUNTIF(Map!$D:$D,$A86)</f>
        <v>3</v>
      </c>
    </row>
    <row r="87" customFormat="false" ht="15" hidden="false" customHeight="false" outlineLevel="0" collapsed="false">
      <c r="A87" s="2" t="n">
        <v>86</v>
      </c>
      <c r="B87" s="2" t="s">
        <v>109</v>
      </c>
      <c r="C87" s="2" t="s">
        <v>119</v>
      </c>
      <c r="D87" s="2" t="s">
        <v>13</v>
      </c>
      <c r="E87" s="2"/>
      <c r="F87" s="2" t="n">
        <v>85</v>
      </c>
      <c r="G87" s="2" t="n">
        <f aca="false">COUNTIFS(Map!$D:$D,$A87,Map!$F:$F,"Y")</f>
        <v>0</v>
      </c>
      <c r="H87" s="2" t="str">
        <f aca="false">IF(G87&gt;=Settings!$B$3,"High",IF(G87&gt;=Settings!$B$5,"Medium","Low"))</f>
        <v>Low</v>
      </c>
      <c r="I87" s="2" t="n">
        <f aca="false">COUNTIFS(Map!$D:$D,$A87,Map!$G:$G,"Y")</f>
        <v>0</v>
      </c>
      <c r="J87" s="2" t="str">
        <f aca="false">IF(I87&gt;=Settings!$B$4,"High",IF(I87&gt;=Settings!$B$5,"Medium","Low"))</f>
        <v>Low</v>
      </c>
      <c r="K87" s="2" t="n">
        <f aca="false">COUNTIF(Map!$D:$D,$A87)</f>
        <v>1</v>
      </c>
    </row>
    <row r="88" customFormat="false" ht="23.85" hidden="false" customHeight="false" outlineLevel="0" collapsed="false">
      <c r="A88" s="2" t="n">
        <v>87</v>
      </c>
      <c r="B88" s="2" t="s">
        <v>120</v>
      </c>
      <c r="C88" s="2" t="s">
        <v>121</v>
      </c>
      <c r="D88" s="2" t="s">
        <v>13</v>
      </c>
      <c r="E88" s="2"/>
      <c r="F88" s="2" t="n">
        <v>86</v>
      </c>
      <c r="G88" s="2" t="n">
        <f aca="false">COUNTIFS(Map!$D:$D,$A88,Map!$F:$F,"Y")</f>
        <v>2</v>
      </c>
      <c r="H88" s="2" t="str">
        <f aca="false">IF(G88&gt;=Settings!$B$3,"High",IF(G88&gt;=Settings!$B$5,"Medium","Low"))</f>
        <v>Medium</v>
      </c>
      <c r="I88" s="2" t="n">
        <f aca="false">COUNTIFS(Map!$D:$D,$A88,Map!$G:$G,"Y")</f>
        <v>2</v>
      </c>
      <c r="J88" s="2" t="str">
        <f aca="false">IF(I88&gt;=Settings!$B$4,"High",IF(I88&gt;=Settings!$B$5,"Medium","Low"))</f>
        <v>Medium</v>
      </c>
      <c r="K88" s="2" t="n">
        <f aca="false">COUNTIF(Map!$D:$D,$A88)</f>
        <v>5</v>
      </c>
    </row>
    <row r="89" customFormat="false" ht="23.85" hidden="false" customHeight="false" outlineLevel="0" collapsed="false">
      <c r="A89" s="2" t="n">
        <v>88</v>
      </c>
      <c r="B89" s="2" t="s">
        <v>120</v>
      </c>
      <c r="C89" s="2" t="s">
        <v>122</v>
      </c>
      <c r="D89" s="2" t="s">
        <v>13</v>
      </c>
      <c r="E89" s="2"/>
      <c r="F89" s="2" t="n">
        <v>87</v>
      </c>
      <c r="G89" s="2" t="n">
        <f aca="false">COUNTIFS(Map!$D:$D,$A89,Map!$F:$F,"Y")</f>
        <v>4</v>
      </c>
      <c r="H89" s="2" t="str">
        <f aca="false">IF(G89&gt;=Settings!$B$3,"High",IF(G89&gt;=Settings!$B$5,"Medium","Low"))</f>
        <v>Medium</v>
      </c>
      <c r="I89" s="2" t="n">
        <f aca="false">COUNTIFS(Map!$D:$D,$A89,Map!$G:$G,"Y")</f>
        <v>4</v>
      </c>
      <c r="J89" s="2" t="str">
        <f aca="false">IF(I89&gt;=Settings!$B$4,"High",IF(I89&gt;=Settings!$B$5,"Medium","Low"))</f>
        <v>Medium</v>
      </c>
      <c r="K89" s="2" t="n">
        <f aca="false">COUNTIF(Map!$D:$D,$A89)</f>
        <v>28</v>
      </c>
    </row>
    <row r="90" customFormat="false" ht="23.85" hidden="false" customHeight="false" outlineLevel="0" collapsed="false">
      <c r="A90" s="2" t="n">
        <v>89</v>
      </c>
      <c r="B90" s="2" t="s">
        <v>120</v>
      </c>
      <c r="C90" s="2" t="s">
        <v>123</v>
      </c>
      <c r="D90" s="2" t="s">
        <v>13</v>
      </c>
      <c r="E90" s="2"/>
      <c r="F90" s="2" t="n">
        <v>88</v>
      </c>
      <c r="G90" s="2" t="n">
        <f aca="false">COUNTIFS(Map!$D:$D,$A90,Map!$F:$F,"Y")</f>
        <v>0</v>
      </c>
      <c r="H90" s="2" t="str">
        <f aca="false">IF(G90&gt;=Settings!$B$3,"High",IF(G90&gt;=Settings!$B$5,"Medium","Low"))</f>
        <v>Low</v>
      </c>
      <c r="I90" s="2" t="n">
        <f aca="false">COUNTIFS(Map!$D:$D,$A90,Map!$G:$G,"Y")</f>
        <v>2</v>
      </c>
      <c r="J90" s="2" t="str">
        <f aca="false">IF(I90&gt;=Settings!$B$4,"High",IF(I90&gt;=Settings!$B$5,"Medium","Low"))</f>
        <v>Medium</v>
      </c>
      <c r="K90" s="2" t="n">
        <f aca="false">COUNTIF(Map!$D:$D,$A90)</f>
        <v>6</v>
      </c>
    </row>
    <row r="91" customFormat="false" ht="23.85" hidden="false" customHeight="false" outlineLevel="0" collapsed="false">
      <c r="A91" s="2" t="n">
        <v>90</v>
      </c>
      <c r="B91" s="2" t="s">
        <v>120</v>
      </c>
      <c r="C91" s="2" t="s">
        <v>124</v>
      </c>
      <c r="D91" s="2" t="s">
        <v>13</v>
      </c>
      <c r="E91" s="2"/>
      <c r="F91" s="2" t="n">
        <v>89</v>
      </c>
      <c r="G91" s="2" t="n">
        <f aca="false">COUNTIFS(Map!$D:$D,$A91,Map!$F:$F,"Y")</f>
        <v>2</v>
      </c>
      <c r="H91" s="2" t="str">
        <f aca="false">IF(G91&gt;=Settings!$B$3,"High",IF(G91&gt;=Settings!$B$5,"Medium","Low"))</f>
        <v>Medium</v>
      </c>
      <c r="I91" s="2" t="n">
        <f aca="false">COUNTIFS(Map!$D:$D,$A91,Map!$G:$G,"Y")</f>
        <v>2</v>
      </c>
      <c r="J91" s="2" t="str">
        <f aca="false">IF(I91&gt;=Settings!$B$4,"High",IF(I91&gt;=Settings!$B$5,"Medium","Low"))</f>
        <v>Medium</v>
      </c>
      <c r="K91" s="2" t="n">
        <f aca="false">COUNTIF(Map!$D:$D,$A91)</f>
        <v>11</v>
      </c>
    </row>
    <row r="92" customFormat="false" ht="23.85" hidden="false" customHeight="false" outlineLevel="0" collapsed="false">
      <c r="A92" s="2" t="n">
        <v>91</v>
      </c>
      <c r="B92" s="2" t="s">
        <v>120</v>
      </c>
      <c r="C92" s="2" t="s">
        <v>125</v>
      </c>
      <c r="D92" s="2" t="s">
        <v>13</v>
      </c>
      <c r="E92" s="2"/>
      <c r="F92" s="2" t="n">
        <v>90</v>
      </c>
      <c r="G92" s="2" t="n">
        <f aca="false">COUNTIFS(Map!$D:$D,$A92,Map!$F:$F,"Y")</f>
        <v>3</v>
      </c>
      <c r="H92" s="2" t="str">
        <f aca="false">IF(G92&gt;=Settings!$B$3,"High",IF(G92&gt;=Settings!$B$5,"Medium","Low"))</f>
        <v>Medium</v>
      </c>
      <c r="I92" s="2" t="n">
        <f aca="false">COUNTIFS(Map!$D:$D,$A92,Map!$G:$G,"Y")</f>
        <v>2</v>
      </c>
      <c r="J92" s="2" t="str">
        <f aca="false">IF(I92&gt;=Settings!$B$4,"High",IF(I92&gt;=Settings!$B$5,"Medium","Low"))</f>
        <v>Medium</v>
      </c>
      <c r="K92" s="2" t="n">
        <f aca="false">COUNTIF(Map!$D:$D,$A92)</f>
        <v>4</v>
      </c>
    </row>
    <row r="93" customFormat="false" ht="23.85" hidden="false" customHeight="false" outlineLevel="0" collapsed="false">
      <c r="A93" s="2" t="n">
        <v>92</v>
      </c>
      <c r="B93" s="2" t="s">
        <v>120</v>
      </c>
      <c r="C93" s="2" t="s">
        <v>126</v>
      </c>
      <c r="D93" s="2" t="s">
        <v>13</v>
      </c>
      <c r="E93" s="2"/>
      <c r="F93" s="2" t="n">
        <v>91</v>
      </c>
      <c r="G93" s="2" t="n">
        <f aca="false">COUNTIFS(Map!$D:$D,$A93,Map!$F:$F,"Y")</f>
        <v>0</v>
      </c>
      <c r="H93" s="2" t="str">
        <f aca="false">IF(G93&gt;=Settings!$B$3,"High",IF(G93&gt;=Settings!$B$5,"Medium","Low"))</f>
        <v>Low</v>
      </c>
      <c r="I93" s="2" t="n">
        <f aca="false">COUNTIFS(Map!$D:$D,$A93,Map!$G:$G,"Y")</f>
        <v>0</v>
      </c>
      <c r="J93" s="2" t="str">
        <f aca="false">IF(I93&gt;=Settings!$B$4,"High",IF(I93&gt;=Settings!$B$5,"Medium","Low"))</f>
        <v>Low</v>
      </c>
      <c r="K93" s="2" t="n">
        <f aca="false">COUNTIF(Map!$D:$D,$A93)</f>
        <v>1</v>
      </c>
    </row>
    <row r="94" customFormat="false" ht="15" hidden="false" customHeight="false" outlineLevel="0" collapsed="false">
      <c r="A94" s="2" t="n">
        <v>93</v>
      </c>
      <c r="B94" s="2" t="s">
        <v>127</v>
      </c>
      <c r="C94" s="2" t="s">
        <v>128</v>
      </c>
      <c r="D94" s="2" t="s">
        <v>13</v>
      </c>
      <c r="E94" s="2"/>
      <c r="F94" s="2" t="n">
        <v>92</v>
      </c>
      <c r="G94" s="2" t="n">
        <f aca="false">COUNTIFS(Map!$D:$D,$A94,Map!$F:$F,"Y")</f>
        <v>0</v>
      </c>
      <c r="H94" s="2" t="str">
        <f aca="false">IF(G94&gt;=Settings!$B$3,"High",IF(G94&gt;=Settings!$B$5,"Medium","Low"))</f>
        <v>Low</v>
      </c>
      <c r="I94" s="2" t="n">
        <f aca="false">COUNTIFS(Map!$D:$D,$A94,Map!$G:$G,"Y")</f>
        <v>0</v>
      </c>
      <c r="J94" s="2" t="str">
        <f aca="false">IF(I94&gt;=Settings!$B$4,"High",IF(I94&gt;=Settings!$B$5,"Medium","Low"))</f>
        <v>Low</v>
      </c>
      <c r="K94" s="2" t="n">
        <f aca="false">COUNTIF(Map!$D:$D,$A94)</f>
        <v>0</v>
      </c>
    </row>
    <row r="95" customFormat="false" ht="15" hidden="false" customHeight="false" outlineLevel="0" collapsed="false">
      <c r="A95" s="2" t="n">
        <v>94</v>
      </c>
      <c r="B95" s="2" t="s">
        <v>127</v>
      </c>
      <c r="C95" s="2" t="s">
        <v>129</v>
      </c>
      <c r="D95" s="2" t="s">
        <v>13</v>
      </c>
      <c r="E95" s="2"/>
      <c r="F95" s="2" t="n">
        <v>93</v>
      </c>
      <c r="G95" s="2" t="n">
        <f aca="false">COUNTIFS(Map!$D:$D,$A95,Map!$F:$F,"Y")</f>
        <v>1</v>
      </c>
      <c r="H95" s="2" t="str">
        <f aca="false">IF(G95&gt;=Settings!$B$3,"High",IF(G95&gt;=Settings!$B$5,"Medium","Low"))</f>
        <v>Medium</v>
      </c>
      <c r="I95" s="2" t="n">
        <f aca="false">COUNTIFS(Map!$D:$D,$A95,Map!$G:$G,"Y")</f>
        <v>1</v>
      </c>
      <c r="J95" s="2" t="str">
        <f aca="false">IF(I95&gt;=Settings!$B$4,"High",IF(I95&gt;=Settings!$B$5,"Medium","Low"))</f>
        <v>Medium</v>
      </c>
      <c r="K95" s="2" t="n">
        <f aca="false">COUNTIF(Map!$D:$D,$A95)</f>
        <v>8</v>
      </c>
    </row>
    <row r="96" customFormat="false" ht="15" hidden="false" customHeight="false" outlineLevel="0" collapsed="false">
      <c r="A96" s="2" t="n">
        <v>95</v>
      </c>
      <c r="B96" s="2" t="s">
        <v>127</v>
      </c>
      <c r="C96" s="2" t="s">
        <v>130</v>
      </c>
      <c r="D96" s="2" t="s">
        <v>13</v>
      </c>
      <c r="E96" s="2"/>
      <c r="F96" s="2" t="n">
        <v>94</v>
      </c>
      <c r="G96" s="2" t="n">
        <f aca="false">COUNTIFS(Map!$D:$D,$A96,Map!$F:$F,"Y")</f>
        <v>0</v>
      </c>
      <c r="H96" s="2" t="str">
        <f aca="false">IF(G96&gt;=Settings!$B$3,"High",IF(G96&gt;=Settings!$B$5,"Medium","Low"))</f>
        <v>Low</v>
      </c>
      <c r="I96" s="2" t="n">
        <f aca="false">COUNTIFS(Map!$D:$D,$A96,Map!$G:$G,"Y")</f>
        <v>0</v>
      </c>
      <c r="J96" s="2" t="str">
        <f aca="false">IF(I96&gt;=Settings!$B$4,"High",IF(I96&gt;=Settings!$B$5,"Medium","Low"))</f>
        <v>Low</v>
      </c>
      <c r="K96" s="2" t="n">
        <f aca="false">COUNTIF(Map!$D:$D,$A96)</f>
        <v>2</v>
      </c>
    </row>
    <row r="97" customFormat="false" ht="15" hidden="false" customHeight="false" outlineLevel="0" collapsed="false">
      <c r="A97" s="2" t="n">
        <v>96</v>
      </c>
      <c r="B97" s="2" t="s">
        <v>127</v>
      </c>
      <c r="C97" s="2" t="s">
        <v>131</v>
      </c>
      <c r="D97" s="2" t="s">
        <v>13</v>
      </c>
      <c r="E97" s="2"/>
      <c r="F97" s="2" t="n">
        <v>95</v>
      </c>
      <c r="G97" s="2" t="n">
        <f aca="false">COUNTIFS(Map!$D:$D,$A97,Map!$F:$F,"Y")</f>
        <v>0</v>
      </c>
      <c r="H97" s="2" t="str">
        <f aca="false">IF(G97&gt;=Settings!$B$3,"High",IF(G97&gt;=Settings!$B$5,"Medium","Low"))</f>
        <v>Low</v>
      </c>
      <c r="I97" s="2" t="n">
        <f aca="false">COUNTIFS(Map!$D:$D,$A97,Map!$G:$G,"Y")</f>
        <v>0</v>
      </c>
      <c r="J97" s="2" t="str">
        <f aca="false">IF(I97&gt;=Settings!$B$4,"High",IF(I97&gt;=Settings!$B$5,"Medium","Low"))</f>
        <v>Low</v>
      </c>
      <c r="K97" s="2" t="n">
        <f aca="false">COUNTIF(Map!$D:$D,$A97)</f>
        <v>3</v>
      </c>
    </row>
    <row r="98" customFormat="false" ht="15" hidden="false" customHeight="false" outlineLevel="0" collapsed="false">
      <c r="A98" s="2" t="n">
        <v>97</v>
      </c>
      <c r="B98" s="2" t="s">
        <v>127</v>
      </c>
      <c r="C98" s="2" t="s">
        <v>132</v>
      </c>
      <c r="D98" s="2" t="s">
        <v>13</v>
      </c>
      <c r="E98" s="2"/>
      <c r="F98" s="2" t="n">
        <v>96</v>
      </c>
      <c r="G98" s="2" t="n">
        <f aca="false">COUNTIFS(Map!$D:$D,$A98,Map!$F:$F,"Y")</f>
        <v>0</v>
      </c>
      <c r="H98" s="2" t="str">
        <f aca="false">IF(G98&gt;=Settings!$B$3,"High",IF(G98&gt;=Settings!$B$5,"Medium","Low"))</f>
        <v>Low</v>
      </c>
      <c r="I98" s="2" t="n">
        <f aca="false">COUNTIFS(Map!$D:$D,$A98,Map!$G:$G,"Y")</f>
        <v>0</v>
      </c>
      <c r="J98" s="2" t="str">
        <f aca="false">IF(I98&gt;=Settings!$B$4,"High",IF(I98&gt;=Settings!$B$5,"Medium","Low"))</f>
        <v>Low</v>
      </c>
      <c r="K98" s="2" t="n">
        <f aca="false">COUNTIF(Map!$D:$D,$A98)</f>
        <v>0</v>
      </c>
    </row>
    <row r="99" customFormat="false" ht="15" hidden="false" customHeight="false" outlineLevel="0" collapsed="false">
      <c r="A99" s="2" t="n">
        <v>98</v>
      </c>
      <c r="B99" s="2" t="s">
        <v>127</v>
      </c>
      <c r="C99" s="2" t="s">
        <v>133</v>
      </c>
      <c r="D99" s="2" t="s">
        <v>13</v>
      </c>
      <c r="E99" s="2"/>
      <c r="F99" s="2" t="n">
        <v>97</v>
      </c>
      <c r="G99" s="2" t="n">
        <f aca="false">COUNTIFS(Map!$D:$D,$A99,Map!$F:$F,"Y")</f>
        <v>2</v>
      </c>
      <c r="H99" s="2" t="str">
        <f aca="false">IF(G99&gt;=Settings!$B$3,"High",IF(G99&gt;=Settings!$B$5,"Medium","Low"))</f>
        <v>Medium</v>
      </c>
      <c r="I99" s="2" t="n">
        <f aca="false">COUNTIFS(Map!$D:$D,$A99,Map!$G:$G,"Y")</f>
        <v>2</v>
      </c>
      <c r="J99" s="2" t="str">
        <f aca="false">IF(I99&gt;=Settings!$B$4,"High",IF(I99&gt;=Settings!$B$5,"Medium","Low"))</f>
        <v>Medium</v>
      </c>
      <c r="K99" s="2" t="n">
        <f aca="false">COUNTIF(Map!$D:$D,$A99)</f>
        <v>3</v>
      </c>
    </row>
    <row r="100" customFormat="false" ht="15" hidden="false" customHeight="false" outlineLevel="0" collapsed="false">
      <c r="A100" s="2" t="n">
        <v>99</v>
      </c>
      <c r="B100" s="2" t="s">
        <v>127</v>
      </c>
      <c r="C100" s="2" t="s">
        <v>134</v>
      </c>
      <c r="D100" s="2" t="s">
        <v>13</v>
      </c>
      <c r="E100" s="2"/>
      <c r="F100" s="2" t="n">
        <v>98</v>
      </c>
      <c r="G100" s="2" t="n">
        <f aca="false">COUNTIFS(Map!$D:$D,$A100,Map!$F:$F,"Y")</f>
        <v>0</v>
      </c>
      <c r="H100" s="2" t="str">
        <f aca="false">IF(G100&gt;=Settings!$B$3,"High",IF(G100&gt;=Settings!$B$5,"Medium","Low"))</f>
        <v>Low</v>
      </c>
      <c r="I100" s="2" t="n">
        <f aca="false">COUNTIFS(Map!$D:$D,$A100,Map!$G:$G,"Y")</f>
        <v>0</v>
      </c>
      <c r="J100" s="2" t="str">
        <f aca="false">IF(I100&gt;=Settings!$B$4,"High",IF(I100&gt;=Settings!$B$5,"Medium","Low"))</f>
        <v>Low</v>
      </c>
      <c r="K100" s="2" t="n">
        <f aca="false">COUNTIF(Map!$D:$D,$A100)</f>
        <v>0</v>
      </c>
    </row>
    <row r="101" customFormat="false" ht="15" hidden="false" customHeight="false" outlineLevel="0" collapsed="false">
      <c r="A101" s="2" t="n">
        <v>100</v>
      </c>
      <c r="B101" s="2" t="s">
        <v>127</v>
      </c>
      <c r="C101" s="2" t="s">
        <v>135</v>
      </c>
      <c r="D101" s="2" t="s">
        <v>13</v>
      </c>
      <c r="E101" s="2"/>
      <c r="F101" s="2" t="n">
        <v>99</v>
      </c>
      <c r="G101" s="2" t="n">
        <f aca="false">COUNTIFS(Map!$D:$D,$A101,Map!$F:$F,"Y")</f>
        <v>2</v>
      </c>
      <c r="H101" s="2" t="str">
        <f aca="false">IF(G101&gt;=Settings!$B$3,"High",IF(G101&gt;=Settings!$B$5,"Medium","Low"))</f>
        <v>Medium</v>
      </c>
      <c r="I101" s="2" t="n">
        <f aca="false">COUNTIFS(Map!$D:$D,$A101,Map!$G:$G,"Y")</f>
        <v>2</v>
      </c>
      <c r="J101" s="2" t="str">
        <f aca="false">IF(I101&gt;=Settings!$B$4,"High",IF(I101&gt;=Settings!$B$5,"Medium","Low"))</f>
        <v>Medium</v>
      </c>
      <c r="K101" s="2" t="n">
        <f aca="false">COUNTIF(Map!$D:$D,$A101)</f>
        <v>11</v>
      </c>
    </row>
    <row r="102" customFormat="false" ht="15" hidden="false" customHeight="false" outlineLevel="0" collapsed="false">
      <c r="A102" s="2" t="n">
        <v>101</v>
      </c>
      <c r="B102" s="2" t="s">
        <v>127</v>
      </c>
      <c r="C102" s="2" t="s">
        <v>136</v>
      </c>
      <c r="D102" s="2" t="s">
        <v>13</v>
      </c>
      <c r="E102" s="2"/>
      <c r="F102" s="2" t="n">
        <v>100</v>
      </c>
      <c r="G102" s="2" t="n">
        <f aca="false">COUNTIFS(Map!$D:$D,$A102,Map!$F:$F,"Y")</f>
        <v>2</v>
      </c>
      <c r="H102" s="2" t="str">
        <f aca="false">IF(G102&gt;=Settings!$B$3,"High",IF(G102&gt;=Settings!$B$5,"Medium","Low"))</f>
        <v>Medium</v>
      </c>
      <c r="I102" s="2" t="n">
        <f aca="false">COUNTIFS(Map!$D:$D,$A102,Map!$G:$G,"Y")</f>
        <v>1</v>
      </c>
      <c r="J102" s="2" t="str">
        <f aca="false">IF(I102&gt;=Settings!$B$4,"High",IF(I102&gt;=Settings!$B$5,"Medium","Low"))</f>
        <v>Medium</v>
      </c>
      <c r="K102" s="2" t="n">
        <f aca="false">COUNTIF(Map!$D:$D,$A102)</f>
        <v>10</v>
      </c>
    </row>
    <row r="103" customFormat="false" ht="15" hidden="false" customHeight="false" outlineLevel="0" collapsed="false">
      <c r="A103" s="2" t="n">
        <v>102</v>
      </c>
      <c r="B103" s="2" t="s">
        <v>127</v>
      </c>
      <c r="C103" s="2" t="s">
        <v>137</v>
      </c>
      <c r="D103" s="2" t="s">
        <v>13</v>
      </c>
      <c r="E103" s="2"/>
      <c r="F103" s="2" t="n">
        <v>101</v>
      </c>
      <c r="G103" s="2" t="n">
        <f aca="false">COUNTIFS(Map!$D:$D,$A103,Map!$F:$F,"Y")</f>
        <v>0</v>
      </c>
      <c r="H103" s="2" t="str">
        <f aca="false">IF(G103&gt;=Settings!$B$3,"High",IF(G103&gt;=Settings!$B$5,"Medium","Low"))</f>
        <v>Low</v>
      </c>
      <c r="I103" s="2" t="n">
        <f aca="false">COUNTIFS(Map!$D:$D,$A103,Map!$G:$G,"Y")</f>
        <v>0</v>
      </c>
      <c r="J103" s="2" t="str">
        <f aca="false">IF(I103&gt;=Settings!$B$4,"High",IF(I103&gt;=Settings!$B$5,"Medium","Low"))</f>
        <v>Low</v>
      </c>
      <c r="K103" s="2" t="n">
        <f aca="false">COUNTIF(Map!$D:$D,$A103)</f>
        <v>0</v>
      </c>
    </row>
    <row r="104" customFormat="false" ht="15" hidden="false" customHeight="false" outlineLevel="0" collapsed="false">
      <c r="A104" s="2" t="n">
        <v>103</v>
      </c>
      <c r="B104" s="2" t="s">
        <v>138</v>
      </c>
      <c r="C104" s="2" t="s">
        <v>139</v>
      </c>
      <c r="D104" s="2" t="s">
        <v>13</v>
      </c>
      <c r="E104" s="2"/>
      <c r="F104" s="2" t="n">
        <v>102</v>
      </c>
      <c r="G104" s="2" t="n">
        <f aca="false">COUNTIFS(Map!$D:$D,$A104,Map!$F:$F,"Y")</f>
        <v>0</v>
      </c>
      <c r="H104" s="2" t="str">
        <f aca="false">IF(G104&gt;=Settings!$B$3,"High",IF(G104&gt;=Settings!$B$5,"Medium","Low"))</f>
        <v>Low</v>
      </c>
      <c r="I104" s="2" t="n">
        <f aca="false">COUNTIFS(Map!$D:$D,$A104,Map!$G:$G,"Y")</f>
        <v>0</v>
      </c>
      <c r="J104" s="2" t="str">
        <f aca="false">IF(I104&gt;=Settings!$B$4,"High",IF(I104&gt;=Settings!$B$5,"Medium","Low"))</f>
        <v>Low</v>
      </c>
      <c r="K104" s="2" t="n">
        <f aca="false">COUNTIF(Map!$D:$D,$A104)</f>
        <v>0</v>
      </c>
    </row>
    <row r="105" customFormat="false" ht="15" hidden="false" customHeight="false" outlineLevel="0" collapsed="false">
      <c r="A105" s="2" t="n">
        <v>104</v>
      </c>
      <c r="B105" s="2" t="s">
        <v>138</v>
      </c>
      <c r="C105" s="2" t="s">
        <v>140</v>
      </c>
      <c r="D105" s="2" t="s">
        <v>13</v>
      </c>
      <c r="E105" s="2"/>
      <c r="F105" s="2" t="n">
        <v>103</v>
      </c>
      <c r="G105" s="2" t="n">
        <f aca="false">COUNTIFS(Map!$D:$D,$A105,Map!$F:$F,"Y")</f>
        <v>0</v>
      </c>
      <c r="H105" s="2" t="str">
        <f aca="false">IF(G105&gt;=Settings!$B$3,"High",IF(G105&gt;=Settings!$B$5,"Medium","Low"))</f>
        <v>Low</v>
      </c>
      <c r="I105" s="2" t="n">
        <f aca="false">COUNTIFS(Map!$D:$D,$A105,Map!$G:$G,"Y")</f>
        <v>0</v>
      </c>
      <c r="J105" s="2" t="str">
        <f aca="false">IF(I105&gt;=Settings!$B$4,"High",IF(I105&gt;=Settings!$B$5,"Medium","Low"))</f>
        <v>Low</v>
      </c>
      <c r="K105" s="2" t="n">
        <f aca="false">COUNTIF(Map!$D:$D,$A105)</f>
        <v>3</v>
      </c>
    </row>
    <row r="106" customFormat="false" ht="15" hidden="false" customHeight="false" outlineLevel="0" collapsed="false">
      <c r="A106" s="2" t="n">
        <v>105</v>
      </c>
      <c r="B106" s="2" t="s">
        <v>138</v>
      </c>
      <c r="C106" s="2" t="s">
        <v>141</v>
      </c>
      <c r="D106" s="2" t="s">
        <v>13</v>
      </c>
      <c r="E106" s="2"/>
      <c r="F106" s="2" t="n">
        <v>104</v>
      </c>
      <c r="G106" s="2" t="n">
        <f aca="false">COUNTIFS(Map!$D:$D,$A106,Map!$F:$F,"Y")</f>
        <v>0</v>
      </c>
      <c r="H106" s="2" t="str">
        <f aca="false">IF(G106&gt;=Settings!$B$3,"High",IF(G106&gt;=Settings!$B$5,"Medium","Low"))</f>
        <v>Low</v>
      </c>
      <c r="I106" s="2" t="n">
        <f aca="false">COUNTIFS(Map!$D:$D,$A106,Map!$G:$G,"Y")</f>
        <v>0</v>
      </c>
      <c r="J106" s="2" t="str">
        <f aca="false">IF(I106&gt;=Settings!$B$4,"High",IF(I106&gt;=Settings!$B$5,"Medium","Low"))</f>
        <v>Low</v>
      </c>
      <c r="K106" s="2" t="n">
        <f aca="false">COUNTIF(Map!$D:$D,$A106)</f>
        <v>0</v>
      </c>
    </row>
    <row r="107" customFormat="false" ht="23.85" hidden="false" customHeight="false" outlineLevel="0" collapsed="false">
      <c r="A107" s="2" t="n">
        <v>106</v>
      </c>
      <c r="B107" s="2" t="s">
        <v>138</v>
      </c>
      <c r="C107" s="2" t="s">
        <v>142</v>
      </c>
      <c r="D107" s="2" t="s">
        <v>13</v>
      </c>
      <c r="E107" s="2"/>
      <c r="F107" s="2" t="n">
        <v>105</v>
      </c>
      <c r="G107" s="2" t="n">
        <f aca="false">COUNTIFS(Map!$D:$D,$A107,Map!$F:$F,"Y")</f>
        <v>0</v>
      </c>
      <c r="H107" s="2" t="str">
        <f aca="false">IF(G107&gt;=Settings!$B$3,"High",IF(G107&gt;=Settings!$B$5,"Medium","Low"))</f>
        <v>Low</v>
      </c>
      <c r="I107" s="2" t="n">
        <f aca="false">COUNTIFS(Map!$D:$D,$A107,Map!$G:$G,"Y")</f>
        <v>0</v>
      </c>
      <c r="J107" s="2" t="str">
        <f aca="false">IF(I107&gt;=Settings!$B$4,"High",IF(I107&gt;=Settings!$B$5,"Medium","Low"))</f>
        <v>Low</v>
      </c>
      <c r="K107" s="2" t="n">
        <f aca="false">COUNTIF(Map!$D:$D,$A107)</f>
        <v>0</v>
      </c>
    </row>
    <row r="108" customFormat="false" ht="15" hidden="false" customHeight="false" outlineLevel="0" collapsed="false">
      <c r="A108" s="2" t="n">
        <v>107</v>
      </c>
      <c r="B108" s="2" t="s">
        <v>143</v>
      </c>
      <c r="C108" s="2" t="s">
        <v>144</v>
      </c>
      <c r="D108" s="2" t="s">
        <v>13</v>
      </c>
      <c r="E108" s="2"/>
      <c r="F108" s="2" t="n">
        <v>106</v>
      </c>
      <c r="G108" s="2" t="n">
        <f aca="false">COUNTIFS(Map!$D:$D,$A108,Map!$F:$F,"Y")</f>
        <v>0</v>
      </c>
      <c r="H108" s="2" t="str">
        <f aca="false">IF(G108&gt;=Settings!$B$3,"High",IF(G108&gt;=Settings!$B$5,"Medium","Low"))</f>
        <v>Low</v>
      </c>
      <c r="I108" s="2" t="n">
        <f aca="false">COUNTIFS(Map!$D:$D,$A108,Map!$G:$G,"Y")</f>
        <v>0</v>
      </c>
      <c r="J108" s="2" t="str">
        <f aca="false">IF(I108&gt;=Settings!$B$4,"High",IF(I108&gt;=Settings!$B$5,"Medium","Low"))</f>
        <v>Low</v>
      </c>
      <c r="K108" s="2" t="n">
        <f aca="false">COUNTIF(Map!$D:$D,$A108)</f>
        <v>0</v>
      </c>
    </row>
    <row r="109" customFormat="false" ht="15" hidden="false" customHeight="false" outlineLevel="0" collapsed="false">
      <c r="A109" s="2" t="n">
        <v>108</v>
      </c>
      <c r="B109" s="2" t="s">
        <v>143</v>
      </c>
      <c r="C109" s="2" t="s">
        <v>145</v>
      </c>
      <c r="D109" s="2" t="s">
        <v>13</v>
      </c>
      <c r="E109" s="2"/>
      <c r="F109" s="2" t="n">
        <v>107</v>
      </c>
      <c r="G109" s="2" t="n">
        <f aca="false">COUNTIFS(Map!$D:$D,$A109,Map!$F:$F,"Y")</f>
        <v>0</v>
      </c>
      <c r="H109" s="2" t="str">
        <f aca="false">IF(G109&gt;=Settings!$B$3,"High",IF(G109&gt;=Settings!$B$5,"Medium","Low"))</f>
        <v>Low</v>
      </c>
      <c r="I109" s="2" t="n">
        <f aca="false">COUNTIFS(Map!$D:$D,$A109,Map!$G:$G,"Y")</f>
        <v>0</v>
      </c>
      <c r="J109" s="2" t="str">
        <f aca="false">IF(I109&gt;=Settings!$B$4,"High",IF(I109&gt;=Settings!$B$5,"Medium","Low"))</f>
        <v>Low</v>
      </c>
      <c r="K109" s="2" t="n">
        <f aca="false">COUNTIF(Map!$D:$D,$A109)</f>
        <v>2</v>
      </c>
    </row>
    <row r="110" customFormat="false" ht="15" hidden="false" customHeight="false" outlineLevel="0" collapsed="false">
      <c r="A110" s="2" t="n">
        <v>109</v>
      </c>
      <c r="B110" s="2" t="s">
        <v>146</v>
      </c>
      <c r="C110" s="2" t="s">
        <v>147</v>
      </c>
      <c r="D110" s="2" t="s">
        <v>13</v>
      </c>
      <c r="E110" s="2"/>
      <c r="F110" s="2" t="n">
        <v>108</v>
      </c>
      <c r="G110" s="2" t="n">
        <f aca="false">COUNTIFS(Map!$D:$D,$A110,Map!$F:$F,"Y")</f>
        <v>0</v>
      </c>
      <c r="H110" s="2" t="str">
        <f aca="false">IF(G110&gt;=Settings!$B$3,"High",IF(G110&gt;=Settings!$B$5,"Medium","Low"))</f>
        <v>Low</v>
      </c>
      <c r="I110" s="2" t="n">
        <f aca="false">COUNTIFS(Map!$D:$D,$A110,Map!$G:$G,"Y")</f>
        <v>0</v>
      </c>
      <c r="J110" s="2" t="str">
        <f aca="false">IF(I110&gt;=Settings!$B$4,"High",IF(I110&gt;=Settings!$B$5,"Medium","Low"))</f>
        <v>Low</v>
      </c>
      <c r="K110" s="2" t="n">
        <f aca="false">COUNTIF(Map!$D:$D,$A110)</f>
        <v>0</v>
      </c>
    </row>
    <row r="111" customFormat="false" ht="15" hidden="false" customHeight="false" outlineLevel="0" collapsed="false">
      <c r="A111" s="2" t="n">
        <v>110</v>
      </c>
      <c r="B111" s="2" t="s">
        <v>146</v>
      </c>
      <c r="C111" s="2" t="s">
        <v>148</v>
      </c>
      <c r="D111" s="2" t="s">
        <v>13</v>
      </c>
      <c r="E111" s="2"/>
      <c r="F111" s="2" t="n">
        <v>109</v>
      </c>
      <c r="G111" s="2" t="n">
        <f aca="false">COUNTIFS(Map!$D:$D,$A111,Map!$F:$F,"Y")</f>
        <v>0</v>
      </c>
      <c r="H111" s="2" t="str">
        <f aca="false">IF(G111&gt;=Settings!$B$3,"High",IF(G111&gt;=Settings!$B$5,"Medium","Low"))</f>
        <v>Low</v>
      </c>
      <c r="I111" s="2" t="n">
        <f aca="false">COUNTIFS(Map!$D:$D,$A111,Map!$G:$G,"Y")</f>
        <v>0</v>
      </c>
      <c r="J111" s="2" t="str">
        <f aca="false">IF(I111&gt;=Settings!$B$4,"High",IF(I111&gt;=Settings!$B$5,"Medium","Low"))</f>
        <v>Low</v>
      </c>
      <c r="K111" s="2" t="n">
        <f aca="false">COUNTIF(Map!$D:$D,$A111)</f>
        <v>0</v>
      </c>
    </row>
    <row r="112" customFormat="false" ht="15" hidden="false" customHeight="false" outlineLevel="0" collapsed="false">
      <c r="A112" s="2" t="n">
        <v>111</v>
      </c>
      <c r="B112" s="2" t="s">
        <v>146</v>
      </c>
      <c r="C112" s="2" t="s">
        <v>149</v>
      </c>
      <c r="D112" s="2" t="s">
        <v>13</v>
      </c>
      <c r="E112" s="2"/>
      <c r="F112" s="2" t="n">
        <v>110</v>
      </c>
      <c r="G112" s="2" t="n">
        <f aca="false">COUNTIFS(Map!$D:$D,$A112,Map!$F:$F,"Y")</f>
        <v>0</v>
      </c>
      <c r="H112" s="2" t="str">
        <f aca="false">IF(G112&gt;=Settings!$B$3,"High",IF(G112&gt;=Settings!$B$5,"Medium","Low"))</f>
        <v>Low</v>
      </c>
      <c r="I112" s="2" t="n">
        <f aca="false">COUNTIFS(Map!$D:$D,$A112,Map!$G:$G,"Y")</f>
        <v>0</v>
      </c>
      <c r="J112" s="2" t="str">
        <f aca="false">IF(I112&gt;=Settings!$B$4,"High",IF(I112&gt;=Settings!$B$5,"Medium","Low"))</f>
        <v>Low</v>
      </c>
      <c r="K112" s="2" t="n">
        <f aca="false">COUNTIF(Map!$D:$D,$A112)</f>
        <v>2</v>
      </c>
    </row>
    <row r="113" customFormat="false" ht="15" hidden="false" customHeight="false" outlineLevel="0" collapsed="false">
      <c r="A113" s="2" t="n">
        <v>112</v>
      </c>
      <c r="B113" s="2" t="s">
        <v>146</v>
      </c>
      <c r="C113" s="2" t="s">
        <v>150</v>
      </c>
      <c r="D113" s="2" t="s">
        <v>13</v>
      </c>
      <c r="E113" s="2"/>
      <c r="F113" s="2" t="n">
        <v>111</v>
      </c>
      <c r="G113" s="2" t="n">
        <f aca="false">COUNTIFS(Map!$D:$D,$A113,Map!$F:$F,"Y")</f>
        <v>0</v>
      </c>
      <c r="H113" s="2" t="str">
        <f aca="false">IF(G113&gt;=Settings!$B$3,"High",IF(G113&gt;=Settings!$B$5,"Medium","Low"))</f>
        <v>Low</v>
      </c>
      <c r="I113" s="2" t="n">
        <f aca="false">COUNTIFS(Map!$D:$D,$A113,Map!$G:$G,"Y")</f>
        <v>0</v>
      </c>
      <c r="J113" s="2" t="str">
        <f aca="false">IF(I113&gt;=Settings!$B$4,"High",IF(I113&gt;=Settings!$B$5,"Medium","Low"))</f>
        <v>Low</v>
      </c>
      <c r="K113" s="2" t="n">
        <f aca="false">COUNTIF(Map!$D:$D,$A113)</f>
        <v>3</v>
      </c>
    </row>
    <row r="114" customFormat="false" ht="23.85" hidden="false" customHeight="false" outlineLevel="0" collapsed="false">
      <c r="A114" s="2" t="n">
        <v>113</v>
      </c>
      <c r="B114" s="2" t="s">
        <v>151</v>
      </c>
      <c r="C114" s="2" t="s">
        <v>152</v>
      </c>
      <c r="D114" s="2" t="s">
        <v>13</v>
      </c>
      <c r="E114" s="2"/>
      <c r="F114" s="2" t="n">
        <v>112</v>
      </c>
      <c r="G114" s="2" t="n">
        <f aca="false">COUNTIFS(Map!$D:$D,$A114,Map!$F:$F,"Y")</f>
        <v>1</v>
      </c>
      <c r="H114" s="2" t="str">
        <f aca="false">IF(G114&gt;=Settings!$B$3,"High",IF(G114&gt;=Settings!$B$5,"Medium","Low"))</f>
        <v>Medium</v>
      </c>
      <c r="I114" s="2" t="n">
        <f aca="false">COUNTIFS(Map!$D:$D,$A114,Map!$G:$G,"Y")</f>
        <v>1</v>
      </c>
      <c r="J114" s="2" t="str">
        <f aca="false">IF(I114&gt;=Settings!$B$4,"High",IF(I114&gt;=Settings!$B$5,"Medium","Low"))</f>
        <v>Medium</v>
      </c>
      <c r="K114" s="2" t="n">
        <f aca="false">COUNTIF(Map!$D:$D,$A114)</f>
        <v>3</v>
      </c>
    </row>
    <row r="115" customFormat="false" ht="23.85" hidden="false" customHeight="false" outlineLevel="0" collapsed="false">
      <c r="A115" s="2" t="n">
        <v>114</v>
      </c>
      <c r="B115" s="2" t="s">
        <v>151</v>
      </c>
      <c r="C115" s="2" t="s">
        <v>153</v>
      </c>
      <c r="D115" s="2" t="s">
        <v>13</v>
      </c>
      <c r="E115" s="2"/>
      <c r="F115" s="2" t="n">
        <v>113</v>
      </c>
      <c r="G115" s="2" t="n">
        <f aca="false">COUNTIFS(Map!$D:$D,$A115,Map!$F:$F,"Y")</f>
        <v>0</v>
      </c>
      <c r="H115" s="2" t="str">
        <f aca="false">IF(G115&gt;=Settings!$B$3,"High",IF(G115&gt;=Settings!$B$5,"Medium","Low"))</f>
        <v>Low</v>
      </c>
      <c r="I115" s="2" t="n">
        <f aca="false">COUNTIFS(Map!$D:$D,$A115,Map!$G:$G,"Y")</f>
        <v>0</v>
      </c>
      <c r="J115" s="2" t="str">
        <f aca="false">IF(I115&gt;=Settings!$B$4,"High",IF(I115&gt;=Settings!$B$5,"Medium","Low"))</f>
        <v>Low</v>
      </c>
      <c r="K115" s="2" t="n">
        <f aca="false">COUNTIF(Map!$D:$D,$A115)</f>
        <v>3</v>
      </c>
    </row>
    <row r="116" customFormat="false" ht="23.85" hidden="false" customHeight="false" outlineLevel="0" collapsed="false">
      <c r="A116" s="2" t="n">
        <v>115</v>
      </c>
      <c r="B116" s="2" t="s">
        <v>151</v>
      </c>
      <c r="C116" s="2" t="s">
        <v>154</v>
      </c>
      <c r="D116" s="2" t="s">
        <v>13</v>
      </c>
      <c r="E116" s="2"/>
      <c r="F116" s="2" t="n">
        <v>114</v>
      </c>
      <c r="G116" s="2" t="n">
        <f aca="false">COUNTIFS(Map!$D:$D,$A116,Map!$F:$F,"Y")</f>
        <v>1</v>
      </c>
      <c r="H116" s="2" t="str">
        <f aca="false">IF(G116&gt;=Settings!$B$3,"High",IF(G116&gt;=Settings!$B$5,"Medium","Low"))</f>
        <v>Medium</v>
      </c>
      <c r="I116" s="2" t="n">
        <f aca="false">COUNTIFS(Map!$D:$D,$A116,Map!$G:$G,"Y")</f>
        <v>1</v>
      </c>
      <c r="J116" s="2" t="str">
        <f aca="false">IF(I116&gt;=Settings!$B$4,"High",IF(I116&gt;=Settings!$B$5,"Medium","Low"))</f>
        <v>Medium</v>
      </c>
      <c r="K116" s="2" t="n">
        <f aca="false">COUNTIF(Map!$D:$D,$A116)</f>
        <v>17</v>
      </c>
    </row>
    <row r="117" customFormat="false" ht="23.85" hidden="false" customHeight="false" outlineLevel="0" collapsed="false">
      <c r="A117" s="2" t="n">
        <v>116</v>
      </c>
      <c r="B117" s="2" t="s">
        <v>151</v>
      </c>
      <c r="C117" s="2" t="s">
        <v>155</v>
      </c>
      <c r="D117" s="2" t="s">
        <v>13</v>
      </c>
      <c r="E117" s="2"/>
      <c r="F117" s="2" t="n">
        <v>115</v>
      </c>
      <c r="G117" s="2" t="n">
        <f aca="false">COUNTIFS(Map!$D:$D,$A117,Map!$F:$F,"Y")</f>
        <v>0</v>
      </c>
      <c r="H117" s="2" t="str">
        <f aca="false">IF(G117&gt;=Settings!$B$3,"High",IF(G117&gt;=Settings!$B$5,"Medium","Low"))</f>
        <v>Low</v>
      </c>
      <c r="I117" s="2" t="n">
        <f aca="false">COUNTIFS(Map!$D:$D,$A117,Map!$G:$G,"Y")</f>
        <v>0</v>
      </c>
      <c r="J117" s="2" t="str">
        <f aca="false">IF(I117&gt;=Settings!$B$4,"High",IF(I117&gt;=Settings!$B$5,"Medium","Low"))</f>
        <v>Low</v>
      </c>
      <c r="K117" s="2" t="n">
        <f aca="false">COUNTIF(Map!$D:$D,$A117)</f>
        <v>2</v>
      </c>
    </row>
    <row r="118" customFormat="false" ht="23.85" hidden="false" customHeight="false" outlineLevel="0" collapsed="false">
      <c r="A118" s="2" t="n">
        <v>117</v>
      </c>
      <c r="B118" s="2" t="s">
        <v>151</v>
      </c>
      <c r="C118" s="2" t="s">
        <v>156</v>
      </c>
      <c r="D118" s="2" t="s">
        <v>13</v>
      </c>
      <c r="E118" s="2"/>
      <c r="F118" s="2" t="n">
        <v>116</v>
      </c>
      <c r="G118" s="2" t="n">
        <f aca="false">COUNTIFS(Map!$D:$D,$A118,Map!$F:$F,"Y")</f>
        <v>1</v>
      </c>
      <c r="H118" s="2" t="str">
        <f aca="false">IF(G118&gt;=Settings!$B$3,"High",IF(G118&gt;=Settings!$B$5,"Medium","Low"))</f>
        <v>Medium</v>
      </c>
      <c r="I118" s="2" t="n">
        <f aca="false">COUNTIFS(Map!$D:$D,$A118,Map!$G:$G,"Y")</f>
        <v>1</v>
      </c>
      <c r="J118" s="2" t="str">
        <f aca="false">IF(I118&gt;=Settings!$B$4,"High",IF(I118&gt;=Settings!$B$5,"Medium","Low"))</f>
        <v>Medium</v>
      </c>
      <c r="K118" s="2" t="n">
        <f aca="false">COUNTIF(Map!$D:$D,$A118)</f>
        <v>4</v>
      </c>
    </row>
    <row r="119" customFormat="false" ht="15" hidden="false" customHeight="false" outlineLevel="0" collapsed="false">
      <c r="A119" s="2" t="n">
        <v>118</v>
      </c>
      <c r="B119" s="2" t="s">
        <v>157</v>
      </c>
      <c r="C119" s="2" t="s">
        <v>158</v>
      </c>
      <c r="D119" s="2" t="s">
        <v>13</v>
      </c>
      <c r="E119" s="2"/>
      <c r="F119" s="2" t="n">
        <v>117</v>
      </c>
      <c r="G119" s="2" t="n">
        <f aca="false">COUNTIFS(Map!$D:$D,$A119,Map!$F:$F,"Y")</f>
        <v>0</v>
      </c>
      <c r="H119" s="2" t="str">
        <f aca="false">IF(G119&gt;=Settings!$B$3,"High",IF(G119&gt;=Settings!$B$5,"Medium","Low"))</f>
        <v>Low</v>
      </c>
      <c r="I119" s="2" t="n">
        <f aca="false">COUNTIFS(Map!$D:$D,$A119,Map!$G:$G,"Y")</f>
        <v>0</v>
      </c>
      <c r="J119" s="2" t="str">
        <f aca="false">IF(I119&gt;=Settings!$B$4,"High",IF(I119&gt;=Settings!$B$5,"Medium","Low"))</f>
        <v>Low</v>
      </c>
      <c r="K119" s="2" t="n">
        <f aca="false">COUNTIF(Map!$D:$D,$A119)</f>
        <v>0</v>
      </c>
    </row>
    <row r="120" customFormat="false" ht="15" hidden="false" customHeight="false" outlineLevel="0" collapsed="false">
      <c r="A120" s="2" t="n">
        <v>119</v>
      </c>
      <c r="B120" s="2" t="s">
        <v>157</v>
      </c>
      <c r="C120" s="2" t="s">
        <v>159</v>
      </c>
      <c r="D120" s="2" t="s">
        <v>13</v>
      </c>
      <c r="E120" s="2"/>
      <c r="F120" s="2" t="n">
        <v>118</v>
      </c>
      <c r="G120" s="2" t="n">
        <f aca="false">COUNTIFS(Map!$D:$D,$A120,Map!$F:$F,"Y")</f>
        <v>0</v>
      </c>
      <c r="H120" s="2" t="str">
        <f aca="false">IF(G120&gt;=Settings!$B$3,"High",IF(G120&gt;=Settings!$B$5,"Medium","Low"))</f>
        <v>Low</v>
      </c>
      <c r="I120" s="2" t="n">
        <f aca="false">COUNTIFS(Map!$D:$D,$A120,Map!$G:$G,"Y")</f>
        <v>0</v>
      </c>
      <c r="J120" s="2" t="str">
        <f aca="false">IF(I120&gt;=Settings!$B$4,"High",IF(I120&gt;=Settings!$B$5,"Medium","Low"))</f>
        <v>Low</v>
      </c>
      <c r="K120" s="2" t="n">
        <f aca="false">COUNTIF(Map!$D:$D,$A120)</f>
        <v>1</v>
      </c>
    </row>
    <row r="121" customFormat="false" ht="15" hidden="false" customHeight="false" outlineLevel="0" collapsed="false">
      <c r="A121" s="2" t="n">
        <v>120</v>
      </c>
      <c r="B121" s="2" t="s">
        <v>157</v>
      </c>
      <c r="C121" s="2" t="s">
        <v>160</v>
      </c>
      <c r="D121" s="2" t="s">
        <v>13</v>
      </c>
      <c r="E121" s="2"/>
      <c r="F121" s="2" t="n">
        <v>119</v>
      </c>
      <c r="G121" s="2" t="n">
        <f aca="false">COUNTIFS(Map!$D:$D,$A121,Map!$F:$F,"Y")</f>
        <v>0</v>
      </c>
      <c r="H121" s="2" t="str">
        <f aca="false">IF(G121&gt;=Settings!$B$3,"High",IF(G121&gt;=Settings!$B$5,"Medium","Low"))</f>
        <v>Low</v>
      </c>
      <c r="I121" s="2" t="n">
        <f aca="false">COUNTIFS(Map!$D:$D,$A121,Map!$G:$G,"Y")</f>
        <v>0</v>
      </c>
      <c r="J121" s="2" t="str">
        <f aca="false">IF(I121&gt;=Settings!$B$4,"High",IF(I121&gt;=Settings!$B$5,"Medium","Low"))</f>
        <v>Low</v>
      </c>
      <c r="K121" s="2" t="n">
        <f aca="false">COUNTIF(Map!$D:$D,$A121)</f>
        <v>0</v>
      </c>
    </row>
    <row r="122" customFormat="false" ht="15" hidden="false" customHeight="false" outlineLevel="0" collapsed="false">
      <c r="A122" s="2" t="n">
        <v>121</v>
      </c>
      <c r="B122" s="2" t="s">
        <v>157</v>
      </c>
      <c r="C122" s="2" t="s">
        <v>161</v>
      </c>
      <c r="D122" s="2" t="s">
        <v>13</v>
      </c>
      <c r="E122" s="2"/>
      <c r="F122" s="2" t="n">
        <v>120</v>
      </c>
      <c r="G122" s="2" t="n">
        <f aca="false">COUNTIFS(Map!$D:$D,$A122,Map!$F:$F,"Y")</f>
        <v>1</v>
      </c>
      <c r="H122" s="2" t="str">
        <f aca="false">IF(G122&gt;=Settings!$B$3,"High",IF(G122&gt;=Settings!$B$5,"Medium","Low"))</f>
        <v>Medium</v>
      </c>
      <c r="I122" s="2" t="n">
        <f aca="false">COUNTIFS(Map!$D:$D,$A122,Map!$G:$G,"Y")</f>
        <v>1</v>
      </c>
      <c r="J122" s="2" t="str">
        <f aca="false">IF(I122&gt;=Settings!$B$4,"High",IF(I122&gt;=Settings!$B$5,"Medium","Low"))</f>
        <v>Medium</v>
      </c>
      <c r="K122" s="2" t="n">
        <f aca="false">COUNTIF(Map!$D:$D,$A122)</f>
        <v>1</v>
      </c>
    </row>
    <row r="123" customFormat="false" ht="23.85" hidden="false" customHeight="false" outlineLevel="0" collapsed="false">
      <c r="A123" s="2" t="n">
        <v>122</v>
      </c>
      <c r="B123" s="2" t="s">
        <v>157</v>
      </c>
      <c r="C123" s="2" t="s">
        <v>162</v>
      </c>
      <c r="D123" s="2" t="s">
        <v>13</v>
      </c>
      <c r="E123" s="2"/>
      <c r="F123" s="2" t="n">
        <v>121</v>
      </c>
      <c r="G123" s="2" t="n">
        <f aca="false">COUNTIFS(Map!$D:$D,$A123,Map!$F:$F,"Y")</f>
        <v>0</v>
      </c>
      <c r="H123" s="2" t="str">
        <f aca="false">IF(G123&gt;=Settings!$B$3,"High",IF(G123&gt;=Settings!$B$5,"Medium","Low"))</f>
        <v>Low</v>
      </c>
      <c r="I123" s="2" t="n">
        <f aca="false">COUNTIFS(Map!$D:$D,$A123,Map!$G:$G,"Y")</f>
        <v>0</v>
      </c>
      <c r="J123" s="2" t="str">
        <f aca="false">IF(I123&gt;=Settings!$B$4,"High",IF(I123&gt;=Settings!$B$5,"Medium","Low"))</f>
        <v>Low</v>
      </c>
      <c r="K123" s="2" t="n">
        <f aca="false">COUNTIF(Map!$D:$D,$A123)</f>
        <v>1</v>
      </c>
    </row>
    <row r="124" customFormat="false" ht="23.85" hidden="false" customHeight="false" outlineLevel="0" collapsed="false">
      <c r="A124" s="2" t="n">
        <v>123</v>
      </c>
      <c r="B124" s="2" t="s">
        <v>157</v>
      </c>
      <c r="C124" s="2" t="s">
        <v>163</v>
      </c>
      <c r="D124" s="2" t="s">
        <v>13</v>
      </c>
      <c r="E124" s="2"/>
      <c r="F124" s="2" t="n">
        <v>122</v>
      </c>
      <c r="G124" s="2" t="n">
        <f aca="false">COUNTIFS(Map!$D:$D,$A124,Map!$F:$F,"Y")</f>
        <v>0</v>
      </c>
      <c r="H124" s="2" t="str">
        <f aca="false">IF(G124&gt;=Settings!$B$3,"High",IF(G124&gt;=Settings!$B$5,"Medium","Low"))</f>
        <v>Low</v>
      </c>
      <c r="I124" s="2" t="n">
        <f aca="false">COUNTIFS(Map!$D:$D,$A124,Map!$G:$G,"Y")</f>
        <v>0</v>
      </c>
      <c r="J124" s="2" t="str">
        <f aca="false">IF(I124&gt;=Settings!$B$4,"High",IF(I124&gt;=Settings!$B$5,"Medium","Low"))</f>
        <v>Low</v>
      </c>
      <c r="K124" s="2" t="n">
        <f aca="false">COUNTIF(Map!$D:$D,$A124)</f>
        <v>0</v>
      </c>
    </row>
  </sheetData>
  <autoFilter ref="A1:K124"/>
  <conditionalFormatting sqref="H2:H124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124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</row>
    <row r="2" customFormat="false" ht="15" hidden="false" customHeight="false" outlineLevel="0" collapsed="false">
      <c r="A2" s="3" t="s">
        <v>172</v>
      </c>
      <c r="B2" s="3" t="n">
        <v>1</v>
      </c>
      <c r="C2" s="3" t="s">
        <v>173</v>
      </c>
      <c r="D2" s="3" t="n">
        <v>10</v>
      </c>
      <c r="E2" s="3" t="s">
        <v>174</v>
      </c>
      <c r="F2" s="3" t="s">
        <v>175</v>
      </c>
      <c r="G2" s="3" t="s">
        <v>175</v>
      </c>
      <c r="H2" s="3" t="s">
        <v>176</v>
      </c>
    </row>
    <row r="3" customFormat="false" ht="15" hidden="false" customHeight="false" outlineLevel="0" collapsed="false">
      <c r="A3" s="3" t="s">
        <v>172</v>
      </c>
      <c r="B3" s="3" t="n">
        <v>2</v>
      </c>
      <c r="C3" s="3" t="s">
        <v>173</v>
      </c>
      <c r="D3" s="3" t="n">
        <v>4</v>
      </c>
      <c r="E3" s="3" t="s">
        <v>174</v>
      </c>
      <c r="F3" s="3" t="s">
        <v>175</v>
      </c>
      <c r="G3" s="3" t="s">
        <v>175</v>
      </c>
      <c r="H3" s="3" t="s">
        <v>177</v>
      </c>
    </row>
    <row r="4" customFormat="false" ht="15" hidden="false" customHeight="false" outlineLevel="0" collapsed="false">
      <c r="A4" s="3" t="s">
        <v>172</v>
      </c>
      <c r="B4" s="3" t="n">
        <v>3</v>
      </c>
      <c r="C4" s="3" t="s">
        <v>173</v>
      </c>
      <c r="D4" s="3" t="n">
        <v>14</v>
      </c>
      <c r="E4" s="3" t="s">
        <v>174</v>
      </c>
      <c r="F4" s="3" t="s">
        <v>175</v>
      </c>
      <c r="G4" s="3" t="s">
        <v>175</v>
      </c>
      <c r="H4" s="3" t="s">
        <v>178</v>
      </c>
    </row>
    <row r="5" customFormat="false" ht="15" hidden="false" customHeight="false" outlineLevel="0" collapsed="false">
      <c r="A5" s="3" t="s">
        <v>172</v>
      </c>
      <c r="B5" s="3" t="n">
        <v>4</v>
      </c>
      <c r="C5" s="3" t="s">
        <v>173</v>
      </c>
      <c r="D5" s="3" t="n">
        <v>16</v>
      </c>
      <c r="E5" s="3" t="s">
        <v>174</v>
      </c>
      <c r="F5" s="3" t="s">
        <v>175</v>
      </c>
      <c r="G5" s="3" t="s">
        <v>175</v>
      </c>
      <c r="H5" s="3" t="s">
        <v>179</v>
      </c>
    </row>
    <row r="6" customFormat="false" ht="15" hidden="false" customHeight="false" outlineLevel="0" collapsed="false">
      <c r="A6" s="3" t="s">
        <v>172</v>
      </c>
      <c r="B6" s="3" t="n">
        <v>4</v>
      </c>
      <c r="C6" s="3" t="s">
        <v>173</v>
      </c>
      <c r="D6" s="3" t="n">
        <v>38</v>
      </c>
      <c r="E6" s="3" t="s">
        <v>180</v>
      </c>
      <c r="F6" s="3" t="s">
        <v>175</v>
      </c>
      <c r="G6" s="3" t="s">
        <v>175</v>
      </c>
      <c r="H6" s="3" t="s">
        <v>179</v>
      </c>
    </row>
    <row r="7" customFormat="false" ht="15" hidden="false" customHeight="false" outlineLevel="0" collapsed="false">
      <c r="A7" s="3" t="s">
        <v>172</v>
      </c>
      <c r="B7" s="3" t="n">
        <v>5</v>
      </c>
      <c r="C7" s="3" t="s">
        <v>173</v>
      </c>
      <c r="D7" s="3" t="n">
        <v>23</v>
      </c>
      <c r="E7" s="3" t="s">
        <v>174</v>
      </c>
      <c r="F7" s="3" t="s">
        <v>175</v>
      </c>
      <c r="G7" s="3" t="s">
        <v>175</v>
      </c>
      <c r="H7" s="3" t="s">
        <v>181</v>
      </c>
    </row>
    <row r="8" customFormat="false" ht="15" hidden="false" customHeight="false" outlineLevel="0" collapsed="false">
      <c r="A8" s="3" t="s">
        <v>172</v>
      </c>
      <c r="B8" s="3" t="n">
        <v>5</v>
      </c>
      <c r="C8" s="3" t="s">
        <v>173</v>
      </c>
      <c r="D8" s="3" t="n">
        <v>13</v>
      </c>
      <c r="E8" s="3" t="s">
        <v>180</v>
      </c>
      <c r="F8" s="3" t="s">
        <v>175</v>
      </c>
      <c r="G8" s="3" t="s">
        <v>175</v>
      </c>
      <c r="H8" s="3" t="s">
        <v>181</v>
      </c>
    </row>
    <row r="9" customFormat="false" ht="15" hidden="false" customHeight="false" outlineLevel="0" collapsed="false">
      <c r="A9" s="3" t="s">
        <v>172</v>
      </c>
      <c r="B9" s="3" t="n">
        <v>6</v>
      </c>
      <c r="C9" s="3" t="s">
        <v>173</v>
      </c>
      <c r="D9" s="3" t="n">
        <v>17</v>
      </c>
      <c r="E9" s="3" t="s">
        <v>174</v>
      </c>
      <c r="F9" s="3" t="s">
        <v>175</v>
      </c>
      <c r="G9" s="3" t="s">
        <v>175</v>
      </c>
      <c r="H9" s="3" t="s">
        <v>182</v>
      </c>
    </row>
    <row r="10" customFormat="false" ht="15" hidden="false" customHeight="false" outlineLevel="0" collapsed="false">
      <c r="A10" s="3" t="s">
        <v>172</v>
      </c>
      <c r="B10" s="3" t="n">
        <v>7</v>
      </c>
      <c r="C10" s="3" t="s">
        <v>173</v>
      </c>
      <c r="D10" s="3" t="n">
        <v>29</v>
      </c>
      <c r="E10" s="3" t="s">
        <v>174</v>
      </c>
      <c r="F10" s="3" t="s">
        <v>175</v>
      </c>
      <c r="G10" s="3" t="s">
        <v>175</v>
      </c>
      <c r="H10" s="3" t="s">
        <v>183</v>
      </c>
    </row>
    <row r="11" customFormat="false" ht="15" hidden="false" customHeight="false" outlineLevel="0" collapsed="false">
      <c r="A11" s="3" t="s">
        <v>172</v>
      </c>
      <c r="B11" s="3" t="n">
        <v>7</v>
      </c>
      <c r="C11" s="3" t="s">
        <v>173</v>
      </c>
      <c r="D11" s="3" t="n">
        <v>25</v>
      </c>
      <c r="E11" s="3" t="s">
        <v>180</v>
      </c>
      <c r="F11" s="3" t="s">
        <v>175</v>
      </c>
      <c r="G11" s="3" t="s">
        <v>175</v>
      </c>
      <c r="H11" s="3" t="s">
        <v>183</v>
      </c>
    </row>
    <row r="12" customFormat="false" ht="15" hidden="false" customHeight="false" outlineLevel="0" collapsed="false">
      <c r="A12" s="3" t="s">
        <v>172</v>
      </c>
      <c r="B12" s="3" t="n">
        <v>8</v>
      </c>
      <c r="C12" s="3" t="s">
        <v>173</v>
      </c>
      <c r="D12" s="3" t="n">
        <v>26</v>
      </c>
      <c r="E12" s="3" t="s">
        <v>174</v>
      </c>
      <c r="F12" s="3" t="s">
        <v>175</v>
      </c>
      <c r="G12" s="3" t="s">
        <v>175</v>
      </c>
      <c r="H12" s="3" t="s">
        <v>184</v>
      </c>
    </row>
    <row r="13" customFormat="false" ht="15" hidden="false" customHeight="false" outlineLevel="0" collapsed="false">
      <c r="A13" s="3" t="s">
        <v>172</v>
      </c>
      <c r="B13" s="3" t="n">
        <v>9</v>
      </c>
      <c r="C13" s="3" t="s">
        <v>173</v>
      </c>
      <c r="D13" s="3" t="n">
        <v>22</v>
      </c>
      <c r="E13" s="3" t="s">
        <v>174</v>
      </c>
      <c r="F13" s="3" t="s">
        <v>175</v>
      </c>
      <c r="G13" s="3" t="s">
        <v>175</v>
      </c>
      <c r="H13" s="3" t="s">
        <v>185</v>
      </c>
    </row>
    <row r="14" customFormat="false" ht="15" hidden="false" customHeight="false" outlineLevel="0" collapsed="false">
      <c r="A14" s="3" t="s">
        <v>172</v>
      </c>
      <c r="B14" s="3" t="n">
        <v>9</v>
      </c>
      <c r="C14" s="3" t="s">
        <v>173</v>
      </c>
      <c r="D14" s="3" t="n">
        <v>28</v>
      </c>
      <c r="E14" s="3" t="s">
        <v>180</v>
      </c>
      <c r="F14" s="3" t="s">
        <v>175</v>
      </c>
      <c r="G14" s="3" t="s">
        <v>175</v>
      </c>
      <c r="H14" s="3" t="s">
        <v>185</v>
      </c>
    </row>
    <row r="15" customFormat="false" ht="15" hidden="false" customHeight="false" outlineLevel="0" collapsed="false">
      <c r="A15" s="3" t="s">
        <v>172</v>
      </c>
      <c r="B15" s="3" t="n">
        <v>10</v>
      </c>
      <c r="C15" s="3" t="s">
        <v>173</v>
      </c>
      <c r="D15" s="3" t="n">
        <v>38</v>
      </c>
      <c r="E15" s="3" t="s">
        <v>174</v>
      </c>
      <c r="F15" s="3" t="s">
        <v>175</v>
      </c>
      <c r="G15" s="3" t="s">
        <v>175</v>
      </c>
      <c r="H15" s="3" t="s">
        <v>186</v>
      </c>
    </row>
    <row r="16" customFormat="false" ht="15" hidden="false" customHeight="false" outlineLevel="0" collapsed="false">
      <c r="A16" s="3" t="s">
        <v>172</v>
      </c>
      <c r="B16" s="3" t="n">
        <v>10</v>
      </c>
      <c r="C16" s="3" t="s">
        <v>173</v>
      </c>
      <c r="D16" s="3" t="n">
        <v>32</v>
      </c>
      <c r="E16" s="3" t="s">
        <v>180</v>
      </c>
      <c r="F16" s="3" t="s">
        <v>175</v>
      </c>
      <c r="G16" s="3" t="s">
        <v>175</v>
      </c>
      <c r="H16" s="3" t="s">
        <v>186</v>
      </c>
    </row>
    <row r="17" customFormat="false" ht="15" hidden="false" customHeight="false" outlineLevel="0" collapsed="false">
      <c r="A17" s="3" t="s">
        <v>172</v>
      </c>
      <c r="B17" s="3" t="n">
        <v>11</v>
      </c>
      <c r="C17" s="3" t="s">
        <v>173</v>
      </c>
      <c r="D17" s="3" t="n">
        <v>32</v>
      </c>
      <c r="E17" s="3" t="s">
        <v>174</v>
      </c>
      <c r="F17" s="3" t="s">
        <v>175</v>
      </c>
      <c r="G17" s="3" t="s">
        <v>175</v>
      </c>
      <c r="H17" s="3" t="s">
        <v>187</v>
      </c>
    </row>
    <row r="18" customFormat="false" ht="15" hidden="false" customHeight="false" outlineLevel="0" collapsed="false">
      <c r="A18" s="3" t="s">
        <v>172</v>
      </c>
      <c r="B18" s="3" t="n">
        <v>12</v>
      </c>
      <c r="C18" s="3" t="s">
        <v>173</v>
      </c>
      <c r="D18" s="3" t="n">
        <v>37</v>
      </c>
      <c r="E18" s="3" t="s">
        <v>174</v>
      </c>
      <c r="F18" s="3" t="s">
        <v>175</v>
      </c>
      <c r="G18" s="3" t="s">
        <v>175</v>
      </c>
      <c r="H18" s="3" t="s">
        <v>188</v>
      </c>
    </row>
    <row r="19" customFormat="false" ht="15" hidden="false" customHeight="false" outlineLevel="0" collapsed="false">
      <c r="A19" s="3" t="s">
        <v>172</v>
      </c>
      <c r="B19" s="3" t="n">
        <v>12</v>
      </c>
      <c r="C19" s="3" t="s">
        <v>173</v>
      </c>
      <c r="D19" s="3" t="n">
        <v>44</v>
      </c>
      <c r="E19" s="3" t="s">
        <v>180</v>
      </c>
      <c r="F19" s="3" t="s">
        <v>175</v>
      </c>
      <c r="G19" s="3" t="s">
        <v>175</v>
      </c>
      <c r="H19" s="3" t="s">
        <v>188</v>
      </c>
    </row>
    <row r="20" customFormat="false" ht="15" hidden="false" customHeight="false" outlineLevel="0" collapsed="false">
      <c r="A20" s="3" t="s">
        <v>172</v>
      </c>
      <c r="B20" s="3" t="n">
        <v>13</v>
      </c>
      <c r="C20" s="3" t="s">
        <v>173</v>
      </c>
      <c r="D20" s="3" t="n">
        <v>46</v>
      </c>
      <c r="E20" s="3" t="s">
        <v>174</v>
      </c>
      <c r="F20" s="3" t="s">
        <v>175</v>
      </c>
      <c r="G20" s="3" t="s">
        <v>175</v>
      </c>
      <c r="H20" s="3" t="s">
        <v>189</v>
      </c>
    </row>
    <row r="21" customFormat="false" ht="15" hidden="false" customHeight="false" outlineLevel="0" collapsed="false">
      <c r="A21" s="3" t="s">
        <v>172</v>
      </c>
      <c r="B21" s="3" t="n">
        <v>14</v>
      </c>
      <c r="C21" s="3" t="s">
        <v>173</v>
      </c>
      <c r="D21" s="3" t="n">
        <v>46</v>
      </c>
      <c r="E21" s="3" t="s">
        <v>174</v>
      </c>
      <c r="F21" s="3" t="s">
        <v>175</v>
      </c>
      <c r="G21" s="3" t="s">
        <v>175</v>
      </c>
      <c r="H21" s="3" t="s">
        <v>190</v>
      </c>
    </row>
    <row r="22" customFormat="false" ht="15" hidden="false" customHeight="false" outlineLevel="0" collapsed="false">
      <c r="A22" s="3" t="s">
        <v>172</v>
      </c>
      <c r="B22" s="3" t="n">
        <v>15</v>
      </c>
      <c r="C22" s="3" t="s">
        <v>173</v>
      </c>
      <c r="D22" s="3" t="n">
        <v>46</v>
      </c>
      <c r="E22" s="3" t="s">
        <v>174</v>
      </c>
      <c r="F22" s="3" t="s">
        <v>175</v>
      </c>
      <c r="G22" s="3" t="s">
        <v>175</v>
      </c>
      <c r="H22" s="3" t="s">
        <v>191</v>
      </c>
    </row>
    <row r="23" customFormat="false" ht="15" hidden="false" customHeight="false" outlineLevel="0" collapsed="false">
      <c r="A23" s="3" t="s">
        <v>172</v>
      </c>
      <c r="B23" s="3" t="n">
        <v>16</v>
      </c>
      <c r="C23" s="3" t="s">
        <v>173</v>
      </c>
      <c r="D23" s="3" t="n">
        <v>50</v>
      </c>
      <c r="E23" s="3" t="s">
        <v>174</v>
      </c>
      <c r="F23" s="3" t="s">
        <v>175</v>
      </c>
      <c r="G23" s="3" t="s">
        <v>175</v>
      </c>
      <c r="H23" s="3" t="s">
        <v>192</v>
      </c>
    </row>
    <row r="24" customFormat="false" ht="15" hidden="false" customHeight="false" outlineLevel="0" collapsed="false">
      <c r="A24" s="3" t="s">
        <v>172</v>
      </c>
      <c r="B24" s="3" t="n">
        <v>17</v>
      </c>
      <c r="C24" s="3" t="s">
        <v>173</v>
      </c>
      <c r="D24" s="3" t="n">
        <v>48</v>
      </c>
      <c r="E24" s="3" t="s">
        <v>174</v>
      </c>
      <c r="F24" s="3" t="s">
        <v>175</v>
      </c>
      <c r="G24" s="3" t="s">
        <v>175</v>
      </c>
      <c r="H24" s="3" t="s">
        <v>193</v>
      </c>
    </row>
    <row r="25" customFormat="false" ht="15" hidden="false" customHeight="false" outlineLevel="0" collapsed="false">
      <c r="A25" s="3" t="s">
        <v>172</v>
      </c>
      <c r="B25" s="3" t="n">
        <v>18</v>
      </c>
      <c r="C25" s="3" t="s">
        <v>173</v>
      </c>
      <c r="D25" s="3" t="n">
        <v>60</v>
      </c>
      <c r="E25" s="3" t="s">
        <v>174</v>
      </c>
      <c r="F25" s="3" t="s">
        <v>175</v>
      </c>
      <c r="G25" s="3" t="s">
        <v>175</v>
      </c>
      <c r="H25" s="3" t="s">
        <v>194</v>
      </c>
    </row>
    <row r="26" customFormat="false" ht="15" hidden="false" customHeight="false" outlineLevel="0" collapsed="false">
      <c r="A26" s="3" t="s">
        <v>172</v>
      </c>
      <c r="B26" s="3" t="n">
        <v>19</v>
      </c>
      <c r="C26" s="3" t="s">
        <v>173</v>
      </c>
      <c r="D26" s="3" t="n">
        <v>60</v>
      </c>
      <c r="E26" s="3" t="s">
        <v>174</v>
      </c>
      <c r="F26" s="3" t="s">
        <v>175</v>
      </c>
      <c r="G26" s="3" t="s">
        <v>175</v>
      </c>
      <c r="H26" s="3" t="s">
        <v>195</v>
      </c>
    </row>
    <row r="27" customFormat="false" ht="15" hidden="false" customHeight="false" outlineLevel="0" collapsed="false">
      <c r="A27" s="3" t="s">
        <v>172</v>
      </c>
      <c r="B27" s="3" t="n">
        <v>20</v>
      </c>
      <c r="C27" s="3" t="s">
        <v>173</v>
      </c>
      <c r="D27" s="3" t="n">
        <v>1</v>
      </c>
      <c r="E27" s="3" t="s">
        <v>174</v>
      </c>
      <c r="F27" s="3" t="s">
        <v>175</v>
      </c>
      <c r="G27" s="3" t="s">
        <v>175</v>
      </c>
      <c r="H27" s="3" t="s">
        <v>196</v>
      </c>
    </row>
    <row r="28" customFormat="false" ht="15" hidden="false" customHeight="false" outlineLevel="0" collapsed="false">
      <c r="A28" s="3" t="s">
        <v>172</v>
      </c>
      <c r="B28" s="3" t="n">
        <v>20</v>
      </c>
      <c r="C28" s="3" t="s">
        <v>173</v>
      </c>
      <c r="D28" s="3" t="n">
        <v>16</v>
      </c>
      <c r="E28" s="3" t="s">
        <v>180</v>
      </c>
      <c r="F28" s="3" t="s">
        <v>175</v>
      </c>
      <c r="G28" s="3" t="s">
        <v>175</v>
      </c>
      <c r="H28" s="3" t="s">
        <v>196</v>
      </c>
    </row>
    <row r="29" customFormat="false" ht="15" hidden="false" customHeight="false" outlineLevel="0" collapsed="false">
      <c r="A29" s="3" t="s">
        <v>172</v>
      </c>
      <c r="B29" s="3" t="n">
        <v>20</v>
      </c>
      <c r="C29" s="3" t="s">
        <v>173</v>
      </c>
      <c r="D29" s="3" t="n">
        <v>2</v>
      </c>
      <c r="E29" s="3" t="s">
        <v>180</v>
      </c>
      <c r="F29" s="3" t="s">
        <v>175</v>
      </c>
      <c r="G29" s="3" t="s">
        <v>175</v>
      </c>
      <c r="H29" s="3" t="s">
        <v>196</v>
      </c>
    </row>
    <row r="30" customFormat="false" ht="15" hidden="false" customHeight="false" outlineLevel="0" collapsed="false">
      <c r="A30" s="3" t="s">
        <v>172</v>
      </c>
      <c r="B30" s="3" t="n">
        <v>21</v>
      </c>
      <c r="C30" s="3" t="s">
        <v>173</v>
      </c>
      <c r="D30" s="3" t="n">
        <v>1</v>
      </c>
      <c r="E30" s="3" t="s">
        <v>174</v>
      </c>
      <c r="F30" s="3" t="s">
        <v>175</v>
      </c>
      <c r="G30" s="3" t="s">
        <v>175</v>
      </c>
      <c r="H30" s="3" t="s">
        <v>197</v>
      </c>
    </row>
    <row r="31" customFormat="false" ht="15" hidden="false" customHeight="false" outlineLevel="0" collapsed="false">
      <c r="A31" s="3" t="s">
        <v>172</v>
      </c>
      <c r="B31" s="3" t="n">
        <v>22</v>
      </c>
      <c r="C31" s="3" t="s">
        <v>173</v>
      </c>
      <c r="D31" s="3" t="n">
        <v>64</v>
      </c>
      <c r="E31" s="3" t="s">
        <v>174</v>
      </c>
      <c r="F31" s="3" t="s">
        <v>175</v>
      </c>
      <c r="G31" s="3" t="s">
        <v>175</v>
      </c>
      <c r="H31" s="3" t="s">
        <v>198</v>
      </c>
    </row>
    <row r="32" customFormat="false" ht="15" hidden="false" customHeight="false" outlineLevel="0" collapsed="false">
      <c r="A32" s="3" t="s">
        <v>172</v>
      </c>
      <c r="B32" s="3" t="n">
        <v>22</v>
      </c>
      <c r="C32" s="3" t="s">
        <v>173</v>
      </c>
      <c r="D32" s="3" t="n">
        <v>32</v>
      </c>
      <c r="E32" s="3" t="s">
        <v>180</v>
      </c>
      <c r="F32" s="3" t="s">
        <v>175</v>
      </c>
      <c r="G32" s="3" t="s">
        <v>175</v>
      </c>
      <c r="H32" s="3" t="s">
        <v>198</v>
      </c>
    </row>
    <row r="33" customFormat="false" ht="15" hidden="false" customHeight="false" outlineLevel="0" collapsed="false">
      <c r="A33" s="3" t="s">
        <v>172</v>
      </c>
      <c r="B33" s="3" t="n">
        <v>23</v>
      </c>
      <c r="C33" s="3" t="s">
        <v>173</v>
      </c>
      <c r="D33" s="3" t="n">
        <v>65</v>
      </c>
      <c r="E33" s="3" t="s">
        <v>174</v>
      </c>
      <c r="F33" s="3" t="s">
        <v>175</v>
      </c>
      <c r="G33" s="3" t="s">
        <v>175</v>
      </c>
      <c r="H33" s="3" t="s">
        <v>199</v>
      </c>
    </row>
    <row r="34" customFormat="false" ht="15" hidden="false" customHeight="false" outlineLevel="0" collapsed="false">
      <c r="A34" s="3" t="s">
        <v>172</v>
      </c>
      <c r="B34" s="3" t="n">
        <v>23</v>
      </c>
      <c r="C34" s="3" t="s">
        <v>173</v>
      </c>
      <c r="D34" s="3" t="n">
        <v>37</v>
      </c>
      <c r="E34" s="3" t="s">
        <v>180</v>
      </c>
      <c r="F34" s="3" t="s">
        <v>175</v>
      </c>
      <c r="G34" s="3" t="s">
        <v>175</v>
      </c>
      <c r="H34" s="3" t="s">
        <v>199</v>
      </c>
    </row>
    <row r="35" customFormat="false" ht="15" hidden="false" customHeight="false" outlineLevel="0" collapsed="false">
      <c r="A35" s="3" t="s">
        <v>172</v>
      </c>
      <c r="B35" s="3" t="n">
        <v>24</v>
      </c>
      <c r="C35" s="3" t="s">
        <v>173</v>
      </c>
      <c r="D35" s="3" t="n">
        <v>67</v>
      </c>
      <c r="E35" s="3" t="s">
        <v>174</v>
      </c>
      <c r="F35" s="3" t="s">
        <v>175</v>
      </c>
      <c r="G35" s="3" t="s">
        <v>175</v>
      </c>
      <c r="H35" s="3" t="s">
        <v>200</v>
      </c>
    </row>
    <row r="36" customFormat="false" ht="15" hidden="false" customHeight="false" outlineLevel="0" collapsed="false">
      <c r="A36" s="3" t="s">
        <v>172</v>
      </c>
      <c r="B36" s="3" t="n">
        <v>25</v>
      </c>
      <c r="C36" s="3" t="s">
        <v>173</v>
      </c>
      <c r="D36" s="3" t="n">
        <v>67</v>
      </c>
      <c r="E36" s="3" t="s">
        <v>174</v>
      </c>
      <c r="F36" s="3" t="s">
        <v>175</v>
      </c>
      <c r="G36" s="3" t="s">
        <v>175</v>
      </c>
      <c r="H36" s="3" t="s">
        <v>201</v>
      </c>
    </row>
    <row r="37" customFormat="false" ht="15" hidden="false" customHeight="false" outlineLevel="0" collapsed="false">
      <c r="A37" s="3" t="s">
        <v>172</v>
      </c>
      <c r="B37" s="3" t="n">
        <v>25</v>
      </c>
      <c r="C37" s="3" t="s">
        <v>173</v>
      </c>
      <c r="D37" s="3" t="n">
        <v>65</v>
      </c>
      <c r="E37" s="3" t="s">
        <v>180</v>
      </c>
      <c r="F37" s="3" t="s">
        <v>175</v>
      </c>
      <c r="G37" s="3" t="s">
        <v>175</v>
      </c>
      <c r="H37" s="3" t="s">
        <v>201</v>
      </c>
    </row>
    <row r="38" customFormat="false" ht="15" hidden="false" customHeight="false" outlineLevel="0" collapsed="false">
      <c r="A38" s="3" t="s">
        <v>172</v>
      </c>
      <c r="B38" s="3" t="n">
        <v>26</v>
      </c>
      <c r="C38" s="3" t="s">
        <v>173</v>
      </c>
      <c r="D38" s="3" t="n">
        <v>15</v>
      </c>
      <c r="E38" s="3" t="s">
        <v>174</v>
      </c>
      <c r="F38" s="3" t="s">
        <v>175</v>
      </c>
      <c r="G38" s="3" t="s">
        <v>175</v>
      </c>
      <c r="H38" s="3" t="s">
        <v>202</v>
      </c>
    </row>
    <row r="39" customFormat="false" ht="15" hidden="false" customHeight="false" outlineLevel="0" collapsed="false">
      <c r="A39" s="3" t="s">
        <v>172</v>
      </c>
      <c r="B39" s="3" t="n">
        <v>26</v>
      </c>
      <c r="C39" s="3" t="s">
        <v>173</v>
      </c>
      <c r="D39" s="3" t="n">
        <v>70</v>
      </c>
      <c r="E39" s="3" t="s">
        <v>180</v>
      </c>
      <c r="F39" s="3" t="s">
        <v>175</v>
      </c>
      <c r="G39" s="3" t="s">
        <v>175</v>
      </c>
      <c r="H39" s="3" t="s">
        <v>202</v>
      </c>
    </row>
    <row r="40" customFormat="false" ht="15" hidden="false" customHeight="false" outlineLevel="0" collapsed="false">
      <c r="A40" s="3" t="s">
        <v>172</v>
      </c>
      <c r="B40" s="3" t="n">
        <v>27</v>
      </c>
      <c r="C40" s="3" t="s">
        <v>173</v>
      </c>
      <c r="D40" s="3" t="n">
        <v>73</v>
      </c>
      <c r="E40" s="3" t="s">
        <v>174</v>
      </c>
      <c r="F40" s="3" t="s">
        <v>175</v>
      </c>
      <c r="G40" s="3" t="s">
        <v>175</v>
      </c>
      <c r="H40" s="3" t="s">
        <v>203</v>
      </c>
    </row>
    <row r="41" customFormat="false" ht="15" hidden="false" customHeight="false" outlineLevel="0" collapsed="false">
      <c r="A41" s="3" t="s">
        <v>172</v>
      </c>
      <c r="B41" s="3" t="n">
        <v>28</v>
      </c>
      <c r="C41" s="3" t="s">
        <v>173</v>
      </c>
      <c r="D41" s="3" t="n">
        <v>73</v>
      </c>
      <c r="E41" s="3" t="s">
        <v>174</v>
      </c>
      <c r="F41" s="3" t="s">
        <v>175</v>
      </c>
      <c r="G41" s="3" t="s">
        <v>175</v>
      </c>
      <c r="H41" s="3" t="s">
        <v>204</v>
      </c>
    </row>
    <row r="42" customFormat="false" ht="15" hidden="false" customHeight="false" outlineLevel="0" collapsed="false">
      <c r="A42" s="3" t="s">
        <v>172</v>
      </c>
      <c r="B42" s="3" t="n">
        <v>29</v>
      </c>
      <c r="C42" s="3" t="s">
        <v>173</v>
      </c>
      <c r="D42" s="3" t="n">
        <v>88</v>
      </c>
      <c r="E42" s="3" t="s">
        <v>174</v>
      </c>
      <c r="F42" s="3" t="s">
        <v>175</v>
      </c>
      <c r="G42" s="3" t="s">
        <v>175</v>
      </c>
      <c r="H42" s="3" t="s">
        <v>205</v>
      </c>
    </row>
    <row r="43" customFormat="false" ht="15" hidden="false" customHeight="false" outlineLevel="0" collapsed="false">
      <c r="A43" s="3" t="s">
        <v>172</v>
      </c>
      <c r="B43" s="3" t="n">
        <v>29</v>
      </c>
      <c r="C43" s="3" t="s">
        <v>173</v>
      </c>
      <c r="D43" s="3" t="n">
        <v>23</v>
      </c>
      <c r="E43" s="3" t="s">
        <v>180</v>
      </c>
      <c r="F43" s="3" t="s">
        <v>175</v>
      </c>
      <c r="G43" s="3" t="s">
        <v>175</v>
      </c>
      <c r="H43" s="3" t="s">
        <v>205</v>
      </c>
    </row>
    <row r="44" customFormat="false" ht="15" hidden="false" customHeight="false" outlineLevel="0" collapsed="false">
      <c r="A44" s="3" t="s">
        <v>172</v>
      </c>
      <c r="B44" s="3" t="n">
        <v>30</v>
      </c>
      <c r="C44" s="3" t="s">
        <v>173</v>
      </c>
      <c r="D44" s="3" t="n">
        <v>90</v>
      </c>
      <c r="E44" s="3" t="s">
        <v>174</v>
      </c>
      <c r="F44" s="3" t="s">
        <v>175</v>
      </c>
      <c r="G44" s="3" t="s">
        <v>175</v>
      </c>
      <c r="H44" s="3" t="s">
        <v>206</v>
      </c>
    </row>
    <row r="45" customFormat="false" ht="15" hidden="false" customHeight="false" outlineLevel="0" collapsed="false">
      <c r="A45" s="3" t="s">
        <v>172</v>
      </c>
      <c r="B45" s="3" t="n">
        <v>31</v>
      </c>
      <c r="C45" s="3" t="s">
        <v>173</v>
      </c>
      <c r="D45" s="3" t="n">
        <v>88</v>
      </c>
      <c r="E45" s="3" t="s">
        <v>174</v>
      </c>
      <c r="F45" s="3" t="s">
        <v>175</v>
      </c>
      <c r="G45" s="3" t="s">
        <v>175</v>
      </c>
      <c r="H45" s="3" t="s">
        <v>207</v>
      </c>
    </row>
    <row r="46" customFormat="false" ht="15" hidden="false" customHeight="false" outlineLevel="0" collapsed="false">
      <c r="A46" s="3" t="s">
        <v>172</v>
      </c>
      <c r="B46" s="3" t="n">
        <v>32</v>
      </c>
      <c r="C46" s="3" t="s">
        <v>173</v>
      </c>
      <c r="D46" s="3" t="n">
        <v>96</v>
      </c>
      <c r="E46" s="3" t="s">
        <v>174</v>
      </c>
      <c r="F46" s="3" t="s">
        <v>175</v>
      </c>
      <c r="G46" s="3" t="s">
        <v>175</v>
      </c>
      <c r="H46" s="3" t="s">
        <v>208</v>
      </c>
    </row>
    <row r="47" customFormat="false" ht="15" hidden="false" customHeight="false" outlineLevel="0" collapsed="false">
      <c r="A47" s="3" t="s">
        <v>172</v>
      </c>
      <c r="B47" s="3" t="n">
        <v>32</v>
      </c>
      <c r="C47" s="3" t="s">
        <v>173</v>
      </c>
      <c r="D47" s="3" t="n">
        <v>94</v>
      </c>
      <c r="E47" s="3" t="s">
        <v>180</v>
      </c>
      <c r="F47" s="3" t="s">
        <v>175</v>
      </c>
      <c r="G47" s="3" t="s">
        <v>175</v>
      </c>
      <c r="H47" s="3" t="s">
        <v>208</v>
      </c>
    </row>
    <row r="48" customFormat="false" ht="15" hidden="false" customHeight="false" outlineLevel="0" collapsed="false">
      <c r="A48" s="3" t="s">
        <v>172</v>
      </c>
      <c r="B48" s="3" t="n">
        <v>33</v>
      </c>
      <c r="C48" s="3" t="s">
        <v>173</v>
      </c>
      <c r="D48" s="3" t="n">
        <v>101</v>
      </c>
      <c r="E48" s="3" t="s">
        <v>174</v>
      </c>
      <c r="F48" s="3" t="s">
        <v>175</v>
      </c>
      <c r="G48" s="3" t="s">
        <v>175</v>
      </c>
      <c r="H48" s="3" t="s">
        <v>209</v>
      </c>
    </row>
    <row r="49" customFormat="false" ht="15" hidden="false" customHeight="false" outlineLevel="0" collapsed="false">
      <c r="A49" s="3" t="s">
        <v>172</v>
      </c>
      <c r="B49" s="3" t="n">
        <v>33</v>
      </c>
      <c r="C49" s="3" t="s">
        <v>173</v>
      </c>
      <c r="D49" s="3" t="n">
        <v>94</v>
      </c>
      <c r="E49" s="3" t="s">
        <v>180</v>
      </c>
      <c r="F49" s="3" t="s">
        <v>175</v>
      </c>
      <c r="G49" s="3" t="s">
        <v>175</v>
      </c>
      <c r="H49" s="3" t="s">
        <v>209</v>
      </c>
    </row>
    <row r="50" customFormat="false" ht="15" hidden="false" customHeight="false" outlineLevel="0" collapsed="false">
      <c r="A50" s="3" t="s">
        <v>172</v>
      </c>
      <c r="B50" s="3" t="n">
        <v>34</v>
      </c>
      <c r="C50" s="3" t="s">
        <v>173</v>
      </c>
      <c r="D50" s="3" t="n">
        <v>101</v>
      </c>
      <c r="E50" s="3" t="s">
        <v>174</v>
      </c>
      <c r="F50" s="3" t="s">
        <v>175</v>
      </c>
      <c r="G50" s="3" t="s">
        <v>175</v>
      </c>
      <c r="H50" s="3" t="s">
        <v>210</v>
      </c>
    </row>
    <row r="51" customFormat="false" ht="15" hidden="false" customHeight="false" outlineLevel="0" collapsed="false">
      <c r="A51" s="3" t="s">
        <v>172</v>
      </c>
      <c r="B51" s="3" t="n">
        <v>35</v>
      </c>
      <c r="C51" s="3" t="s">
        <v>173</v>
      </c>
      <c r="D51" s="3" t="n">
        <v>68</v>
      </c>
      <c r="E51" s="3" t="s">
        <v>174</v>
      </c>
      <c r="F51" s="3" t="s">
        <v>175</v>
      </c>
      <c r="G51" s="3" t="s">
        <v>175</v>
      </c>
      <c r="H51" s="3" t="s">
        <v>211</v>
      </c>
    </row>
    <row r="52" customFormat="false" ht="15" hidden="false" customHeight="false" outlineLevel="0" collapsed="false">
      <c r="A52" s="3" t="s">
        <v>172</v>
      </c>
      <c r="B52" s="3" t="n">
        <v>35</v>
      </c>
      <c r="C52" s="3" t="s">
        <v>173</v>
      </c>
      <c r="D52" s="3" t="n">
        <v>69</v>
      </c>
      <c r="E52" s="3" t="s">
        <v>180</v>
      </c>
      <c r="F52" s="3" t="s">
        <v>175</v>
      </c>
      <c r="G52" s="3" t="s">
        <v>175</v>
      </c>
      <c r="H52" s="3" t="s">
        <v>211</v>
      </c>
    </row>
    <row r="53" customFormat="false" ht="15" hidden="false" customHeight="false" outlineLevel="0" collapsed="false">
      <c r="A53" s="3" t="s">
        <v>172</v>
      </c>
      <c r="B53" s="3" t="n">
        <v>36</v>
      </c>
      <c r="C53" s="3" t="s">
        <v>173</v>
      </c>
      <c r="D53" s="3" t="n">
        <v>101</v>
      </c>
      <c r="E53" s="3" t="s">
        <v>174</v>
      </c>
      <c r="F53" s="3" t="s">
        <v>175</v>
      </c>
      <c r="G53" s="3" t="s">
        <v>175</v>
      </c>
      <c r="H53" s="3" t="s">
        <v>212</v>
      </c>
    </row>
    <row r="54" customFormat="false" ht="15" hidden="false" customHeight="false" outlineLevel="0" collapsed="false">
      <c r="A54" s="3" t="s">
        <v>172</v>
      </c>
      <c r="B54" s="3" t="n">
        <v>37</v>
      </c>
      <c r="C54" s="3" t="s">
        <v>173</v>
      </c>
      <c r="D54" s="3" t="n">
        <v>88</v>
      </c>
      <c r="E54" s="3" t="s">
        <v>174</v>
      </c>
      <c r="F54" s="3" t="s">
        <v>175</v>
      </c>
      <c r="G54" s="3" t="s">
        <v>175</v>
      </c>
      <c r="H54" s="3" t="s">
        <v>213</v>
      </c>
    </row>
    <row r="55" customFormat="false" ht="15" hidden="false" customHeight="false" outlineLevel="0" collapsed="false">
      <c r="A55" s="3" t="s">
        <v>172</v>
      </c>
      <c r="B55" s="3" t="n">
        <v>38</v>
      </c>
      <c r="C55" s="3" t="s">
        <v>173</v>
      </c>
      <c r="D55" s="3" t="n">
        <v>116</v>
      </c>
      <c r="E55" s="3" t="s">
        <v>174</v>
      </c>
      <c r="F55" s="3" t="s">
        <v>175</v>
      </c>
      <c r="G55" s="3" t="s">
        <v>175</v>
      </c>
      <c r="H55" s="3" t="s">
        <v>214</v>
      </c>
    </row>
    <row r="56" customFormat="false" ht="15" hidden="false" customHeight="false" outlineLevel="0" collapsed="false">
      <c r="A56" s="3" t="s">
        <v>172</v>
      </c>
      <c r="B56" s="3" t="n">
        <v>39</v>
      </c>
      <c r="C56" s="3" t="s">
        <v>173</v>
      </c>
      <c r="D56" s="3" t="n">
        <v>115</v>
      </c>
      <c r="E56" s="3" t="s">
        <v>174</v>
      </c>
      <c r="F56" s="3" t="s">
        <v>175</v>
      </c>
      <c r="G56" s="3" t="s">
        <v>175</v>
      </c>
      <c r="H56" s="3" t="s">
        <v>215</v>
      </c>
    </row>
    <row r="57" customFormat="false" ht="15" hidden="false" customHeight="false" outlineLevel="0" collapsed="false">
      <c r="A57" s="3" t="s">
        <v>216</v>
      </c>
      <c r="B57" s="3" t="n">
        <v>1</v>
      </c>
      <c r="C57" s="3" t="s">
        <v>173</v>
      </c>
      <c r="D57" s="3" t="n">
        <v>76</v>
      </c>
      <c r="E57" s="3" t="s">
        <v>174</v>
      </c>
      <c r="F57" s="3" t="s">
        <v>175</v>
      </c>
      <c r="G57" s="3" t="s">
        <v>175</v>
      </c>
      <c r="H57" s="3" t="s">
        <v>217</v>
      </c>
    </row>
    <row r="58" customFormat="false" ht="15" hidden="false" customHeight="false" outlineLevel="0" collapsed="false">
      <c r="A58" s="3" t="s">
        <v>216</v>
      </c>
      <c r="B58" s="3" t="n">
        <v>1</v>
      </c>
      <c r="C58" s="3" t="s">
        <v>173</v>
      </c>
      <c r="D58" s="3" t="n">
        <v>32</v>
      </c>
      <c r="E58" s="3" t="s">
        <v>180</v>
      </c>
      <c r="F58" s="3" t="s">
        <v>175</v>
      </c>
      <c r="G58" s="3" t="s">
        <v>175</v>
      </c>
      <c r="H58" s="3" t="s">
        <v>217</v>
      </c>
    </row>
    <row r="59" customFormat="false" ht="15" hidden="false" customHeight="false" outlineLevel="0" collapsed="false">
      <c r="A59" s="3" t="s">
        <v>216</v>
      </c>
      <c r="B59" s="3" t="n">
        <v>2</v>
      </c>
      <c r="C59" s="3" t="s">
        <v>173</v>
      </c>
      <c r="D59" s="3" t="n">
        <v>88</v>
      </c>
      <c r="E59" s="3" t="s">
        <v>174</v>
      </c>
      <c r="F59" s="3" t="s">
        <v>175</v>
      </c>
      <c r="G59" s="3" t="s">
        <v>175</v>
      </c>
      <c r="H59" s="3" t="s">
        <v>218</v>
      </c>
    </row>
    <row r="60" customFormat="false" ht="15" hidden="false" customHeight="false" outlineLevel="0" collapsed="false">
      <c r="A60" s="3" t="s">
        <v>216</v>
      </c>
      <c r="B60" s="3" t="n">
        <v>2</v>
      </c>
      <c r="C60" s="3" t="s">
        <v>173</v>
      </c>
      <c r="D60" s="3" t="n">
        <v>17</v>
      </c>
      <c r="E60" s="3" t="s">
        <v>180</v>
      </c>
      <c r="F60" s="3" t="s">
        <v>175</v>
      </c>
      <c r="G60" s="3" t="s">
        <v>175</v>
      </c>
      <c r="H60" s="3" t="s">
        <v>218</v>
      </c>
    </row>
    <row r="61" customFormat="false" ht="15" hidden="false" customHeight="false" outlineLevel="0" collapsed="false">
      <c r="A61" s="3" t="s">
        <v>216</v>
      </c>
      <c r="B61" s="3" t="n">
        <v>3</v>
      </c>
      <c r="C61" s="3" t="s">
        <v>173</v>
      </c>
      <c r="D61" s="3" t="n">
        <v>15</v>
      </c>
      <c r="E61" s="3" t="s">
        <v>174</v>
      </c>
      <c r="F61" s="3" t="s">
        <v>175</v>
      </c>
      <c r="G61" s="3" t="s">
        <v>175</v>
      </c>
      <c r="H61" s="3" t="s">
        <v>219</v>
      </c>
    </row>
    <row r="62" customFormat="false" ht="15" hidden="false" customHeight="false" outlineLevel="0" collapsed="false">
      <c r="A62" s="3" t="s">
        <v>216</v>
      </c>
      <c r="B62" s="3" t="n">
        <v>4</v>
      </c>
      <c r="C62" s="3" t="s">
        <v>173</v>
      </c>
      <c r="D62" s="3" t="n">
        <v>2</v>
      </c>
      <c r="E62" s="3" t="s">
        <v>174</v>
      </c>
      <c r="F62" s="3" t="s">
        <v>175</v>
      </c>
      <c r="G62" s="3" t="s">
        <v>175</v>
      </c>
      <c r="H62" s="3" t="s">
        <v>220</v>
      </c>
    </row>
    <row r="63" customFormat="false" ht="15" hidden="false" customHeight="false" outlineLevel="0" collapsed="false">
      <c r="A63" s="3" t="s">
        <v>216</v>
      </c>
      <c r="B63" s="3" t="n">
        <v>4</v>
      </c>
      <c r="C63" s="3" t="s">
        <v>173</v>
      </c>
      <c r="D63" s="3" t="n">
        <v>13</v>
      </c>
      <c r="E63" s="3" t="s">
        <v>180</v>
      </c>
      <c r="F63" s="3" t="s">
        <v>175</v>
      </c>
      <c r="G63" s="3" t="s">
        <v>175</v>
      </c>
      <c r="H63" s="3" t="s">
        <v>220</v>
      </c>
    </row>
    <row r="64" customFormat="false" ht="15" hidden="false" customHeight="false" outlineLevel="0" collapsed="false">
      <c r="A64" s="3" t="s">
        <v>216</v>
      </c>
      <c r="B64" s="3" t="n">
        <v>5</v>
      </c>
      <c r="C64" s="3" t="s">
        <v>173</v>
      </c>
      <c r="D64" s="3" t="n">
        <v>24</v>
      </c>
      <c r="E64" s="3" t="s">
        <v>174</v>
      </c>
      <c r="F64" s="3" t="s">
        <v>175</v>
      </c>
      <c r="G64" s="3" t="s">
        <v>175</v>
      </c>
      <c r="H64" s="3" t="s">
        <v>221</v>
      </c>
    </row>
    <row r="65" customFormat="false" ht="15" hidden="false" customHeight="false" outlineLevel="0" collapsed="false">
      <c r="A65" s="3" t="s">
        <v>216</v>
      </c>
      <c r="B65" s="3" t="n">
        <v>6</v>
      </c>
      <c r="C65" s="3" t="s">
        <v>173</v>
      </c>
      <c r="D65" s="3" t="n">
        <v>16</v>
      </c>
      <c r="E65" s="3" t="s">
        <v>174</v>
      </c>
      <c r="F65" s="3" t="s">
        <v>175</v>
      </c>
      <c r="G65" s="3" t="s">
        <v>175</v>
      </c>
      <c r="H65" s="3" t="s">
        <v>222</v>
      </c>
    </row>
    <row r="66" customFormat="false" ht="15" hidden="false" customHeight="false" outlineLevel="0" collapsed="false">
      <c r="A66" s="3" t="s">
        <v>216</v>
      </c>
      <c r="B66" s="3" t="n">
        <v>7</v>
      </c>
      <c r="C66" s="3" t="s">
        <v>173</v>
      </c>
      <c r="D66" s="3" t="n">
        <v>16</v>
      </c>
      <c r="E66" s="3" t="s">
        <v>174</v>
      </c>
      <c r="F66" s="3" t="s">
        <v>175</v>
      </c>
      <c r="G66" s="3" t="s">
        <v>175</v>
      </c>
      <c r="H66" s="3" t="s">
        <v>223</v>
      </c>
    </row>
    <row r="67" customFormat="false" ht="15" hidden="false" customHeight="false" outlineLevel="0" collapsed="false">
      <c r="A67" s="3" t="s">
        <v>216</v>
      </c>
      <c r="B67" s="3" t="n">
        <v>8</v>
      </c>
      <c r="C67" s="3" t="s">
        <v>173</v>
      </c>
      <c r="D67" s="3" t="n">
        <v>16</v>
      </c>
      <c r="E67" s="3" t="s">
        <v>174</v>
      </c>
      <c r="F67" s="3" t="s">
        <v>175</v>
      </c>
      <c r="G67" s="3" t="s">
        <v>175</v>
      </c>
      <c r="H67" s="3" t="s">
        <v>224</v>
      </c>
    </row>
    <row r="68" customFormat="false" ht="15" hidden="false" customHeight="false" outlineLevel="0" collapsed="false">
      <c r="A68" s="3" t="s">
        <v>216</v>
      </c>
      <c r="B68" s="3" t="n">
        <v>8</v>
      </c>
      <c r="C68" s="3" t="s">
        <v>173</v>
      </c>
      <c r="D68" s="3" t="n">
        <v>32</v>
      </c>
      <c r="E68" s="3" t="s">
        <v>180</v>
      </c>
      <c r="F68" s="3" t="s">
        <v>175</v>
      </c>
      <c r="G68" s="3" t="s">
        <v>175</v>
      </c>
      <c r="H68" s="3" t="s">
        <v>224</v>
      </c>
    </row>
    <row r="69" customFormat="false" ht="15" hidden="false" customHeight="false" outlineLevel="0" collapsed="false">
      <c r="A69" s="3" t="s">
        <v>216</v>
      </c>
      <c r="B69" s="3" t="n">
        <v>9</v>
      </c>
      <c r="C69" s="3" t="s">
        <v>173</v>
      </c>
      <c r="D69" s="3" t="n">
        <v>26</v>
      </c>
      <c r="E69" s="3" t="s">
        <v>174</v>
      </c>
      <c r="F69" s="3" t="s">
        <v>175</v>
      </c>
      <c r="G69" s="3" t="s">
        <v>175</v>
      </c>
      <c r="H69" s="3" t="s">
        <v>225</v>
      </c>
    </row>
    <row r="70" customFormat="false" ht="15" hidden="false" customHeight="false" outlineLevel="0" collapsed="false">
      <c r="A70" s="3" t="s">
        <v>216</v>
      </c>
      <c r="B70" s="3" t="n">
        <v>10</v>
      </c>
      <c r="C70" s="3" t="s">
        <v>173</v>
      </c>
      <c r="D70" s="3" t="n">
        <v>26</v>
      </c>
      <c r="E70" s="3" t="s">
        <v>174</v>
      </c>
      <c r="F70" s="3" t="s">
        <v>175</v>
      </c>
      <c r="G70" s="3" t="s">
        <v>175</v>
      </c>
      <c r="H70" s="3" t="s">
        <v>226</v>
      </c>
    </row>
    <row r="71" customFormat="false" ht="15" hidden="false" customHeight="false" outlineLevel="0" collapsed="false">
      <c r="A71" s="3" t="s">
        <v>216</v>
      </c>
      <c r="B71" s="3" t="n">
        <v>11</v>
      </c>
      <c r="C71" s="3" t="s">
        <v>173</v>
      </c>
      <c r="D71" s="3" t="n">
        <v>29</v>
      </c>
      <c r="E71" s="3" t="s">
        <v>174</v>
      </c>
      <c r="F71" s="3" t="s">
        <v>175</v>
      </c>
      <c r="G71" s="3" t="s">
        <v>175</v>
      </c>
      <c r="H71" s="3" t="s">
        <v>227</v>
      </c>
    </row>
    <row r="72" customFormat="false" ht="15" hidden="false" customHeight="false" outlineLevel="0" collapsed="false">
      <c r="A72" s="3" t="s">
        <v>216</v>
      </c>
      <c r="B72" s="3" t="n">
        <v>12</v>
      </c>
      <c r="C72" s="3" t="s">
        <v>173</v>
      </c>
      <c r="D72" s="3" t="n">
        <v>30</v>
      </c>
      <c r="E72" s="3" t="s">
        <v>174</v>
      </c>
      <c r="F72" s="3" t="s">
        <v>175</v>
      </c>
      <c r="G72" s="3" t="s">
        <v>175</v>
      </c>
      <c r="H72" s="3" t="s">
        <v>228</v>
      </c>
    </row>
    <row r="73" customFormat="false" ht="15" hidden="false" customHeight="false" outlineLevel="0" collapsed="false">
      <c r="A73" s="3" t="s">
        <v>216</v>
      </c>
      <c r="B73" s="3" t="n">
        <v>13</v>
      </c>
      <c r="C73" s="3" t="s">
        <v>173</v>
      </c>
      <c r="D73" s="3" t="n">
        <v>28</v>
      </c>
      <c r="E73" s="3" t="s">
        <v>174</v>
      </c>
      <c r="F73" s="3" t="s">
        <v>175</v>
      </c>
      <c r="G73" s="3" t="s">
        <v>175</v>
      </c>
      <c r="H73" s="3" t="s">
        <v>229</v>
      </c>
    </row>
    <row r="74" customFormat="false" ht="15" hidden="false" customHeight="false" outlineLevel="0" collapsed="false">
      <c r="A74" s="3" t="s">
        <v>216</v>
      </c>
      <c r="B74" s="3" t="n">
        <v>14</v>
      </c>
      <c r="C74" s="3" t="s">
        <v>173</v>
      </c>
      <c r="D74" s="3" t="n">
        <v>10</v>
      </c>
      <c r="E74" s="3" t="s">
        <v>174</v>
      </c>
      <c r="F74" s="3" t="s">
        <v>175</v>
      </c>
      <c r="G74" s="3" t="s">
        <v>175</v>
      </c>
      <c r="H74" s="3" t="s">
        <v>230</v>
      </c>
    </row>
    <row r="75" customFormat="false" ht="15" hidden="false" customHeight="false" outlineLevel="0" collapsed="false">
      <c r="A75" s="3" t="s">
        <v>216</v>
      </c>
      <c r="B75" s="3" t="n">
        <v>14</v>
      </c>
      <c r="C75" s="3" t="s">
        <v>173</v>
      </c>
      <c r="D75" s="3" t="n">
        <v>38</v>
      </c>
      <c r="E75" s="3" t="s">
        <v>180</v>
      </c>
      <c r="F75" s="3" t="s">
        <v>175</v>
      </c>
      <c r="G75" s="3" t="s">
        <v>175</v>
      </c>
      <c r="H75" s="3" t="s">
        <v>230</v>
      </c>
    </row>
    <row r="76" customFormat="false" ht="15" hidden="false" customHeight="false" outlineLevel="0" collapsed="false">
      <c r="A76" s="3" t="s">
        <v>216</v>
      </c>
      <c r="B76" s="3" t="n">
        <v>15</v>
      </c>
      <c r="C76" s="3" t="s">
        <v>173</v>
      </c>
      <c r="D76" s="3" t="n">
        <v>32</v>
      </c>
      <c r="E76" s="3" t="s">
        <v>174</v>
      </c>
      <c r="F76" s="3" t="s">
        <v>175</v>
      </c>
      <c r="G76" s="3" t="s">
        <v>175</v>
      </c>
      <c r="H76" s="3" t="s">
        <v>231</v>
      </c>
    </row>
    <row r="77" customFormat="false" ht="15" hidden="false" customHeight="false" outlineLevel="0" collapsed="false">
      <c r="A77" s="3" t="s">
        <v>216</v>
      </c>
      <c r="B77" s="3" t="n">
        <v>15</v>
      </c>
      <c r="C77" s="3" t="s">
        <v>173</v>
      </c>
      <c r="D77" s="3" t="n">
        <v>4</v>
      </c>
      <c r="E77" s="3" t="s">
        <v>180</v>
      </c>
      <c r="F77" s="3" t="s">
        <v>175</v>
      </c>
      <c r="G77" s="3" t="s">
        <v>175</v>
      </c>
      <c r="H77" s="3" t="s">
        <v>231</v>
      </c>
    </row>
    <row r="78" customFormat="false" ht="15" hidden="false" customHeight="false" outlineLevel="0" collapsed="false">
      <c r="A78" s="3" t="s">
        <v>216</v>
      </c>
      <c r="B78" s="3" t="n">
        <v>16</v>
      </c>
      <c r="C78" s="3" t="s">
        <v>173</v>
      </c>
      <c r="D78" s="3" t="n">
        <v>39</v>
      </c>
      <c r="E78" s="3" t="s">
        <v>174</v>
      </c>
      <c r="F78" s="3" t="s">
        <v>175</v>
      </c>
      <c r="G78" s="3" t="s">
        <v>175</v>
      </c>
      <c r="H78" s="3" t="s">
        <v>232</v>
      </c>
    </row>
    <row r="79" customFormat="false" ht="15" hidden="false" customHeight="false" outlineLevel="0" collapsed="false">
      <c r="A79" s="3" t="s">
        <v>216</v>
      </c>
      <c r="B79" s="3" t="n">
        <v>17</v>
      </c>
      <c r="C79" s="3" t="s">
        <v>173</v>
      </c>
      <c r="D79" s="3" t="n">
        <v>39</v>
      </c>
      <c r="E79" s="3" t="s">
        <v>174</v>
      </c>
      <c r="F79" s="3" t="s">
        <v>175</v>
      </c>
      <c r="G79" s="3" t="s">
        <v>175</v>
      </c>
      <c r="H79" s="3" t="s">
        <v>233</v>
      </c>
    </row>
    <row r="80" customFormat="false" ht="15" hidden="false" customHeight="false" outlineLevel="0" collapsed="false">
      <c r="A80" s="3" t="s">
        <v>216</v>
      </c>
      <c r="B80" s="3" t="n">
        <v>18</v>
      </c>
      <c r="C80" s="3" t="s">
        <v>173</v>
      </c>
      <c r="D80" s="3" t="n">
        <v>33</v>
      </c>
      <c r="E80" s="3" t="s">
        <v>174</v>
      </c>
      <c r="F80" s="3" t="s">
        <v>175</v>
      </c>
      <c r="G80" s="3" t="s">
        <v>175</v>
      </c>
      <c r="H80" s="3" t="s">
        <v>234</v>
      </c>
    </row>
    <row r="81" customFormat="false" ht="15" hidden="false" customHeight="false" outlineLevel="0" collapsed="false">
      <c r="A81" s="3" t="s">
        <v>216</v>
      </c>
      <c r="B81" s="3" t="n">
        <v>18</v>
      </c>
      <c r="C81" s="3" t="s">
        <v>173</v>
      </c>
      <c r="D81" s="3" t="n">
        <v>31</v>
      </c>
      <c r="E81" s="3" t="s">
        <v>180</v>
      </c>
      <c r="F81" s="3" t="s">
        <v>175</v>
      </c>
      <c r="G81" s="3" t="s">
        <v>175</v>
      </c>
      <c r="H81" s="3" t="s">
        <v>234</v>
      </c>
    </row>
    <row r="82" customFormat="false" ht="15" hidden="false" customHeight="false" outlineLevel="0" collapsed="false">
      <c r="A82" s="3" t="s">
        <v>216</v>
      </c>
      <c r="B82" s="3" t="n">
        <v>19</v>
      </c>
      <c r="C82" s="3" t="s">
        <v>173</v>
      </c>
      <c r="D82" s="3" t="n">
        <v>32</v>
      </c>
      <c r="E82" s="3" t="s">
        <v>174</v>
      </c>
      <c r="F82" s="3" t="s">
        <v>175</v>
      </c>
      <c r="G82" s="3" t="s">
        <v>175</v>
      </c>
      <c r="H82" s="3" t="s">
        <v>235</v>
      </c>
    </row>
    <row r="83" customFormat="false" ht="15" hidden="false" customHeight="false" outlineLevel="0" collapsed="false">
      <c r="A83" s="3" t="s">
        <v>216</v>
      </c>
      <c r="B83" s="3" t="n">
        <v>20</v>
      </c>
      <c r="C83" s="3" t="s">
        <v>173</v>
      </c>
      <c r="D83" s="3" t="n">
        <v>40</v>
      </c>
      <c r="E83" s="3" t="s">
        <v>174</v>
      </c>
      <c r="F83" s="3" t="s">
        <v>175</v>
      </c>
      <c r="G83" s="3" t="s">
        <v>175</v>
      </c>
      <c r="H83" s="3" t="s">
        <v>236</v>
      </c>
    </row>
    <row r="84" customFormat="false" ht="15" hidden="false" customHeight="false" outlineLevel="0" collapsed="false">
      <c r="A84" s="3" t="s">
        <v>216</v>
      </c>
      <c r="B84" s="3" t="n">
        <v>20</v>
      </c>
      <c r="C84" s="3" t="s">
        <v>173</v>
      </c>
      <c r="D84" s="3" t="n">
        <v>46</v>
      </c>
      <c r="E84" s="3" t="s">
        <v>180</v>
      </c>
      <c r="F84" s="3" t="s">
        <v>175</v>
      </c>
      <c r="G84" s="3" t="s">
        <v>175</v>
      </c>
      <c r="H84" s="3" t="s">
        <v>236</v>
      </c>
    </row>
    <row r="85" customFormat="false" ht="15" hidden="false" customHeight="false" outlineLevel="0" collapsed="false">
      <c r="A85" s="3" t="s">
        <v>216</v>
      </c>
      <c r="B85" s="3" t="n">
        <v>20</v>
      </c>
      <c r="C85" s="3" t="s">
        <v>173</v>
      </c>
      <c r="D85" s="3" t="n">
        <v>51</v>
      </c>
      <c r="E85" s="3" t="s">
        <v>180</v>
      </c>
      <c r="F85" s="3" t="s">
        <v>175</v>
      </c>
      <c r="G85" s="3" t="s">
        <v>175</v>
      </c>
      <c r="H85" s="3" t="s">
        <v>236</v>
      </c>
    </row>
    <row r="86" customFormat="false" ht="15" hidden="false" customHeight="false" outlineLevel="0" collapsed="false">
      <c r="A86" s="3" t="s">
        <v>216</v>
      </c>
      <c r="B86" s="3" t="n">
        <v>21</v>
      </c>
      <c r="C86" s="3" t="s">
        <v>173</v>
      </c>
      <c r="D86" s="3" t="n">
        <v>52</v>
      </c>
      <c r="E86" s="3" t="s">
        <v>174</v>
      </c>
      <c r="F86" s="3" t="s">
        <v>175</v>
      </c>
      <c r="G86" s="3" t="s">
        <v>175</v>
      </c>
      <c r="H86" s="3" t="s">
        <v>237</v>
      </c>
    </row>
    <row r="87" customFormat="false" ht="15" hidden="false" customHeight="false" outlineLevel="0" collapsed="false">
      <c r="A87" s="3" t="s">
        <v>216</v>
      </c>
      <c r="B87" s="3" t="n">
        <v>22</v>
      </c>
      <c r="C87" s="3" t="s">
        <v>173</v>
      </c>
      <c r="D87" s="3" t="n">
        <v>1</v>
      </c>
      <c r="E87" s="3" t="s">
        <v>174</v>
      </c>
      <c r="F87" s="3" t="s">
        <v>175</v>
      </c>
      <c r="G87" s="3" t="s">
        <v>175</v>
      </c>
      <c r="H87" s="3" t="s">
        <v>238</v>
      </c>
    </row>
    <row r="88" customFormat="false" ht="15" hidden="false" customHeight="false" outlineLevel="0" collapsed="false">
      <c r="A88" s="3" t="s">
        <v>216</v>
      </c>
      <c r="B88" s="3" t="n">
        <v>22</v>
      </c>
      <c r="C88" s="3" t="s">
        <v>173</v>
      </c>
      <c r="D88" s="3" t="n">
        <v>16</v>
      </c>
      <c r="E88" s="3" t="s">
        <v>180</v>
      </c>
      <c r="F88" s="3" t="s">
        <v>175</v>
      </c>
      <c r="G88" s="3" t="s">
        <v>175</v>
      </c>
      <c r="H88" s="3" t="s">
        <v>238</v>
      </c>
    </row>
    <row r="89" customFormat="false" ht="15" hidden="false" customHeight="false" outlineLevel="0" collapsed="false">
      <c r="A89" s="3" t="s">
        <v>216</v>
      </c>
      <c r="B89" s="3" t="n">
        <v>22</v>
      </c>
      <c r="C89" s="3" t="s">
        <v>173</v>
      </c>
      <c r="D89" s="3" t="n">
        <v>32</v>
      </c>
      <c r="E89" s="3" t="s">
        <v>180</v>
      </c>
      <c r="F89" s="3" t="s">
        <v>175</v>
      </c>
      <c r="G89" s="3" t="s">
        <v>175</v>
      </c>
      <c r="H89" s="3" t="s">
        <v>238</v>
      </c>
    </row>
    <row r="90" customFormat="false" ht="15" hidden="false" customHeight="false" outlineLevel="0" collapsed="false">
      <c r="A90" s="3" t="s">
        <v>216</v>
      </c>
      <c r="B90" s="3" t="n">
        <v>23</v>
      </c>
      <c r="C90" s="3" t="s">
        <v>173</v>
      </c>
      <c r="D90" s="3" t="n">
        <v>58</v>
      </c>
      <c r="E90" s="3" t="s">
        <v>174</v>
      </c>
      <c r="F90" s="3" t="s">
        <v>175</v>
      </c>
      <c r="G90" s="3" t="s">
        <v>175</v>
      </c>
      <c r="H90" s="3" t="s">
        <v>239</v>
      </c>
    </row>
    <row r="91" customFormat="false" ht="15" hidden="false" customHeight="false" outlineLevel="0" collapsed="false">
      <c r="A91" s="3" t="s">
        <v>216</v>
      </c>
      <c r="B91" s="3" t="n">
        <v>24</v>
      </c>
      <c r="C91" s="3" t="s">
        <v>173</v>
      </c>
      <c r="D91" s="3" t="n">
        <v>58</v>
      </c>
      <c r="E91" s="3" t="s">
        <v>174</v>
      </c>
      <c r="F91" s="3" t="s">
        <v>175</v>
      </c>
      <c r="G91" s="3" t="s">
        <v>175</v>
      </c>
      <c r="H91" s="3" t="s">
        <v>240</v>
      </c>
    </row>
    <row r="92" customFormat="false" ht="15" hidden="false" customHeight="false" outlineLevel="0" collapsed="false">
      <c r="A92" s="3" t="s">
        <v>216</v>
      </c>
      <c r="B92" s="3" t="n">
        <v>25</v>
      </c>
      <c r="C92" s="3" t="s">
        <v>173</v>
      </c>
      <c r="D92" s="3" t="n">
        <v>10</v>
      </c>
      <c r="E92" s="3" t="s">
        <v>174</v>
      </c>
      <c r="F92" s="3" t="s">
        <v>175</v>
      </c>
      <c r="G92" s="3" t="s">
        <v>175</v>
      </c>
      <c r="H92" s="3" t="s">
        <v>241</v>
      </c>
    </row>
    <row r="93" customFormat="false" ht="15" hidden="false" customHeight="false" outlineLevel="0" collapsed="false">
      <c r="A93" s="3" t="s">
        <v>216</v>
      </c>
      <c r="B93" s="3" t="n">
        <v>25</v>
      </c>
      <c r="C93" s="3" t="s">
        <v>173</v>
      </c>
      <c r="D93" s="3" t="n">
        <v>65</v>
      </c>
      <c r="E93" s="3" t="s">
        <v>180</v>
      </c>
      <c r="F93" s="3" t="s">
        <v>175</v>
      </c>
      <c r="G93" s="3" t="s">
        <v>175</v>
      </c>
      <c r="H93" s="3" t="s">
        <v>241</v>
      </c>
    </row>
    <row r="94" customFormat="false" ht="15" hidden="false" customHeight="false" outlineLevel="0" collapsed="false">
      <c r="A94" s="3" t="s">
        <v>216</v>
      </c>
      <c r="B94" s="3" t="n">
        <v>26</v>
      </c>
      <c r="C94" s="3" t="s">
        <v>173</v>
      </c>
      <c r="D94" s="3" t="n">
        <v>50</v>
      </c>
      <c r="E94" s="3" t="s">
        <v>174</v>
      </c>
      <c r="F94" s="3" t="s">
        <v>175</v>
      </c>
      <c r="G94" s="3" t="s">
        <v>175</v>
      </c>
      <c r="H94" s="3" t="s">
        <v>242</v>
      </c>
    </row>
    <row r="95" customFormat="false" ht="15" hidden="false" customHeight="false" outlineLevel="0" collapsed="false">
      <c r="A95" s="3" t="s">
        <v>216</v>
      </c>
      <c r="B95" s="3" t="n">
        <v>26</v>
      </c>
      <c r="C95" s="3" t="s">
        <v>173</v>
      </c>
      <c r="D95" s="3" t="n">
        <v>64</v>
      </c>
      <c r="E95" s="3" t="s">
        <v>180</v>
      </c>
      <c r="F95" s="3" t="s">
        <v>175</v>
      </c>
      <c r="G95" s="3" t="s">
        <v>175</v>
      </c>
      <c r="H95" s="3" t="s">
        <v>242</v>
      </c>
    </row>
    <row r="96" customFormat="false" ht="15" hidden="false" customHeight="false" outlineLevel="0" collapsed="false">
      <c r="A96" s="3" t="s">
        <v>216</v>
      </c>
      <c r="B96" s="3" t="n">
        <v>27</v>
      </c>
      <c r="C96" s="3" t="s">
        <v>173</v>
      </c>
      <c r="D96" s="3" t="n">
        <v>65</v>
      </c>
      <c r="E96" s="3" t="s">
        <v>174</v>
      </c>
      <c r="F96" s="3" t="s">
        <v>175</v>
      </c>
      <c r="G96" s="3" t="s">
        <v>175</v>
      </c>
      <c r="H96" s="3" t="s">
        <v>243</v>
      </c>
    </row>
    <row r="97" customFormat="false" ht="15" hidden="false" customHeight="false" outlineLevel="0" collapsed="false">
      <c r="A97" s="3" t="s">
        <v>216</v>
      </c>
      <c r="B97" s="3" t="n">
        <v>28</v>
      </c>
      <c r="C97" s="3" t="s">
        <v>173</v>
      </c>
      <c r="D97" s="3" t="n">
        <v>122</v>
      </c>
      <c r="E97" s="3" t="s">
        <v>174</v>
      </c>
      <c r="F97" s="3" t="s">
        <v>175</v>
      </c>
      <c r="G97" s="3" t="s">
        <v>175</v>
      </c>
      <c r="H97" s="3" t="s">
        <v>244</v>
      </c>
    </row>
    <row r="98" customFormat="false" ht="15" hidden="false" customHeight="false" outlineLevel="0" collapsed="false">
      <c r="A98" s="3" t="s">
        <v>216</v>
      </c>
      <c r="B98" s="3" t="n">
        <v>29</v>
      </c>
      <c r="C98" s="3" t="s">
        <v>173</v>
      </c>
      <c r="D98" s="3" t="n">
        <v>73</v>
      </c>
      <c r="E98" s="3" t="s">
        <v>174</v>
      </c>
      <c r="F98" s="3" t="s">
        <v>175</v>
      </c>
      <c r="G98" s="3" t="s">
        <v>175</v>
      </c>
      <c r="H98" s="3" t="s">
        <v>245</v>
      </c>
    </row>
    <row r="99" customFormat="false" ht="15" hidden="false" customHeight="false" outlineLevel="0" collapsed="false">
      <c r="A99" s="3" t="s">
        <v>216</v>
      </c>
      <c r="B99" s="3" t="n">
        <v>30</v>
      </c>
      <c r="C99" s="3" t="s">
        <v>173</v>
      </c>
      <c r="D99" s="3" t="n">
        <v>74</v>
      </c>
      <c r="E99" s="3" t="s">
        <v>174</v>
      </c>
      <c r="F99" s="3" t="s">
        <v>175</v>
      </c>
      <c r="G99" s="3" t="s">
        <v>175</v>
      </c>
      <c r="H99" s="3" t="s">
        <v>246</v>
      </c>
    </row>
    <row r="100" customFormat="false" ht="15" hidden="false" customHeight="false" outlineLevel="0" collapsed="false">
      <c r="A100" s="3" t="s">
        <v>216</v>
      </c>
      <c r="B100" s="3" t="n">
        <v>31</v>
      </c>
      <c r="C100" s="3" t="s">
        <v>173</v>
      </c>
      <c r="D100" s="3" t="n">
        <v>90</v>
      </c>
      <c r="E100" s="3" t="s">
        <v>174</v>
      </c>
      <c r="F100" s="3" t="s">
        <v>175</v>
      </c>
      <c r="G100" s="3" t="s">
        <v>175</v>
      </c>
      <c r="H100" s="3" t="s">
        <v>247</v>
      </c>
    </row>
    <row r="101" customFormat="false" ht="15" hidden="false" customHeight="false" outlineLevel="0" collapsed="false">
      <c r="A101" s="3" t="s">
        <v>216</v>
      </c>
      <c r="B101" s="3" t="n">
        <v>31</v>
      </c>
      <c r="C101" s="3" t="s">
        <v>173</v>
      </c>
      <c r="D101" s="3" t="n">
        <v>74</v>
      </c>
      <c r="E101" s="3" t="s">
        <v>180</v>
      </c>
      <c r="F101" s="3" t="s">
        <v>175</v>
      </c>
      <c r="G101" s="3" t="s">
        <v>175</v>
      </c>
      <c r="H101" s="3" t="s">
        <v>247</v>
      </c>
    </row>
    <row r="102" customFormat="false" ht="15" hidden="false" customHeight="false" outlineLevel="0" collapsed="false">
      <c r="A102" s="3" t="s">
        <v>216</v>
      </c>
      <c r="B102" s="3" t="n">
        <v>32</v>
      </c>
      <c r="C102" s="3" t="s">
        <v>173</v>
      </c>
      <c r="D102" s="3" t="n">
        <v>68</v>
      </c>
      <c r="E102" s="3" t="s">
        <v>174</v>
      </c>
      <c r="F102" s="3" t="s">
        <v>175</v>
      </c>
      <c r="G102" s="3" t="s">
        <v>175</v>
      </c>
      <c r="H102" s="3" t="s">
        <v>248</v>
      </c>
    </row>
    <row r="103" customFormat="false" ht="15" hidden="false" customHeight="false" outlineLevel="0" collapsed="false">
      <c r="A103" s="3" t="s">
        <v>216</v>
      </c>
      <c r="B103" s="3" t="n">
        <v>33</v>
      </c>
      <c r="C103" s="3" t="s">
        <v>173</v>
      </c>
      <c r="D103" s="3" t="n">
        <v>72</v>
      </c>
      <c r="E103" s="3" t="s">
        <v>174</v>
      </c>
      <c r="F103" s="3" t="s">
        <v>175</v>
      </c>
      <c r="G103" s="3" t="s">
        <v>175</v>
      </c>
      <c r="H103" s="3" t="s">
        <v>249</v>
      </c>
    </row>
    <row r="104" customFormat="false" ht="15" hidden="false" customHeight="false" outlineLevel="0" collapsed="false">
      <c r="A104" s="3" t="s">
        <v>216</v>
      </c>
      <c r="B104" s="3" t="n">
        <v>33</v>
      </c>
      <c r="C104" s="3" t="s">
        <v>173</v>
      </c>
      <c r="D104" s="3" t="n">
        <v>10</v>
      </c>
      <c r="E104" s="3" t="s">
        <v>180</v>
      </c>
      <c r="F104" s="3" t="s">
        <v>175</v>
      </c>
      <c r="G104" s="3" t="s">
        <v>175</v>
      </c>
      <c r="H104" s="3" t="s">
        <v>249</v>
      </c>
    </row>
    <row r="105" customFormat="false" ht="15" hidden="false" customHeight="false" outlineLevel="0" collapsed="false">
      <c r="A105" s="3" t="s">
        <v>216</v>
      </c>
      <c r="B105" s="3" t="n">
        <v>34</v>
      </c>
      <c r="C105" s="3" t="s">
        <v>173</v>
      </c>
      <c r="D105" s="3" t="n">
        <v>83</v>
      </c>
      <c r="E105" s="3" t="s">
        <v>174</v>
      </c>
      <c r="F105" s="3" t="s">
        <v>175</v>
      </c>
      <c r="G105" s="3" t="s">
        <v>175</v>
      </c>
      <c r="H105" s="3" t="s">
        <v>250</v>
      </c>
    </row>
    <row r="106" customFormat="false" ht="15" hidden="false" customHeight="false" outlineLevel="0" collapsed="false">
      <c r="A106" s="3" t="s">
        <v>216</v>
      </c>
      <c r="B106" s="3" t="n">
        <v>34</v>
      </c>
      <c r="C106" s="3" t="s">
        <v>173</v>
      </c>
      <c r="D106" s="3" t="n">
        <v>98</v>
      </c>
      <c r="E106" s="3" t="s">
        <v>180</v>
      </c>
      <c r="F106" s="3" t="s">
        <v>175</v>
      </c>
      <c r="G106" s="3" t="s">
        <v>175</v>
      </c>
      <c r="H106" s="3" t="s">
        <v>250</v>
      </c>
    </row>
    <row r="107" customFormat="false" ht="15" hidden="false" customHeight="false" outlineLevel="0" collapsed="false">
      <c r="A107" s="3" t="s">
        <v>216</v>
      </c>
      <c r="B107" s="3" t="n">
        <v>35</v>
      </c>
      <c r="C107" s="3" t="s">
        <v>173</v>
      </c>
      <c r="D107" s="3" t="n">
        <v>89</v>
      </c>
      <c r="E107" s="3" t="s">
        <v>174</v>
      </c>
      <c r="F107" s="3" t="s">
        <v>175</v>
      </c>
      <c r="G107" s="3" t="s">
        <v>175</v>
      </c>
      <c r="H107" s="3" t="s">
        <v>251</v>
      </c>
    </row>
    <row r="108" customFormat="false" ht="15" hidden="false" customHeight="false" outlineLevel="0" collapsed="false">
      <c r="A108" s="3" t="s">
        <v>216</v>
      </c>
      <c r="B108" s="3" t="n">
        <v>36</v>
      </c>
      <c r="C108" s="3" t="s">
        <v>173</v>
      </c>
      <c r="D108" s="3" t="n">
        <v>88</v>
      </c>
      <c r="E108" s="3" t="s">
        <v>174</v>
      </c>
      <c r="F108" s="3" t="s">
        <v>175</v>
      </c>
      <c r="G108" s="3" t="s">
        <v>175</v>
      </c>
      <c r="H108" s="3" t="s">
        <v>252</v>
      </c>
    </row>
    <row r="109" customFormat="false" ht="15" hidden="false" customHeight="false" outlineLevel="0" collapsed="false">
      <c r="A109" s="3" t="s">
        <v>216</v>
      </c>
      <c r="B109" s="3" t="n">
        <v>37</v>
      </c>
      <c r="C109" s="3" t="s">
        <v>173</v>
      </c>
      <c r="D109" s="3" t="n">
        <v>94</v>
      </c>
      <c r="E109" s="3" t="s">
        <v>174</v>
      </c>
      <c r="F109" s="3" t="s">
        <v>175</v>
      </c>
      <c r="G109" s="3" t="s">
        <v>175</v>
      </c>
      <c r="H109" s="3" t="s">
        <v>253</v>
      </c>
    </row>
    <row r="110" customFormat="false" ht="15" hidden="false" customHeight="false" outlineLevel="0" collapsed="false">
      <c r="A110" s="3" t="s">
        <v>216</v>
      </c>
      <c r="B110" s="3" t="n">
        <v>37</v>
      </c>
      <c r="C110" s="3" t="s">
        <v>173</v>
      </c>
      <c r="D110" s="3" t="n">
        <v>95</v>
      </c>
      <c r="E110" s="3" t="s">
        <v>180</v>
      </c>
      <c r="F110" s="3" t="s">
        <v>175</v>
      </c>
      <c r="G110" s="3" t="s">
        <v>175</v>
      </c>
      <c r="H110" s="3" t="s">
        <v>253</v>
      </c>
    </row>
    <row r="111" customFormat="false" ht="15" hidden="false" customHeight="false" outlineLevel="0" collapsed="false">
      <c r="A111" s="3" t="s">
        <v>216</v>
      </c>
      <c r="B111" s="3" t="n">
        <v>38</v>
      </c>
      <c r="C111" s="3" t="s">
        <v>173</v>
      </c>
      <c r="D111" s="3" t="n">
        <v>101</v>
      </c>
      <c r="E111" s="3" t="s">
        <v>174</v>
      </c>
      <c r="F111" s="3" t="s">
        <v>175</v>
      </c>
      <c r="G111" s="3" t="s">
        <v>175</v>
      </c>
      <c r="H111" s="3" t="s">
        <v>254</v>
      </c>
    </row>
    <row r="112" customFormat="false" ht="15" hidden="false" customHeight="false" outlineLevel="0" collapsed="false">
      <c r="A112" s="3" t="s">
        <v>216</v>
      </c>
      <c r="B112" s="3" t="n">
        <v>39</v>
      </c>
      <c r="C112" s="3" t="s">
        <v>173</v>
      </c>
      <c r="D112" s="3" t="n">
        <v>108</v>
      </c>
      <c r="E112" s="3" t="s">
        <v>174</v>
      </c>
      <c r="F112" s="3" t="s">
        <v>175</v>
      </c>
      <c r="G112" s="3" t="s">
        <v>175</v>
      </c>
      <c r="H112" s="3" t="s">
        <v>255</v>
      </c>
    </row>
    <row r="113" customFormat="false" ht="15" hidden="false" customHeight="false" outlineLevel="0" collapsed="false">
      <c r="A113" s="3" t="s">
        <v>216</v>
      </c>
      <c r="B113" s="3" t="n">
        <v>39</v>
      </c>
      <c r="C113" s="3" t="s">
        <v>173</v>
      </c>
      <c r="D113" s="3" t="n">
        <v>94</v>
      </c>
      <c r="E113" s="3" t="s">
        <v>180</v>
      </c>
      <c r="F113" s="3" t="s">
        <v>175</v>
      </c>
      <c r="G113" s="3" t="s">
        <v>175</v>
      </c>
      <c r="H113" s="3" t="s">
        <v>255</v>
      </c>
    </row>
    <row r="114" customFormat="false" ht="15" hidden="false" customHeight="false" outlineLevel="0" collapsed="false">
      <c r="A114" s="3" t="s">
        <v>216</v>
      </c>
      <c r="B114" s="3" t="n">
        <v>40</v>
      </c>
      <c r="C114" s="3" t="s">
        <v>173</v>
      </c>
      <c r="D114" s="3" t="n">
        <v>68</v>
      </c>
      <c r="E114" s="3" t="s">
        <v>174</v>
      </c>
      <c r="F114" s="3" t="s">
        <v>175</v>
      </c>
      <c r="G114" s="3" t="s">
        <v>175</v>
      </c>
      <c r="H114" s="3" t="s">
        <v>256</v>
      </c>
    </row>
    <row r="115" customFormat="false" ht="15" hidden="false" customHeight="false" outlineLevel="0" collapsed="false">
      <c r="A115" s="3" t="s">
        <v>216</v>
      </c>
      <c r="B115" s="3" t="n">
        <v>40</v>
      </c>
      <c r="C115" s="3" t="s">
        <v>173</v>
      </c>
      <c r="D115" s="3" t="n">
        <v>115</v>
      </c>
      <c r="E115" s="3" t="s">
        <v>180</v>
      </c>
      <c r="F115" s="3" t="s">
        <v>175</v>
      </c>
      <c r="G115" s="3" t="s">
        <v>175</v>
      </c>
      <c r="H115" s="3" t="s">
        <v>256</v>
      </c>
    </row>
    <row r="116" customFormat="false" ht="15" hidden="false" customHeight="false" outlineLevel="0" collapsed="false">
      <c r="A116" s="3" t="s">
        <v>216</v>
      </c>
      <c r="B116" s="3" t="n">
        <v>41</v>
      </c>
      <c r="C116" s="3" t="s">
        <v>173</v>
      </c>
      <c r="D116" s="3" t="n">
        <v>115</v>
      </c>
      <c r="E116" s="3" t="s">
        <v>174</v>
      </c>
      <c r="F116" s="3" t="s">
        <v>175</v>
      </c>
      <c r="G116" s="3" t="s">
        <v>175</v>
      </c>
      <c r="H116" s="3" t="s">
        <v>257</v>
      </c>
    </row>
    <row r="117" customFormat="false" ht="15" hidden="false" customHeight="false" outlineLevel="0" collapsed="false">
      <c r="A117" s="3" t="s">
        <v>216</v>
      </c>
      <c r="B117" s="3" t="n">
        <v>41</v>
      </c>
      <c r="C117" s="3" t="s">
        <v>173</v>
      </c>
      <c r="D117" s="3" t="n">
        <v>71</v>
      </c>
      <c r="E117" s="3" t="s">
        <v>180</v>
      </c>
      <c r="F117" s="3" t="s">
        <v>175</v>
      </c>
      <c r="G117" s="3" t="s">
        <v>175</v>
      </c>
      <c r="H117" s="3" t="s">
        <v>257</v>
      </c>
    </row>
    <row r="118" customFormat="false" ht="15" hidden="false" customHeight="false" outlineLevel="0" collapsed="false">
      <c r="A118" s="3" t="s">
        <v>216</v>
      </c>
      <c r="B118" s="3" t="n">
        <v>42</v>
      </c>
      <c r="C118" s="3" t="s">
        <v>173</v>
      </c>
      <c r="D118" s="3" t="n">
        <v>112</v>
      </c>
      <c r="E118" s="3" t="s">
        <v>174</v>
      </c>
      <c r="F118" s="3" t="s">
        <v>175</v>
      </c>
      <c r="G118" s="3" t="s">
        <v>175</v>
      </c>
      <c r="H118" s="3" t="s">
        <v>258</v>
      </c>
    </row>
    <row r="119" customFormat="false" ht="15" hidden="false" customHeight="false" outlineLevel="0" collapsed="false">
      <c r="A119" s="3" t="s">
        <v>216</v>
      </c>
      <c r="B119" s="3" t="n">
        <v>42</v>
      </c>
      <c r="C119" s="3" t="s">
        <v>173</v>
      </c>
      <c r="D119" s="3" t="n">
        <v>115</v>
      </c>
      <c r="E119" s="3" t="s">
        <v>180</v>
      </c>
      <c r="F119" s="3" t="s">
        <v>175</v>
      </c>
      <c r="G119" s="3" t="s">
        <v>175</v>
      </c>
      <c r="H119" s="3" t="s">
        <v>258</v>
      </c>
    </row>
    <row r="120" customFormat="false" ht="15" hidden="false" customHeight="false" outlineLevel="0" collapsed="false">
      <c r="A120" s="3" t="s">
        <v>216</v>
      </c>
      <c r="B120" s="3" t="n">
        <v>43</v>
      </c>
      <c r="C120" s="3" t="s">
        <v>173</v>
      </c>
      <c r="D120" s="3" t="n">
        <v>115</v>
      </c>
      <c r="E120" s="3" t="s">
        <v>174</v>
      </c>
      <c r="F120" s="3" t="s">
        <v>175</v>
      </c>
      <c r="G120" s="3" t="s">
        <v>175</v>
      </c>
      <c r="H120" s="3" t="s">
        <v>259</v>
      </c>
    </row>
    <row r="121" customFormat="false" ht="15" hidden="false" customHeight="false" outlineLevel="0" collapsed="false">
      <c r="A121" s="3" t="s">
        <v>216</v>
      </c>
      <c r="B121" s="3" t="n">
        <v>43</v>
      </c>
      <c r="C121" s="3" t="s">
        <v>173</v>
      </c>
      <c r="D121" s="3" t="n">
        <v>112</v>
      </c>
      <c r="E121" s="3" t="s">
        <v>180</v>
      </c>
      <c r="F121" s="3" t="s">
        <v>175</v>
      </c>
      <c r="G121" s="3" t="s">
        <v>175</v>
      </c>
      <c r="H121" s="3" t="s">
        <v>259</v>
      </c>
    </row>
    <row r="122" customFormat="false" ht="15" hidden="false" customHeight="false" outlineLevel="0" collapsed="false">
      <c r="A122" s="3" t="s">
        <v>216</v>
      </c>
      <c r="B122" s="3" t="n">
        <v>44</v>
      </c>
      <c r="C122" s="3" t="s">
        <v>173</v>
      </c>
      <c r="D122" s="3" t="n">
        <v>73</v>
      </c>
      <c r="E122" s="3" t="s">
        <v>174</v>
      </c>
      <c r="F122" s="3" t="s">
        <v>175</v>
      </c>
      <c r="G122" s="3" t="s">
        <v>175</v>
      </c>
      <c r="H122" s="3" t="s">
        <v>260</v>
      </c>
    </row>
    <row r="123" customFormat="false" ht="15" hidden="false" customHeight="false" outlineLevel="0" collapsed="false">
      <c r="A123" s="3" t="s">
        <v>216</v>
      </c>
      <c r="B123" s="3" t="n">
        <v>44</v>
      </c>
      <c r="C123" s="3" t="s">
        <v>173</v>
      </c>
      <c r="D123" s="3" t="n">
        <v>115</v>
      </c>
      <c r="E123" s="3" t="s">
        <v>180</v>
      </c>
      <c r="F123" s="3" t="s">
        <v>175</v>
      </c>
      <c r="G123" s="3" t="s">
        <v>175</v>
      </c>
      <c r="H123" s="3" t="s">
        <v>260</v>
      </c>
    </row>
    <row r="124" customFormat="false" ht="15" hidden="false" customHeight="false" outlineLevel="0" collapsed="false">
      <c r="A124" s="3" t="s">
        <v>216</v>
      </c>
      <c r="B124" s="3" t="n">
        <v>45</v>
      </c>
      <c r="C124" s="3" t="s">
        <v>173</v>
      </c>
      <c r="D124" s="3" t="n">
        <v>115</v>
      </c>
      <c r="E124" s="3" t="s">
        <v>174</v>
      </c>
      <c r="F124" s="3" t="s">
        <v>175</v>
      </c>
      <c r="G124" s="3" t="s">
        <v>175</v>
      </c>
      <c r="H124" s="3" t="s">
        <v>261</v>
      </c>
    </row>
    <row r="125" customFormat="false" ht="15" hidden="false" customHeight="false" outlineLevel="0" collapsed="false">
      <c r="A125" s="3" t="s">
        <v>216</v>
      </c>
      <c r="B125" s="3" t="n">
        <v>45</v>
      </c>
      <c r="C125" s="3" t="s">
        <v>173</v>
      </c>
      <c r="D125" s="3" t="n">
        <v>52</v>
      </c>
      <c r="E125" s="3" t="s">
        <v>180</v>
      </c>
      <c r="F125" s="3" t="s">
        <v>175</v>
      </c>
      <c r="G125" s="3" t="s">
        <v>175</v>
      </c>
      <c r="H125" s="3" t="s">
        <v>261</v>
      </c>
    </row>
    <row r="126" customFormat="false" ht="15" hidden="false" customHeight="false" outlineLevel="0" collapsed="false">
      <c r="A126" s="3" t="s">
        <v>216</v>
      </c>
      <c r="B126" s="3" t="n">
        <v>46</v>
      </c>
      <c r="C126" s="3" t="s">
        <v>173</v>
      </c>
      <c r="D126" s="3" t="n">
        <v>68</v>
      </c>
      <c r="E126" s="3" t="s">
        <v>174</v>
      </c>
      <c r="F126" s="3" t="s">
        <v>175</v>
      </c>
      <c r="G126" s="3" t="s">
        <v>175</v>
      </c>
      <c r="H126" s="3" t="s">
        <v>262</v>
      </c>
    </row>
    <row r="127" customFormat="false" ht="15" hidden="false" customHeight="false" outlineLevel="0" collapsed="false">
      <c r="A127" s="3" t="s">
        <v>216</v>
      </c>
      <c r="B127" s="3" t="n">
        <v>46</v>
      </c>
      <c r="C127" s="3" t="s">
        <v>173</v>
      </c>
      <c r="D127" s="3" t="n">
        <v>115</v>
      </c>
      <c r="E127" s="3" t="s">
        <v>180</v>
      </c>
      <c r="F127" s="3" t="s">
        <v>175</v>
      </c>
      <c r="G127" s="3" t="s">
        <v>175</v>
      </c>
      <c r="H127" s="3" t="s">
        <v>262</v>
      </c>
    </row>
    <row r="128" customFormat="false" ht="15" hidden="false" customHeight="false" outlineLevel="0" collapsed="false">
      <c r="A128" s="3" t="s">
        <v>216</v>
      </c>
      <c r="B128" s="3" t="n">
        <v>47</v>
      </c>
      <c r="C128" s="3" t="s">
        <v>173</v>
      </c>
      <c r="D128" s="3" t="n">
        <v>73</v>
      </c>
      <c r="E128" s="3" t="s">
        <v>174</v>
      </c>
      <c r="F128" s="3" t="s">
        <v>175</v>
      </c>
      <c r="G128" s="3" t="s">
        <v>175</v>
      </c>
      <c r="H128" s="3" t="s">
        <v>263</v>
      </c>
    </row>
    <row r="129" customFormat="false" ht="15" hidden="false" customHeight="false" outlineLevel="0" collapsed="false">
      <c r="A129" s="3" t="s">
        <v>216</v>
      </c>
      <c r="B129" s="3" t="n">
        <v>47</v>
      </c>
      <c r="C129" s="3" t="s">
        <v>173</v>
      </c>
      <c r="D129" s="3" t="n">
        <v>115</v>
      </c>
      <c r="E129" s="3" t="s">
        <v>180</v>
      </c>
      <c r="F129" s="3" t="s">
        <v>175</v>
      </c>
      <c r="G129" s="3" t="s">
        <v>175</v>
      </c>
      <c r="H129" s="3" t="s">
        <v>263</v>
      </c>
    </row>
    <row r="130" customFormat="false" ht="15" hidden="false" customHeight="false" outlineLevel="0" collapsed="false">
      <c r="A130" s="3" t="s">
        <v>216</v>
      </c>
      <c r="B130" s="3" t="n">
        <v>47</v>
      </c>
      <c r="C130" s="3" t="s">
        <v>173</v>
      </c>
      <c r="D130" s="3" t="n">
        <v>13</v>
      </c>
      <c r="E130" s="3" t="s">
        <v>180</v>
      </c>
      <c r="F130" s="3" t="s">
        <v>175</v>
      </c>
      <c r="G130" s="3" t="s">
        <v>175</v>
      </c>
      <c r="H130" s="3" t="s">
        <v>263</v>
      </c>
    </row>
    <row r="131" customFormat="false" ht="15" hidden="false" customHeight="false" outlineLevel="0" collapsed="false">
      <c r="A131" s="3" t="s">
        <v>216</v>
      </c>
      <c r="B131" s="3" t="n">
        <v>48</v>
      </c>
      <c r="C131" s="3" t="s">
        <v>173</v>
      </c>
      <c r="D131" s="3" t="n">
        <v>32</v>
      </c>
      <c r="E131" s="3" t="s">
        <v>174</v>
      </c>
      <c r="F131" s="3" t="s">
        <v>175</v>
      </c>
      <c r="G131" s="3" t="s">
        <v>175</v>
      </c>
      <c r="H131" s="3" t="s">
        <v>264</v>
      </c>
    </row>
    <row r="132" customFormat="false" ht="15" hidden="false" customHeight="false" outlineLevel="0" collapsed="false">
      <c r="A132" s="3" t="s">
        <v>216</v>
      </c>
      <c r="B132" s="3" t="n">
        <v>49</v>
      </c>
      <c r="C132" s="3" t="s">
        <v>173</v>
      </c>
      <c r="D132" s="3" t="n">
        <v>32</v>
      </c>
      <c r="E132" s="3" t="s">
        <v>174</v>
      </c>
      <c r="F132" s="3" t="s">
        <v>175</v>
      </c>
      <c r="G132" s="3" t="s">
        <v>175</v>
      </c>
      <c r="H132" s="3" t="s">
        <v>265</v>
      </c>
    </row>
    <row r="133" customFormat="false" ht="15" hidden="false" customHeight="false" outlineLevel="0" collapsed="false">
      <c r="A133" s="3" t="s">
        <v>216</v>
      </c>
      <c r="B133" s="3" t="n">
        <v>50</v>
      </c>
      <c r="C133" s="3" t="s">
        <v>173</v>
      </c>
      <c r="D133" s="3" t="n">
        <v>32</v>
      </c>
      <c r="E133" s="3" t="s">
        <v>174</v>
      </c>
      <c r="F133" s="3" t="s">
        <v>175</v>
      </c>
      <c r="G133" s="3" t="s">
        <v>175</v>
      </c>
      <c r="H133" s="3" t="s">
        <v>266</v>
      </c>
    </row>
    <row r="134" customFormat="false" ht="15" hidden="false" customHeight="false" outlineLevel="0" collapsed="false">
      <c r="A134" s="3" t="s">
        <v>216</v>
      </c>
      <c r="B134" s="3" t="n">
        <v>51</v>
      </c>
      <c r="C134" s="3" t="s">
        <v>173</v>
      </c>
      <c r="D134" s="3" t="n">
        <v>42</v>
      </c>
      <c r="E134" s="3" t="s">
        <v>174</v>
      </c>
      <c r="F134" s="3" t="s">
        <v>175</v>
      </c>
      <c r="G134" s="3" t="s">
        <v>175</v>
      </c>
      <c r="H134" s="3" t="s">
        <v>267</v>
      </c>
    </row>
    <row r="135" customFormat="false" ht="15" hidden="false" customHeight="false" outlineLevel="0" collapsed="false">
      <c r="A135" s="3" t="s">
        <v>216</v>
      </c>
      <c r="B135" s="3" t="n">
        <v>51</v>
      </c>
      <c r="C135" s="3" t="s">
        <v>173</v>
      </c>
      <c r="D135" s="3" t="n">
        <v>4</v>
      </c>
      <c r="E135" s="3" t="s">
        <v>180</v>
      </c>
      <c r="F135" s="3" t="s">
        <v>175</v>
      </c>
      <c r="G135" s="3" t="s">
        <v>175</v>
      </c>
      <c r="H135" s="3" t="s">
        <v>267</v>
      </c>
    </row>
    <row r="136" customFormat="false" ht="15" hidden="false" customHeight="false" outlineLevel="0" collapsed="false">
      <c r="A136" s="3" t="s">
        <v>216</v>
      </c>
      <c r="B136" s="3" t="n">
        <v>52</v>
      </c>
      <c r="C136" s="3" t="s">
        <v>173</v>
      </c>
      <c r="D136" s="3" t="n">
        <v>44</v>
      </c>
      <c r="E136" s="3" t="s">
        <v>174</v>
      </c>
      <c r="F136" s="3" t="s">
        <v>175</v>
      </c>
      <c r="G136" s="3" t="s">
        <v>175</v>
      </c>
      <c r="H136" s="3" t="s">
        <v>268</v>
      </c>
    </row>
    <row r="137" customFormat="false" ht="15" hidden="false" customHeight="false" outlineLevel="0" collapsed="false">
      <c r="A137" s="3" t="s">
        <v>216</v>
      </c>
      <c r="B137" s="3" t="n">
        <v>53</v>
      </c>
      <c r="C137" s="3" t="s">
        <v>173</v>
      </c>
      <c r="D137" s="3" t="n">
        <v>38</v>
      </c>
      <c r="E137" s="3" t="s">
        <v>174</v>
      </c>
      <c r="F137" s="3" t="s">
        <v>175</v>
      </c>
      <c r="G137" s="3" t="s">
        <v>175</v>
      </c>
      <c r="H137" s="3" t="s">
        <v>269</v>
      </c>
    </row>
    <row r="138" customFormat="false" ht="15" hidden="false" customHeight="false" outlineLevel="0" collapsed="false">
      <c r="A138" s="3" t="s">
        <v>216</v>
      </c>
      <c r="B138" s="3" t="n">
        <v>53</v>
      </c>
      <c r="C138" s="3" t="s">
        <v>173</v>
      </c>
      <c r="D138" s="3" t="n">
        <v>32</v>
      </c>
      <c r="E138" s="3" t="s">
        <v>180</v>
      </c>
      <c r="F138" s="3" t="s">
        <v>175</v>
      </c>
      <c r="G138" s="3" t="s">
        <v>175</v>
      </c>
      <c r="H138" s="3" t="s">
        <v>269</v>
      </c>
    </row>
    <row r="139" customFormat="false" ht="15" hidden="false" customHeight="false" outlineLevel="0" collapsed="false">
      <c r="A139" s="3" t="s">
        <v>216</v>
      </c>
      <c r="B139" s="3" t="n">
        <v>54</v>
      </c>
      <c r="C139" s="3" t="s">
        <v>173</v>
      </c>
      <c r="D139" s="3" t="n">
        <v>28</v>
      </c>
      <c r="E139" s="3" t="s">
        <v>174</v>
      </c>
      <c r="F139" s="3" t="s">
        <v>175</v>
      </c>
      <c r="G139" s="3" t="s">
        <v>175</v>
      </c>
      <c r="H139" s="3" t="s">
        <v>270</v>
      </c>
    </row>
    <row r="140" customFormat="false" ht="15" hidden="false" customHeight="false" outlineLevel="0" collapsed="false">
      <c r="A140" s="3" t="s">
        <v>216</v>
      </c>
      <c r="B140" s="3" t="n">
        <v>55</v>
      </c>
      <c r="C140" s="3" t="s">
        <v>173</v>
      </c>
      <c r="D140" s="3" t="n">
        <v>28</v>
      </c>
      <c r="E140" s="3" t="s">
        <v>174</v>
      </c>
      <c r="F140" s="3" t="s">
        <v>175</v>
      </c>
      <c r="G140" s="3" t="s">
        <v>175</v>
      </c>
      <c r="H140" s="3" t="s">
        <v>271</v>
      </c>
    </row>
    <row r="141" customFormat="false" ht="15" hidden="false" customHeight="false" outlineLevel="0" collapsed="false">
      <c r="A141" s="3" t="s">
        <v>216</v>
      </c>
      <c r="B141" s="3" t="n">
        <v>56</v>
      </c>
      <c r="C141" s="3" t="s">
        <v>173</v>
      </c>
      <c r="D141" s="3" t="n">
        <v>33</v>
      </c>
      <c r="E141" s="3" t="s">
        <v>174</v>
      </c>
      <c r="F141" s="3" t="s">
        <v>175</v>
      </c>
      <c r="G141" s="3" t="s">
        <v>175</v>
      </c>
      <c r="H141" s="3" t="s">
        <v>272</v>
      </c>
    </row>
    <row r="142" customFormat="false" ht="15" hidden="false" customHeight="false" outlineLevel="0" collapsed="false">
      <c r="A142" s="3" t="s">
        <v>216</v>
      </c>
      <c r="B142" s="3" t="n">
        <v>56</v>
      </c>
      <c r="C142" s="3" t="s">
        <v>173</v>
      </c>
      <c r="D142" s="3" t="n">
        <v>32</v>
      </c>
      <c r="E142" s="3" t="s">
        <v>180</v>
      </c>
      <c r="F142" s="3" t="s">
        <v>175</v>
      </c>
      <c r="G142" s="3" t="s">
        <v>175</v>
      </c>
      <c r="H142" s="3" t="s">
        <v>272</v>
      </c>
    </row>
    <row r="143" customFormat="false" ht="15" hidden="false" customHeight="false" outlineLevel="0" collapsed="false">
      <c r="A143" s="3" t="s">
        <v>216</v>
      </c>
      <c r="B143" s="3" t="n">
        <v>57</v>
      </c>
      <c r="C143" s="3" t="s">
        <v>173</v>
      </c>
      <c r="D143" s="3" t="n">
        <v>10</v>
      </c>
      <c r="E143" s="3" t="s">
        <v>174</v>
      </c>
      <c r="F143" s="3" t="s">
        <v>175</v>
      </c>
      <c r="G143" s="3" t="s">
        <v>175</v>
      </c>
      <c r="H143" s="3" t="s">
        <v>273</v>
      </c>
    </row>
    <row r="144" customFormat="false" ht="15" hidden="false" customHeight="false" outlineLevel="0" collapsed="false">
      <c r="A144" s="3" t="s">
        <v>216</v>
      </c>
      <c r="B144" s="3" t="n">
        <v>57</v>
      </c>
      <c r="C144" s="3" t="s">
        <v>173</v>
      </c>
      <c r="D144" s="3" t="n">
        <v>38</v>
      </c>
      <c r="E144" s="3" t="s">
        <v>180</v>
      </c>
      <c r="F144" s="3" t="s">
        <v>175</v>
      </c>
      <c r="G144" s="3" t="s">
        <v>175</v>
      </c>
      <c r="H144" s="3" t="s">
        <v>273</v>
      </c>
    </row>
    <row r="145" customFormat="false" ht="15" hidden="false" customHeight="false" outlineLevel="0" collapsed="false">
      <c r="A145" s="3" t="s">
        <v>216</v>
      </c>
      <c r="B145" s="3" t="n">
        <v>58</v>
      </c>
      <c r="C145" s="3" t="s">
        <v>173</v>
      </c>
      <c r="D145" s="3" t="n">
        <v>32</v>
      </c>
      <c r="E145" s="3" t="s">
        <v>174</v>
      </c>
      <c r="F145" s="3" t="s">
        <v>175</v>
      </c>
      <c r="G145" s="3" t="s">
        <v>175</v>
      </c>
      <c r="H145" s="3" t="s">
        <v>274</v>
      </c>
    </row>
    <row r="146" customFormat="false" ht="15" hidden="false" customHeight="false" outlineLevel="0" collapsed="false">
      <c r="A146" s="3" t="s">
        <v>216</v>
      </c>
      <c r="B146" s="3" t="n">
        <v>59</v>
      </c>
      <c r="C146" s="3" t="s">
        <v>173</v>
      </c>
      <c r="D146" s="3" t="n">
        <v>72</v>
      </c>
      <c r="E146" s="3" t="s">
        <v>174</v>
      </c>
      <c r="F146" s="3" t="s">
        <v>175</v>
      </c>
      <c r="G146" s="3" t="s">
        <v>175</v>
      </c>
      <c r="H146" s="3" t="s">
        <v>275</v>
      </c>
    </row>
    <row r="147" customFormat="false" ht="15" hidden="false" customHeight="false" outlineLevel="0" collapsed="false">
      <c r="A147" s="3" t="s">
        <v>216</v>
      </c>
      <c r="B147" s="3" t="n">
        <v>59</v>
      </c>
      <c r="C147" s="3" t="s">
        <v>173</v>
      </c>
      <c r="D147" s="3" t="n">
        <v>21</v>
      </c>
      <c r="E147" s="3" t="s">
        <v>180</v>
      </c>
      <c r="F147" s="3" t="s">
        <v>175</v>
      </c>
      <c r="G147" s="3" t="s">
        <v>175</v>
      </c>
      <c r="H147" s="3" t="s">
        <v>275</v>
      </c>
    </row>
    <row r="148" customFormat="false" ht="15" hidden="false" customHeight="false" outlineLevel="0" collapsed="false">
      <c r="A148" s="3" t="s">
        <v>216</v>
      </c>
      <c r="B148" s="3" t="n">
        <v>60</v>
      </c>
      <c r="C148" s="3" t="s">
        <v>173</v>
      </c>
      <c r="D148" s="3" t="n">
        <v>71</v>
      </c>
      <c r="E148" s="3" t="s">
        <v>174</v>
      </c>
      <c r="F148" s="3" t="s">
        <v>175</v>
      </c>
      <c r="G148" s="3" t="s">
        <v>175</v>
      </c>
      <c r="H148" s="3" t="s">
        <v>276</v>
      </c>
    </row>
    <row r="149" customFormat="false" ht="15" hidden="false" customHeight="false" outlineLevel="0" collapsed="false">
      <c r="A149" s="3" t="s">
        <v>216</v>
      </c>
      <c r="B149" s="3" t="n">
        <v>61</v>
      </c>
      <c r="C149" s="3" t="s">
        <v>173</v>
      </c>
      <c r="D149" s="3" t="n">
        <v>32</v>
      </c>
      <c r="E149" s="3" t="s">
        <v>174</v>
      </c>
      <c r="F149" s="3" t="s">
        <v>175</v>
      </c>
      <c r="G149" s="3" t="s">
        <v>175</v>
      </c>
      <c r="H149" s="3" t="s">
        <v>277</v>
      </c>
    </row>
    <row r="150" customFormat="false" ht="15" hidden="false" customHeight="false" outlineLevel="0" collapsed="false">
      <c r="A150" s="3" t="s">
        <v>216</v>
      </c>
      <c r="B150" s="3" t="n">
        <v>61</v>
      </c>
      <c r="C150" s="3" t="s">
        <v>173</v>
      </c>
      <c r="D150" s="3" t="n">
        <v>23</v>
      </c>
      <c r="E150" s="3" t="s">
        <v>180</v>
      </c>
      <c r="F150" s="3" t="s">
        <v>175</v>
      </c>
      <c r="G150" s="3" t="s">
        <v>175</v>
      </c>
      <c r="H150" s="3" t="s">
        <v>277</v>
      </c>
    </row>
    <row r="151" customFormat="false" ht="15" hidden="false" customHeight="false" outlineLevel="0" collapsed="false">
      <c r="A151" s="3" t="s">
        <v>216</v>
      </c>
      <c r="B151" s="3" t="n">
        <v>62</v>
      </c>
      <c r="C151" s="3" t="s">
        <v>173</v>
      </c>
      <c r="D151" s="3" t="n">
        <v>46</v>
      </c>
      <c r="E151" s="3" t="s">
        <v>174</v>
      </c>
      <c r="F151" s="3" t="s">
        <v>175</v>
      </c>
      <c r="G151" s="3" t="s">
        <v>175</v>
      </c>
      <c r="H151" s="3" t="s">
        <v>278</v>
      </c>
    </row>
    <row r="152" customFormat="false" ht="15" hidden="false" customHeight="false" outlineLevel="0" collapsed="false">
      <c r="A152" s="3" t="s">
        <v>216</v>
      </c>
      <c r="B152" s="3" t="n">
        <v>62</v>
      </c>
      <c r="C152" s="3" t="s">
        <v>173</v>
      </c>
      <c r="D152" s="3" t="n">
        <v>51</v>
      </c>
      <c r="E152" s="3" t="s">
        <v>180</v>
      </c>
      <c r="F152" s="3" t="s">
        <v>175</v>
      </c>
      <c r="G152" s="3" t="s">
        <v>175</v>
      </c>
      <c r="H152" s="3" t="s">
        <v>278</v>
      </c>
    </row>
    <row r="153" customFormat="false" ht="15" hidden="false" customHeight="false" outlineLevel="0" collapsed="false">
      <c r="A153" s="3" t="s">
        <v>216</v>
      </c>
      <c r="B153" s="3" t="n">
        <v>62</v>
      </c>
      <c r="C153" s="3" t="s">
        <v>173</v>
      </c>
      <c r="D153" s="3" t="n">
        <v>52</v>
      </c>
      <c r="E153" s="3" t="s">
        <v>180</v>
      </c>
      <c r="F153" s="3" t="s">
        <v>175</v>
      </c>
      <c r="G153" s="3" t="s">
        <v>175</v>
      </c>
      <c r="H153" s="3" t="s">
        <v>278</v>
      </c>
    </row>
    <row r="154" customFormat="false" ht="15" hidden="false" customHeight="false" outlineLevel="0" collapsed="false">
      <c r="A154" s="3" t="s">
        <v>216</v>
      </c>
      <c r="B154" s="3" t="n">
        <v>63</v>
      </c>
      <c r="C154" s="3" t="s">
        <v>173</v>
      </c>
      <c r="D154" s="3" t="n">
        <v>23</v>
      </c>
      <c r="E154" s="3" t="s">
        <v>174</v>
      </c>
      <c r="F154" s="3" t="s">
        <v>175</v>
      </c>
      <c r="G154" s="3" t="s">
        <v>175</v>
      </c>
      <c r="H154" s="3" t="s">
        <v>279</v>
      </c>
    </row>
    <row r="155" customFormat="false" ht="15" hidden="false" customHeight="false" outlineLevel="0" collapsed="false">
      <c r="A155" s="3" t="s">
        <v>216</v>
      </c>
      <c r="B155" s="3" t="n">
        <v>63</v>
      </c>
      <c r="C155" s="3" t="s">
        <v>173</v>
      </c>
      <c r="D155" s="3" t="n">
        <v>17</v>
      </c>
      <c r="E155" s="3" t="s">
        <v>180</v>
      </c>
      <c r="F155" s="3" t="s">
        <v>175</v>
      </c>
      <c r="G155" s="3" t="s">
        <v>175</v>
      </c>
      <c r="H155" s="3" t="s">
        <v>279</v>
      </c>
    </row>
    <row r="156" customFormat="false" ht="15" hidden="false" customHeight="false" outlineLevel="0" collapsed="false">
      <c r="A156" s="3" t="s">
        <v>216</v>
      </c>
      <c r="B156" s="3" t="n">
        <v>64</v>
      </c>
      <c r="C156" s="3" t="s">
        <v>173</v>
      </c>
      <c r="D156" s="3" t="n">
        <v>88</v>
      </c>
      <c r="E156" s="3" t="s">
        <v>174</v>
      </c>
      <c r="F156" s="3" t="s">
        <v>175</v>
      </c>
      <c r="G156" s="3" t="s">
        <v>175</v>
      </c>
      <c r="H156" s="3" t="s">
        <v>280</v>
      </c>
    </row>
    <row r="157" customFormat="false" ht="15" hidden="false" customHeight="false" outlineLevel="0" collapsed="false">
      <c r="A157" s="3" t="s">
        <v>216</v>
      </c>
      <c r="B157" s="3" t="n">
        <v>64</v>
      </c>
      <c r="C157" s="3" t="s">
        <v>173</v>
      </c>
      <c r="D157" s="3" t="n">
        <v>96</v>
      </c>
      <c r="E157" s="3" t="s">
        <v>180</v>
      </c>
      <c r="F157" s="3" t="s">
        <v>175</v>
      </c>
      <c r="G157" s="3" t="s">
        <v>175</v>
      </c>
      <c r="H157" s="3" t="s">
        <v>280</v>
      </c>
    </row>
    <row r="158" customFormat="false" ht="15" hidden="false" customHeight="false" outlineLevel="0" collapsed="false">
      <c r="A158" s="3" t="s">
        <v>216</v>
      </c>
      <c r="B158" s="3" t="n">
        <v>65</v>
      </c>
      <c r="C158" s="3" t="s">
        <v>173</v>
      </c>
      <c r="D158" s="3" t="n">
        <v>87</v>
      </c>
      <c r="E158" s="3" t="s">
        <v>174</v>
      </c>
      <c r="F158" s="3" t="s">
        <v>175</v>
      </c>
      <c r="G158" s="3" t="s">
        <v>175</v>
      </c>
      <c r="H158" s="3" t="s">
        <v>281</v>
      </c>
    </row>
    <row r="159" customFormat="false" ht="15" hidden="false" customHeight="false" outlineLevel="0" collapsed="false">
      <c r="A159" s="3" t="s">
        <v>216</v>
      </c>
      <c r="B159" s="3" t="n">
        <v>65</v>
      </c>
      <c r="C159" s="3" t="s">
        <v>173</v>
      </c>
      <c r="D159" s="3" t="n">
        <v>83</v>
      </c>
      <c r="E159" s="3" t="s">
        <v>180</v>
      </c>
      <c r="F159" s="3" t="s">
        <v>175</v>
      </c>
      <c r="G159" s="3" t="s">
        <v>175</v>
      </c>
      <c r="H159" s="3" t="s">
        <v>281</v>
      </c>
    </row>
    <row r="160" customFormat="false" ht="15" hidden="false" customHeight="false" outlineLevel="0" collapsed="false">
      <c r="A160" s="3" t="s">
        <v>216</v>
      </c>
      <c r="B160" s="3" t="n">
        <v>66</v>
      </c>
      <c r="C160" s="3" t="s">
        <v>173</v>
      </c>
      <c r="D160" s="3" t="n">
        <v>88</v>
      </c>
      <c r="E160" s="3" t="s">
        <v>174</v>
      </c>
      <c r="F160" s="3" t="s">
        <v>175</v>
      </c>
      <c r="G160" s="3" t="s">
        <v>175</v>
      </c>
      <c r="H160" s="3" t="s">
        <v>282</v>
      </c>
    </row>
    <row r="161" customFormat="false" ht="15" hidden="false" customHeight="false" outlineLevel="0" collapsed="false">
      <c r="A161" s="3" t="s">
        <v>216</v>
      </c>
      <c r="B161" s="3" t="n">
        <v>66</v>
      </c>
      <c r="C161" s="3" t="s">
        <v>173</v>
      </c>
      <c r="D161" s="3" t="n">
        <v>96</v>
      </c>
      <c r="E161" s="3" t="s">
        <v>180</v>
      </c>
      <c r="F161" s="3" t="s">
        <v>175</v>
      </c>
      <c r="G161" s="3" t="s">
        <v>175</v>
      </c>
      <c r="H161" s="3" t="s">
        <v>282</v>
      </c>
    </row>
    <row r="162" customFormat="false" ht="15" hidden="false" customHeight="false" outlineLevel="0" collapsed="false">
      <c r="A162" s="3" t="s">
        <v>216</v>
      </c>
      <c r="B162" s="3" t="n">
        <v>67</v>
      </c>
      <c r="C162" s="3" t="s">
        <v>173</v>
      </c>
      <c r="D162" s="3" t="n">
        <v>21</v>
      </c>
      <c r="E162" s="3" t="s">
        <v>174</v>
      </c>
      <c r="F162" s="3" t="s">
        <v>175</v>
      </c>
      <c r="G162" s="3" t="s">
        <v>175</v>
      </c>
      <c r="H162" s="3" t="s">
        <v>283</v>
      </c>
    </row>
    <row r="163" customFormat="false" ht="15" hidden="false" customHeight="false" outlineLevel="0" collapsed="false">
      <c r="A163" s="3" t="s">
        <v>216</v>
      </c>
      <c r="B163" s="3" t="n">
        <v>67</v>
      </c>
      <c r="C163" s="3" t="s">
        <v>173</v>
      </c>
      <c r="D163" s="3" t="n">
        <v>72</v>
      </c>
      <c r="E163" s="3" t="s">
        <v>180</v>
      </c>
      <c r="F163" s="3" t="s">
        <v>175</v>
      </c>
      <c r="G163" s="3" t="s">
        <v>175</v>
      </c>
      <c r="H163" s="3" t="s">
        <v>283</v>
      </c>
    </row>
    <row r="164" customFormat="false" ht="15" hidden="false" customHeight="false" outlineLevel="0" collapsed="false">
      <c r="A164" s="3" t="s">
        <v>216</v>
      </c>
      <c r="B164" s="3" t="n">
        <v>68</v>
      </c>
      <c r="C164" s="3" t="s">
        <v>173</v>
      </c>
      <c r="D164" s="3" t="n">
        <v>32</v>
      </c>
      <c r="E164" s="3" t="s">
        <v>174</v>
      </c>
      <c r="F164" s="3" t="s">
        <v>175</v>
      </c>
      <c r="G164" s="3" t="s">
        <v>175</v>
      </c>
      <c r="H164" s="3" t="s">
        <v>284</v>
      </c>
    </row>
    <row r="165" customFormat="false" ht="15" hidden="false" customHeight="false" outlineLevel="0" collapsed="false">
      <c r="A165" s="3" t="s">
        <v>216</v>
      </c>
      <c r="B165" s="3" t="n">
        <v>69</v>
      </c>
      <c r="C165" s="3" t="s">
        <v>173</v>
      </c>
      <c r="D165" s="3" t="n">
        <v>16</v>
      </c>
      <c r="E165" s="3" t="s">
        <v>174</v>
      </c>
      <c r="F165" s="3" t="s">
        <v>175</v>
      </c>
      <c r="G165" s="3" t="s">
        <v>175</v>
      </c>
      <c r="H165" s="3" t="s">
        <v>285</v>
      </c>
    </row>
    <row r="166" customFormat="false" ht="15" hidden="false" customHeight="false" outlineLevel="0" collapsed="false">
      <c r="A166" s="3" t="s">
        <v>216</v>
      </c>
      <c r="B166" s="3" t="n">
        <v>70</v>
      </c>
      <c r="C166" s="3" t="s">
        <v>173</v>
      </c>
      <c r="D166" s="3" t="n">
        <v>40</v>
      </c>
      <c r="E166" s="3" t="s">
        <v>174</v>
      </c>
      <c r="F166" s="3" t="s">
        <v>175</v>
      </c>
      <c r="G166" s="3" t="s">
        <v>175</v>
      </c>
      <c r="H166" s="3" t="s">
        <v>286</v>
      </c>
    </row>
    <row r="167" customFormat="false" ht="15" hidden="false" customHeight="false" outlineLevel="0" collapsed="false">
      <c r="A167" s="3" t="s">
        <v>216</v>
      </c>
      <c r="B167" s="3" t="n">
        <v>70</v>
      </c>
      <c r="C167" s="3" t="s">
        <v>173</v>
      </c>
      <c r="D167" s="3" t="n">
        <v>67</v>
      </c>
      <c r="E167" s="3" t="s">
        <v>180</v>
      </c>
      <c r="F167" s="3" t="s">
        <v>175</v>
      </c>
      <c r="G167" s="3" t="s">
        <v>175</v>
      </c>
      <c r="H167" s="3" t="s">
        <v>286</v>
      </c>
    </row>
    <row r="168" customFormat="false" ht="15" hidden="false" customHeight="false" outlineLevel="0" collapsed="false">
      <c r="A168" s="3" t="s">
        <v>216</v>
      </c>
      <c r="B168" s="3" t="n">
        <v>71</v>
      </c>
      <c r="C168" s="3" t="s">
        <v>173</v>
      </c>
      <c r="D168" s="3" t="n">
        <v>100</v>
      </c>
      <c r="E168" s="3" t="s">
        <v>174</v>
      </c>
      <c r="F168" s="3" t="s">
        <v>175</v>
      </c>
      <c r="G168" s="3" t="s">
        <v>175</v>
      </c>
      <c r="H168" s="3" t="s">
        <v>287</v>
      </c>
    </row>
    <row r="169" customFormat="false" ht="15" hidden="false" customHeight="false" outlineLevel="0" collapsed="false">
      <c r="A169" s="3" t="s">
        <v>216</v>
      </c>
      <c r="B169" s="3" t="n">
        <v>71</v>
      </c>
      <c r="C169" s="3" t="s">
        <v>173</v>
      </c>
      <c r="D169" s="3" t="n">
        <v>16</v>
      </c>
      <c r="E169" s="3" t="s">
        <v>180</v>
      </c>
      <c r="F169" s="3" t="s">
        <v>175</v>
      </c>
      <c r="G169" s="3" t="s">
        <v>175</v>
      </c>
      <c r="H169" s="3" t="s">
        <v>287</v>
      </c>
    </row>
    <row r="170" customFormat="false" ht="15" hidden="false" customHeight="false" outlineLevel="0" collapsed="false">
      <c r="A170" s="3" t="s">
        <v>216</v>
      </c>
      <c r="B170" s="3" t="n">
        <v>71</v>
      </c>
      <c r="C170" s="3" t="s">
        <v>173</v>
      </c>
      <c r="D170" s="3" t="n">
        <v>83</v>
      </c>
      <c r="E170" s="3" t="s">
        <v>180</v>
      </c>
      <c r="F170" s="3" t="s">
        <v>175</v>
      </c>
      <c r="G170" s="3" t="s">
        <v>175</v>
      </c>
      <c r="H170" s="3" t="s">
        <v>287</v>
      </c>
    </row>
    <row r="171" customFormat="false" ht="15" hidden="false" customHeight="false" outlineLevel="0" collapsed="false">
      <c r="A171" s="3" t="s">
        <v>216</v>
      </c>
      <c r="B171" s="3" t="n">
        <v>72</v>
      </c>
      <c r="C171" s="3" t="s">
        <v>173</v>
      </c>
      <c r="D171" s="3" t="n">
        <v>87</v>
      </c>
      <c r="E171" s="3" t="s">
        <v>174</v>
      </c>
      <c r="F171" s="3" t="s">
        <v>175</v>
      </c>
      <c r="G171" s="3" t="s">
        <v>175</v>
      </c>
      <c r="H171" s="3" t="s">
        <v>288</v>
      </c>
    </row>
    <row r="172" customFormat="false" ht="15" hidden="false" customHeight="false" outlineLevel="0" collapsed="false">
      <c r="A172" s="3" t="s">
        <v>216</v>
      </c>
      <c r="B172" s="3" t="n">
        <v>72</v>
      </c>
      <c r="C172" s="3" t="s">
        <v>173</v>
      </c>
      <c r="D172" s="3" t="n">
        <v>88</v>
      </c>
      <c r="E172" s="3" t="s">
        <v>180</v>
      </c>
      <c r="F172" s="3" t="s">
        <v>175</v>
      </c>
      <c r="G172" s="3" t="s">
        <v>175</v>
      </c>
      <c r="H172" s="3" t="s">
        <v>288</v>
      </c>
    </row>
    <row r="173" customFormat="false" ht="15" hidden="false" customHeight="false" outlineLevel="0" collapsed="false">
      <c r="A173" s="3" t="s">
        <v>216</v>
      </c>
      <c r="B173" s="3" t="n">
        <v>72</v>
      </c>
      <c r="C173" s="3" t="s">
        <v>173</v>
      </c>
      <c r="D173" s="3" t="n">
        <v>89</v>
      </c>
      <c r="E173" s="3" t="s">
        <v>180</v>
      </c>
      <c r="F173" s="3" t="s">
        <v>175</v>
      </c>
      <c r="G173" s="3" t="s">
        <v>175</v>
      </c>
      <c r="H173" s="3" t="s">
        <v>288</v>
      </c>
    </row>
    <row r="174" customFormat="false" ht="15" hidden="false" customHeight="false" outlineLevel="0" collapsed="false">
      <c r="A174" s="3" t="s">
        <v>216</v>
      </c>
      <c r="B174" s="3" t="n">
        <v>72</v>
      </c>
      <c r="C174" s="3" t="s">
        <v>173</v>
      </c>
      <c r="D174" s="3" t="n">
        <v>90</v>
      </c>
      <c r="E174" s="3" t="s">
        <v>180</v>
      </c>
      <c r="F174" s="3" t="s">
        <v>175</v>
      </c>
      <c r="G174" s="3" t="s">
        <v>175</v>
      </c>
      <c r="H174" s="3" t="s">
        <v>288</v>
      </c>
    </row>
    <row r="175" customFormat="false" ht="15" hidden="false" customHeight="false" outlineLevel="0" collapsed="false">
      <c r="A175" s="3" t="s">
        <v>289</v>
      </c>
      <c r="B175" s="3" t="n">
        <v>1</v>
      </c>
      <c r="C175" s="3" t="s">
        <v>173</v>
      </c>
      <c r="D175" s="3" t="n">
        <v>32</v>
      </c>
      <c r="E175" s="3" t="s">
        <v>174</v>
      </c>
      <c r="F175" s="3" t="s">
        <v>290</v>
      </c>
      <c r="G175" s="3" t="s">
        <v>290</v>
      </c>
      <c r="H175" s="3" t="s">
        <v>291</v>
      </c>
    </row>
    <row r="176" customFormat="false" ht="15" hidden="false" customHeight="false" outlineLevel="0" collapsed="false">
      <c r="A176" s="3" t="s">
        <v>289</v>
      </c>
      <c r="B176" s="3" t="n">
        <v>1</v>
      </c>
      <c r="C176" s="3" t="s">
        <v>173</v>
      </c>
      <c r="D176" s="3" t="n">
        <v>37</v>
      </c>
      <c r="E176" s="3" t="s">
        <v>180</v>
      </c>
      <c r="F176" s="3" t="s">
        <v>290</v>
      </c>
      <c r="G176" s="3" t="s">
        <v>290</v>
      </c>
      <c r="H176" s="3" t="s">
        <v>291</v>
      </c>
    </row>
    <row r="177" customFormat="false" ht="15" hidden="false" customHeight="false" outlineLevel="0" collapsed="false">
      <c r="A177" s="3" t="s">
        <v>289</v>
      </c>
      <c r="B177" s="3" t="n">
        <v>2</v>
      </c>
      <c r="C177" s="3" t="s">
        <v>173</v>
      </c>
      <c r="D177" s="3" t="n">
        <v>84</v>
      </c>
      <c r="E177" s="3" t="s">
        <v>174</v>
      </c>
      <c r="F177" s="3" t="s">
        <v>290</v>
      </c>
      <c r="G177" s="3" t="s">
        <v>290</v>
      </c>
      <c r="H177" s="3" t="s">
        <v>292</v>
      </c>
    </row>
    <row r="178" customFormat="false" ht="15" hidden="false" customHeight="false" outlineLevel="0" collapsed="false">
      <c r="A178" s="3" t="s">
        <v>289</v>
      </c>
      <c r="B178" s="3" t="n">
        <v>3</v>
      </c>
      <c r="C178" s="3" t="s">
        <v>173</v>
      </c>
      <c r="D178" s="3" t="n">
        <v>58</v>
      </c>
      <c r="E178" s="3" t="s">
        <v>174</v>
      </c>
      <c r="F178" s="3" t="s">
        <v>290</v>
      </c>
      <c r="G178" s="3" t="s">
        <v>290</v>
      </c>
      <c r="H178" s="3" t="s">
        <v>293</v>
      </c>
    </row>
    <row r="179" customFormat="false" ht="15" hidden="false" customHeight="false" outlineLevel="0" collapsed="false">
      <c r="A179" s="3" t="s">
        <v>289</v>
      </c>
      <c r="B179" s="3" t="n">
        <v>3</v>
      </c>
      <c r="C179" s="3" t="s">
        <v>173</v>
      </c>
      <c r="D179" s="3" t="n">
        <v>64</v>
      </c>
      <c r="E179" s="3" t="s">
        <v>180</v>
      </c>
      <c r="F179" s="3" t="s">
        <v>290</v>
      </c>
      <c r="G179" s="3" t="s">
        <v>290</v>
      </c>
      <c r="H179" s="3" t="s">
        <v>293</v>
      </c>
    </row>
    <row r="180" customFormat="false" ht="15" hidden="false" customHeight="false" outlineLevel="0" collapsed="false">
      <c r="A180" s="3" t="s">
        <v>289</v>
      </c>
      <c r="B180" s="3" t="n">
        <v>4</v>
      </c>
      <c r="C180" s="3" t="s">
        <v>173</v>
      </c>
      <c r="D180" s="3" t="n">
        <v>21</v>
      </c>
      <c r="E180" s="3" t="s">
        <v>174</v>
      </c>
      <c r="F180" s="3" t="s">
        <v>290</v>
      </c>
      <c r="G180" s="3" t="s">
        <v>290</v>
      </c>
      <c r="H180" s="3" t="s">
        <v>294</v>
      </c>
    </row>
    <row r="181" customFormat="false" ht="15" hidden="false" customHeight="false" outlineLevel="0" collapsed="false">
      <c r="A181" s="3" t="s">
        <v>289</v>
      </c>
      <c r="B181" s="3" t="n">
        <v>4</v>
      </c>
      <c r="C181" s="3" t="s">
        <v>173</v>
      </c>
      <c r="D181" s="3" t="n">
        <v>17</v>
      </c>
      <c r="E181" s="3" t="s">
        <v>180</v>
      </c>
      <c r="F181" s="3" t="s">
        <v>290</v>
      </c>
      <c r="G181" s="3" t="s">
        <v>290</v>
      </c>
      <c r="H181" s="3" t="s">
        <v>294</v>
      </c>
    </row>
    <row r="182" customFormat="false" ht="15" hidden="false" customHeight="false" outlineLevel="0" collapsed="false">
      <c r="A182" s="3" t="s">
        <v>289</v>
      </c>
      <c r="B182" s="3" t="n">
        <v>5</v>
      </c>
      <c r="C182" s="3" t="s">
        <v>173</v>
      </c>
      <c r="D182" s="3" t="n">
        <v>115</v>
      </c>
      <c r="E182" s="3" t="s">
        <v>174</v>
      </c>
      <c r="F182" s="3" t="s">
        <v>290</v>
      </c>
      <c r="G182" s="3" t="s">
        <v>290</v>
      </c>
      <c r="H182" s="3" t="s">
        <v>295</v>
      </c>
    </row>
    <row r="183" customFormat="false" ht="15" hidden="false" customHeight="false" outlineLevel="0" collapsed="false">
      <c r="A183" s="3" t="s">
        <v>289</v>
      </c>
      <c r="B183" s="3" t="n">
        <v>5</v>
      </c>
      <c r="C183" s="3" t="s">
        <v>173</v>
      </c>
      <c r="D183" s="3" t="n">
        <v>117</v>
      </c>
      <c r="E183" s="3" t="s">
        <v>180</v>
      </c>
      <c r="F183" s="3" t="s">
        <v>290</v>
      </c>
      <c r="G183" s="3" t="s">
        <v>290</v>
      </c>
      <c r="H183" s="3" t="s">
        <v>295</v>
      </c>
    </row>
    <row r="184" customFormat="false" ht="15" hidden="false" customHeight="false" outlineLevel="0" collapsed="false">
      <c r="A184" s="3" t="s">
        <v>289</v>
      </c>
      <c r="B184" s="3" t="n">
        <v>6</v>
      </c>
      <c r="C184" s="3" t="s">
        <v>173</v>
      </c>
      <c r="D184" s="3" t="n">
        <v>42</v>
      </c>
      <c r="E184" s="3" t="s">
        <v>174</v>
      </c>
      <c r="F184" s="3" t="s">
        <v>290</v>
      </c>
      <c r="G184" s="3" t="s">
        <v>290</v>
      </c>
      <c r="H184" s="3" t="s">
        <v>296</v>
      </c>
    </row>
    <row r="185" customFormat="false" ht="15" hidden="false" customHeight="false" outlineLevel="0" collapsed="false">
      <c r="A185" s="3" t="s">
        <v>289</v>
      </c>
      <c r="B185" s="3" t="n">
        <v>6</v>
      </c>
      <c r="C185" s="3" t="s">
        <v>173</v>
      </c>
      <c r="D185" s="3" t="n">
        <v>39</v>
      </c>
      <c r="E185" s="3" t="s">
        <v>180</v>
      </c>
      <c r="F185" s="3" t="s">
        <v>290</v>
      </c>
      <c r="G185" s="3" t="s">
        <v>290</v>
      </c>
      <c r="H185" s="3" t="s">
        <v>296</v>
      </c>
    </row>
    <row r="186" customFormat="false" ht="15" hidden="false" customHeight="false" outlineLevel="0" collapsed="false">
      <c r="A186" s="3" t="s">
        <v>289</v>
      </c>
      <c r="B186" s="3" t="n">
        <v>6</v>
      </c>
      <c r="C186" s="3" t="s">
        <v>173</v>
      </c>
      <c r="D186" s="3" t="n">
        <v>37</v>
      </c>
      <c r="E186" s="3" t="s">
        <v>180</v>
      </c>
      <c r="F186" s="3" t="s">
        <v>290</v>
      </c>
      <c r="G186" s="3" t="s">
        <v>290</v>
      </c>
      <c r="H186" s="3" t="s">
        <v>296</v>
      </c>
    </row>
    <row r="187" customFormat="false" ht="15" hidden="false" customHeight="false" outlineLevel="0" collapsed="false">
      <c r="A187" s="3" t="s">
        <v>289</v>
      </c>
      <c r="B187" s="3" t="n">
        <v>7</v>
      </c>
      <c r="C187" s="3" t="s">
        <v>173</v>
      </c>
      <c r="D187" s="3" t="n">
        <v>20</v>
      </c>
      <c r="E187" s="3" t="s">
        <v>174</v>
      </c>
      <c r="F187" s="3" t="s">
        <v>290</v>
      </c>
      <c r="G187" s="3" t="s">
        <v>290</v>
      </c>
      <c r="H187" s="3" t="s">
        <v>297</v>
      </c>
    </row>
    <row r="188" customFormat="false" ht="15" hidden="false" customHeight="false" outlineLevel="0" collapsed="false">
      <c r="A188" s="3" t="s">
        <v>289</v>
      </c>
      <c r="B188" s="3" t="n">
        <v>7</v>
      </c>
      <c r="C188" s="3" t="s">
        <v>173</v>
      </c>
      <c r="D188" s="3" t="n">
        <v>21</v>
      </c>
      <c r="E188" s="3" t="s">
        <v>180</v>
      </c>
      <c r="F188" s="3" t="s">
        <v>290</v>
      </c>
      <c r="G188" s="3" t="s">
        <v>290</v>
      </c>
      <c r="H188" s="3" t="s">
        <v>297</v>
      </c>
    </row>
    <row r="189" customFormat="false" ht="15" hidden="false" customHeight="false" outlineLevel="0" collapsed="false">
      <c r="A189" s="3" t="s">
        <v>289</v>
      </c>
      <c r="B189" s="3" t="n">
        <v>7</v>
      </c>
      <c r="C189" s="3" t="s">
        <v>173</v>
      </c>
      <c r="D189" s="3" t="n">
        <v>9</v>
      </c>
      <c r="E189" s="3" t="s">
        <v>180</v>
      </c>
      <c r="F189" s="3" t="s">
        <v>290</v>
      </c>
      <c r="G189" s="3" t="s">
        <v>290</v>
      </c>
      <c r="H189" s="3" t="s">
        <v>297</v>
      </c>
    </row>
    <row r="190" customFormat="false" ht="15" hidden="false" customHeight="false" outlineLevel="0" collapsed="false">
      <c r="A190" s="3" t="s">
        <v>289</v>
      </c>
      <c r="B190" s="3" t="n">
        <v>8</v>
      </c>
      <c r="C190" s="3" t="s">
        <v>173</v>
      </c>
      <c r="D190" s="3" t="n">
        <v>98</v>
      </c>
      <c r="E190" s="3" t="s">
        <v>174</v>
      </c>
      <c r="F190" s="3" t="s">
        <v>290</v>
      </c>
      <c r="G190" s="3" t="s">
        <v>290</v>
      </c>
      <c r="H190" s="3" t="s">
        <v>298</v>
      </c>
    </row>
    <row r="191" customFormat="false" ht="15" hidden="false" customHeight="false" outlineLevel="0" collapsed="false">
      <c r="A191" s="3" t="s">
        <v>289</v>
      </c>
      <c r="B191" s="3" t="n">
        <v>8</v>
      </c>
      <c r="C191" s="3" t="s">
        <v>173</v>
      </c>
      <c r="D191" s="3" t="n">
        <v>13</v>
      </c>
      <c r="E191" s="3" t="s">
        <v>180</v>
      </c>
      <c r="F191" s="3" t="s">
        <v>290</v>
      </c>
      <c r="G191" s="3" t="s">
        <v>290</v>
      </c>
      <c r="H191" s="3" t="s">
        <v>298</v>
      </c>
    </row>
    <row r="192" customFormat="false" ht="15" hidden="false" customHeight="false" outlineLevel="0" collapsed="false">
      <c r="A192" s="3" t="s">
        <v>289</v>
      </c>
      <c r="B192" s="3" t="n">
        <v>9</v>
      </c>
      <c r="C192" s="3" t="s">
        <v>173</v>
      </c>
      <c r="D192" s="3" t="n">
        <v>66</v>
      </c>
      <c r="E192" s="3" t="s">
        <v>174</v>
      </c>
      <c r="F192" s="3" t="s">
        <v>290</v>
      </c>
      <c r="G192" s="3" t="s">
        <v>290</v>
      </c>
      <c r="H192" s="3" t="s">
        <v>299</v>
      </c>
    </row>
    <row r="193" customFormat="false" ht="15" hidden="false" customHeight="false" outlineLevel="0" collapsed="false">
      <c r="A193" s="3" t="s">
        <v>289</v>
      </c>
      <c r="B193" s="3" t="n">
        <v>9</v>
      </c>
      <c r="C193" s="3" t="s">
        <v>173</v>
      </c>
      <c r="D193" s="3" t="n">
        <v>65</v>
      </c>
      <c r="E193" s="3" t="s">
        <v>180</v>
      </c>
      <c r="F193" s="3" t="s">
        <v>290</v>
      </c>
      <c r="G193" s="3" t="s">
        <v>290</v>
      </c>
      <c r="H193" s="3" t="s">
        <v>299</v>
      </c>
    </row>
    <row r="194" customFormat="false" ht="15" hidden="false" customHeight="false" outlineLevel="0" collapsed="false">
      <c r="A194" s="3" t="s">
        <v>289</v>
      </c>
      <c r="B194" s="3" t="n">
        <v>10</v>
      </c>
      <c r="C194" s="3" t="s">
        <v>173</v>
      </c>
      <c r="D194" s="3" t="n">
        <v>39</v>
      </c>
      <c r="E194" s="3" t="s">
        <v>174</v>
      </c>
      <c r="F194" s="3" t="s">
        <v>290</v>
      </c>
      <c r="G194" s="3" t="s">
        <v>290</v>
      </c>
      <c r="H194" s="3" t="s">
        <v>300</v>
      </c>
    </row>
    <row r="195" customFormat="false" ht="15" hidden="false" customHeight="false" outlineLevel="0" collapsed="false">
      <c r="A195" s="3" t="s">
        <v>289</v>
      </c>
      <c r="B195" s="3" t="n">
        <v>11</v>
      </c>
      <c r="C195" s="3" t="s">
        <v>173</v>
      </c>
      <c r="D195" s="3" t="n">
        <v>60</v>
      </c>
      <c r="E195" s="3" t="s">
        <v>174</v>
      </c>
      <c r="F195" s="3" t="s">
        <v>290</v>
      </c>
      <c r="G195" s="3" t="s">
        <v>290</v>
      </c>
      <c r="H195" s="3" t="s">
        <v>301</v>
      </c>
    </row>
    <row r="196" customFormat="false" ht="15" hidden="false" customHeight="false" outlineLevel="0" collapsed="false">
      <c r="A196" s="3" t="s">
        <v>289</v>
      </c>
      <c r="B196" s="3" t="n">
        <v>12</v>
      </c>
      <c r="C196" s="3" t="s">
        <v>173</v>
      </c>
      <c r="D196" s="3" t="n">
        <v>81</v>
      </c>
      <c r="E196" s="3" t="s">
        <v>174</v>
      </c>
      <c r="F196" s="3" t="s">
        <v>290</v>
      </c>
      <c r="G196" s="3" t="s">
        <v>290</v>
      </c>
      <c r="H196" s="3" t="s">
        <v>302</v>
      </c>
    </row>
    <row r="197" customFormat="false" ht="15" hidden="false" customHeight="false" outlineLevel="0" collapsed="false">
      <c r="A197" s="3" t="s">
        <v>289</v>
      </c>
      <c r="B197" s="3" t="n">
        <v>12</v>
      </c>
      <c r="C197" s="3" t="s">
        <v>173</v>
      </c>
      <c r="D197" s="3" t="n">
        <v>83</v>
      </c>
      <c r="E197" s="3" t="s">
        <v>180</v>
      </c>
      <c r="F197" s="3" t="s">
        <v>290</v>
      </c>
      <c r="G197" s="3" t="s">
        <v>290</v>
      </c>
      <c r="H197" s="3" t="s">
        <v>302</v>
      </c>
    </row>
    <row r="198" customFormat="false" ht="15" hidden="false" customHeight="false" outlineLevel="0" collapsed="false">
      <c r="A198" s="3" t="s">
        <v>289</v>
      </c>
      <c r="B198" s="3" t="n">
        <v>13</v>
      </c>
      <c r="C198" s="3" t="s">
        <v>173</v>
      </c>
      <c r="D198" s="3" t="n">
        <v>121</v>
      </c>
      <c r="E198" s="3" t="s">
        <v>174</v>
      </c>
      <c r="F198" s="3" t="s">
        <v>290</v>
      </c>
      <c r="G198" s="3" t="s">
        <v>290</v>
      </c>
      <c r="H198" s="3" t="s">
        <v>303</v>
      </c>
    </row>
    <row r="199" customFormat="false" ht="15" hidden="false" customHeight="false" outlineLevel="0" collapsed="false">
      <c r="A199" s="3" t="s">
        <v>289</v>
      </c>
      <c r="B199" s="3" t="n">
        <v>13</v>
      </c>
      <c r="C199" s="3" t="s">
        <v>173</v>
      </c>
      <c r="D199" s="3" t="n">
        <v>50</v>
      </c>
      <c r="E199" s="3" t="s">
        <v>180</v>
      </c>
      <c r="F199" s="3" t="s">
        <v>290</v>
      </c>
      <c r="G199" s="3" t="s">
        <v>290</v>
      </c>
      <c r="H199" s="3" t="s">
        <v>303</v>
      </c>
    </row>
    <row r="200" customFormat="false" ht="15" hidden="false" customHeight="false" outlineLevel="0" collapsed="false">
      <c r="A200" s="3" t="s">
        <v>289</v>
      </c>
      <c r="B200" s="3" t="n">
        <v>14</v>
      </c>
      <c r="C200" s="3" t="s">
        <v>173</v>
      </c>
      <c r="D200" s="3" t="n">
        <v>10</v>
      </c>
      <c r="E200" s="3" t="s">
        <v>174</v>
      </c>
      <c r="F200" s="3" t="s">
        <v>290</v>
      </c>
      <c r="G200" s="3" t="s">
        <v>290</v>
      </c>
      <c r="H200" s="3" t="s">
        <v>304</v>
      </c>
    </row>
    <row r="201" customFormat="false" ht="15" hidden="false" customHeight="false" outlineLevel="0" collapsed="false">
      <c r="A201" s="3" t="s">
        <v>289</v>
      </c>
      <c r="B201" s="3" t="n">
        <v>15</v>
      </c>
      <c r="C201" s="3" t="s">
        <v>173</v>
      </c>
      <c r="D201" s="3" t="n">
        <v>91</v>
      </c>
      <c r="E201" s="3" t="s">
        <v>174</v>
      </c>
      <c r="F201" s="3" t="s">
        <v>290</v>
      </c>
      <c r="G201" s="3" t="s">
        <v>290</v>
      </c>
      <c r="H201" s="3" t="s">
        <v>305</v>
      </c>
    </row>
    <row r="202" customFormat="false" ht="15" hidden="false" customHeight="false" outlineLevel="0" collapsed="false">
      <c r="A202" s="3" t="s">
        <v>289</v>
      </c>
      <c r="B202" s="3" t="n">
        <v>15</v>
      </c>
      <c r="C202" s="3" t="s">
        <v>173</v>
      </c>
      <c r="D202" s="3" t="n">
        <v>87</v>
      </c>
      <c r="E202" s="3" t="s">
        <v>180</v>
      </c>
      <c r="F202" s="3" t="s">
        <v>290</v>
      </c>
      <c r="G202" s="3" t="s">
        <v>290</v>
      </c>
      <c r="H202" s="3" t="s">
        <v>305</v>
      </c>
    </row>
    <row r="203" customFormat="false" ht="15" hidden="false" customHeight="false" outlineLevel="0" collapsed="false">
      <c r="A203" s="3" t="s">
        <v>289</v>
      </c>
      <c r="B203" s="3" t="n">
        <v>16</v>
      </c>
      <c r="C203" s="3" t="s">
        <v>173</v>
      </c>
      <c r="D203" s="3" t="n">
        <v>91</v>
      </c>
      <c r="E203" s="3" t="s">
        <v>174</v>
      </c>
      <c r="F203" s="3" t="s">
        <v>290</v>
      </c>
      <c r="G203" s="3" t="s">
        <v>290</v>
      </c>
      <c r="H203" s="3" t="s">
        <v>306</v>
      </c>
    </row>
    <row r="204" customFormat="false" ht="15" hidden="false" customHeight="false" outlineLevel="0" collapsed="false">
      <c r="A204" s="3" t="s">
        <v>289</v>
      </c>
      <c r="B204" s="3" t="n">
        <v>16</v>
      </c>
      <c r="C204" s="3" t="s">
        <v>173</v>
      </c>
      <c r="D204" s="3" t="n">
        <v>87</v>
      </c>
      <c r="E204" s="3" t="s">
        <v>180</v>
      </c>
      <c r="F204" s="3" t="s">
        <v>290</v>
      </c>
      <c r="G204" s="3" t="s">
        <v>290</v>
      </c>
      <c r="H204" s="3" t="s">
        <v>306</v>
      </c>
    </row>
    <row r="205" customFormat="false" ht="15" hidden="false" customHeight="false" outlineLevel="0" collapsed="false">
      <c r="A205" s="3" t="s">
        <v>289</v>
      </c>
      <c r="B205" s="3" t="n">
        <v>17</v>
      </c>
      <c r="C205" s="3" t="s">
        <v>173</v>
      </c>
      <c r="D205" s="3" t="n">
        <v>90</v>
      </c>
      <c r="E205" s="3" t="s">
        <v>174</v>
      </c>
      <c r="F205" s="3" t="s">
        <v>290</v>
      </c>
      <c r="G205" s="3" t="s">
        <v>290</v>
      </c>
      <c r="H205" s="3" t="s">
        <v>307</v>
      </c>
    </row>
    <row r="206" customFormat="false" ht="15" hidden="false" customHeight="false" outlineLevel="0" collapsed="false">
      <c r="A206" s="3" t="s">
        <v>289</v>
      </c>
      <c r="B206" s="3" t="n">
        <v>17</v>
      </c>
      <c r="C206" s="3" t="s">
        <v>173</v>
      </c>
      <c r="D206" s="3" t="n">
        <v>13</v>
      </c>
      <c r="E206" s="3" t="s">
        <v>180</v>
      </c>
      <c r="F206" s="3" t="s">
        <v>290</v>
      </c>
      <c r="G206" s="3" t="s">
        <v>290</v>
      </c>
      <c r="H206" s="3" t="s">
        <v>307</v>
      </c>
    </row>
    <row r="207" customFormat="false" ht="15" hidden="false" customHeight="false" outlineLevel="0" collapsed="false">
      <c r="A207" s="3" t="s">
        <v>289</v>
      </c>
      <c r="B207" s="3" t="n">
        <v>18</v>
      </c>
      <c r="C207" s="3" t="s">
        <v>173</v>
      </c>
      <c r="D207" s="3" t="n">
        <v>88</v>
      </c>
      <c r="E207" s="3" t="s">
        <v>174</v>
      </c>
      <c r="F207" s="3" t="s">
        <v>290</v>
      </c>
      <c r="G207" s="3" t="s">
        <v>290</v>
      </c>
      <c r="H207" s="3" t="s">
        <v>308</v>
      </c>
    </row>
    <row r="208" customFormat="false" ht="15" hidden="false" customHeight="false" outlineLevel="0" collapsed="false">
      <c r="A208" s="3" t="s">
        <v>289</v>
      </c>
      <c r="B208" s="3" t="n">
        <v>18</v>
      </c>
      <c r="C208" s="3" t="s">
        <v>173</v>
      </c>
      <c r="D208" s="3" t="n">
        <v>1</v>
      </c>
      <c r="E208" s="3" t="s">
        <v>180</v>
      </c>
      <c r="F208" s="3" t="s">
        <v>290</v>
      </c>
      <c r="G208" s="3" t="s">
        <v>290</v>
      </c>
      <c r="H208" s="3" t="s">
        <v>308</v>
      </c>
    </row>
    <row r="209" customFormat="false" ht="15" hidden="false" customHeight="false" outlineLevel="0" collapsed="false">
      <c r="A209" s="3" t="s">
        <v>289</v>
      </c>
      <c r="B209" s="3" t="n">
        <v>19</v>
      </c>
      <c r="C209" s="3" t="s">
        <v>173</v>
      </c>
      <c r="D209" s="3" t="n">
        <v>98</v>
      </c>
      <c r="E209" s="3" t="s">
        <v>174</v>
      </c>
      <c r="F209" s="3" t="s">
        <v>290</v>
      </c>
      <c r="G209" s="3" t="s">
        <v>290</v>
      </c>
      <c r="H209" s="3" t="s">
        <v>309</v>
      </c>
    </row>
    <row r="210" customFormat="false" ht="15" hidden="false" customHeight="false" outlineLevel="0" collapsed="false">
      <c r="A210" s="3" t="s">
        <v>289</v>
      </c>
      <c r="B210" s="3" t="n">
        <v>19</v>
      </c>
      <c r="C210" s="3" t="s">
        <v>173</v>
      </c>
      <c r="D210" s="3" t="n">
        <v>94</v>
      </c>
      <c r="E210" s="3" t="s">
        <v>180</v>
      </c>
      <c r="F210" s="3" t="s">
        <v>290</v>
      </c>
      <c r="G210" s="3" t="s">
        <v>290</v>
      </c>
      <c r="H210" s="3" t="s">
        <v>309</v>
      </c>
    </row>
    <row r="211" customFormat="false" ht="15" hidden="false" customHeight="false" outlineLevel="0" collapsed="false">
      <c r="A211" s="3" t="s">
        <v>289</v>
      </c>
      <c r="B211" s="3" t="n">
        <v>19</v>
      </c>
      <c r="C211" s="3" t="s">
        <v>173</v>
      </c>
      <c r="D211" s="3" t="n">
        <v>83</v>
      </c>
      <c r="E211" s="3" t="s">
        <v>180</v>
      </c>
      <c r="F211" s="3" t="s">
        <v>290</v>
      </c>
      <c r="G211" s="3" t="s">
        <v>290</v>
      </c>
      <c r="H211" s="3" t="s">
        <v>309</v>
      </c>
    </row>
    <row r="212" customFormat="false" ht="15" hidden="false" customHeight="false" outlineLevel="0" collapsed="false">
      <c r="A212" s="3" t="s">
        <v>289</v>
      </c>
      <c r="B212" s="3" t="n">
        <v>20</v>
      </c>
      <c r="C212" s="3" t="s">
        <v>173</v>
      </c>
      <c r="D212" s="3" t="n">
        <v>32</v>
      </c>
      <c r="E212" s="3" t="s">
        <v>174</v>
      </c>
      <c r="F212" s="3" t="s">
        <v>290</v>
      </c>
      <c r="G212" s="3" t="s">
        <v>290</v>
      </c>
      <c r="H212" s="3" t="s">
        <v>310</v>
      </c>
    </row>
    <row r="213" customFormat="false" ht="15" hidden="false" customHeight="false" outlineLevel="0" collapsed="false">
      <c r="A213" s="3" t="s">
        <v>289</v>
      </c>
      <c r="B213" s="3" t="n">
        <v>20</v>
      </c>
      <c r="C213" s="3" t="s">
        <v>173</v>
      </c>
      <c r="D213" s="3" t="n">
        <v>44</v>
      </c>
      <c r="E213" s="3" t="s">
        <v>180</v>
      </c>
      <c r="F213" s="3" t="s">
        <v>290</v>
      </c>
      <c r="G213" s="3" t="s">
        <v>290</v>
      </c>
      <c r="H213" s="3" t="s">
        <v>310</v>
      </c>
    </row>
    <row r="214" customFormat="false" ht="15" hidden="false" customHeight="false" outlineLevel="0" collapsed="false">
      <c r="A214" s="3" t="s">
        <v>289</v>
      </c>
      <c r="B214" s="3" t="n">
        <v>20</v>
      </c>
      <c r="C214" s="3" t="s">
        <v>173</v>
      </c>
      <c r="D214" s="3" t="n">
        <v>16</v>
      </c>
      <c r="E214" s="3" t="s">
        <v>180</v>
      </c>
      <c r="F214" s="3" t="s">
        <v>290</v>
      </c>
      <c r="G214" s="3" t="s">
        <v>290</v>
      </c>
      <c r="H214" s="3" t="s">
        <v>310</v>
      </c>
    </row>
    <row r="215" customFormat="false" ht="15" hidden="false" customHeight="false" outlineLevel="0" collapsed="false">
      <c r="A215" s="3" t="s">
        <v>311</v>
      </c>
      <c r="B215" s="3" t="n">
        <v>1</v>
      </c>
      <c r="C215" s="3" t="s">
        <v>173</v>
      </c>
      <c r="D215" s="3" t="n">
        <v>84</v>
      </c>
      <c r="E215" s="3" t="s">
        <v>174</v>
      </c>
      <c r="F215" s="3" t="s">
        <v>175</v>
      </c>
      <c r="G215" s="3" t="s">
        <v>175</v>
      </c>
      <c r="H215" s="3" t="s">
        <v>312</v>
      </c>
    </row>
    <row r="216" customFormat="false" ht="15" hidden="false" customHeight="false" outlineLevel="0" collapsed="false">
      <c r="A216" s="3" t="s">
        <v>311</v>
      </c>
      <c r="B216" s="3" t="n">
        <v>1</v>
      </c>
      <c r="C216" s="3" t="s">
        <v>173</v>
      </c>
      <c r="D216" s="3" t="n">
        <v>32</v>
      </c>
      <c r="E216" s="3" t="s">
        <v>180</v>
      </c>
      <c r="F216" s="3" t="s">
        <v>175</v>
      </c>
      <c r="G216" s="3" t="s">
        <v>175</v>
      </c>
      <c r="H216" s="3" t="s">
        <v>312</v>
      </c>
    </row>
    <row r="217" customFormat="false" ht="15" hidden="false" customHeight="false" outlineLevel="0" collapsed="false">
      <c r="A217" s="3" t="s">
        <v>311</v>
      </c>
      <c r="B217" s="3" t="n">
        <v>2</v>
      </c>
      <c r="C217" s="3" t="s">
        <v>173</v>
      </c>
      <c r="D217" s="3" t="n">
        <v>115</v>
      </c>
      <c r="E217" s="3" t="s">
        <v>174</v>
      </c>
      <c r="F217" s="3" t="s">
        <v>175</v>
      </c>
      <c r="G217" s="3" t="s">
        <v>175</v>
      </c>
      <c r="H217" s="3" t="s">
        <v>313</v>
      </c>
    </row>
    <row r="218" customFormat="false" ht="15" hidden="false" customHeight="false" outlineLevel="0" collapsed="false">
      <c r="A218" s="3" t="s">
        <v>311</v>
      </c>
      <c r="B218" s="3" t="n">
        <v>2</v>
      </c>
      <c r="C218" s="3" t="s">
        <v>173</v>
      </c>
      <c r="D218" s="3" t="n">
        <v>32</v>
      </c>
      <c r="E218" s="3" t="s">
        <v>180</v>
      </c>
      <c r="F218" s="3" t="s">
        <v>175</v>
      </c>
      <c r="G218" s="3" t="s">
        <v>175</v>
      </c>
      <c r="H218" s="3" t="s">
        <v>313</v>
      </c>
    </row>
    <row r="219" customFormat="false" ht="15" hidden="false" customHeight="false" outlineLevel="0" collapsed="false">
      <c r="A219" s="3" t="s">
        <v>311</v>
      </c>
      <c r="B219" s="3" t="n">
        <v>3</v>
      </c>
      <c r="C219" s="3" t="s">
        <v>173</v>
      </c>
      <c r="D219" s="3" t="n">
        <v>68</v>
      </c>
      <c r="E219" s="3" t="s">
        <v>174</v>
      </c>
      <c r="F219" s="3" t="s">
        <v>175</v>
      </c>
      <c r="G219" s="3" t="s">
        <v>175</v>
      </c>
      <c r="H219" s="3" t="s">
        <v>314</v>
      </c>
    </row>
    <row r="220" customFormat="false" ht="15" hidden="false" customHeight="false" outlineLevel="0" collapsed="false">
      <c r="A220" s="3" t="s">
        <v>311</v>
      </c>
      <c r="B220" s="3" t="n">
        <v>3</v>
      </c>
      <c r="C220" s="3" t="s">
        <v>173</v>
      </c>
      <c r="D220" s="3" t="n">
        <v>100</v>
      </c>
      <c r="E220" s="3" t="s">
        <v>180</v>
      </c>
      <c r="F220" s="3" t="s">
        <v>175</v>
      </c>
      <c r="G220" s="3" t="s">
        <v>175</v>
      </c>
      <c r="H220" s="3" t="s">
        <v>314</v>
      </c>
    </row>
    <row r="221" customFormat="false" ht="15" hidden="false" customHeight="false" outlineLevel="0" collapsed="false">
      <c r="A221" s="3" t="s">
        <v>311</v>
      </c>
      <c r="B221" s="3" t="n">
        <v>4</v>
      </c>
      <c r="C221" s="3" t="s">
        <v>173</v>
      </c>
      <c r="D221" s="3" t="n">
        <v>2</v>
      </c>
      <c r="E221" s="3" t="s">
        <v>174</v>
      </c>
      <c r="F221" s="3" t="s">
        <v>175</v>
      </c>
      <c r="G221" s="3" t="s">
        <v>175</v>
      </c>
      <c r="H221" s="3" t="s">
        <v>315</v>
      </c>
    </row>
    <row r="222" customFormat="false" ht="15" hidden="false" customHeight="false" outlineLevel="0" collapsed="false">
      <c r="A222" s="3" t="s">
        <v>311</v>
      </c>
      <c r="B222" s="3" t="n">
        <v>5</v>
      </c>
      <c r="C222" s="3" t="s">
        <v>173</v>
      </c>
      <c r="D222" s="3" t="n">
        <v>58</v>
      </c>
      <c r="E222" s="3" t="s">
        <v>174</v>
      </c>
      <c r="F222" s="3" t="s">
        <v>175</v>
      </c>
      <c r="G222" s="3" t="s">
        <v>175</v>
      </c>
      <c r="H222" s="3" t="s">
        <v>316</v>
      </c>
    </row>
    <row r="223" customFormat="false" ht="15" hidden="false" customHeight="false" outlineLevel="0" collapsed="false">
      <c r="A223" s="3" t="s">
        <v>311</v>
      </c>
      <c r="B223" s="3" t="n">
        <v>6</v>
      </c>
      <c r="C223" s="3" t="s">
        <v>173</v>
      </c>
      <c r="D223" s="3" t="n">
        <v>2</v>
      </c>
      <c r="E223" s="3" t="s">
        <v>174</v>
      </c>
      <c r="F223" s="3" t="s">
        <v>175</v>
      </c>
      <c r="G223" s="3" t="s">
        <v>175</v>
      </c>
      <c r="H223" s="3" t="s">
        <v>317</v>
      </c>
    </row>
    <row r="224" customFormat="false" ht="15" hidden="false" customHeight="false" outlineLevel="0" collapsed="false">
      <c r="A224" s="3" t="s">
        <v>311</v>
      </c>
      <c r="B224" s="3" t="n">
        <v>7</v>
      </c>
      <c r="C224" s="3" t="s">
        <v>173</v>
      </c>
      <c r="D224" s="3" t="n">
        <v>88</v>
      </c>
      <c r="E224" s="3" t="s">
        <v>174</v>
      </c>
      <c r="F224" s="3" t="s">
        <v>175</v>
      </c>
      <c r="G224" s="3" t="s">
        <v>175</v>
      </c>
      <c r="H224" s="3" t="s">
        <v>318</v>
      </c>
    </row>
    <row r="225" customFormat="false" ht="15" hidden="false" customHeight="false" outlineLevel="0" collapsed="false">
      <c r="A225" s="3" t="s">
        <v>311</v>
      </c>
      <c r="B225" s="3" t="n">
        <v>7</v>
      </c>
      <c r="C225" s="3" t="s">
        <v>173</v>
      </c>
      <c r="D225" s="3" t="n">
        <v>23</v>
      </c>
      <c r="E225" s="3" t="s">
        <v>180</v>
      </c>
      <c r="F225" s="3" t="s">
        <v>175</v>
      </c>
      <c r="G225" s="3" t="s">
        <v>175</v>
      </c>
      <c r="H225" s="3" t="s">
        <v>318</v>
      </c>
    </row>
    <row r="226" customFormat="false" ht="15" hidden="false" customHeight="false" outlineLevel="0" collapsed="false">
      <c r="A226" s="3" t="s">
        <v>311</v>
      </c>
      <c r="B226" s="3" t="n">
        <v>8</v>
      </c>
      <c r="C226" s="3" t="s">
        <v>173</v>
      </c>
      <c r="D226" s="3" t="n">
        <v>32</v>
      </c>
      <c r="E226" s="3" t="s">
        <v>174</v>
      </c>
      <c r="F226" s="3" t="s">
        <v>175</v>
      </c>
      <c r="G226" s="3" t="s">
        <v>175</v>
      </c>
      <c r="H226" s="3" t="s">
        <v>319</v>
      </c>
    </row>
    <row r="227" customFormat="false" ht="15" hidden="false" customHeight="false" outlineLevel="0" collapsed="false">
      <c r="A227" s="3" t="s">
        <v>311</v>
      </c>
      <c r="B227" s="3" t="n">
        <v>8</v>
      </c>
      <c r="C227" s="3" t="s">
        <v>173</v>
      </c>
      <c r="D227" s="3" t="n">
        <v>13</v>
      </c>
      <c r="E227" s="3" t="s">
        <v>180</v>
      </c>
      <c r="F227" s="3" t="s">
        <v>175</v>
      </c>
      <c r="G227" s="3" t="s">
        <v>175</v>
      </c>
      <c r="H227" s="3" t="s">
        <v>319</v>
      </c>
    </row>
    <row r="228" customFormat="false" ht="15" hidden="false" customHeight="false" outlineLevel="0" collapsed="false">
      <c r="A228" s="3" t="s">
        <v>311</v>
      </c>
      <c r="B228" s="3" t="n">
        <v>9</v>
      </c>
      <c r="C228" s="3" t="s">
        <v>173</v>
      </c>
      <c r="D228" s="3" t="n">
        <v>51</v>
      </c>
      <c r="E228" s="3" t="s">
        <v>174</v>
      </c>
      <c r="F228" s="3" t="s">
        <v>175</v>
      </c>
      <c r="G228" s="3" t="s">
        <v>175</v>
      </c>
      <c r="H228" s="3" t="s">
        <v>320</v>
      </c>
    </row>
    <row r="229" customFormat="false" ht="15" hidden="false" customHeight="false" outlineLevel="0" collapsed="false">
      <c r="A229" s="3" t="s">
        <v>311</v>
      </c>
      <c r="B229" s="3" t="n">
        <v>9</v>
      </c>
      <c r="C229" s="3" t="s">
        <v>173</v>
      </c>
      <c r="D229" s="3" t="n">
        <v>31</v>
      </c>
      <c r="E229" s="3" t="s">
        <v>180</v>
      </c>
      <c r="F229" s="3" t="s">
        <v>175</v>
      </c>
      <c r="G229" s="3" t="s">
        <v>175</v>
      </c>
      <c r="H229" s="3" t="s">
        <v>320</v>
      </c>
    </row>
    <row r="230" customFormat="false" ht="15" hidden="false" customHeight="false" outlineLevel="0" collapsed="false">
      <c r="A230" s="3" t="s">
        <v>311</v>
      </c>
      <c r="B230" s="3" t="n">
        <v>10</v>
      </c>
      <c r="C230" s="3" t="s">
        <v>173</v>
      </c>
      <c r="D230" s="3" t="n">
        <v>32</v>
      </c>
      <c r="E230" s="3" t="s">
        <v>174</v>
      </c>
      <c r="F230" s="3" t="s">
        <v>175</v>
      </c>
      <c r="G230" s="3" t="s">
        <v>175</v>
      </c>
      <c r="H230" s="3" t="s">
        <v>321</v>
      </c>
    </row>
    <row r="231" customFormat="false" ht="15" hidden="false" customHeight="false" outlineLevel="0" collapsed="false">
      <c r="A231" s="3" t="s">
        <v>311</v>
      </c>
      <c r="B231" s="3" t="n">
        <v>10</v>
      </c>
      <c r="C231" s="3" t="s">
        <v>173</v>
      </c>
      <c r="D231" s="3" t="n">
        <v>88</v>
      </c>
      <c r="E231" s="3" t="s">
        <v>180</v>
      </c>
      <c r="F231" s="3" t="s">
        <v>175</v>
      </c>
      <c r="G231" s="3" t="s">
        <v>175</v>
      </c>
      <c r="H231" s="3" t="s">
        <v>321</v>
      </c>
    </row>
    <row r="232" customFormat="false" ht="15" hidden="false" customHeight="false" outlineLevel="0" collapsed="false">
      <c r="A232" s="3" t="s">
        <v>311</v>
      </c>
      <c r="B232" s="3" t="n">
        <v>11</v>
      </c>
      <c r="C232" s="3" t="s">
        <v>173</v>
      </c>
      <c r="D232" s="3" t="n">
        <v>26</v>
      </c>
      <c r="E232" s="3" t="s">
        <v>174</v>
      </c>
      <c r="F232" s="3" t="s">
        <v>175</v>
      </c>
      <c r="G232" s="3" t="s">
        <v>175</v>
      </c>
      <c r="H232" s="3" t="s">
        <v>322</v>
      </c>
    </row>
    <row r="233" customFormat="false" ht="15" hidden="false" customHeight="false" outlineLevel="0" collapsed="false">
      <c r="A233" s="3" t="s">
        <v>311</v>
      </c>
      <c r="B233" s="3" t="n">
        <v>12</v>
      </c>
      <c r="C233" s="3" t="s">
        <v>173</v>
      </c>
      <c r="D233" s="3" t="n">
        <v>2</v>
      </c>
      <c r="E233" s="3" t="s">
        <v>174</v>
      </c>
      <c r="F233" s="3" t="s">
        <v>175</v>
      </c>
      <c r="G233" s="3" t="s">
        <v>175</v>
      </c>
      <c r="H233" s="3" t="s">
        <v>323</v>
      </c>
    </row>
    <row r="234" customFormat="false" ht="15" hidden="false" customHeight="false" outlineLevel="0" collapsed="false">
      <c r="A234" s="3" t="s">
        <v>311</v>
      </c>
      <c r="B234" s="3" t="n">
        <v>13</v>
      </c>
      <c r="C234" s="3" t="s">
        <v>173</v>
      </c>
      <c r="D234" s="3" t="n">
        <v>2</v>
      </c>
      <c r="E234" s="3" t="s">
        <v>174</v>
      </c>
      <c r="F234" s="3" t="s">
        <v>175</v>
      </c>
      <c r="G234" s="3" t="s">
        <v>175</v>
      </c>
      <c r="H234" s="3" t="s">
        <v>324</v>
      </c>
    </row>
    <row r="235" customFormat="false" ht="15" hidden="false" customHeight="false" outlineLevel="0" collapsed="false">
      <c r="A235" s="3" t="s">
        <v>311</v>
      </c>
      <c r="B235" s="3" t="n">
        <v>13</v>
      </c>
      <c r="C235" s="3" t="s">
        <v>173</v>
      </c>
      <c r="D235" s="3" t="n">
        <v>39</v>
      </c>
      <c r="E235" s="3" t="s">
        <v>180</v>
      </c>
      <c r="F235" s="3" t="s">
        <v>175</v>
      </c>
      <c r="G235" s="3" t="s">
        <v>175</v>
      </c>
      <c r="H235" s="3" t="s">
        <v>324</v>
      </c>
    </row>
    <row r="236" customFormat="false" ht="15" hidden="false" customHeight="false" outlineLevel="0" collapsed="false">
      <c r="A236" s="3" t="s">
        <v>311</v>
      </c>
      <c r="B236" s="3" t="n">
        <v>14</v>
      </c>
      <c r="C236" s="3" t="s">
        <v>173</v>
      </c>
      <c r="D236" s="3" t="n">
        <v>49</v>
      </c>
      <c r="E236" s="3" t="s">
        <v>174</v>
      </c>
      <c r="F236" s="3" t="s">
        <v>175</v>
      </c>
      <c r="G236" s="3" t="s">
        <v>175</v>
      </c>
      <c r="H236" s="3" t="s">
        <v>325</v>
      </c>
    </row>
    <row r="237" customFormat="false" ht="15" hidden="false" customHeight="false" outlineLevel="0" collapsed="false">
      <c r="A237" s="3" t="s">
        <v>311</v>
      </c>
      <c r="B237" s="3" t="n">
        <v>15</v>
      </c>
      <c r="C237" s="3" t="s">
        <v>173</v>
      </c>
      <c r="D237" s="3" t="n">
        <v>52</v>
      </c>
      <c r="E237" s="3" t="s">
        <v>174</v>
      </c>
      <c r="F237" s="3" t="s">
        <v>175</v>
      </c>
      <c r="G237" s="3" t="s">
        <v>175</v>
      </c>
      <c r="H237" s="3" t="s">
        <v>326</v>
      </c>
    </row>
    <row r="238" customFormat="false" ht="15" hidden="false" customHeight="false" outlineLevel="0" collapsed="false">
      <c r="A238" s="3" t="s">
        <v>311</v>
      </c>
      <c r="B238" s="3" t="n">
        <v>15</v>
      </c>
      <c r="C238" s="3" t="s">
        <v>173</v>
      </c>
      <c r="D238" s="3" t="n">
        <v>2</v>
      </c>
      <c r="E238" s="3" t="s">
        <v>180</v>
      </c>
      <c r="F238" s="3" t="s">
        <v>175</v>
      </c>
      <c r="G238" s="3" t="s">
        <v>175</v>
      </c>
      <c r="H238" s="3" t="s">
        <v>326</v>
      </c>
    </row>
    <row r="239" customFormat="false" ht="15" hidden="false" customHeight="false" outlineLevel="0" collapsed="false">
      <c r="A239" s="3" t="s">
        <v>311</v>
      </c>
      <c r="B239" s="3" t="n">
        <v>16</v>
      </c>
      <c r="C239" s="3" t="s">
        <v>173</v>
      </c>
      <c r="D239" s="3" t="n">
        <v>18</v>
      </c>
      <c r="E239" s="3" t="s">
        <v>174</v>
      </c>
      <c r="F239" s="3" t="s">
        <v>175</v>
      </c>
      <c r="G239" s="3" t="s">
        <v>175</v>
      </c>
      <c r="H239" s="3" t="s">
        <v>327</v>
      </c>
    </row>
    <row r="240" customFormat="false" ht="15" hidden="false" customHeight="false" outlineLevel="0" collapsed="false">
      <c r="A240" s="3" t="s">
        <v>311</v>
      </c>
      <c r="B240" s="3" t="n">
        <v>16</v>
      </c>
      <c r="C240" s="3" t="s">
        <v>173</v>
      </c>
      <c r="D240" s="3" t="n">
        <v>34</v>
      </c>
      <c r="E240" s="3" t="s">
        <v>180</v>
      </c>
      <c r="F240" s="3" t="s">
        <v>175</v>
      </c>
      <c r="G240" s="3" t="s">
        <v>175</v>
      </c>
      <c r="H240" s="3" t="s">
        <v>327</v>
      </c>
    </row>
    <row r="241" customFormat="false" ht="15" hidden="false" customHeight="false" outlineLevel="0" collapsed="false">
      <c r="A241" s="3" t="s">
        <v>311</v>
      </c>
      <c r="B241" s="3" t="n">
        <v>17</v>
      </c>
      <c r="C241" s="3" t="s">
        <v>173</v>
      </c>
      <c r="D241" s="3" t="n">
        <v>2</v>
      </c>
      <c r="E241" s="3" t="s">
        <v>174</v>
      </c>
      <c r="F241" s="3" t="s">
        <v>175</v>
      </c>
      <c r="G241" s="3" t="s">
        <v>175</v>
      </c>
      <c r="H241" s="3" t="s">
        <v>328</v>
      </c>
    </row>
    <row r="242" customFormat="false" ht="15" hidden="false" customHeight="false" outlineLevel="0" collapsed="false">
      <c r="A242" s="3" t="s">
        <v>311</v>
      </c>
      <c r="B242" s="3" t="n">
        <v>18</v>
      </c>
      <c r="C242" s="3" t="s">
        <v>173</v>
      </c>
      <c r="D242" s="3" t="n">
        <v>2</v>
      </c>
      <c r="E242" s="3" t="s">
        <v>174</v>
      </c>
      <c r="F242" s="3" t="s">
        <v>175</v>
      </c>
      <c r="G242" s="3" t="s">
        <v>175</v>
      </c>
      <c r="H242" s="3" t="s">
        <v>329</v>
      </c>
    </row>
    <row r="243" customFormat="false" ht="15" hidden="false" customHeight="false" outlineLevel="0" collapsed="false">
      <c r="A243" s="3" t="s">
        <v>311</v>
      </c>
      <c r="B243" s="3" t="n">
        <v>19</v>
      </c>
      <c r="C243" s="3" t="s">
        <v>173</v>
      </c>
      <c r="D243" s="3" t="n">
        <v>29</v>
      </c>
      <c r="E243" s="3" t="s">
        <v>174</v>
      </c>
      <c r="F243" s="3" t="s">
        <v>175</v>
      </c>
      <c r="G243" s="3" t="s">
        <v>175</v>
      </c>
      <c r="H243" s="3" t="s">
        <v>330</v>
      </c>
    </row>
    <row r="244" customFormat="false" ht="15" hidden="false" customHeight="false" outlineLevel="0" collapsed="false">
      <c r="A244" s="3" t="s">
        <v>311</v>
      </c>
      <c r="B244" s="3" t="n">
        <v>20</v>
      </c>
      <c r="C244" s="3" t="s">
        <v>173</v>
      </c>
      <c r="D244" s="3" t="n">
        <v>6</v>
      </c>
      <c r="E244" s="3" t="s">
        <v>174</v>
      </c>
      <c r="F244" s="3" t="s">
        <v>175</v>
      </c>
      <c r="G244" s="3" t="s">
        <v>175</v>
      </c>
      <c r="H244" s="3" t="s">
        <v>331</v>
      </c>
    </row>
    <row r="245" customFormat="false" ht="15" hidden="false" customHeight="false" outlineLevel="0" collapsed="false">
      <c r="A245" s="3" t="s">
        <v>311</v>
      </c>
      <c r="B245" s="3" t="n">
        <v>21</v>
      </c>
      <c r="C245" s="3" t="s">
        <v>173</v>
      </c>
      <c r="D245" s="3" t="n">
        <v>90</v>
      </c>
      <c r="E245" s="3" t="s">
        <v>174</v>
      </c>
      <c r="F245" s="3" t="s">
        <v>175</v>
      </c>
      <c r="G245" s="3" t="s">
        <v>175</v>
      </c>
      <c r="H245" s="3" t="s">
        <v>332</v>
      </c>
    </row>
    <row r="246" customFormat="false" ht="15" hidden="false" customHeight="false" outlineLevel="0" collapsed="false">
      <c r="A246" s="3" t="s">
        <v>311</v>
      </c>
      <c r="B246" s="3" t="n">
        <v>21</v>
      </c>
      <c r="C246" s="3" t="s">
        <v>173</v>
      </c>
      <c r="D246" s="3" t="n">
        <v>88</v>
      </c>
      <c r="E246" s="3" t="s">
        <v>180</v>
      </c>
      <c r="F246" s="3" t="s">
        <v>175</v>
      </c>
      <c r="G246" s="3" t="s">
        <v>175</v>
      </c>
      <c r="H246" s="3" t="s">
        <v>332</v>
      </c>
    </row>
    <row r="247" customFormat="false" ht="15" hidden="false" customHeight="false" outlineLevel="0" collapsed="false">
      <c r="A247" s="3" t="s">
        <v>311</v>
      </c>
      <c r="B247" s="3" t="n">
        <v>22</v>
      </c>
      <c r="C247" s="3" t="s">
        <v>173</v>
      </c>
      <c r="D247" s="3" t="n">
        <v>2</v>
      </c>
      <c r="E247" s="3" t="s">
        <v>174</v>
      </c>
      <c r="F247" s="3" t="s">
        <v>175</v>
      </c>
      <c r="G247" s="3" t="s">
        <v>175</v>
      </c>
      <c r="H247" s="3" t="s">
        <v>333</v>
      </c>
    </row>
    <row r="248" customFormat="false" ht="15" hidden="false" customHeight="false" outlineLevel="0" collapsed="false">
      <c r="A248" s="3" t="s">
        <v>311</v>
      </c>
      <c r="B248" s="3" t="n">
        <v>22</v>
      </c>
      <c r="C248" s="3" t="s">
        <v>173</v>
      </c>
      <c r="D248" s="3" t="n">
        <v>13</v>
      </c>
      <c r="E248" s="3" t="s">
        <v>180</v>
      </c>
      <c r="F248" s="3" t="s">
        <v>175</v>
      </c>
      <c r="G248" s="3" t="s">
        <v>175</v>
      </c>
      <c r="H248" s="3" t="s">
        <v>333</v>
      </c>
    </row>
    <row r="249" customFormat="false" ht="15" hidden="false" customHeight="false" outlineLevel="0" collapsed="false">
      <c r="A249" s="3" t="s">
        <v>311</v>
      </c>
      <c r="B249" s="3" t="n">
        <v>23</v>
      </c>
      <c r="C249" s="3" t="s">
        <v>173</v>
      </c>
      <c r="D249" s="3" t="n">
        <v>89</v>
      </c>
      <c r="E249" s="3" t="s">
        <v>174</v>
      </c>
      <c r="F249" s="3" t="s">
        <v>175</v>
      </c>
      <c r="G249" s="3" t="s">
        <v>175</v>
      </c>
      <c r="H249" s="3" t="s">
        <v>334</v>
      </c>
    </row>
    <row r="250" customFormat="false" ht="15" hidden="false" customHeight="false" outlineLevel="0" collapsed="false">
      <c r="A250" s="3" t="s">
        <v>311</v>
      </c>
      <c r="B250" s="3" t="n">
        <v>23</v>
      </c>
      <c r="C250" s="3" t="s">
        <v>173</v>
      </c>
      <c r="D250" s="3" t="n">
        <v>83</v>
      </c>
      <c r="E250" s="3" t="s">
        <v>180</v>
      </c>
      <c r="F250" s="3" t="s">
        <v>175</v>
      </c>
      <c r="G250" s="3" t="s">
        <v>175</v>
      </c>
      <c r="H250" s="3" t="s">
        <v>334</v>
      </c>
    </row>
    <row r="251" customFormat="false" ht="15" hidden="false" customHeight="false" outlineLevel="0" collapsed="false">
      <c r="A251" s="3" t="s">
        <v>311</v>
      </c>
      <c r="B251" s="3" t="n">
        <v>24</v>
      </c>
      <c r="C251" s="3" t="s">
        <v>173</v>
      </c>
      <c r="D251" s="3" t="n">
        <v>51</v>
      </c>
      <c r="E251" s="3" t="s">
        <v>174</v>
      </c>
      <c r="F251" s="3" t="s">
        <v>175</v>
      </c>
      <c r="G251" s="3" t="s">
        <v>175</v>
      </c>
      <c r="H251" s="3" t="s">
        <v>335</v>
      </c>
    </row>
    <row r="252" customFormat="false" ht="15" hidden="false" customHeight="false" outlineLevel="0" collapsed="false">
      <c r="A252" s="3" t="s">
        <v>311</v>
      </c>
      <c r="B252" s="3" t="n">
        <v>24</v>
      </c>
      <c r="C252" s="3" t="s">
        <v>173</v>
      </c>
      <c r="D252" s="3" t="n">
        <v>52</v>
      </c>
      <c r="E252" s="3" t="s">
        <v>180</v>
      </c>
      <c r="F252" s="3" t="s">
        <v>175</v>
      </c>
      <c r="G252" s="3" t="s">
        <v>175</v>
      </c>
      <c r="H252" s="3" t="s">
        <v>335</v>
      </c>
    </row>
    <row r="253" customFormat="false" ht="15" hidden="false" customHeight="false" outlineLevel="0" collapsed="false">
      <c r="A253" s="3" t="s">
        <v>336</v>
      </c>
      <c r="B253" s="3" t="n">
        <v>1</v>
      </c>
      <c r="C253" s="3" t="s">
        <v>173</v>
      </c>
      <c r="D253" s="3" t="n">
        <v>51</v>
      </c>
      <c r="E253" s="3" t="s">
        <v>174</v>
      </c>
      <c r="F253" s="3" t="s">
        <v>175</v>
      </c>
      <c r="G253" s="3" t="s">
        <v>175</v>
      </c>
      <c r="H253" s="3" t="s">
        <v>337</v>
      </c>
    </row>
    <row r="254" customFormat="false" ht="15" hidden="false" customHeight="false" outlineLevel="0" collapsed="false">
      <c r="A254" s="3" t="s">
        <v>336</v>
      </c>
      <c r="B254" s="3" t="n">
        <v>1</v>
      </c>
      <c r="C254" s="3" t="s">
        <v>173</v>
      </c>
      <c r="D254" s="3" t="n">
        <v>25</v>
      </c>
      <c r="E254" s="3" t="s">
        <v>180</v>
      </c>
      <c r="F254" s="3" t="s">
        <v>175</v>
      </c>
      <c r="G254" s="3" t="s">
        <v>175</v>
      </c>
      <c r="H254" s="3" t="s">
        <v>337</v>
      </c>
    </row>
    <row r="255" customFormat="false" ht="15" hidden="false" customHeight="false" outlineLevel="0" collapsed="false">
      <c r="A255" s="3" t="s">
        <v>336</v>
      </c>
      <c r="B255" s="3" t="n">
        <v>2</v>
      </c>
      <c r="C255" s="3" t="s">
        <v>173</v>
      </c>
      <c r="D255" s="3" t="n">
        <v>10</v>
      </c>
      <c r="E255" s="3" t="s">
        <v>174</v>
      </c>
      <c r="F255" s="3" t="s">
        <v>175</v>
      </c>
      <c r="G255" s="3" t="s">
        <v>175</v>
      </c>
      <c r="H255" s="3" t="s">
        <v>338</v>
      </c>
    </row>
    <row r="256" customFormat="false" ht="15" hidden="false" customHeight="false" outlineLevel="0" collapsed="false">
      <c r="A256" s="3" t="s">
        <v>336</v>
      </c>
      <c r="B256" s="3" t="n">
        <v>3</v>
      </c>
      <c r="C256" s="3" t="s">
        <v>173</v>
      </c>
      <c r="D256" s="3" t="n">
        <v>52</v>
      </c>
      <c r="E256" s="3" t="s">
        <v>174</v>
      </c>
      <c r="F256" s="3" t="s">
        <v>175</v>
      </c>
      <c r="G256" s="3" t="s">
        <v>175</v>
      </c>
      <c r="H256" s="3" t="s">
        <v>339</v>
      </c>
    </row>
    <row r="257" customFormat="false" ht="15" hidden="false" customHeight="false" outlineLevel="0" collapsed="false">
      <c r="A257" s="3" t="s">
        <v>336</v>
      </c>
      <c r="B257" s="3" t="n">
        <v>3</v>
      </c>
      <c r="C257" s="3" t="s">
        <v>173</v>
      </c>
      <c r="D257" s="3" t="n">
        <v>119</v>
      </c>
      <c r="E257" s="3" t="s">
        <v>180</v>
      </c>
      <c r="F257" s="3" t="s">
        <v>175</v>
      </c>
      <c r="G257" s="3" t="s">
        <v>175</v>
      </c>
      <c r="H257" s="3" t="s">
        <v>339</v>
      </c>
    </row>
    <row r="258" customFormat="false" ht="15" hidden="false" customHeight="false" outlineLevel="0" collapsed="false">
      <c r="A258" s="3" t="s">
        <v>336</v>
      </c>
      <c r="B258" s="3" t="n">
        <v>4</v>
      </c>
      <c r="C258" s="3" t="s">
        <v>173</v>
      </c>
      <c r="D258" s="3" t="n">
        <v>55</v>
      </c>
      <c r="E258" s="3" t="s">
        <v>174</v>
      </c>
      <c r="F258" s="3" t="s">
        <v>175</v>
      </c>
      <c r="G258" s="3" t="s">
        <v>175</v>
      </c>
      <c r="H258" s="3" t="s">
        <v>340</v>
      </c>
    </row>
    <row r="259" customFormat="false" ht="15" hidden="false" customHeight="false" outlineLevel="0" collapsed="false">
      <c r="A259" s="3" t="s">
        <v>336</v>
      </c>
      <c r="B259" s="3" t="n">
        <v>5</v>
      </c>
      <c r="C259" s="3" t="s">
        <v>173</v>
      </c>
      <c r="D259" s="3" t="n">
        <v>88</v>
      </c>
      <c r="E259" s="3" t="s">
        <v>174</v>
      </c>
      <c r="F259" s="3" t="s">
        <v>175</v>
      </c>
      <c r="G259" s="3" t="s">
        <v>175</v>
      </c>
      <c r="H259" s="3" t="s">
        <v>341</v>
      </c>
    </row>
    <row r="260" customFormat="false" ht="15" hidden="false" customHeight="false" outlineLevel="0" collapsed="false">
      <c r="A260" s="3" t="s">
        <v>336</v>
      </c>
      <c r="B260" s="3" t="n">
        <v>7</v>
      </c>
      <c r="C260" s="3" t="s">
        <v>173</v>
      </c>
      <c r="D260" s="3" t="n">
        <v>94</v>
      </c>
      <c r="E260" s="3" t="s">
        <v>174</v>
      </c>
      <c r="F260" s="3" t="s">
        <v>175</v>
      </c>
      <c r="G260" s="3" t="s">
        <v>175</v>
      </c>
      <c r="H260" s="3" t="s">
        <v>342</v>
      </c>
    </row>
    <row r="261" customFormat="false" ht="15" hidden="false" customHeight="false" outlineLevel="0" collapsed="false">
      <c r="A261" s="3" t="s">
        <v>336</v>
      </c>
      <c r="B261" s="3" t="n">
        <v>7</v>
      </c>
      <c r="C261" s="3" t="s">
        <v>173</v>
      </c>
      <c r="D261" s="3" t="n">
        <v>32</v>
      </c>
      <c r="E261" s="3" t="s">
        <v>180</v>
      </c>
      <c r="F261" s="3" t="s">
        <v>175</v>
      </c>
      <c r="G261" s="3" t="s">
        <v>175</v>
      </c>
      <c r="H261" s="3" t="s">
        <v>342</v>
      </c>
    </row>
    <row r="262" customFormat="false" ht="15" hidden="false" customHeight="false" outlineLevel="0" collapsed="false">
      <c r="A262" s="3" t="s">
        <v>336</v>
      </c>
      <c r="B262" s="3" t="n">
        <v>8</v>
      </c>
      <c r="C262" s="3" t="s">
        <v>173</v>
      </c>
      <c r="D262" s="3" t="n">
        <v>104</v>
      </c>
      <c r="E262" s="3" t="s">
        <v>174</v>
      </c>
      <c r="F262" s="3" t="s">
        <v>175</v>
      </c>
      <c r="G262" s="3" t="s">
        <v>175</v>
      </c>
      <c r="H262" s="3" t="s">
        <v>343</v>
      </c>
    </row>
    <row r="263" customFormat="false" ht="15" hidden="false" customHeight="false" outlineLevel="0" collapsed="false">
      <c r="A263" s="3" t="s">
        <v>336</v>
      </c>
      <c r="B263" s="3" t="n">
        <v>8</v>
      </c>
      <c r="C263" s="3" t="s">
        <v>173</v>
      </c>
      <c r="D263" s="3" t="n">
        <v>72</v>
      </c>
      <c r="E263" s="3" t="s">
        <v>180</v>
      </c>
      <c r="F263" s="3" t="s">
        <v>175</v>
      </c>
      <c r="G263" s="3" t="s">
        <v>175</v>
      </c>
      <c r="H263" s="3" t="s">
        <v>343</v>
      </c>
    </row>
    <row r="264" customFormat="false" ht="15" hidden="false" customHeight="false" outlineLevel="0" collapsed="false">
      <c r="A264" s="3" t="s">
        <v>336</v>
      </c>
      <c r="B264" s="3" t="n">
        <v>9</v>
      </c>
      <c r="C264" s="3" t="s">
        <v>173</v>
      </c>
      <c r="D264" s="3" t="n">
        <v>108</v>
      </c>
      <c r="E264" s="3" t="s">
        <v>174</v>
      </c>
      <c r="F264" s="3" t="s">
        <v>175</v>
      </c>
      <c r="G264" s="3" t="s">
        <v>175</v>
      </c>
      <c r="H264" s="3" t="s">
        <v>344</v>
      </c>
    </row>
    <row r="265" customFormat="false" ht="15" hidden="false" customHeight="false" outlineLevel="0" collapsed="false">
      <c r="A265" s="3" t="s">
        <v>336</v>
      </c>
      <c r="B265" s="3" t="n">
        <v>9</v>
      </c>
      <c r="C265" s="3" t="s">
        <v>173</v>
      </c>
      <c r="D265" s="3" t="n">
        <v>55</v>
      </c>
      <c r="E265" s="3" t="s">
        <v>180</v>
      </c>
      <c r="F265" s="3" t="s">
        <v>175</v>
      </c>
      <c r="G265" s="3" t="s">
        <v>175</v>
      </c>
      <c r="H265" s="3" t="s">
        <v>344</v>
      </c>
    </row>
    <row r="266" customFormat="false" ht="15" hidden="false" customHeight="false" outlineLevel="0" collapsed="false">
      <c r="A266" s="3" t="s">
        <v>336</v>
      </c>
      <c r="B266" s="3" t="n">
        <v>9</v>
      </c>
      <c r="C266" s="3" t="s">
        <v>173</v>
      </c>
      <c r="D266" s="3" t="n">
        <v>73</v>
      </c>
      <c r="E266" s="3" t="s">
        <v>180</v>
      </c>
      <c r="F266" s="3" t="s">
        <v>175</v>
      </c>
      <c r="G266" s="3" t="s">
        <v>175</v>
      </c>
      <c r="H266" s="3" t="s">
        <v>344</v>
      </c>
    </row>
    <row r="267" customFormat="false" ht="15" hidden="false" customHeight="false" outlineLevel="0" collapsed="false">
      <c r="A267" s="3" t="s">
        <v>336</v>
      </c>
      <c r="B267" s="3" t="n">
        <v>10</v>
      </c>
      <c r="C267" s="3" t="s">
        <v>173</v>
      </c>
      <c r="D267" s="3" t="n">
        <v>71</v>
      </c>
      <c r="E267" s="3" t="s">
        <v>174</v>
      </c>
      <c r="F267" s="3" t="s">
        <v>175</v>
      </c>
      <c r="G267" s="3" t="s">
        <v>175</v>
      </c>
      <c r="H267" s="3" t="s">
        <v>345</v>
      </c>
    </row>
    <row r="268" customFormat="false" ht="15" hidden="false" customHeight="false" outlineLevel="0" collapsed="false">
      <c r="A268" s="3" t="s">
        <v>336</v>
      </c>
      <c r="B268" s="3" t="n">
        <v>10</v>
      </c>
      <c r="C268" s="3" t="s">
        <v>173</v>
      </c>
      <c r="D268" s="3" t="n">
        <v>6</v>
      </c>
      <c r="E268" s="3" t="s">
        <v>180</v>
      </c>
      <c r="F268" s="3" t="s">
        <v>175</v>
      </c>
      <c r="G268" s="3" t="s">
        <v>175</v>
      </c>
      <c r="H268" s="3" t="s">
        <v>345</v>
      </c>
    </row>
    <row r="269" customFormat="false" ht="15" hidden="false" customHeight="false" outlineLevel="0" collapsed="false">
      <c r="A269" s="3" t="s">
        <v>336</v>
      </c>
      <c r="B269" s="3" t="n">
        <v>11</v>
      </c>
      <c r="C269" s="3" t="s">
        <v>173</v>
      </c>
      <c r="D269" s="3" t="n">
        <v>117</v>
      </c>
      <c r="E269" s="3" t="s">
        <v>174</v>
      </c>
      <c r="F269" s="3" t="s">
        <v>175</v>
      </c>
      <c r="G269" s="3" t="s">
        <v>175</v>
      </c>
      <c r="H269" s="3" t="s">
        <v>346</v>
      </c>
    </row>
    <row r="270" customFormat="false" ht="15" hidden="false" customHeight="false" outlineLevel="0" collapsed="false">
      <c r="A270" s="3" t="s">
        <v>336</v>
      </c>
      <c r="B270" s="3" t="n">
        <v>12</v>
      </c>
      <c r="C270" s="3" t="s">
        <v>173</v>
      </c>
      <c r="D270" s="3" t="n">
        <v>90</v>
      </c>
      <c r="E270" s="3" t="s">
        <v>174</v>
      </c>
      <c r="F270" s="3" t="s">
        <v>175</v>
      </c>
      <c r="G270" s="3" t="s">
        <v>175</v>
      </c>
      <c r="H270" s="3" t="s">
        <v>347</v>
      </c>
    </row>
    <row r="271" customFormat="false" ht="15" hidden="false" customHeight="false" outlineLevel="0" collapsed="false">
      <c r="A271" s="3" t="s">
        <v>336</v>
      </c>
      <c r="B271" s="3" t="n">
        <v>12</v>
      </c>
      <c r="C271" s="3" t="s">
        <v>173</v>
      </c>
      <c r="D271" s="3" t="n">
        <v>32</v>
      </c>
      <c r="E271" s="3" t="s">
        <v>180</v>
      </c>
      <c r="F271" s="3" t="s">
        <v>175</v>
      </c>
      <c r="G271" s="3" t="s">
        <v>175</v>
      </c>
      <c r="H271" s="3" t="s">
        <v>347</v>
      </c>
    </row>
    <row r="272" customFormat="false" ht="15" hidden="false" customHeight="false" outlineLevel="0" collapsed="false">
      <c r="A272" s="3" t="s">
        <v>336</v>
      </c>
      <c r="B272" s="3" t="n">
        <v>13</v>
      </c>
      <c r="C272" s="3" t="s">
        <v>173</v>
      </c>
      <c r="D272" s="3" t="n">
        <v>48</v>
      </c>
      <c r="E272" s="3" t="s">
        <v>174</v>
      </c>
      <c r="F272" s="3" t="s">
        <v>175</v>
      </c>
      <c r="G272" s="3" t="s">
        <v>175</v>
      </c>
      <c r="H272" s="3" t="s">
        <v>348</v>
      </c>
    </row>
    <row r="273" customFormat="false" ht="15" hidden="false" customHeight="false" outlineLevel="0" collapsed="false">
      <c r="A273" s="3" t="s">
        <v>336</v>
      </c>
      <c r="B273" s="3" t="n">
        <v>13</v>
      </c>
      <c r="C273" s="3" t="s">
        <v>173</v>
      </c>
      <c r="D273" s="3" t="n">
        <v>46</v>
      </c>
      <c r="E273" s="3" t="s">
        <v>180</v>
      </c>
      <c r="F273" s="3" t="s">
        <v>175</v>
      </c>
      <c r="G273" s="3" t="s">
        <v>175</v>
      </c>
      <c r="H273" s="3" t="s">
        <v>348</v>
      </c>
    </row>
    <row r="274" customFormat="false" ht="15" hidden="false" customHeight="false" outlineLevel="0" collapsed="false">
      <c r="A274" s="3" t="s">
        <v>336</v>
      </c>
      <c r="B274" s="3" t="n">
        <v>14</v>
      </c>
      <c r="C274" s="3" t="s">
        <v>173</v>
      </c>
      <c r="D274" s="3" t="n">
        <v>37</v>
      </c>
      <c r="E274" s="3" t="s">
        <v>174</v>
      </c>
      <c r="F274" s="3" t="s">
        <v>175</v>
      </c>
      <c r="G274" s="3" t="s">
        <v>175</v>
      </c>
      <c r="H274" s="3" t="s">
        <v>349</v>
      </c>
    </row>
    <row r="275" customFormat="false" ht="15" hidden="false" customHeight="false" outlineLevel="0" collapsed="false">
      <c r="A275" s="3" t="s">
        <v>336</v>
      </c>
      <c r="B275" s="3" t="n">
        <v>14</v>
      </c>
      <c r="C275" s="3" t="s">
        <v>173</v>
      </c>
      <c r="D275" s="3" t="n">
        <v>4</v>
      </c>
      <c r="E275" s="3" t="s">
        <v>180</v>
      </c>
      <c r="F275" s="3" t="s">
        <v>175</v>
      </c>
      <c r="G275" s="3" t="s">
        <v>175</v>
      </c>
      <c r="H275" s="3" t="s">
        <v>349</v>
      </c>
    </row>
    <row r="276" customFormat="false" ht="15" hidden="false" customHeight="false" outlineLevel="0" collapsed="false">
      <c r="A276" s="3" t="s">
        <v>336</v>
      </c>
      <c r="B276" s="3" t="n">
        <v>15</v>
      </c>
      <c r="C276" s="3" t="s">
        <v>173</v>
      </c>
      <c r="D276" s="3" t="n">
        <v>32</v>
      </c>
      <c r="E276" s="3" t="s">
        <v>174</v>
      </c>
      <c r="F276" s="3" t="s">
        <v>175</v>
      </c>
      <c r="G276" s="3" t="s">
        <v>175</v>
      </c>
      <c r="H276" s="3" t="s">
        <v>350</v>
      </c>
    </row>
    <row r="277" customFormat="false" ht="15" hidden="false" customHeight="false" outlineLevel="0" collapsed="false">
      <c r="A277" s="3" t="s">
        <v>336</v>
      </c>
      <c r="B277" s="3" t="n">
        <v>15</v>
      </c>
      <c r="C277" s="3" t="s">
        <v>173</v>
      </c>
      <c r="D277" s="3" t="n">
        <v>2</v>
      </c>
      <c r="E277" s="3" t="s">
        <v>180</v>
      </c>
      <c r="F277" s="3" t="s">
        <v>175</v>
      </c>
      <c r="G277" s="3" t="s">
        <v>175</v>
      </c>
      <c r="H277" s="3" t="s">
        <v>350</v>
      </c>
    </row>
    <row r="278" customFormat="false" ht="15" hidden="false" customHeight="false" outlineLevel="0" collapsed="false">
      <c r="A278" s="3" t="s">
        <v>336</v>
      </c>
      <c r="B278" s="3" t="n">
        <v>16</v>
      </c>
      <c r="C278" s="3" t="s">
        <v>173</v>
      </c>
      <c r="D278" s="3" t="n">
        <v>16</v>
      </c>
      <c r="E278" s="3" t="s">
        <v>174</v>
      </c>
      <c r="F278" s="3" t="s">
        <v>175</v>
      </c>
      <c r="G278" s="3" t="s">
        <v>175</v>
      </c>
      <c r="H278" s="3" t="s">
        <v>351</v>
      </c>
    </row>
    <row r="279" customFormat="false" ht="15" hidden="false" customHeight="false" outlineLevel="0" collapsed="false">
      <c r="A279" s="3" t="s">
        <v>336</v>
      </c>
      <c r="B279" s="3" t="n">
        <v>16</v>
      </c>
      <c r="C279" s="3" t="s">
        <v>173</v>
      </c>
      <c r="D279" s="3" t="n">
        <v>84</v>
      </c>
      <c r="E279" s="3" t="s">
        <v>180</v>
      </c>
      <c r="F279" s="3" t="s">
        <v>175</v>
      </c>
      <c r="G279" s="3" t="s">
        <v>175</v>
      </c>
      <c r="H279" s="3" t="s">
        <v>351</v>
      </c>
    </row>
    <row r="280" customFormat="false" ht="15" hidden="false" customHeight="false" outlineLevel="0" collapsed="false">
      <c r="A280" s="3" t="s">
        <v>336</v>
      </c>
      <c r="B280" s="3" t="n">
        <v>17</v>
      </c>
      <c r="C280" s="3" t="s">
        <v>173</v>
      </c>
      <c r="D280" s="3" t="n">
        <v>32</v>
      </c>
      <c r="E280" s="3" t="s">
        <v>174</v>
      </c>
      <c r="F280" s="3" t="s">
        <v>175</v>
      </c>
      <c r="G280" s="3" t="s">
        <v>175</v>
      </c>
      <c r="H280" s="3" t="s">
        <v>352</v>
      </c>
    </row>
    <row r="281" customFormat="false" ht="15" hidden="false" customHeight="false" outlineLevel="0" collapsed="false">
      <c r="A281" s="3" t="s">
        <v>336</v>
      </c>
      <c r="B281" s="3" t="n">
        <v>17</v>
      </c>
      <c r="C281" s="3" t="s">
        <v>173</v>
      </c>
      <c r="D281" s="3" t="n">
        <v>23</v>
      </c>
      <c r="E281" s="3" t="s">
        <v>180</v>
      </c>
      <c r="F281" s="3" t="s">
        <v>175</v>
      </c>
      <c r="G281" s="3" t="s">
        <v>175</v>
      </c>
      <c r="H281" s="3" t="s">
        <v>352</v>
      </c>
    </row>
    <row r="282" customFormat="false" ht="15" hidden="false" customHeight="false" outlineLevel="0" collapsed="false">
      <c r="A282" s="3" t="s">
        <v>336</v>
      </c>
      <c r="B282" s="3" t="n">
        <v>18</v>
      </c>
      <c r="C282" s="3" t="s">
        <v>173</v>
      </c>
      <c r="D282" s="3" t="n">
        <v>2</v>
      </c>
      <c r="E282" s="3" t="s">
        <v>174</v>
      </c>
      <c r="F282" s="3" t="s">
        <v>175</v>
      </c>
      <c r="G282" s="3" t="s">
        <v>175</v>
      </c>
      <c r="H282" s="3" t="s">
        <v>353</v>
      </c>
    </row>
    <row r="283" customFormat="false" ht="15" hidden="false" customHeight="false" outlineLevel="0" collapsed="false">
      <c r="A283" s="3" t="s">
        <v>336</v>
      </c>
      <c r="B283" s="3" t="n">
        <v>19</v>
      </c>
      <c r="C283" s="3" t="s">
        <v>173</v>
      </c>
      <c r="D283" s="3" t="n">
        <v>64</v>
      </c>
      <c r="E283" s="3" t="s">
        <v>174</v>
      </c>
      <c r="F283" s="3" t="s">
        <v>175</v>
      </c>
      <c r="G283" s="3" t="s">
        <v>175</v>
      </c>
      <c r="H283" s="3" t="s">
        <v>354</v>
      </c>
    </row>
    <row r="284" customFormat="false" ht="15" hidden="false" customHeight="false" outlineLevel="0" collapsed="false">
      <c r="A284" s="3" t="s">
        <v>336</v>
      </c>
      <c r="B284" s="3" t="n">
        <v>19</v>
      </c>
      <c r="C284" s="3" t="s">
        <v>173</v>
      </c>
      <c r="D284" s="3" t="n">
        <v>32</v>
      </c>
      <c r="E284" s="3" t="s">
        <v>180</v>
      </c>
      <c r="F284" s="3" t="s">
        <v>175</v>
      </c>
      <c r="G284" s="3" t="s">
        <v>175</v>
      </c>
      <c r="H284" s="3" t="s">
        <v>354</v>
      </c>
    </row>
    <row r="285" customFormat="false" ht="15" hidden="false" customHeight="false" outlineLevel="0" collapsed="false">
      <c r="A285" s="3" t="s">
        <v>336</v>
      </c>
      <c r="B285" s="3" t="n">
        <v>20</v>
      </c>
      <c r="C285" s="3" t="s">
        <v>173</v>
      </c>
      <c r="D285" s="3" t="n">
        <v>100</v>
      </c>
      <c r="E285" s="3" t="s">
        <v>174</v>
      </c>
      <c r="F285" s="3" t="s">
        <v>175</v>
      </c>
      <c r="G285" s="3" t="s">
        <v>175</v>
      </c>
      <c r="H285" s="3" t="s">
        <v>355</v>
      </c>
    </row>
    <row r="286" customFormat="false" ht="15" hidden="false" customHeight="false" outlineLevel="0" collapsed="false">
      <c r="A286" s="3" t="s">
        <v>336</v>
      </c>
      <c r="B286" s="3" t="n">
        <v>21</v>
      </c>
      <c r="C286" s="3" t="s">
        <v>173</v>
      </c>
      <c r="D286" s="3" t="n">
        <v>33</v>
      </c>
      <c r="E286" s="3" t="s">
        <v>174</v>
      </c>
      <c r="F286" s="3" t="s">
        <v>175</v>
      </c>
      <c r="G286" s="3" t="s">
        <v>175</v>
      </c>
      <c r="H286" s="3" t="s">
        <v>356</v>
      </c>
    </row>
    <row r="287" customFormat="false" ht="15" hidden="false" customHeight="false" outlineLevel="0" collapsed="false">
      <c r="A287" s="3" t="s">
        <v>336</v>
      </c>
      <c r="B287" s="3" t="n">
        <v>21</v>
      </c>
      <c r="C287" s="3" t="s">
        <v>173</v>
      </c>
      <c r="D287" s="3" t="n">
        <v>28</v>
      </c>
      <c r="E287" s="3" t="s">
        <v>180</v>
      </c>
      <c r="F287" s="3" t="s">
        <v>175</v>
      </c>
      <c r="G287" s="3" t="s">
        <v>175</v>
      </c>
      <c r="H287" s="3" t="s">
        <v>356</v>
      </c>
    </row>
    <row r="288" customFormat="false" ht="15" hidden="false" customHeight="false" outlineLevel="0" collapsed="false">
      <c r="A288" s="3" t="s">
        <v>336</v>
      </c>
      <c r="B288" s="3" t="n">
        <v>22</v>
      </c>
      <c r="C288" s="3" t="s">
        <v>173</v>
      </c>
      <c r="D288" s="3" t="n">
        <v>13</v>
      </c>
      <c r="E288" s="3" t="s">
        <v>174</v>
      </c>
      <c r="F288" s="3" t="s">
        <v>175</v>
      </c>
      <c r="G288" s="3" t="s">
        <v>175</v>
      </c>
      <c r="H288" s="3" t="s">
        <v>357</v>
      </c>
    </row>
    <row r="289" customFormat="false" ht="15" hidden="false" customHeight="false" outlineLevel="0" collapsed="false">
      <c r="A289" s="3" t="s">
        <v>336</v>
      </c>
      <c r="B289" s="3" t="n">
        <v>22</v>
      </c>
      <c r="C289" s="3" t="s">
        <v>173</v>
      </c>
      <c r="D289" s="3" t="n">
        <v>2</v>
      </c>
      <c r="E289" s="3" t="s">
        <v>180</v>
      </c>
      <c r="F289" s="3" t="s">
        <v>175</v>
      </c>
      <c r="G289" s="3" t="s">
        <v>175</v>
      </c>
      <c r="H289" s="3" t="s">
        <v>357</v>
      </c>
    </row>
    <row r="290" customFormat="false" ht="15" hidden="false" customHeight="false" outlineLevel="0" collapsed="false">
      <c r="A290" s="3" t="s">
        <v>336</v>
      </c>
      <c r="B290" s="3" t="n">
        <v>23</v>
      </c>
      <c r="C290" s="3" t="s">
        <v>173</v>
      </c>
      <c r="D290" s="3" t="n">
        <v>55</v>
      </c>
      <c r="E290" s="3" t="s">
        <v>174</v>
      </c>
      <c r="F290" s="3" t="s">
        <v>175</v>
      </c>
      <c r="G290" s="3" t="s">
        <v>175</v>
      </c>
      <c r="H290" s="3" t="s">
        <v>358</v>
      </c>
    </row>
    <row r="291" customFormat="false" ht="15" hidden="false" customHeight="false" outlineLevel="0" collapsed="false">
      <c r="A291" s="3" t="s">
        <v>336</v>
      </c>
      <c r="B291" s="3" t="n">
        <v>24</v>
      </c>
      <c r="C291" s="3" t="s">
        <v>173</v>
      </c>
      <c r="D291" s="3" t="n">
        <v>25</v>
      </c>
      <c r="E291" s="3" t="s">
        <v>174</v>
      </c>
      <c r="F291" s="3" t="s">
        <v>175</v>
      </c>
      <c r="G291" s="3" t="s">
        <v>175</v>
      </c>
      <c r="H291" s="3" t="s">
        <v>359</v>
      </c>
    </row>
    <row r="292" customFormat="false" ht="15" hidden="false" customHeight="false" outlineLevel="0" collapsed="false">
      <c r="A292" s="3" t="s">
        <v>336</v>
      </c>
      <c r="B292" s="3" t="n">
        <v>24</v>
      </c>
      <c r="C292" s="3" t="s">
        <v>173</v>
      </c>
      <c r="D292" s="3" t="n">
        <v>44</v>
      </c>
      <c r="E292" s="3" t="s">
        <v>180</v>
      </c>
      <c r="F292" s="3" t="s">
        <v>175</v>
      </c>
      <c r="G292" s="3" t="s">
        <v>175</v>
      </c>
      <c r="H292" s="3" t="s">
        <v>359</v>
      </c>
    </row>
    <row r="293" customFormat="false" ht="15" hidden="false" customHeight="false" outlineLevel="0" collapsed="false">
      <c r="A293" s="3" t="s">
        <v>336</v>
      </c>
      <c r="B293" s="3" t="n">
        <v>25</v>
      </c>
      <c r="C293" s="3" t="s">
        <v>173</v>
      </c>
      <c r="D293" s="3" t="n">
        <v>39</v>
      </c>
      <c r="E293" s="3" t="s">
        <v>174</v>
      </c>
      <c r="F293" s="3" t="s">
        <v>175</v>
      </c>
      <c r="G293" s="3" t="s">
        <v>175</v>
      </c>
      <c r="H293" s="3" t="s">
        <v>360</v>
      </c>
    </row>
    <row r="294" customFormat="false" ht="15" hidden="false" customHeight="false" outlineLevel="0" collapsed="false">
      <c r="A294" s="3" t="s">
        <v>336</v>
      </c>
      <c r="B294" s="3" t="n">
        <v>26</v>
      </c>
      <c r="C294" s="3" t="s">
        <v>173</v>
      </c>
      <c r="D294" s="3" t="n">
        <v>2</v>
      </c>
      <c r="E294" s="3" t="s">
        <v>174</v>
      </c>
      <c r="F294" s="3" t="s">
        <v>175</v>
      </c>
      <c r="G294" s="3" t="s">
        <v>175</v>
      </c>
      <c r="H294" s="3" t="s">
        <v>361</v>
      </c>
    </row>
    <row r="295" customFormat="false" ht="15" hidden="false" customHeight="false" outlineLevel="0" collapsed="false">
      <c r="A295" s="3" t="s">
        <v>336</v>
      </c>
      <c r="B295" s="3" t="n">
        <v>27</v>
      </c>
      <c r="C295" s="3" t="s">
        <v>173</v>
      </c>
      <c r="D295" s="3" t="n">
        <v>88</v>
      </c>
      <c r="E295" s="3" t="s">
        <v>174</v>
      </c>
      <c r="F295" s="3" t="s">
        <v>175</v>
      </c>
      <c r="G295" s="3" t="s">
        <v>175</v>
      </c>
      <c r="H295" s="3" t="s">
        <v>362</v>
      </c>
    </row>
    <row r="296" customFormat="false" ht="15" hidden="false" customHeight="false" outlineLevel="0" collapsed="false">
      <c r="A296" s="3" t="s">
        <v>336</v>
      </c>
      <c r="B296" s="3" t="n">
        <v>27</v>
      </c>
      <c r="C296" s="3" t="s">
        <v>173</v>
      </c>
      <c r="D296" s="3" t="n">
        <v>90</v>
      </c>
      <c r="E296" s="3" t="s">
        <v>180</v>
      </c>
      <c r="F296" s="3" t="s">
        <v>175</v>
      </c>
      <c r="G296" s="3" t="s">
        <v>175</v>
      </c>
      <c r="H296" s="3" t="s">
        <v>362</v>
      </c>
    </row>
    <row r="297" customFormat="false" ht="15" hidden="false" customHeight="false" outlineLevel="0" collapsed="false">
      <c r="A297" s="3" t="s">
        <v>336</v>
      </c>
      <c r="B297" s="3" t="n">
        <v>27</v>
      </c>
      <c r="C297" s="3" t="s">
        <v>173</v>
      </c>
      <c r="D297" s="3" t="n">
        <v>23</v>
      </c>
      <c r="E297" s="3" t="s">
        <v>180</v>
      </c>
      <c r="F297" s="3" t="s">
        <v>175</v>
      </c>
      <c r="G297" s="3" t="s">
        <v>175</v>
      </c>
      <c r="H297" s="3" t="s">
        <v>362</v>
      </c>
    </row>
    <row r="298" customFormat="false" ht="15" hidden="false" customHeight="false" outlineLevel="0" collapsed="false">
      <c r="A298" s="3" t="s">
        <v>363</v>
      </c>
      <c r="B298" s="3" t="n">
        <v>1</v>
      </c>
      <c r="C298" s="3" t="s">
        <v>173</v>
      </c>
      <c r="D298" s="3" t="n">
        <v>22</v>
      </c>
      <c r="E298" s="3" t="s">
        <v>174</v>
      </c>
      <c r="F298" s="3" t="s">
        <v>290</v>
      </c>
      <c r="G298" s="3" t="s">
        <v>175</v>
      </c>
      <c r="H298" s="3" t="s">
        <v>364</v>
      </c>
    </row>
    <row r="299" customFormat="false" ht="15" hidden="false" customHeight="false" outlineLevel="0" collapsed="false">
      <c r="A299" s="3" t="s">
        <v>363</v>
      </c>
      <c r="B299" s="3" t="n">
        <v>1</v>
      </c>
      <c r="C299" s="3" t="s">
        <v>173</v>
      </c>
      <c r="D299" s="3" t="n">
        <v>28</v>
      </c>
      <c r="E299" s="3" t="s">
        <v>180</v>
      </c>
      <c r="F299" s="3" t="s">
        <v>290</v>
      </c>
      <c r="G299" s="3" t="s">
        <v>175</v>
      </c>
      <c r="H299" s="3" t="s">
        <v>364</v>
      </c>
    </row>
    <row r="300" customFormat="false" ht="15" hidden="false" customHeight="false" outlineLevel="0" collapsed="false">
      <c r="A300" s="3" t="s">
        <v>363</v>
      </c>
      <c r="B300" s="3" t="n">
        <v>2</v>
      </c>
      <c r="C300" s="3" t="s">
        <v>173</v>
      </c>
      <c r="D300" s="3" t="n">
        <v>91</v>
      </c>
      <c r="E300" s="3" t="s">
        <v>174</v>
      </c>
      <c r="F300" s="3" t="s">
        <v>290</v>
      </c>
      <c r="G300" s="3" t="s">
        <v>175</v>
      </c>
      <c r="H300" s="3" t="s">
        <v>365</v>
      </c>
    </row>
    <row r="301" customFormat="false" ht="15" hidden="false" customHeight="false" outlineLevel="0" collapsed="false">
      <c r="A301" s="3" t="s">
        <v>363</v>
      </c>
      <c r="B301" s="3" t="n">
        <v>2</v>
      </c>
      <c r="C301" s="3" t="s">
        <v>173</v>
      </c>
      <c r="D301" s="3" t="n">
        <v>6</v>
      </c>
      <c r="E301" s="3" t="s">
        <v>180</v>
      </c>
      <c r="F301" s="3" t="s">
        <v>290</v>
      </c>
      <c r="G301" s="3" t="s">
        <v>175</v>
      </c>
      <c r="H301" s="3" t="s">
        <v>365</v>
      </c>
    </row>
    <row r="302" customFormat="false" ht="15" hidden="false" customHeight="false" outlineLevel="0" collapsed="false">
      <c r="A302" s="3" t="s">
        <v>363</v>
      </c>
      <c r="B302" s="3" t="n">
        <v>3</v>
      </c>
      <c r="C302" s="3" t="s">
        <v>173</v>
      </c>
      <c r="D302" s="3" t="n">
        <v>51</v>
      </c>
      <c r="E302" s="3" t="s">
        <v>174</v>
      </c>
      <c r="F302" s="3" t="s">
        <v>290</v>
      </c>
      <c r="G302" s="3" t="s">
        <v>175</v>
      </c>
      <c r="H302" s="3" t="s">
        <v>366</v>
      </c>
    </row>
    <row r="303" customFormat="false" ht="15" hidden="false" customHeight="false" outlineLevel="0" collapsed="false">
      <c r="A303" s="3" t="s">
        <v>363</v>
      </c>
      <c r="B303" s="3" t="n">
        <v>3</v>
      </c>
      <c r="C303" s="3" t="s">
        <v>173</v>
      </c>
      <c r="D303" s="3" t="n">
        <v>64</v>
      </c>
      <c r="E303" s="3" t="s">
        <v>180</v>
      </c>
      <c r="F303" s="3" t="s">
        <v>290</v>
      </c>
      <c r="G303" s="3" t="s">
        <v>175</v>
      </c>
      <c r="H303" s="3" t="s">
        <v>366</v>
      </c>
    </row>
    <row r="304" customFormat="false" ht="15" hidden="false" customHeight="false" outlineLevel="0" collapsed="false">
      <c r="A304" s="3" t="s">
        <v>363</v>
      </c>
      <c r="B304" s="3" t="n">
        <v>4</v>
      </c>
      <c r="C304" s="3" t="s">
        <v>173</v>
      </c>
      <c r="D304" s="3" t="n">
        <v>25</v>
      </c>
      <c r="E304" s="3" t="s">
        <v>174</v>
      </c>
      <c r="F304" s="3" t="s">
        <v>290</v>
      </c>
      <c r="G304" s="3" t="s">
        <v>175</v>
      </c>
      <c r="H304" s="3" t="s">
        <v>367</v>
      </c>
    </row>
    <row r="305" customFormat="false" ht="15" hidden="false" customHeight="false" outlineLevel="0" collapsed="false">
      <c r="A305" s="3" t="s">
        <v>363</v>
      </c>
      <c r="B305" s="3" t="n">
        <v>5</v>
      </c>
      <c r="C305" s="3" t="s">
        <v>173</v>
      </c>
      <c r="D305" s="3" t="n">
        <v>17</v>
      </c>
      <c r="E305" s="3" t="s">
        <v>174</v>
      </c>
      <c r="F305" s="3" t="s">
        <v>290</v>
      </c>
      <c r="G305" s="3" t="s">
        <v>175</v>
      </c>
      <c r="H305" s="3" t="s">
        <v>368</v>
      </c>
    </row>
    <row r="306" customFormat="false" ht="15" hidden="false" customHeight="false" outlineLevel="0" collapsed="false">
      <c r="A306" s="3" t="s">
        <v>363</v>
      </c>
      <c r="B306" s="3" t="n">
        <v>5</v>
      </c>
      <c r="C306" s="3" t="s">
        <v>173</v>
      </c>
      <c r="D306" s="3" t="n">
        <v>21</v>
      </c>
      <c r="E306" s="3" t="s">
        <v>180</v>
      </c>
      <c r="F306" s="3" t="s">
        <v>290</v>
      </c>
      <c r="G306" s="3" t="s">
        <v>175</v>
      </c>
      <c r="H306" s="3" t="s">
        <v>368</v>
      </c>
    </row>
    <row r="307" customFormat="false" ht="15" hidden="false" customHeight="false" outlineLevel="0" collapsed="false">
      <c r="A307" s="3" t="s">
        <v>363</v>
      </c>
      <c r="B307" s="3" t="n">
        <v>6</v>
      </c>
      <c r="C307" s="3" t="s">
        <v>173</v>
      </c>
      <c r="D307" s="3" t="n">
        <v>16</v>
      </c>
      <c r="E307" s="3" t="s">
        <v>174</v>
      </c>
      <c r="F307" s="3" t="s">
        <v>290</v>
      </c>
      <c r="G307" s="3" t="s">
        <v>175</v>
      </c>
      <c r="H307" s="3" t="s">
        <v>369</v>
      </c>
    </row>
    <row r="308" customFormat="false" ht="15" hidden="false" customHeight="false" outlineLevel="0" collapsed="false">
      <c r="A308" s="3" t="s">
        <v>363</v>
      </c>
      <c r="B308" s="3" t="n">
        <v>7</v>
      </c>
      <c r="C308" s="3" t="s">
        <v>173</v>
      </c>
      <c r="D308" s="3" t="n">
        <v>73</v>
      </c>
      <c r="E308" s="3" t="s">
        <v>174</v>
      </c>
      <c r="F308" s="3" t="s">
        <v>290</v>
      </c>
      <c r="G308" s="3" t="s">
        <v>175</v>
      </c>
      <c r="H308" s="3" t="s">
        <v>370</v>
      </c>
    </row>
    <row r="309" customFormat="false" ht="15" hidden="false" customHeight="false" outlineLevel="0" collapsed="false">
      <c r="A309" s="3" t="s">
        <v>363</v>
      </c>
      <c r="B309" s="3" t="n">
        <v>7</v>
      </c>
      <c r="C309" s="3" t="s">
        <v>173</v>
      </c>
      <c r="D309" s="3" t="n">
        <v>101</v>
      </c>
      <c r="E309" s="3" t="s">
        <v>180</v>
      </c>
      <c r="F309" s="3" t="s">
        <v>290</v>
      </c>
      <c r="G309" s="3" t="s">
        <v>175</v>
      </c>
      <c r="H309" s="3" t="s">
        <v>370</v>
      </c>
    </row>
    <row r="310" customFormat="false" ht="15" hidden="false" customHeight="false" outlineLevel="0" collapsed="false">
      <c r="A310" s="3" t="s">
        <v>363</v>
      </c>
      <c r="B310" s="3" t="n">
        <v>8</v>
      </c>
      <c r="C310" s="3" t="s">
        <v>173</v>
      </c>
      <c r="D310" s="3" t="n">
        <v>28</v>
      </c>
      <c r="E310" s="3" t="s">
        <v>174</v>
      </c>
      <c r="F310" s="3" t="s">
        <v>290</v>
      </c>
      <c r="G310" s="3" t="s">
        <v>175</v>
      </c>
      <c r="H310" s="3" t="s">
        <v>371</v>
      </c>
    </row>
    <row r="311" customFormat="false" ht="15" hidden="false" customHeight="false" outlineLevel="0" collapsed="false">
      <c r="A311" s="3" t="s">
        <v>363</v>
      </c>
      <c r="B311" s="3" t="n">
        <v>9</v>
      </c>
      <c r="C311" s="3" t="s">
        <v>173</v>
      </c>
      <c r="D311" s="3" t="n">
        <v>33</v>
      </c>
      <c r="E311" s="3" t="s">
        <v>174</v>
      </c>
      <c r="F311" s="3" t="s">
        <v>290</v>
      </c>
      <c r="G311" s="3" t="s">
        <v>175</v>
      </c>
      <c r="H311" s="3" t="s">
        <v>372</v>
      </c>
    </row>
    <row r="312" customFormat="false" ht="15" hidden="false" customHeight="false" outlineLevel="0" collapsed="false">
      <c r="A312" s="3" t="s">
        <v>363</v>
      </c>
      <c r="B312" s="3" t="n">
        <v>9</v>
      </c>
      <c r="C312" s="3" t="s">
        <v>173</v>
      </c>
      <c r="D312" s="3" t="n">
        <v>31</v>
      </c>
      <c r="E312" s="3" t="s">
        <v>180</v>
      </c>
      <c r="F312" s="3" t="s">
        <v>290</v>
      </c>
      <c r="G312" s="3" t="s">
        <v>175</v>
      </c>
      <c r="H312" s="3" t="s">
        <v>372</v>
      </c>
    </row>
    <row r="313" customFormat="false" ht="15" hidden="false" customHeight="false" outlineLevel="0" collapsed="false">
      <c r="A313" s="3" t="s">
        <v>363</v>
      </c>
      <c r="B313" s="3" t="n">
        <v>10</v>
      </c>
      <c r="C313" s="3" t="s">
        <v>173</v>
      </c>
      <c r="D313" s="3" t="n">
        <v>85</v>
      </c>
      <c r="E313" s="3" t="s">
        <v>174</v>
      </c>
      <c r="F313" s="3" t="s">
        <v>290</v>
      </c>
      <c r="G313" s="3" t="s">
        <v>175</v>
      </c>
      <c r="H313" s="3" t="s">
        <v>373</v>
      </c>
    </row>
    <row r="314" customFormat="false" ht="15" hidden="false" customHeight="false" outlineLevel="0" collapsed="false">
      <c r="A314" s="3" t="s">
        <v>363</v>
      </c>
      <c r="B314" s="3" t="n">
        <v>11</v>
      </c>
      <c r="C314" s="3" t="s">
        <v>173</v>
      </c>
      <c r="D314" s="3" t="n">
        <v>6</v>
      </c>
      <c r="E314" s="3" t="s">
        <v>174</v>
      </c>
      <c r="F314" s="3" t="s">
        <v>290</v>
      </c>
      <c r="G314" s="3" t="s">
        <v>175</v>
      </c>
      <c r="H314" s="3" t="s">
        <v>374</v>
      </c>
    </row>
    <row r="315" customFormat="false" ht="15" hidden="false" customHeight="false" outlineLevel="0" collapsed="false">
      <c r="A315" s="3" t="s">
        <v>363</v>
      </c>
      <c r="B315" s="3" t="n">
        <v>12</v>
      </c>
      <c r="C315" s="3" t="s">
        <v>173</v>
      </c>
      <c r="D315" s="3" t="n">
        <v>6</v>
      </c>
      <c r="E315" s="3" t="s">
        <v>174</v>
      </c>
      <c r="F315" s="3" t="s">
        <v>290</v>
      </c>
      <c r="G315" s="3" t="s">
        <v>175</v>
      </c>
      <c r="H315" s="3" t="s">
        <v>375</v>
      </c>
    </row>
    <row r="316" customFormat="false" ht="15" hidden="false" customHeight="false" outlineLevel="0" collapsed="false">
      <c r="A316" s="3" t="s">
        <v>363</v>
      </c>
      <c r="B316" s="3" t="n">
        <v>13</v>
      </c>
      <c r="C316" s="3" t="s">
        <v>173</v>
      </c>
      <c r="D316" s="3" t="n">
        <v>51</v>
      </c>
      <c r="E316" s="3" t="s">
        <v>174</v>
      </c>
      <c r="F316" s="3" t="s">
        <v>290</v>
      </c>
      <c r="G316" s="3" t="s">
        <v>175</v>
      </c>
      <c r="H316" s="3" t="s">
        <v>376</v>
      </c>
    </row>
    <row r="317" customFormat="false" ht="15" hidden="false" customHeight="false" outlineLevel="0" collapsed="false">
      <c r="A317" s="3" t="s">
        <v>363</v>
      </c>
      <c r="B317" s="3" t="n">
        <v>14</v>
      </c>
      <c r="C317" s="3" t="s">
        <v>173</v>
      </c>
      <c r="D317" s="3" t="n">
        <v>32</v>
      </c>
      <c r="E317" s="3" t="s">
        <v>174</v>
      </c>
      <c r="F317" s="3" t="s">
        <v>290</v>
      </c>
      <c r="G317" s="3" t="s">
        <v>175</v>
      </c>
      <c r="H317" s="3" t="s">
        <v>377</v>
      </c>
    </row>
    <row r="318" customFormat="false" ht="15" hidden="false" customHeight="false" outlineLevel="0" collapsed="false">
      <c r="A318" s="3" t="s">
        <v>363</v>
      </c>
      <c r="B318" s="3" t="n">
        <v>15</v>
      </c>
      <c r="C318" s="3" t="s">
        <v>173</v>
      </c>
      <c r="D318" s="3" t="n">
        <v>32</v>
      </c>
      <c r="E318" s="3" t="s">
        <v>174</v>
      </c>
      <c r="F318" s="3" t="s">
        <v>290</v>
      </c>
      <c r="G318" s="3" t="s">
        <v>175</v>
      </c>
      <c r="H318" s="3" t="s">
        <v>378</v>
      </c>
    </row>
    <row r="319" customFormat="false" ht="15" hidden="false" customHeight="false" outlineLevel="0" collapsed="false">
      <c r="A319" s="3" t="s">
        <v>363</v>
      </c>
      <c r="B319" s="3" t="n">
        <v>15</v>
      </c>
      <c r="C319" s="3" t="s">
        <v>173</v>
      </c>
      <c r="D319" s="3" t="n">
        <v>23</v>
      </c>
      <c r="E319" s="3" t="s">
        <v>180</v>
      </c>
      <c r="F319" s="3" t="s">
        <v>290</v>
      </c>
      <c r="G319" s="3" t="s">
        <v>175</v>
      </c>
      <c r="H319" s="3" t="s">
        <v>378</v>
      </c>
    </row>
    <row r="320" customFormat="false" ht="15" hidden="false" customHeight="false" outlineLevel="0" collapsed="false">
      <c r="A320" s="3" t="s">
        <v>363</v>
      </c>
      <c r="B320" s="3" t="n">
        <v>16</v>
      </c>
      <c r="C320" s="3" t="s">
        <v>173</v>
      </c>
      <c r="D320" s="3" t="n">
        <v>10</v>
      </c>
      <c r="E320" s="3" t="s">
        <v>174</v>
      </c>
      <c r="F320" s="3" t="s">
        <v>290</v>
      </c>
      <c r="G320" s="3" t="s">
        <v>175</v>
      </c>
      <c r="H320" s="3" t="s">
        <v>379</v>
      </c>
    </row>
    <row r="321" customFormat="false" ht="15" hidden="false" customHeight="false" outlineLevel="0" collapsed="false">
      <c r="A321" s="3" t="s">
        <v>363</v>
      </c>
      <c r="B321" s="3" t="n">
        <v>16</v>
      </c>
      <c r="C321" s="3" t="s">
        <v>173</v>
      </c>
      <c r="D321" s="3" t="n">
        <v>6</v>
      </c>
      <c r="E321" s="3" t="s">
        <v>180</v>
      </c>
      <c r="F321" s="3" t="s">
        <v>290</v>
      </c>
      <c r="G321" s="3" t="s">
        <v>175</v>
      </c>
      <c r="H321" s="3" t="s">
        <v>379</v>
      </c>
    </row>
    <row r="322" customFormat="false" ht="15" hidden="false" customHeight="false" outlineLevel="0" collapsed="false">
      <c r="A322" s="3" t="s">
        <v>363</v>
      </c>
      <c r="B322" s="3" t="n">
        <v>17</v>
      </c>
      <c r="C322" s="3" t="s">
        <v>173</v>
      </c>
      <c r="D322" s="3" t="n">
        <v>22</v>
      </c>
      <c r="E322" s="3" t="s">
        <v>174</v>
      </c>
      <c r="F322" s="3" t="s">
        <v>290</v>
      </c>
      <c r="G322" s="3" t="s">
        <v>175</v>
      </c>
      <c r="H322" s="3" t="s">
        <v>380</v>
      </c>
    </row>
    <row r="323" customFormat="false" ht="15" hidden="false" customHeight="false" outlineLevel="0" collapsed="false">
      <c r="A323" s="3" t="s">
        <v>363</v>
      </c>
      <c r="B323" s="3" t="n">
        <v>17</v>
      </c>
      <c r="C323" s="3" t="s">
        <v>173</v>
      </c>
      <c r="D323" s="3" t="n">
        <v>28</v>
      </c>
      <c r="E323" s="3" t="s">
        <v>180</v>
      </c>
      <c r="F323" s="3" t="s">
        <v>290</v>
      </c>
      <c r="G323" s="3" t="s">
        <v>175</v>
      </c>
      <c r="H323" s="3" t="s">
        <v>380</v>
      </c>
    </row>
    <row r="324" customFormat="false" ht="15" hidden="false" customHeight="false" outlineLevel="0" collapsed="false">
      <c r="A324" s="3" t="s">
        <v>363</v>
      </c>
      <c r="B324" s="3" t="n">
        <v>18</v>
      </c>
      <c r="C324" s="3" t="s">
        <v>173</v>
      </c>
      <c r="D324" s="3" t="n">
        <v>37</v>
      </c>
      <c r="E324" s="3" t="s">
        <v>174</v>
      </c>
      <c r="F324" s="3" t="s">
        <v>290</v>
      </c>
      <c r="G324" s="3" t="s">
        <v>175</v>
      </c>
      <c r="H324" s="3" t="s">
        <v>381</v>
      </c>
    </row>
    <row r="325" customFormat="false" ht="15" hidden="false" customHeight="false" outlineLevel="0" collapsed="false">
      <c r="A325" s="3" t="s">
        <v>363</v>
      </c>
      <c r="B325" s="3" t="n">
        <v>18</v>
      </c>
      <c r="C325" s="3" t="s">
        <v>173</v>
      </c>
      <c r="D325" s="3" t="n">
        <v>51</v>
      </c>
      <c r="E325" s="3" t="s">
        <v>180</v>
      </c>
      <c r="F325" s="3" t="s">
        <v>290</v>
      </c>
      <c r="G325" s="3" t="s">
        <v>175</v>
      </c>
      <c r="H325" s="3" t="s">
        <v>381</v>
      </c>
    </row>
    <row r="326" customFormat="false" ht="15" hidden="false" customHeight="false" outlineLevel="0" collapsed="false">
      <c r="A326" s="3" t="s">
        <v>363</v>
      </c>
      <c r="B326" s="3" t="n">
        <v>19</v>
      </c>
      <c r="C326" s="3" t="s">
        <v>173</v>
      </c>
      <c r="D326" s="3" t="n">
        <v>65</v>
      </c>
      <c r="E326" s="3" t="s">
        <v>174</v>
      </c>
      <c r="F326" s="3" t="s">
        <v>290</v>
      </c>
      <c r="G326" s="3" t="s">
        <v>175</v>
      </c>
      <c r="H326" s="3" t="s">
        <v>382</v>
      </c>
    </row>
    <row r="327" customFormat="false" ht="15" hidden="false" customHeight="false" outlineLevel="0" collapsed="false">
      <c r="A327" s="3" t="s">
        <v>363</v>
      </c>
      <c r="B327" s="3" t="n">
        <v>19</v>
      </c>
      <c r="C327" s="3" t="s">
        <v>173</v>
      </c>
      <c r="D327" s="3" t="n">
        <v>37</v>
      </c>
      <c r="E327" s="3" t="s">
        <v>180</v>
      </c>
      <c r="F327" s="3" t="s">
        <v>290</v>
      </c>
      <c r="G327" s="3" t="s">
        <v>175</v>
      </c>
      <c r="H327" s="3" t="s">
        <v>382</v>
      </c>
    </row>
    <row r="328" customFormat="false" ht="15" hidden="false" customHeight="false" outlineLevel="0" collapsed="false">
      <c r="A328" s="3" t="s">
        <v>363</v>
      </c>
      <c r="B328" s="3" t="n">
        <v>19</v>
      </c>
      <c r="C328" s="3" t="s">
        <v>173</v>
      </c>
      <c r="D328" s="3" t="n">
        <v>51</v>
      </c>
      <c r="E328" s="3" t="s">
        <v>180</v>
      </c>
      <c r="F328" s="3" t="s">
        <v>290</v>
      </c>
      <c r="G328" s="3" t="s">
        <v>175</v>
      </c>
      <c r="H328" s="3" t="s">
        <v>382</v>
      </c>
    </row>
    <row r="329" customFormat="false" ht="15" hidden="false" customHeight="false" outlineLevel="0" collapsed="false">
      <c r="A329" s="3" t="s">
        <v>363</v>
      </c>
      <c r="B329" s="3" t="n">
        <v>20</v>
      </c>
      <c r="C329" s="3" t="s">
        <v>173</v>
      </c>
      <c r="D329" s="3" t="n">
        <v>1</v>
      </c>
      <c r="E329" s="3" t="s">
        <v>174</v>
      </c>
      <c r="F329" s="3" t="s">
        <v>290</v>
      </c>
      <c r="G329" s="3" t="s">
        <v>175</v>
      </c>
      <c r="H329" s="3" t="s">
        <v>383</v>
      </c>
    </row>
    <row r="330" customFormat="false" ht="15" hidden="false" customHeight="false" outlineLevel="0" collapsed="false">
      <c r="A330" s="3" t="s">
        <v>363</v>
      </c>
      <c r="B330" s="3" t="n">
        <v>20</v>
      </c>
      <c r="C330" s="3" t="s">
        <v>173</v>
      </c>
      <c r="D330" s="3" t="n">
        <v>2</v>
      </c>
      <c r="E330" s="3" t="s">
        <v>180</v>
      </c>
      <c r="F330" s="3" t="s">
        <v>290</v>
      </c>
      <c r="G330" s="3" t="s">
        <v>175</v>
      </c>
      <c r="H330" s="3" t="s">
        <v>383</v>
      </c>
    </row>
    <row r="331" customFormat="false" ht="15" hidden="false" customHeight="false" outlineLevel="0" collapsed="false">
      <c r="A331" s="3" t="s">
        <v>363</v>
      </c>
      <c r="B331" s="3" t="n">
        <v>21</v>
      </c>
      <c r="C331" s="3" t="s">
        <v>173</v>
      </c>
      <c r="D331" s="3" t="n">
        <v>16</v>
      </c>
      <c r="E331" s="3" t="s">
        <v>174</v>
      </c>
      <c r="F331" s="3" t="s">
        <v>290</v>
      </c>
      <c r="G331" s="3" t="s">
        <v>175</v>
      </c>
      <c r="H331" s="3" t="s">
        <v>384</v>
      </c>
    </row>
    <row r="332" customFormat="false" ht="15" hidden="false" customHeight="false" outlineLevel="0" collapsed="false">
      <c r="A332" s="3" t="s">
        <v>363</v>
      </c>
      <c r="B332" s="3" t="n">
        <v>21</v>
      </c>
      <c r="C332" s="3" t="s">
        <v>173</v>
      </c>
      <c r="D332" s="3" t="n">
        <v>23</v>
      </c>
      <c r="E332" s="3" t="s">
        <v>180</v>
      </c>
      <c r="F332" s="3" t="s">
        <v>290</v>
      </c>
      <c r="G332" s="3" t="s">
        <v>175</v>
      </c>
      <c r="H332" s="3" t="s">
        <v>384</v>
      </c>
    </row>
    <row r="333" customFormat="false" ht="15" hidden="false" customHeight="false" outlineLevel="0" collapsed="false">
      <c r="A333" s="3" t="s">
        <v>363</v>
      </c>
      <c r="B333" s="3" t="n">
        <v>22</v>
      </c>
      <c r="C333" s="3" t="s">
        <v>173</v>
      </c>
      <c r="D333" s="3" t="n">
        <v>13</v>
      </c>
      <c r="E333" s="3" t="s">
        <v>174</v>
      </c>
      <c r="F333" s="3" t="s">
        <v>290</v>
      </c>
      <c r="G333" s="3" t="s">
        <v>175</v>
      </c>
      <c r="H333" s="3" t="s">
        <v>385</v>
      </c>
    </row>
    <row r="334" customFormat="false" ht="15" hidden="false" customHeight="false" outlineLevel="0" collapsed="false">
      <c r="A334" s="3" t="s">
        <v>363</v>
      </c>
      <c r="B334" s="3" t="n">
        <v>23</v>
      </c>
      <c r="C334" s="3" t="s">
        <v>173</v>
      </c>
      <c r="D334" s="3" t="n">
        <v>2</v>
      </c>
      <c r="E334" s="3" t="s">
        <v>174</v>
      </c>
      <c r="F334" s="3" t="s">
        <v>290</v>
      </c>
      <c r="G334" s="3" t="s">
        <v>175</v>
      </c>
      <c r="H334" s="3" t="s">
        <v>386</v>
      </c>
    </row>
    <row r="335" customFormat="false" ht="15" hidden="false" customHeight="false" outlineLevel="0" collapsed="false">
      <c r="A335" s="3" t="s">
        <v>363</v>
      </c>
      <c r="B335" s="3" t="n">
        <v>23</v>
      </c>
      <c r="C335" s="3" t="s">
        <v>173</v>
      </c>
      <c r="D335" s="3" t="n">
        <v>13</v>
      </c>
      <c r="E335" s="3" t="s">
        <v>180</v>
      </c>
      <c r="F335" s="3" t="s">
        <v>290</v>
      </c>
      <c r="G335" s="3" t="s">
        <v>175</v>
      </c>
      <c r="H335" s="3" t="s">
        <v>386</v>
      </c>
    </row>
    <row r="336" customFormat="false" ht="15" hidden="false" customHeight="false" outlineLevel="0" collapsed="false">
      <c r="A336" s="3" t="s">
        <v>363</v>
      </c>
      <c r="B336" s="3" t="n">
        <v>24</v>
      </c>
      <c r="C336" s="3" t="s">
        <v>173</v>
      </c>
      <c r="D336" s="3" t="n">
        <v>44</v>
      </c>
      <c r="E336" s="3" t="s">
        <v>174</v>
      </c>
      <c r="F336" s="3" t="s">
        <v>290</v>
      </c>
      <c r="G336" s="3" t="s">
        <v>175</v>
      </c>
      <c r="H336" s="3" t="s">
        <v>387</v>
      </c>
    </row>
    <row r="337" customFormat="false" ht="15" hidden="false" customHeight="false" outlineLevel="0" collapsed="false">
      <c r="A337" s="3" t="s">
        <v>363</v>
      </c>
      <c r="B337" s="3" t="n">
        <v>24</v>
      </c>
      <c r="C337" s="3" t="s">
        <v>173</v>
      </c>
      <c r="D337" s="3" t="n">
        <v>42</v>
      </c>
      <c r="E337" s="3" t="s">
        <v>180</v>
      </c>
      <c r="F337" s="3" t="s">
        <v>290</v>
      </c>
      <c r="G337" s="3" t="s">
        <v>175</v>
      </c>
      <c r="H337" s="3" t="s">
        <v>387</v>
      </c>
    </row>
    <row r="338" customFormat="false" ht="15" hidden="false" customHeight="false" outlineLevel="0" collapsed="false">
      <c r="A338" s="3" t="s">
        <v>363</v>
      </c>
      <c r="B338" s="3" t="n">
        <v>25</v>
      </c>
      <c r="C338" s="3" t="s">
        <v>173</v>
      </c>
      <c r="D338" s="3" t="n">
        <v>42</v>
      </c>
      <c r="E338" s="3" t="s">
        <v>174</v>
      </c>
      <c r="F338" s="3" t="s">
        <v>290</v>
      </c>
      <c r="G338" s="3" t="s">
        <v>175</v>
      </c>
      <c r="H338" s="3" t="s">
        <v>388</v>
      </c>
    </row>
    <row r="339" customFormat="false" ht="15" hidden="false" customHeight="false" outlineLevel="0" collapsed="false">
      <c r="A339" s="3" t="s">
        <v>363</v>
      </c>
      <c r="B339" s="3" t="n">
        <v>25</v>
      </c>
      <c r="C339" s="3" t="s">
        <v>173</v>
      </c>
      <c r="D339" s="3" t="n">
        <v>32</v>
      </c>
      <c r="E339" s="3" t="s">
        <v>180</v>
      </c>
      <c r="F339" s="3" t="s">
        <v>290</v>
      </c>
      <c r="G339" s="3" t="s">
        <v>175</v>
      </c>
      <c r="H339" s="3" t="s">
        <v>388</v>
      </c>
    </row>
    <row r="340" customFormat="false" ht="15" hidden="false" customHeight="false" outlineLevel="0" collapsed="false">
      <c r="A340" s="3" t="s">
        <v>363</v>
      </c>
      <c r="B340" s="3" t="n">
        <v>26</v>
      </c>
      <c r="C340" s="3" t="s">
        <v>173</v>
      </c>
      <c r="D340" s="3" t="n">
        <v>101</v>
      </c>
      <c r="E340" s="3" t="s">
        <v>174</v>
      </c>
      <c r="F340" s="3" t="s">
        <v>290</v>
      </c>
      <c r="G340" s="3" t="s">
        <v>175</v>
      </c>
      <c r="H340" s="3" t="s">
        <v>389</v>
      </c>
    </row>
    <row r="341" customFormat="false" ht="15" hidden="false" customHeight="false" outlineLevel="0" collapsed="false">
      <c r="A341" s="3" t="s">
        <v>363</v>
      </c>
      <c r="B341" s="3" t="n">
        <v>27</v>
      </c>
      <c r="C341" s="3" t="s">
        <v>173</v>
      </c>
      <c r="D341" s="3" t="n">
        <v>88</v>
      </c>
      <c r="E341" s="3" t="s">
        <v>174</v>
      </c>
      <c r="F341" s="3" t="s">
        <v>290</v>
      </c>
      <c r="G341" s="3" t="s">
        <v>175</v>
      </c>
      <c r="H341" s="3" t="s">
        <v>390</v>
      </c>
    </row>
    <row r="342" customFormat="false" ht="15" hidden="false" customHeight="false" outlineLevel="0" collapsed="false">
      <c r="A342" s="3" t="s">
        <v>363</v>
      </c>
      <c r="B342" s="3" t="n">
        <v>27</v>
      </c>
      <c r="C342" s="3" t="s">
        <v>173</v>
      </c>
      <c r="D342" s="3" t="n">
        <v>23</v>
      </c>
      <c r="E342" s="3" t="s">
        <v>180</v>
      </c>
      <c r="F342" s="3" t="s">
        <v>290</v>
      </c>
      <c r="G342" s="3" t="s">
        <v>175</v>
      </c>
      <c r="H342" s="3" t="s">
        <v>390</v>
      </c>
    </row>
    <row r="343" customFormat="false" ht="15" hidden="false" customHeight="false" outlineLevel="0" collapsed="false">
      <c r="A343" s="3" t="s">
        <v>363</v>
      </c>
      <c r="B343" s="3" t="n">
        <v>28</v>
      </c>
      <c r="C343" s="3" t="s">
        <v>173</v>
      </c>
      <c r="D343" s="3" t="n">
        <v>13</v>
      </c>
      <c r="E343" s="3" t="s">
        <v>174</v>
      </c>
      <c r="F343" s="3" t="s">
        <v>290</v>
      </c>
      <c r="G343" s="3" t="s">
        <v>175</v>
      </c>
      <c r="H343" s="3" t="s">
        <v>391</v>
      </c>
    </row>
    <row r="344" customFormat="false" ht="15" hidden="false" customHeight="false" outlineLevel="0" collapsed="false">
      <c r="A344" s="3" t="s">
        <v>363</v>
      </c>
      <c r="B344" s="3" t="n">
        <v>29</v>
      </c>
      <c r="C344" s="3" t="s">
        <v>173</v>
      </c>
      <c r="D344" s="3" t="n">
        <v>17</v>
      </c>
      <c r="E344" s="3" t="s">
        <v>174</v>
      </c>
      <c r="F344" s="3" t="s">
        <v>290</v>
      </c>
      <c r="G344" s="3" t="s">
        <v>175</v>
      </c>
      <c r="H344" s="3" t="s">
        <v>392</v>
      </c>
    </row>
    <row r="345" customFormat="false" ht="15" hidden="false" customHeight="false" outlineLevel="0" collapsed="false">
      <c r="A345" s="3" t="s">
        <v>363</v>
      </c>
      <c r="B345" s="3" t="n">
        <v>29</v>
      </c>
      <c r="C345" s="3" t="s">
        <v>173</v>
      </c>
      <c r="D345" s="3" t="n">
        <v>6</v>
      </c>
      <c r="E345" s="3" t="s">
        <v>180</v>
      </c>
      <c r="F345" s="3" t="s">
        <v>290</v>
      </c>
      <c r="G345" s="3" t="s">
        <v>175</v>
      </c>
      <c r="H345" s="3" t="s">
        <v>392</v>
      </c>
    </row>
    <row r="346" customFormat="false" ht="15" hidden="false" customHeight="false" outlineLevel="0" collapsed="false">
      <c r="A346" s="3" t="s">
        <v>363</v>
      </c>
      <c r="B346" s="3" t="n">
        <v>30</v>
      </c>
      <c r="C346" s="3" t="s">
        <v>173</v>
      </c>
      <c r="D346" s="3" t="n">
        <v>13</v>
      </c>
      <c r="E346" s="3" t="s">
        <v>174</v>
      </c>
      <c r="F346" s="3" t="s">
        <v>290</v>
      </c>
      <c r="G346" s="3" t="s">
        <v>175</v>
      </c>
      <c r="H346" s="3" t="s">
        <v>393</v>
      </c>
    </row>
    <row r="347" customFormat="false" ht="15" hidden="false" customHeight="false" outlineLevel="0" collapsed="false">
      <c r="A347" s="3" t="s">
        <v>363</v>
      </c>
      <c r="B347" s="3" t="n">
        <v>30</v>
      </c>
      <c r="C347" s="3" t="s">
        <v>173</v>
      </c>
      <c r="D347" s="3" t="n">
        <v>37</v>
      </c>
      <c r="E347" s="3" t="s">
        <v>180</v>
      </c>
      <c r="F347" s="3" t="s">
        <v>290</v>
      </c>
      <c r="G347" s="3" t="s">
        <v>175</v>
      </c>
      <c r="H347" s="3" t="s">
        <v>393</v>
      </c>
    </row>
    <row r="348" customFormat="false" ht="15" hidden="false" customHeight="false" outlineLevel="0" collapsed="false">
      <c r="A348" s="3" t="s">
        <v>363</v>
      </c>
      <c r="B348" s="3" t="n">
        <v>31</v>
      </c>
      <c r="C348" s="3" t="s">
        <v>173</v>
      </c>
      <c r="D348" s="3" t="n">
        <v>6</v>
      </c>
      <c r="E348" s="3" t="s">
        <v>174</v>
      </c>
      <c r="F348" s="3" t="s">
        <v>290</v>
      </c>
      <c r="G348" s="3" t="s">
        <v>175</v>
      </c>
      <c r="H348" s="3" t="s">
        <v>394</v>
      </c>
    </row>
    <row r="349" customFormat="false" ht="15" hidden="false" customHeight="false" outlineLevel="0" collapsed="false">
      <c r="A349" s="3" t="s">
        <v>363</v>
      </c>
      <c r="B349" s="3" t="n">
        <v>32</v>
      </c>
      <c r="C349" s="3" t="s">
        <v>173</v>
      </c>
      <c r="D349" s="3" t="n">
        <v>24</v>
      </c>
      <c r="E349" s="3" t="s">
        <v>174</v>
      </c>
      <c r="F349" s="3" t="s">
        <v>290</v>
      </c>
      <c r="G349" s="3" t="s">
        <v>175</v>
      </c>
      <c r="H349" s="3" t="s">
        <v>395</v>
      </c>
    </row>
    <row r="350" customFormat="false" ht="15" hidden="false" customHeight="false" outlineLevel="0" collapsed="false">
      <c r="A350" s="3" t="s">
        <v>363</v>
      </c>
      <c r="B350" s="3" t="n">
        <v>33</v>
      </c>
      <c r="C350" s="3" t="s">
        <v>173</v>
      </c>
      <c r="D350" s="3" t="n">
        <v>51</v>
      </c>
      <c r="E350" s="3" t="s">
        <v>174</v>
      </c>
      <c r="F350" s="3" t="s">
        <v>290</v>
      </c>
      <c r="G350" s="3" t="s">
        <v>175</v>
      </c>
      <c r="H350" s="3" t="s">
        <v>396</v>
      </c>
    </row>
    <row r="351" customFormat="false" ht="15" hidden="false" customHeight="false" outlineLevel="0" collapsed="false">
      <c r="A351" s="3" t="s">
        <v>363</v>
      </c>
      <c r="B351" s="3" t="n">
        <v>34</v>
      </c>
      <c r="C351" s="3" t="s">
        <v>173</v>
      </c>
      <c r="D351" s="3" t="n">
        <v>90</v>
      </c>
      <c r="E351" s="3" t="s">
        <v>174</v>
      </c>
      <c r="F351" s="3" t="s">
        <v>290</v>
      </c>
      <c r="G351" s="3" t="s">
        <v>175</v>
      </c>
      <c r="H351" s="3" t="s">
        <v>397</v>
      </c>
    </row>
    <row r="352" customFormat="false" ht="15" hidden="false" customHeight="false" outlineLevel="0" collapsed="false">
      <c r="A352" s="3" t="s">
        <v>363</v>
      </c>
      <c r="B352" s="3" t="n">
        <v>34</v>
      </c>
      <c r="C352" s="3" t="s">
        <v>173</v>
      </c>
      <c r="D352" s="3" t="n">
        <v>85</v>
      </c>
      <c r="E352" s="3" t="s">
        <v>180</v>
      </c>
      <c r="F352" s="3" t="s">
        <v>290</v>
      </c>
      <c r="G352" s="3" t="s">
        <v>175</v>
      </c>
      <c r="H352" s="3" t="s">
        <v>397</v>
      </c>
    </row>
    <row r="353" customFormat="false" ht="15" hidden="false" customHeight="false" outlineLevel="0" collapsed="false">
      <c r="A353" s="3" t="s">
        <v>363</v>
      </c>
      <c r="B353" s="3" t="n">
        <v>35</v>
      </c>
      <c r="C353" s="3" t="s">
        <v>173</v>
      </c>
      <c r="D353" s="3" t="n">
        <v>12</v>
      </c>
      <c r="E353" s="3" t="s">
        <v>174</v>
      </c>
      <c r="F353" s="3" t="s">
        <v>290</v>
      </c>
      <c r="G353" s="3" t="s">
        <v>175</v>
      </c>
      <c r="H353" s="3" t="s">
        <v>398</v>
      </c>
    </row>
    <row r="354" customFormat="false" ht="15" hidden="false" customHeight="false" outlineLevel="0" collapsed="false">
      <c r="A354" s="3" t="s">
        <v>363</v>
      </c>
      <c r="B354" s="3" t="n">
        <v>36</v>
      </c>
      <c r="C354" s="3" t="s">
        <v>173</v>
      </c>
      <c r="D354" s="3" t="n">
        <v>51</v>
      </c>
      <c r="E354" s="3" t="s">
        <v>174</v>
      </c>
      <c r="F354" s="3" t="s">
        <v>290</v>
      </c>
      <c r="G354" s="3" t="s">
        <v>175</v>
      </c>
      <c r="H354" s="3" t="s">
        <v>399</v>
      </c>
    </row>
    <row r="355" customFormat="false" ht="15" hidden="false" customHeight="false" outlineLevel="0" collapsed="false">
      <c r="A355" s="3" t="s">
        <v>400</v>
      </c>
      <c r="B355" s="3" t="n">
        <v>1</v>
      </c>
      <c r="C355" s="3" t="s">
        <v>173</v>
      </c>
      <c r="D355" s="3" t="n">
        <v>1</v>
      </c>
      <c r="E355" s="3" t="s">
        <v>174</v>
      </c>
      <c r="F355" s="3" t="s">
        <v>175</v>
      </c>
      <c r="G355" s="3" t="s">
        <v>290</v>
      </c>
      <c r="H355" s="3" t="s">
        <v>401</v>
      </c>
    </row>
    <row r="356" customFormat="false" ht="15" hidden="false" customHeight="false" outlineLevel="0" collapsed="false">
      <c r="A356" s="3" t="s">
        <v>400</v>
      </c>
      <c r="B356" s="3" t="n">
        <v>2</v>
      </c>
      <c r="C356" s="3" t="s">
        <v>173</v>
      </c>
      <c r="D356" s="3" t="n">
        <v>12</v>
      </c>
      <c r="E356" s="3" t="s">
        <v>174</v>
      </c>
      <c r="F356" s="3" t="s">
        <v>175</v>
      </c>
      <c r="G356" s="3" t="s">
        <v>290</v>
      </c>
      <c r="H356" s="3" t="s">
        <v>402</v>
      </c>
    </row>
    <row r="357" customFormat="false" ht="15" hidden="false" customHeight="false" outlineLevel="0" collapsed="false">
      <c r="A357" s="3" t="s">
        <v>400</v>
      </c>
      <c r="B357" s="3" t="n">
        <v>2</v>
      </c>
      <c r="C357" s="3" t="s">
        <v>173</v>
      </c>
      <c r="D357" s="3" t="n">
        <v>13</v>
      </c>
      <c r="E357" s="3" t="s">
        <v>180</v>
      </c>
      <c r="F357" s="3" t="s">
        <v>175</v>
      </c>
      <c r="G357" s="3" t="s">
        <v>290</v>
      </c>
      <c r="H357" s="3" t="s">
        <v>402</v>
      </c>
    </row>
    <row r="358" customFormat="false" ht="15" hidden="false" customHeight="false" outlineLevel="0" collapsed="false">
      <c r="A358" s="3" t="s">
        <v>400</v>
      </c>
      <c r="B358" s="3" t="n">
        <v>2</v>
      </c>
      <c r="C358" s="3" t="s">
        <v>173</v>
      </c>
      <c r="D358" s="3" t="n">
        <v>15</v>
      </c>
      <c r="E358" s="3" t="s">
        <v>180</v>
      </c>
      <c r="F358" s="3" t="s">
        <v>175</v>
      </c>
      <c r="G358" s="3" t="s">
        <v>290</v>
      </c>
      <c r="H358" s="3" t="s">
        <v>402</v>
      </c>
    </row>
    <row r="359" customFormat="false" ht="15" hidden="false" customHeight="false" outlineLevel="0" collapsed="false">
      <c r="A359" s="3" t="s">
        <v>400</v>
      </c>
      <c r="B359" s="3" t="n">
        <v>3</v>
      </c>
      <c r="C359" s="3" t="s">
        <v>173</v>
      </c>
      <c r="D359" s="3" t="n">
        <v>66</v>
      </c>
      <c r="E359" s="3" t="s">
        <v>174</v>
      </c>
      <c r="F359" s="3" t="s">
        <v>175</v>
      </c>
      <c r="G359" s="3" t="s">
        <v>290</v>
      </c>
      <c r="H359" s="3" t="s">
        <v>403</v>
      </c>
    </row>
    <row r="360" customFormat="false" ht="15" hidden="false" customHeight="false" outlineLevel="0" collapsed="false">
      <c r="A360" s="3" t="s">
        <v>400</v>
      </c>
      <c r="B360" s="3" t="n">
        <v>3</v>
      </c>
      <c r="C360" s="3" t="s">
        <v>173</v>
      </c>
      <c r="D360" s="3" t="n">
        <v>32</v>
      </c>
      <c r="E360" s="3" t="s">
        <v>180</v>
      </c>
      <c r="F360" s="3" t="s">
        <v>175</v>
      </c>
      <c r="G360" s="3" t="s">
        <v>290</v>
      </c>
      <c r="H360" s="3" t="s">
        <v>403</v>
      </c>
    </row>
    <row r="361" customFormat="false" ht="15" hidden="false" customHeight="false" outlineLevel="0" collapsed="false">
      <c r="A361" s="3" t="s">
        <v>400</v>
      </c>
      <c r="B361" s="3" t="n">
        <v>4</v>
      </c>
      <c r="C361" s="3" t="s">
        <v>173</v>
      </c>
      <c r="D361" s="3" t="n">
        <v>32</v>
      </c>
      <c r="E361" s="3" t="s">
        <v>174</v>
      </c>
      <c r="F361" s="3" t="s">
        <v>175</v>
      </c>
      <c r="G361" s="3" t="s">
        <v>290</v>
      </c>
      <c r="H361" s="3" t="s">
        <v>404</v>
      </c>
    </row>
    <row r="362" customFormat="false" ht="15" hidden="false" customHeight="false" outlineLevel="0" collapsed="false">
      <c r="A362" s="3" t="s">
        <v>400</v>
      </c>
      <c r="B362" s="3" t="n">
        <v>5</v>
      </c>
      <c r="C362" s="3" t="s">
        <v>173</v>
      </c>
      <c r="D362" s="3" t="n">
        <v>12</v>
      </c>
      <c r="E362" s="3" t="s">
        <v>174</v>
      </c>
      <c r="F362" s="3" t="s">
        <v>175</v>
      </c>
      <c r="G362" s="3" t="s">
        <v>290</v>
      </c>
      <c r="H362" s="3" t="s">
        <v>405</v>
      </c>
    </row>
    <row r="363" customFormat="false" ht="15" hidden="false" customHeight="false" outlineLevel="0" collapsed="false">
      <c r="A363" s="3" t="s">
        <v>400</v>
      </c>
      <c r="B363" s="3" t="n">
        <v>5</v>
      </c>
      <c r="C363" s="3" t="s">
        <v>173</v>
      </c>
      <c r="D363" s="3" t="n">
        <v>4</v>
      </c>
      <c r="E363" s="3" t="s">
        <v>180</v>
      </c>
      <c r="F363" s="3" t="s">
        <v>175</v>
      </c>
      <c r="G363" s="3" t="s">
        <v>290</v>
      </c>
      <c r="H363" s="3" t="s">
        <v>405</v>
      </c>
    </row>
    <row r="364" customFormat="false" ht="15" hidden="false" customHeight="false" outlineLevel="0" collapsed="false">
      <c r="A364" s="3" t="s">
        <v>400</v>
      </c>
      <c r="B364" s="3" t="n">
        <v>6</v>
      </c>
      <c r="C364" s="3" t="s">
        <v>173</v>
      </c>
      <c r="D364" s="3" t="n">
        <v>58</v>
      </c>
      <c r="E364" s="3" t="s">
        <v>174</v>
      </c>
      <c r="F364" s="3" t="s">
        <v>175</v>
      </c>
      <c r="G364" s="3" t="s">
        <v>290</v>
      </c>
      <c r="H364" s="3" t="s">
        <v>406</v>
      </c>
    </row>
    <row r="365" customFormat="false" ht="15" hidden="false" customHeight="false" outlineLevel="0" collapsed="false">
      <c r="A365" s="3" t="s">
        <v>400</v>
      </c>
      <c r="B365" s="3" t="n">
        <v>7</v>
      </c>
      <c r="C365" s="3" t="s">
        <v>173</v>
      </c>
      <c r="D365" s="3" t="n">
        <v>66</v>
      </c>
      <c r="E365" s="3" t="s">
        <v>174</v>
      </c>
      <c r="F365" s="3" t="s">
        <v>175</v>
      </c>
      <c r="G365" s="3" t="s">
        <v>290</v>
      </c>
      <c r="H365" s="3" t="s">
        <v>407</v>
      </c>
    </row>
    <row r="366" customFormat="false" ht="15" hidden="false" customHeight="false" outlineLevel="0" collapsed="false">
      <c r="A366" s="3" t="s">
        <v>400</v>
      </c>
      <c r="B366" s="3" t="n">
        <v>7</v>
      </c>
      <c r="C366" s="3" t="s">
        <v>173</v>
      </c>
      <c r="D366" s="3" t="n">
        <v>13</v>
      </c>
      <c r="E366" s="3" t="s">
        <v>180</v>
      </c>
      <c r="F366" s="3" t="s">
        <v>175</v>
      </c>
      <c r="G366" s="3" t="s">
        <v>290</v>
      </c>
      <c r="H366" s="3" t="s">
        <v>407</v>
      </c>
    </row>
    <row r="367" customFormat="false" ht="15" hidden="false" customHeight="false" outlineLevel="0" collapsed="false">
      <c r="A367" s="3" t="s">
        <v>400</v>
      </c>
      <c r="B367" s="3" t="n">
        <v>8</v>
      </c>
      <c r="C367" s="3" t="s">
        <v>173</v>
      </c>
      <c r="D367" s="3" t="n">
        <v>65</v>
      </c>
      <c r="E367" s="3" t="s">
        <v>174</v>
      </c>
      <c r="F367" s="3" t="s">
        <v>175</v>
      </c>
      <c r="G367" s="3" t="s">
        <v>290</v>
      </c>
      <c r="H367" s="3" t="s">
        <v>408</v>
      </c>
    </row>
    <row r="368" customFormat="false" ht="15" hidden="false" customHeight="false" outlineLevel="0" collapsed="false">
      <c r="A368" s="3" t="s">
        <v>400</v>
      </c>
      <c r="B368" s="3" t="n">
        <v>9</v>
      </c>
      <c r="C368" s="3" t="s">
        <v>173</v>
      </c>
      <c r="D368" s="3" t="n">
        <v>25</v>
      </c>
      <c r="E368" s="3" t="s">
        <v>174</v>
      </c>
      <c r="F368" s="3" t="s">
        <v>175</v>
      </c>
      <c r="G368" s="3" t="s">
        <v>290</v>
      </c>
      <c r="H368" s="3" t="s">
        <v>409</v>
      </c>
    </row>
    <row r="369" customFormat="false" ht="15" hidden="false" customHeight="false" outlineLevel="0" collapsed="false">
      <c r="A369" s="3" t="s">
        <v>400</v>
      </c>
      <c r="B369" s="3" t="n">
        <v>10</v>
      </c>
      <c r="C369" s="3" t="s">
        <v>173</v>
      </c>
      <c r="D369" s="3" t="n">
        <v>51</v>
      </c>
      <c r="E369" s="3" t="s">
        <v>174</v>
      </c>
      <c r="F369" s="3" t="s">
        <v>175</v>
      </c>
      <c r="G369" s="3" t="s">
        <v>290</v>
      </c>
      <c r="H369" s="3" t="s">
        <v>410</v>
      </c>
    </row>
    <row r="370" customFormat="false" ht="15" hidden="false" customHeight="false" outlineLevel="0" collapsed="false">
      <c r="A370" s="3" t="s">
        <v>400</v>
      </c>
      <c r="B370" s="3" t="n">
        <v>11</v>
      </c>
      <c r="C370" s="3" t="s">
        <v>173</v>
      </c>
      <c r="D370" s="3" t="n">
        <v>50</v>
      </c>
      <c r="E370" s="3" t="s">
        <v>174</v>
      </c>
      <c r="F370" s="3" t="s">
        <v>175</v>
      </c>
      <c r="G370" s="3" t="s">
        <v>290</v>
      </c>
      <c r="H370" s="3" t="s">
        <v>411</v>
      </c>
    </row>
    <row r="371" customFormat="false" ht="15" hidden="false" customHeight="false" outlineLevel="0" collapsed="false">
      <c r="A371" s="3" t="s">
        <v>400</v>
      </c>
      <c r="B371" s="3" t="n">
        <v>12</v>
      </c>
      <c r="C371" s="3" t="s">
        <v>173</v>
      </c>
      <c r="D371" s="3" t="n">
        <v>1</v>
      </c>
      <c r="E371" s="3" t="s">
        <v>174</v>
      </c>
      <c r="F371" s="3" t="s">
        <v>175</v>
      </c>
      <c r="G371" s="3" t="s">
        <v>290</v>
      </c>
      <c r="H371" s="3" t="s">
        <v>412</v>
      </c>
    </row>
    <row r="372" customFormat="false" ht="15" hidden="false" customHeight="false" outlineLevel="0" collapsed="false">
      <c r="A372" s="3" t="s">
        <v>400</v>
      </c>
      <c r="B372" s="3" t="n">
        <v>13</v>
      </c>
      <c r="C372" s="3" t="s">
        <v>173</v>
      </c>
      <c r="D372" s="3" t="n">
        <v>25</v>
      </c>
      <c r="E372" s="3" t="s">
        <v>174</v>
      </c>
      <c r="F372" s="3" t="s">
        <v>175</v>
      </c>
      <c r="G372" s="3" t="s">
        <v>290</v>
      </c>
      <c r="H372" s="3" t="s">
        <v>413</v>
      </c>
    </row>
    <row r="373" customFormat="false" ht="15" hidden="false" customHeight="false" outlineLevel="0" collapsed="false">
      <c r="A373" s="3" t="s">
        <v>400</v>
      </c>
      <c r="B373" s="3" t="n">
        <v>14</v>
      </c>
      <c r="C373" s="3" t="s">
        <v>173</v>
      </c>
      <c r="D373" s="3" t="n">
        <v>32</v>
      </c>
      <c r="E373" s="3" t="s">
        <v>174</v>
      </c>
      <c r="F373" s="3" t="s">
        <v>175</v>
      </c>
      <c r="G373" s="3" t="s">
        <v>290</v>
      </c>
      <c r="H373" s="3" t="s">
        <v>414</v>
      </c>
    </row>
    <row r="374" customFormat="false" ht="15" hidden="false" customHeight="false" outlineLevel="0" collapsed="false">
      <c r="A374" s="3" t="s">
        <v>400</v>
      </c>
      <c r="B374" s="3" t="n">
        <v>14</v>
      </c>
      <c r="C374" s="3" t="s">
        <v>173</v>
      </c>
      <c r="D374" s="3" t="n">
        <v>42</v>
      </c>
      <c r="E374" s="3" t="s">
        <v>180</v>
      </c>
      <c r="F374" s="3" t="s">
        <v>175</v>
      </c>
      <c r="G374" s="3" t="s">
        <v>290</v>
      </c>
      <c r="H374" s="3" t="s">
        <v>414</v>
      </c>
    </row>
    <row r="375" customFormat="false" ht="15" hidden="false" customHeight="false" outlineLevel="0" collapsed="false">
      <c r="A375" s="3" t="s">
        <v>400</v>
      </c>
      <c r="B375" s="3" t="n">
        <v>15</v>
      </c>
      <c r="C375" s="3" t="s">
        <v>173</v>
      </c>
      <c r="D375" s="3" t="n">
        <v>88</v>
      </c>
      <c r="E375" s="3" t="s">
        <v>174</v>
      </c>
      <c r="F375" s="3" t="s">
        <v>175</v>
      </c>
      <c r="G375" s="3" t="s">
        <v>290</v>
      </c>
      <c r="H375" s="3" t="s">
        <v>415</v>
      </c>
    </row>
    <row r="376" customFormat="false" ht="15" hidden="false" customHeight="false" outlineLevel="0" collapsed="false">
      <c r="A376" s="3" t="s">
        <v>400</v>
      </c>
      <c r="B376" s="3" t="n">
        <v>16</v>
      </c>
      <c r="C376" s="3" t="s">
        <v>173</v>
      </c>
      <c r="D376" s="3" t="n">
        <v>28</v>
      </c>
      <c r="E376" s="3" t="s">
        <v>174</v>
      </c>
      <c r="F376" s="3" t="s">
        <v>175</v>
      </c>
      <c r="G376" s="3" t="s">
        <v>290</v>
      </c>
      <c r="H376" s="3" t="s">
        <v>416</v>
      </c>
    </row>
    <row r="377" customFormat="false" ht="15" hidden="false" customHeight="false" outlineLevel="0" collapsed="false">
      <c r="A377" s="3" t="s">
        <v>400</v>
      </c>
      <c r="B377" s="3" t="n">
        <v>16</v>
      </c>
      <c r="C377" s="3" t="s">
        <v>173</v>
      </c>
      <c r="D377" s="3" t="n">
        <v>33</v>
      </c>
      <c r="E377" s="3" t="s">
        <v>180</v>
      </c>
      <c r="F377" s="3" t="s">
        <v>175</v>
      </c>
      <c r="G377" s="3" t="s">
        <v>290</v>
      </c>
      <c r="H377" s="3" t="s">
        <v>416</v>
      </c>
    </row>
    <row r="378" customFormat="false" ht="15" hidden="false" customHeight="false" outlineLevel="0" collapsed="false">
      <c r="A378" s="3" t="s">
        <v>400</v>
      </c>
      <c r="B378" s="3" t="n">
        <v>17</v>
      </c>
      <c r="C378" s="3" t="s">
        <v>173</v>
      </c>
      <c r="D378" s="3" t="n">
        <v>23</v>
      </c>
      <c r="E378" s="3" t="s">
        <v>174</v>
      </c>
      <c r="F378" s="3" t="s">
        <v>175</v>
      </c>
      <c r="G378" s="3" t="s">
        <v>290</v>
      </c>
      <c r="H378" s="3" t="s">
        <v>417</v>
      </c>
    </row>
    <row r="379" customFormat="false" ht="15" hidden="false" customHeight="false" outlineLevel="0" collapsed="false">
      <c r="A379" s="3" t="s">
        <v>400</v>
      </c>
      <c r="B379" s="3" t="n">
        <v>17</v>
      </c>
      <c r="C379" s="3" t="s">
        <v>173</v>
      </c>
      <c r="D379" s="3" t="n">
        <v>21</v>
      </c>
      <c r="E379" s="3" t="s">
        <v>180</v>
      </c>
      <c r="F379" s="3" t="s">
        <v>175</v>
      </c>
      <c r="G379" s="3" t="s">
        <v>290</v>
      </c>
      <c r="H379" s="3" t="s">
        <v>417</v>
      </c>
    </row>
    <row r="380" customFormat="false" ht="15" hidden="false" customHeight="false" outlineLevel="0" collapsed="false">
      <c r="A380" s="3" t="s">
        <v>400</v>
      </c>
      <c r="B380" s="3" t="n">
        <v>18</v>
      </c>
      <c r="C380" s="3" t="s">
        <v>173</v>
      </c>
      <c r="D380" s="3" t="n">
        <v>12</v>
      </c>
      <c r="E380" s="3" t="s">
        <v>174</v>
      </c>
      <c r="F380" s="3" t="s">
        <v>175</v>
      </c>
      <c r="G380" s="3" t="s">
        <v>290</v>
      </c>
      <c r="H380" s="3" t="s">
        <v>418</v>
      </c>
    </row>
    <row r="381" customFormat="false" ht="15" hidden="false" customHeight="false" outlineLevel="0" collapsed="false">
      <c r="A381" s="3" t="s">
        <v>400</v>
      </c>
      <c r="B381" s="3" t="n">
        <v>18</v>
      </c>
      <c r="C381" s="3" t="s">
        <v>173</v>
      </c>
      <c r="D381" s="3" t="n">
        <v>6</v>
      </c>
      <c r="E381" s="3" t="s">
        <v>180</v>
      </c>
      <c r="F381" s="3" t="s">
        <v>175</v>
      </c>
      <c r="G381" s="3" t="s">
        <v>290</v>
      </c>
      <c r="H381" s="3" t="s">
        <v>418</v>
      </c>
    </row>
    <row r="382" customFormat="false" ht="15" hidden="false" customHeight="false" outlineLevel="0" collapsed="false">
      <c r="A382" s="3" t="s">
        <v>400</v>
      </c>
      <c r="B382" s="3" t="n">
        <v>19</v>
      </c>
      <c r="C382" s="3" t="s">
        <v>173</v>
      </c>
      <c r="D382" s="3" t="n">
        <v>16</v>
      </c>
      <c r="E382" s="3" t="s">
        <v>174</v>
      </c>
      <c r="F382" s="3" t="s">
        <v>175</v>
      </c>
      <c r="G382" s="3" t="s">
        <v>290</v>
      </c>
      <c r="H382" s="3" t="s">
        <v>419</v>
      </c>
    </row>
    <row r="383" customFormat="false" ht="15" hidden="false" customHeight="false" outlineLevel="0" collapsed="false">
      <c r="A383" s="3" t="s">
        <v>400</v>
      </c>
      <c r="B383" s="3" t="n">
        <v>19</v>
      </c>
      <c r="C383" s="3" t="s">
        <v>173</v>
      </c>
      <c r="D383" s="3" t="n">
        <v>23</v>
      </c>
      <c r="E383" s="3" t="s">
        <v>180</v>
      </c>
      <c r="F383" s="3" t="s">
        <v>175</v>
      </c>
      <c r="G383" s="3" t="s">
        <v>290</v>
      </c>
      <c r="H383" s="3" t="s">
        <v>419</v>
      </c>
    </row>
    <row r="384" customFormat="false" ht="15" hidden="false" customHeight="false" outlineLevel="0" collapsed="false">
      <c r="A384" s="3" t="s">
        <v>400</v>
      </c>
      <c r="B384" s="3" t="n">
        <v>20</v>
      </c>
      <c r="C384" s="3" t="s">
        <v>173</v>
      </c>
      <c r="D384" s="3" t="n">
        <v>11</v>
      </c>
      <c r="E384" s="3" t="s">
        <v>174</v>
      </c>
      <c r="F384" s="3" t="s">
        <v>175</v>
      </c>
      <c r="G384" s="3" t="s">
        <v>290</v>
      </c>
      <c r="H384" s="3" t="s">
        <v>420</v>
      </c>
    </row>
    <row r="385" customFormat="false" ht="15" hidden="false" customHeight="false" outlineLevel="0" collapsed="false">
      <c r="A385" s="3" t="s">
        <v>400</v>
      </c>
      <c r="B385" s="3" t="n">
        <v>21</v>
      </c>
      <c r="C385" s="3" t="s">
        <v>173</v>
      </c>
      <c r="D385" s="3" t="n">
        <v>89</v>
      </c>
      <c r="E385" s="3" t="s">
        <v>174</v>
      </c>
      <c r="F385" s="3" t="s">
        <v>175</v>
      </c>
      <c r="G385" s="3" t="s">
        <v>290</v>
      </c>
      <c r="H385" s="3" t="s">
        <v>421</v>
      </c>
    </row>
    <row r="386" customFormat="false" ht="15" hidden="false" customHeight="false" outlineLevel="0" collapsed="false">
      <c r="A386" s="3" t="s">
        <v>400</v>
      </c>
      <c r="B386" s="3" t="n">
        <v>22</v>
      </c>
      <c r="C386" s="3" t="s">
        <v>173</v>
      </c>
      <c r="D386" s="3" t="n">
        <v>101</v>
      </c>
      <c r="E386" s="3" t="s">
        <v>174</v>
      </c>
      <c r="F386" s="3" t="s">
        <v>175</v>
      </c>
      <c r="G386" s="3" t="s">
        <v>290</v>
      </c>
      <c r="H386" s="3" t="s">
        <v>422</v>
      </c>
    </row>
    <row r="387" customFormat="false" ht="15" hidden="false" customHeight="false" outlineLevel="0" collapsed="false">
      <c r="A387" s="3" t="s">
        <v>400</v>
      </c>
      <c r="B387" s="3" t="n">
        <v>23</v>
      </c>
      <c r="C387" s="3" t="s">
        <v>173</v>
      </c>
      <c r="D387" s="3" t="n">
        <v>6</v>
      </c>
      <c r="E387" s="3" t="s">
        <v>174</v>
      </c>
      <c r="F387" s="3" t="s">
        <v>175</v>
      </c>
      <c r="G387" s="3" t="s">
        <v>290</v>
      </c>
      <c r="H387" s="3" t="s">
        <v>423</v>
      </c>
    </row>
    <row r="388" customFormat="false" ht="15" hidden="false" customHeight="false" outlineLevel="0" collapsed="false">
      <c r="A388" s="3" t="s">
        <v>400</v>
      </c>
      <c r="B388" s="3" t="n">
        <v>24</v>
      </c>
      <c r="C388" s="3" t="s">
        <v>173</v>
      </c>
      <c r="D388" s="3" t="n">
        <v>89</v>
      </c>
      <c r="E388" s="3" t="s">
        <v>174</v>
      </c>
      <c r="F388" s="3" t="s">
        <v>175</v>
      </c>
      <c r="G388" s="3" t="s">
        <v>290</v>
      </c>
      <c r="H388" s="3" t="s">
        <v>424</v>
      </c>
    </row>
    <row r="389" customFormat="false" ht="15" hidden="false" customHeight="false" outlineLevel="0" collapsed="false">
      <c r="A389" s="3" t="s">
        <v>400</v>
      </c>
      <c r="B389" s="3" t="n">
        <v>24</v>
      </c>
      <c r="C389" s="3" t="s">
        <v>173</v>
      </c>
      <c r="D389" s="3" t="n">
        <v>9</v>
      </c>
      <c r="E389" s="3" t="s">
        <v>180</v>
      </c>
      <c r="F389" s="3" t="s">
        <v>175</v>
      </c>
      <c r="G389" s="3" t="s">
        <v>290</v>
      </c>
      <c r="H389" s="3" t="s">
        <v>424</v>
      </c>
    </row>
    <row r="390" customFormat="false" ht="15" hidden="false" customHeight="false" outlineLevel="0" collapsed="false">
      <c r="A390" s="3" t="s">
        <v>400</v>
      </c>
      <c r="B390" s="3" t="n">
        <v>25</v>
      </c>
      <c r="C390" s="3" t="s">
        <v>173</v>
      </c>
      <c r="D390" s="3" t="n">
        <v>63</v>
      </c>
      <c r="E390" s="3" t="s">
        <v>174</v>
      </c>
      <c r="F390" s="3" t="s">
        <v>175</v>
      </c>
      <c r="G390" s="3" t="s">
        <v>290</v>
      </c>
      <c r="H390" s="3" t="s">
        <v>425</v>
      </c>
    </row>
    <row r="391" customFormat="false" ht="15" hidden="false" customHeight="false" outlineLevel="0" collapsed="false">
      <c r="A391" s="3" t="s">
        <v>400</v>
      </c>
      <c r="B391" s="3" t="n">
        <v>26</v>
      </c>
      <c r="C391" s="3" t="s">
        <v>173</v>
      </c>
      <c r="D391" s="3" t="n">
        <v>44</v>
      </c>
      <c r="E391" s="3" t="s">
        <v>174</v>
      </c>
      <c r="F391" s="3" t="s">
        <v>175</v>
      </c>
      <c r="G391" s="3" t="s">
        <v>290</v>
      </c>
      <c r="H391" s="3" t="s">
        <v>426</v>
      </c>
    </row>
    <row r="392" customFormat="false" ht="15" hidden="false" customHeight="false" outlineLevel="0" collapsed="false">
      <c r="A392" s="3" t="s">
        <v>400</v>
      </c>
      <c r="B392" s="3" t="n">
        <v>26</v>
      </c>
      <c r="C392" s="3" t="s">
        <v>173</v>
      </c>
      <c r="D392" s="3" t="n">
        <v>32</v>
      </c>
      <c r="E392" s="3" t="s">
        <v>180</v>
      </c>
      <c r="F392" s="3" t="s">
        <v>175</v>
      </c>
      <c r="G392" s="3" t="s">
        <v>290</v>
      </c>
      <c r="H392" s="3" t="s">
        <v>426</v>
      </c>
    </row>
    <row r="393" customFormat="false" ht="15" hidden="false" customHeight="false" outlineLevel="0" collapsed="false">
      <c r="A393" s="3" t="s">
        <v>400</v>
      </c>
      <c r="B393" s="3" t="n">
        <v>27</v>
      </c>
      <c r="C393" s="3" t="s">
        <v>173</v>
      </c>
      <c r="D393" s="3" t="n">
        <v>32</v>
      </c>
      <c r="E393" s="3" t="s">
        <v>174</v>
      </c>
      <c r="F393" s="3" t="s">
        <v>175</v>
      </c>
      <c r="G393" s="3" t="s">
        <v>290</v>
      </c>
      <c r="H393" s="3" t="s">
        <v>427</v>
      </c>
    </row>
    <row r="394" customFormat="false" ht="15" hidden="false" customHeight="false" outlineLevel="0" collapsed="false">
      <c r="A394" s="3" t="s">
        <v>400</v>
      </c>
      <c r="B394" s="3" t="n">
        <v>27</v>
      </c>
      <c r="C394" s="3" t="s">
        <v>173</v>
      </c>
      <c r="D394" s="3" t="n">
        <v>4</v>
      </c>
      <c r="E394" s="3" t="s">
        <v>180</v>
      </c>
      <c r="F394" s="3" t="s">
        <v>175</v>
      </c>
      <c r="G394" s="3" t="s">
        <v>290</v>
      </c>
      <c r="H394" s="3" t="s">
        <v>427</v>
      </c>
    </row>
    <row r="395" customFormat="false" ht="15" hidden="false" customHeight="false" outlineLevel="0" collapsed="false">
      <c r="A395" s="3" t="s">
        <v>400</v>
      </c>
      <c r="B395" s="3" t="n">
        <v>28</v>
      </c>
      <c r="C395" s="3" t="s">
        <v>173</v>
      </c>
      <c r="D395" s="3" t="n">
        <v>113</v>
      </c>
      <c r="E395" s="3" t="s">
        <v>174</v>
      </c>
      <c r="F395" s="3" t="s">
        <v>175</v>
      </c>
      <c r="G395" s="3" t="s">
        <v>290</v>
      </c>
      <c r="H395" s="3" t="s">
        <v>428</v>
      </c>
    </row>
    <row r="396" customFormat="false" ht="15" hidden="false" customHeight="false" outlineLevel="0" collapsed="false">
      <c r="A396" s="3" t="s">
        <v>400</v>
      </c>
      <c r="B396" s="3" t="n">
        <v>28</v>
      </c>
      <c r="C396" s="3" t="s">
        <v>173</v>
      </c>
      <c r="D396" s="3" t="n">
        <v>100</v>
      </c>
      <c r="E396" s="3" t="s">
        <v>180</v>
      </c>
      <c r="F396" s="3" t="s">
        <v>175</v>
      </c>
      <c r="G396" s="3" t="s">
        <v>290</v>
      </c>
      <c r="H396" s="3" t="s">
        <v>428</v>
      </c>
    </row>
    <row r="397" customFormat="false" ht="15" hidden="false" customHeight="false" outlineLevel="0" collapsed="false">
      <c r="A397" s="3" t="s">
        <v>400</v>
      </c>
      <c r="B397" s="3" t="n">
        <v>29</v>
      </c>
      <c r="C397" s="3" t="s">
        <v>173</v>
      </c>
      <c r="D397" s="3" t="n">
        <v>26</v>
      </c>
      <c r="E397" s="3" t="s">
        <v>174</v>
      </c>
      <c r="F397" s="3" t="s">
        <v>175</v>
      </c>
      <c r="G397" s="3" t="s">
        <v>290</v>
      </c>
      <c r="H397" s="3" t="s">
        <v>429</v>
      </c>
    </row>
    <row r="398" customFormat="false" ht="15" hidden="false" customHeight="false" outlineLevel="0" collapsed="false">
      <c r="A398" s="3" t="s">
        <v>400</v>
      </c>
      <c r="B398" s="3" t="n">
        <v>30</v>
      </c>
      <c r="C398" s="3" t="s">
        <v>173</v>
      </c>
      <c r="D398" s="3" t="n">
        <v>16</v>
      </c>
      <c r="E398" s="3" t="s">
        <v>174</v>
      </c>
      <c r="F398" s="3" t="s">
        <v>175</v>
      </c>
      <c r="G398" s="3" t="s">
        <v>290</v>
      </c>
      <c r="H398" s="3" t="s">
        <v>430</v>
      </c>
    </row>
    <row r="399" customFormat="false" ht="15" hidden="false" customHeight="false" outlineLevel="0" collapsed="false">
      <c r="A399" s="3" t="s">
        <v>400</v>
      </c>
      <c r="B399" s="3" t="n">
        <v>31</v>
      </c>
      <c r="C399" s="3" t="s">
        <v>173</v>
      </c>
      <c r="D399" s="3" t="n">
        <v>29</v>
      </c>
      <c r="E399" s="3" t="s">
        <v>174</v>
      </c>
      <c r="F399" s="3" t="s">
        <v>175</v>
      </c>
      <c r="G399" s="3" t="s">
        <v>290</v>
      </c>
      <c r="H399" s="3" t="s">
        <v>431</v>
      </c>
    </row>
    <row r="400" customFormat="false" ht="15" hidden="false" customHeight="false" outlineLevel="0" collapsed="false">
      <c r="A400" s="3" t="s">
        <v>400</v>
      </c>
      <c r="B400" s="3" t="n">
        <v>31</v>
      </c>
      <c r="C400" s="3" t="s">
        <v>173</v>
      </c>
      <c r="D400" s="3" t="n">
        <v>23</v>
      </c>
      <c r="E400" s="3" t="s">
        <v>180</v>
      </c>
      <c r="F400" s="3" t="s">
        <v>175</v>
      </c>
      <c r="G400" s="3" t="s">
        <v>290</v>
      </c>
      <c r="H400" s="3" t="s">
        <v>431</v>
      </c>
    </row>
    <row r="401" customFormat="false" ht="15" hidden="false" customHeight="false" outlineLevel="0" collapsed="false">
      <c r="A401" s="3" t="s">
        <v>400</v>
      </c>
      <c r="B401" s="3" t="n">
        <v>32</v>
      </c>
      <c r="C401" s="3" t="s">
        <v>173</v>
      </c>
      <c r="D401" s="3" t="n">
        <v>32</v>
      </c>
      <c r="E401" s="3" t="s">
        <v>174</v>
      </c>
      <c r="F401" s="3" t="s">
        <v>175</v>
      </c>
      <c r="G401" s="3" t="s">
        <v>290</v>
      </c>
      <c r="H401" s="3" t="s">
        <v>432</v>
      </c>
    </row>
    <row r="402" customFormat="false" ht="15" hidden="false" customHeight="false" outlineLevel="0" collapsed="false">
      <c r="A402" s="3" t="s">
        <v>400</v>
      </c>
      <c r="B402" s="3" t="n">
        <v>32</v>
      </c>
      <c r="C402" s="3" t="s">
        <v>173</v>
      </c>
      <c r="D402" s="3" t="n">
        <v>23</v>
      </c>
      <c r="E402" s="3" t="s">
        <v>180</v>
      </c>
      <c r="F402" s="3" t="s">
        <v>175</v>
      </c>
      <c r="G402" s="3" t="s">
        <v>290</v>
      </c>
      <c r="H402" s="3" t="s">
        <v>432</v>
      </c>
    </row>
    <row r="403" customFormat="false" ht="15" hidden="false" customHeight="false" outlineLevel="0" collapsed="false">
      <c r="A403" s="3" t="s">
        <v>400</v>
      </c>
      <c r="B403" s="3" t="n">
        <v>33</v>
      </c>
      <c r="C403" s="3" t="s">
        <v>173</v>
      </c>
      <c r="D403" s="3" t="n">
        <v>100</v>
      </c>
      <c r="E403" s="3" t="s">
        <v>174</v>
      </c>
      <c r="F403" s="3" t="s">
        <v>175</v>
      </c>
      <c r="G403" s="3" t="s">
        <v>290</v>
      </c>
      <c r="H403" s="3" t="s">
        <v>433</v>
      </c>
    </row>
    <row r="404" customFormat="false" ht="15" hidden="false" customHeight="false" outlineLevel="0" collapsed="false">
      <c r="A404" s="3" t="s">
        <v>400</v>
      </c>
      <c r="B404" s="3" t="n">
        <v>34</v>
      </c>
      <c r="C404" s="3" t="s">
        <v>173</v>
      </c>
      <c r="D404" s="3" t="n">
        <v>2</v>
      </c>
      <c r="E404" s="3" t="s">
        <v>174</v>
      </c>
      <c r="F404" s="3" t="s">
        <v>175</v>
      </c>
      <c r="G404" s="3" t="s">
        <v>290</v>
      </c>
      <c r="H404" s="3" t="s">
        <v>434</v>
      </c>
    </row>
    <row r="405" customFormat="false" ht="15" hidden="false" customHeight="false" outlineLevel="0" collapsed="false">
      <c r="A405" s="3" t="s">
        <v>400</v>
      </c>
      <c r="B405" s="3" t="n">
        <v>35</v>
      </c>
      <c r="C405" s="3" t="s">
        <v>173</v>
      </c>
      <c r="D405" s="3" t="n">
        <v>88</v>
      </c>
      <c r="E405" s="3" t="s">
        <v>174</v>
      </c>
      <c r="F405" s="3" t="s">
        <v>175</v>
      </c>
      <c r="G405" s="3" t="s">
        <v>290</v>
      </c>
      <c r="H405" s="3" t="s">
        <v>435</v>
      </c>
    </row>
    <row r="406" customFormat="false" ht="15" hidden="false" customHeight="false" outlineLevel="0" collapsed="false">
      <c r="A406" s="3" t="s">
        <v>400</v>
      </c>
      <c r="B406" s="3" t="n">
        <v>35</v>
      </c>
      <c r="C406" s="3" t="s">
        <v>173</v>
      </c>
      <c r="D406" s="3" t="n">
        <v>81</v>
      </c>
      <c r="E406" s="3" t="s">
        <v>180</v>
      </c>
      <c r="F406" s="3" t="s">
        <v>175</v>
      </c>
      <c r="G406" s="3" t="s">
        <v>290</v>
      </c>
      <c r="H406" s="3" t="s">
        <v>435</v>
      </c>
    </row>
    <row r="407" customFormat="false" ht="15" hidden="false" customHeight="false" outlineLevel="0" collapsed="false">
      <c r="A407" s="3" t="s">
        <v>400</v>
      </c>
      <c r="B407" s="3" t="n">
        <v>36</v>
      </c>
      <c r="C407" s="3" t="s">
        <v>173</v>
      </c>
      <c r="D407" s="3" t="n">
        <v>4</v>
      </c>
      <c r="E407" s="3" t="s">
        <v>174</v>
      </c>
      <c r="F407" s="3" t="s">
        <v>175</v>
      </c>
      <c r="G407" s="3" t="s">
        <v>290</v>
      </c>
      <c r="H407" s="3" t="s">
        <v>436</v>
      </c>
    </row>
    <row r="408" customFormat="false" ht="15" hidden="false" customHeight="false" outlineLevel="0" collapsed="false">
      <c r="A408" s="3" t="s">
        <v>400</v>
      </c>
      <c r="B408" s="3" t="n">
        <v>37</v>
      </c>
      <c r="C408" s="3" t="s">
        <v>173</v>
      </c>
      <c r="D408" s="3" t="n">
        <v>90</v>
      </c>
      <c r="E408" s="3" t="s">
        <v>174</v>
      </c>
      <c r="F408" s="3" t="s">
        <v>175</v>
      </c>
      <c r="G408" s="3" t="s">
        <v>290</v>
      </c>
      <c r="H408" s="3" t="s">
        <v>437</v>
      </c>
    </row>
    <row r="409" customFormat="false" ht="15" hidden="false" customHeight="false" outlineLevel="0" collapsed="false">
      <c r="A409" s="3" t="s">
        <v>438</v>
      </c>
      <c r="B409" s="3" t="n">
        <v>1</v>
      </c>
      <c r="C409" s="3" t="s">
        <v>439</v>
      </c>
      <c r="D409" s="3" t="n">
        <v>6</v>
      </c>
      <c r="E409" s="3" t="s">
        <v>174</v>
      </c>
      <c r="F409" s="3" t="s">
        <v>175</v>
      </c>
      <c r="G409" s="3" t="s">
        <v>175</v>
      </c>
      <c r="H409" s="3" t="s">
        <v>440</v>
      </c>
    </row>
    <row r="410" customFormat="false" ht="15" hidden="false" customHeight="false" outlineLevel="0" collapsed="false">
      <c r="A410" s="3" t="s">
        <v>438</v>
      </c>
      <c r="B410" s="3" t="n">
        <v>2</v>
      </c>
      <c r="C410" s="3" t="s">
        <v>439</v>
      </c>
      <c r="D410" s="3" t="n">
        <v>12</v>
      </c>
      <c r="E410" s="3" t="s">
        <v>174</v>
      </c>
      <c r="F410" s="3" t="s">
        <v>175</v>
      </c>
      <c r="G410" s="3" t="s">
        <v>175</v>
      </c>
      <c r="H410" s="3" t="s">
        <v>441</v>
      </c>
    </row>
    <row r="411" customFormat="false" ht="15" hidden="false" customHeight="false" outlineLevel="0" collapsed="false">
      <c r="A411" s="3" t="s">
        <v>438</v>
      </c>
      <c r="B411" s="3" t="n">
        <v>3</v>
      </c>
      <c r="C411" s="3" t="s">
        <v>439</v>
      </c>
      <c r="D411" s="3" t="n">
        <v>8</v>
      </c>
      <c r="E411" s="3" t="s">
        <v>174</v>
      </c>
      <c r="F411" s="3" t="s">
        <v>175</v>
      </c>
      <c r="G411" s="3" t="s">
        <v>175</v>
      </c>
      <c r="H411" s="3" t="s">
        <v>442</v>
      </c>
    </row>
    <row r="412" customFormat="false" ht="15" hidden="false" customHeight="false" outlineLevel="0" collapsed="false">
      <c r="A412" s="3" t="s">
        <v>438</v>
      </c>
      <c r="B412" s="3" t="n">
        <v>3</v>
      </c>
      <c r="C412" s="3" t="s">
        <v>439</v>
      </c>
      <c r="D412" s="3" t="n">
        <v>9</v>
      </c>
      <c r="E412" s="3" t="s">
        <v>180</v>
      </c>
      <c r="F412" s="3" t="s">
        <v>175</v>
      </c>
      <c r="G412" s="3" t="s">
        <v>175</v>
      </c>
      <c r="H412" s="3" t="s">
        <v>442</v>
      </c>
    </row>
    <row r="413" customFormat="false" ht="15" hidden="false" customHeight="false" outlineLevel="0" collapsed="false">
      <c r="A413" s="3" t="s">
        <v>438</v>
      </c>
      <c r="B413" s="3" t="n">
        <v>4</v>
      </c>
      <c r="C413" s="3" t="s">
        <v>439</v>
      </c>
      <c r="D413" s="3" t="n">
        <v>13</v>
      </c>
      <c r="E413" s="3" t="s">
        <v>174</v>
      </c>
      <c r="F413" s="3" t="s">
        <v>175</v>
      </c>
      <c r="G413" s="3" t="s">
        <v>175</v>
      </c>
      <c r="H413" s="3" t="s">
        <v>443</v>
      </c>
    </row>
    <row r="414" customFormat="false" ht="15" hidden="false" customHeight="false" outlineLevel="0" collapsed="false">
      <c r="A414" s="3" t="s">
        <v>438</v>
      </c>
      <c r="B414" s="3" t="n">
        <v>5</v>
      </c>
      <c r="C414" s="3" t="s">
        <v>439</v>
      </c>
      <c r="D414" s="3" t="n">
        <v>2</v>
      </c>
      <c r="E414" s="3" t="s">
        <v>174</v>
      </c>
      <c r="F414" s="3" t="s">
        <v>175</v>
      </c>
      <c r="G414" s="3" t="s">
        <v>175</v>
      </c>
      <c r="H414" s="3" t="s">
        <v>444</v>
      </c>
    </row>
    <row r="415" customFormat="false" ht="15" hidden="false" customHeight="false" outlineLevel="0" collapsed="false">
      <c r="A415" s="3" t="s">
        <v>438</v>
      </c>
      <c r="B415" s="3" t="n">
        <v>6</v>
      </c>
      <c r="C415" s="3" t="s">
        <v>439</v>
      </c>
      <c r="D415" s="3" t="n">
        <v>6</v>
      </c>
      <c r="E415" s="3" t="s">
        <v>174</v>
      </c>
      <c r="F415" s="3" t="s">
        <v>175</v>
      </c>
      <c r="G415" s="3" t="s">
        <v>175</v>
      </c>
      <c r="H415" s="3" t="s">
        <v>445</v>
      </c>
    </row>
    <row r="416" customFormat="false" ht="15" hidden="false" customHeight="false" outlineLevel="0" collapsed="false">
      <c r="A416" s="3" t="s">
        <v>438</v>
      </c>
      <c r="B416" s="3" t="n">
        <v>7</v>
      </c>
      <c r="C416" s="3" t="s">
        <v>439</v>
      </c>
      <c r="D416" s="3" t="n">
        <v>6</v>
      </c>
      <c r="E416" s="3" t="s">
        <v>174</v>
      </c>
      <c r="F416" s="3" t="s">
        <v>175</v>
      </c>
      <c r="G416" s="3" t="s">
        <v>175</v>
      </c>
      <c r="H416" s="3" t="s">
        <v>446</v>
      </c>
    </row>
    <row r="417" customFormat="false" ht="15" hidden="false" customHeight="false" outlineLevel="0" collapsed="false">
      <c r="A417" s="3" t="s">
        <v>438</v>
      </c>
      <c r="B417" s="3" t="n">
        <v>8</v>
      </c>
      <c r="C417" s="3" t="s">
        <v>439</v>
      </c>
      <c r="D417" s="3" t="n">
        <v>32</v>
      </c>
      <c r="E417" s="3" t="s">
        <v>174</v>
      </c>
      <c r="F417" s="3" t="s">
        <v>175</v>
      </c>
      <c r="G417" s="3" t="s">
        <v>175</v>
      </c>
      <c r="H417" s="3" t="s">
        <v>447</v>
      </c>
    </row>
    <row r="418" customFormat="false" ht="15" hidden="false" customHeight="false" outlineLevel="0" collapsed="false">
      <c r="A418" s="3" t="s">
        <v>438</v>
      </c>
      <c r="B418" s="3" t="n">
        <v>9</v>
      </c>
      <c r="C418" s="3" t="s">
        <v>439</v>
      </c>
      <c r="D418" s="3" t="n">
        <v>33</v>
      </c>
      <c r="E418" s="3" t="s">
        <v>174</v>
      </c>
      <c r="F418" s="3" t="s">
        <v>175</v>
      </c>
      <c r="G418" s="3" t="s">
        <v>175</v>
      </c>
      <c r="H418" s="3" t="s">
        <v>448</v>
      </c>
    </row>
    <row r="419" customFormat="false" ht="15" hidden="false" customHeight="false" outlineLevel="0" collapsed="false">
      <c r="A419" s="3" t="s">
        <v>438</v>
      </c>
      <c r="B419" s="3" t="n">
        <v>10</v>
      </c>
      <c r="C419" s="3" t="s">
        <v>439</v>
      </c>
      <c r="D419" s="3" t="n">
        <v>11</v>
      </c>
      <c r="E419" s="3" t="s">
        <v>174</v>
      </c>
      <c r="F419" s="3" t="s">
        <v>175</v>
      </c>
      <c r="G419" s="3" t="s">
        <v>175</v>
      </c>
      <c r="H419" s="3" t="s">
        <v>449</v>
      </c>
    </row>
    <row r="420" customFormat="false" ht="15" hidden="false" customHeight="false" outlineLevel="0" collapsed="false">
      <c r="A420" s="3" t="s">
        <v>438</v>
      </c>
      <c r="B420" s="3" t="n">
        <v>11</v>
      </c>
      <c r="C420" s="3" t="s">
        <v>439</v>
      </c>
      <c r="D420" s="3" t="n">
        <v>25</v>
      </c>
      <c r="E420" s="3" t="s">
        <v>174</v>
      </c>
      <c r="F420" s="3" t="s">
        <v>175</v>
      </c>
      <c r="G420" s="3" t="s">
        <v>175</v>
      </c>
      <c r="H420" s="3" t="s">
        <v>450</v>
      </c>
    </row>
    <row r="421" customFormat="false" ht="15" hidden="false" customHeight="false" outlineLevel="0" collapsed="false">
      <c r="A421" s="3" t="s">
        <v>438</v>
      </c>
      <c r="B421" s="3" t="n">
        <v>12</v>
      </c>
      <c r="C421" s="3" t="s">
        <v>439</v>
      </c>
      <c r="D421" s="3" t="n">
        <v>2</v>
      </c>
      <c r="E421" s="3" t="s">
        <v>174</v>
      </c>
      <c r="F421" s="3" t="s">
        <v>175</v>
      </c>
      <c r="G421" s="3" t="s">
        <v>175</v>
      </c>
      <c r="H421" s="3" t="s">
        <v>451</v>
      </c>
    </row>
    <row r="422" customFormat="false" ht="15" hidden="false" customHeight="false" outlineLevel="0" collapsed="false">
      <c r="A422" s="3" t="s">
        <v>438</v>
      </c>
      <c r="B422" s="3" t="n">
        <v>12</v>
      </c>
      <c r="C422" s="3" t="s">
        <v>439</v>
      </c>
      <c r="D422" s="3" t="n">
        <v>11</v>
      </c>
      <c r="E422" s="3" t="s">
        <v>180</v>
      </c>
      <c r="F422" s="3" t="s">
        <v>175</v>
      </c>
      <c r="G422" s="3" t="s">
        <v>175</v>
      </c>
      <c r="H422" s="3" t="s">
        <v>451</v>
      </c>
    </row>
    <row r="423" customFormat="false" ht="15" hidden="false" customHeight="false" outlineLevel="0" collapsed="false">
      <c r="A423" s="3" t="s">
        <v>438</v>
      </c>
      <c r="B423" s="3" t="n">
        <v>13</v>
      </c>
      <c r="C423" s="3" t="s">
        <v>439</v>
      </c>
      <c r="D423" s="3" t="n">
        <v>6</v>
      </c>
      <c r="E423" s="3" t="s">
        <v>174</v>
      </c>
      <c r="F423" s="3" t="s">
        <v>175</v>
      </c>
      <c r="G423" s="3" t="s">
        <v>175</v>
      </c>
      <c r="H423" s="3" t="s">
        <v>452</v>
      </c>
    </row>
    <row r="424" customFormat="false" ht="15" hidden="false" customHeight="false" outlineLevel="0" collapsed="false">
      <c r="A424" s="3" t="s">
        <v>438</v>
      </c>
      <c r="B424" s="3" t="n">
        <v>14</v>
      </c>
      <c r="C424" s="3" t="s">
        <v>439</v>
      </c>
      <c r="D424" s="3" t="n">
        <v>32</v>
      </c>
      <c r="E424" s="3" t="s">
        <v>174</v>
      </c>
      <c r="F424" s="3" t="s">
        <v>175</v>
      </c>
      <c r="G424" s="3" t="s">
        <v>175</v>
      </c>
      <c r="H424" s="3" t="s">
        <v>453</v>
      </c>
    </row>
    <row r="425" customFormat="false" ht="15" hidden="false" customHeight="false" outlineLevel="0" collapsed="false">
      <c r="A425" s="3" t="s">
        <v>438</v>
      </c>
      <c r="B425" s="3" t="n">
        <v>15</v>
      </c>
      <c r="C425" s="3" t="s">
        <v>439</v>
      </c>
      <c r="D425" s="3" t="n">
        <v>104</v>
      </c>
      <c r="E425" s="3" t="s">
        <v>174</v>
      </c>
      <c r="F425" s="3" t="s">
        <v>175</v>
      </c>
      <c r="G425" s="3" t="s">
        <v>175</v>
      </c>
      <c r="H425" s="3" t="s">
        <v>454</v>
      </c>
    </row>
    <row r="426" customFormat="false" ht="15" hidden="false" customHeight="false" outlineLevel="0" collapsed="false">
      <c r="A426" s="3" t="s">
        <v>438</v>
      </c>
      <c r="B426" s="3" t="n">
        <v>15</v>
      </c>
      <c r="C426" s="3" t="s">
        <v>439</v>
      </c>
      <c r="D426" s="3" t="n">
        <v>101</v>
      </c>
      <c r="E426" s="3" t="s">
        <v>180</v>
      </c>
      <c r="F426" s="3" t="s">
        <v>175</v>
      </c>
      <c r="G426" s="3" t="s">
        <v>175</v>
      </c>
      <c r="H426" s="3" t="s">
        <v>454</v>
      </c>
    </row>
    <row r="427" customFormat="false" ht="15" hidden="false" customHeight="false" outlineLevel="0" collapsed="false">
      <c r="A427" s="3" t="s">
        <v>438</v>
      </c>
      <c r="B427" s="3" t="n">
        <v>17</v>
      </c>
      <c r="C427" s="3" t="s">
        <v>439</v>
      </c>
      <c r="D427" s="3" t="n">
        <v>6</v>
      </c>
      <c r="E427" s="3" t="s">
        <v>174</v>
      </c>
      <c r="F427" s="3" t="s">
        <v>175</v>
      </c>
      <c r="G427" s="3" t="s">
        <v>175</v>
      </c>
      <c r="H427" s="3" t="s">
        <v>455</v>
      </c>
    </row>
    <row r="428" customFormat="false" ht="15" hidden="false" customHeight="false" outlineLevel="0" collapsed="false">
      <c r="A428" s="3" t="s">
        <v>438</v>
      </c>
      <c r="B428" s="3" t="n">
        <v>18</v>
      </c>
      <c r="C428" s="3" t="s">
        <v>439</v>
      </c>
      <c r="D428" s="3" t="n">
        <v>6</v>
      </c>
      <c r="E428" s="3" t="s">
        <v>174</v>
      </c>
      <c r="F428" s="3" t="s">
        <v>175</v>
      </c>
      <c r="G428" s="3" t="s">
        <v>175</v>
      </c>
      <c r="H428" s="3" t="s">
        <v>456</v>
      </c>
    </row>
    <row r="429" customFormat="false" ht="15" hidden="false" customHeight="false" outlineLevel="0" collapsed="false">
      <c r="A429" s="3" t="s">
        <v>438</v>
      </c>
      <c r="B429" s="3" t="n">
        <v>19</v>
      </c>
      <c r="C429" s="3" t="s">
        <v>439</v>
      </c>
      <c r="D429" s="3" t="n">
        <v>6</v>
      </c>
      <c r="E429" s="3" t="s">
        <v>174</v>
      </c>
      <c r="F429" s="3" t="s">
        <v>175</v>
      </c>
      <c r="G429" s="3" t="s">
        <v>175</v>
      </c>
      <c r="H429" s="3" t="s">
        <v>457</v>
      </c>
    </row>
    <row r="430" customFormat="false" ht="15" hidden="false" customHeight="false" outlineLevel="0" collapsed="false">
      <c r="A430" s="3" t="s">
        <v>438</v>
      </c>
      <c r="B430" s="3" t="n">
        <v>19</v>
      </c>
      <c r="C430" s="3" t="s">
        <v>439</v>
      </c>
      <c r="D430" s="3" t="n">
        <v>28</v>
      </c>
      <c r="E430" s="3" t="s">
        <v>180</v>
      </c>
      <c r="F430" s="3" t="s">
        <v>175</v>
      </c>
      <c r="G430" s="3" t="s">
        <v>175</v>
      </c>
      <c r="H430" s="3" t="s">
        <v>457</v>
      </c>
    </row>
    <row r="431" customFormat="false" ht="15" hidden="false" customHeight="false" outlineLevel="0" collapsed="false">
      <c r="A431" s="3" t="s">
        <v>438</v>
      </c>
      <c r="B431" s="3" t="n">
        <v>20</v>
      </c>
      <c r="C431" s="3" t="s">
        <v>439</v>
      </c>
      <c r="D431" s="3" t="n">
        <v>6</v>
      </c>
      <c r="E431" s="3" t="s">
        <v>174</v>
      </c>
      <c r="F431" s="3" t="s">
        <v>175</v>
      </c>
      <c r="G431" s="3" t="s">
        <v>175</v>
      </c>
      <c r="H431" s="3" t="s">
        <v>458</v>
      </c>
    </row>
    <row r="432" customFormat="false" ht="15" hidden="false" customHeight="false" outlineLevel="0" collapsed="false">
      <c r="A432" s="3" t="s">
        <v>438</v>
      </c>
      <c r="B432" s="3" t="n">
        <v>21</v>
      </c>
      <c r="C432" s="3" t="s">
        <v>439</v>
      </c>
      <c r="D432" s="3" t="n">
        <v>75</v>
      </c>
      <c r="E432" s="3" t="s">
        <v>174</v>
      </c>
      <c r="F432" s="3" t="s">
        <v>175</v>
      </c>
      <c r="G432" s="3" t="s">
        <v>175</v>
      </c>
      <c r="H432" s="3" t="s">
        <v>459</v>
      </c>
    </row>
    <row r="433" customFormat="false" ht="15" hidden="false" customHeight="false" outlineLevel="0" collapsed="false">
      <c r="A433" s="3" t="s">
        <v>460</v>
      </c>
      <c r="B433" s="3" t="n">
        <v>1</v>
      </c>
      <c r="C433" s="3" t="s">
        <v>439</v>
      </c>
      <c r="D433" s="3" t="n">
        <v>13</v>
      </c>
      <c r="E433" s="3" t="s">
        <v>174</v>
      </c>
      <c r="F433" s="3" t="s">
        <v>175</v>
      </c>
      <c r="G433" s="3" t="s">
        <v>175</v>
      </c>
      <c r="H433" s="3" t="s">
        <v>461</v>
      </c>
    </row>
    <row r="434" customFormat="false" ht="15" hidden="false" customHeight="false" outlineLevel="0" collapsed="false">
      <c r="A434" s="3" t="s">
        <v>460</v>
      </c>
      <c r="B434" s="3" t="n">
        <v>2</v>
      </c>
      <c r="C434" s="3" t="s">
        <v>439</v>
      </c>
      <c r="D434" s="3" t="n">
        <v>13</v>
      </c>
      <c r="E434" s="3" t="s">
        <v>174</v>
      </c>
      <c r="F434" s="3" t="s">
        <v>175</v>
      </c>
      <c r="G434" s="3" t="s">
        <v>175</v>
      </c>
      <c r="H434" s="3" t="s">
        <v>462</v>
      </c>
    </row>
    <row r="435" customFormat="false" ht="15" hidden="false" customHeight="false" outlineLevel="0" collapsed="false">
      <c r="A435" s="3" t="s">
        <v>460</v>
      </c>
      <c r="B435" s="3" t="n">
        <v>2</v>
      </c>
      <c r="C435" s="3" t="s">
        <v>439</v>
      </c>
      <c r="D435" s="3" t="n">
        <v>17</v>
      </c>
      <c r="E435" s="3" t="s">
        <v>180</v>
      </c>
      <c r="F435" s="3" t="s">
        <v>175</v>
      </c>
      <c r="G435" s="3" t="s">
        <v>175</v>
      </c>
      <c r="H435" s="3" t="s">
        <v>462</v>
      </c>
    </row>
    <row r="436" customFormat="false" ht="15" hidden="false" customHeight="false" outlineLevel="0" collapsed="false">
      <c r="A436" s="3" t="s">
        <v>460</v>
      </c>
      <c r="B436" s="3" t="n">
        <v>3</v>
      </c>
      <c r="C436" s="3" t="s">
        <v>439</v>
      </c>
      <c r="D436" s="3" t="n">
        <v>13</v>
      </c>
      <c r="E436" s="3" t="s">
        <v>174</v>
      </c>
      <c r="F436" s="3" t="s">
        <v>175</v>
      </c>
      <c r="G436" s="3" t="s">
        <v>175</v>
      </c>
      <c r="H436" s="3" t="s">
        <v>463</v>
      </c>
    </row>
    <row r="437" customFormat="false" ht="15" hidden="false" customHeight="false" outlineLevel="0" collapsed="false">
      <c r="A437" s="3" t="s">
        <v>460</v>
      </c>
      <c r="B437" s="3" t="n">
        <v>4</v>
      </c>
      <c r="C437" s="3" t="s">
        <v>439</v>
      </c>
      <c r="D437" s="3" t="n">
        <v>1</v>
      </c>
      <c r="E437" s="3" t="s">
        <v>174</v>
      </c>
      <c r="F437" s="3" t="s">
        <v>175</v>
      </c>
      <c r="G437" s="3" t="s">
        <v>175</v>
      </c>
      <c r="H437" s="3" t="s">
        <v>464</v>
      </c>
    </row>
    <row r="438" customFormat="false" ht="15" hidden="false" customHeight="false" outlineLevel="0" collapsed="false">
      <c r="A438" s="3" t="s">
        <v>460</v>
      </c>
      <c r="B438" s="3" t="n">
        <v>5</v>
      </c>
      <c r="C438" s="3" t="s">
        <v>439</v>
      </c>
      <c r="D438" s="3" t="n">
        <v>13</v>
      </c>
      <c r="E438" s="3" t="s">
        <v>174</v>
      </c>
      <c r="F438" s="3" t="s">
        <v>175</v>
      </c>
      <c r="G438" s="3" t="s">
        <v>175</v>
      </c>
      <c r="H438" s="3" t="s">
        <v>465</v>
      </c>
    </row>
    <row r="439" customFormat="false" ht="15" hidden="false" customHeight="false" outlineLevel="0" collapsed="false">
      <c r="A439" s="3" t="s">
        <v>460</v>
      </c>
      <c r="B439" s="3" t="n">
        <v>6</v>
      </c>
      <c r="C439" s="3" t="s">
        <v>439</v>
      </c>
      <c r="D439" s="3" t="n">
        <v>17</v>
      </c>
      <c r="E439" s="3" t="s">
        <v>174</v>
      </c>
      <c r="F439" s="3" t="s">
        <v>175</v>
      </c>
      <c r="G439" s="3" t="s">
        <v>175</v>
      </c>
      <c r="H439" s="3" t="s">
        <v>466</v>
      </c>
    </row>
    <row r="440" customFormat="false" ht="15" hidden="false" customHeight="false" outlineLevel="0" collapsed="false">
      <c r="A440" s="3" t="s">
        <v>460</v>
      </c>
      <c r="B440" s="3" t="n">
        <v>6</v>
      </c>
      <c r="C440" s="3" t="s">
        <v>439</v>
      </c>
      <c r="D440" s="3" t="n">
        <v>4</v>
      </c>
      <c r="E440" s="3" t="s">
        <v>180</v>
      </c>
      <c r="F440" s="3" t="s">
        <v>175</v>
      </c>
      <c r="G440" s="3" t="s">
        <v>175</v>
      </c>
      <c r="H440" s="3" t="s">
        <v>466</v>
      </c>
    </row>
    <row r="441" customFormat="false" ht="15" hidden="false" customHeight="false" outlineLevel="0" collapsed="false">
      <c r="A441" s="3" t="s">
        <v>460</v>
      </c>
      <c r="B441" s="3" t="n">
        <v>7</v>
      </c>
      <c r="C441" s="3" t="s">
        <v>439</v>
      </c>
      <c r="D441" s="3" t="n">
        <v>16</v>
      </c>
      <c r="E441" s="3" t="s">
        <v>174</v>
      </c>
      <c r="F441" s="3" t="s">
        <v>175</v>
      </c>
      <c r="G441" s="3" t="s">
        <v>175</v>
      </c>
      <c r="H441" s="3" t="s">
        <v>467</v>
      </c>
    </row>
    <row r="442" customFormat="false" ht="15" hidden="false" customHeight="false" outlineLevel="0" collapsed="false">
      <c r="A442" s="3" t="s">
        <v>460</v>
      </c>
      <c r="B442" s="3" t="n">
        <v>8</v>
      </c>
      <c r="C442" s="3" t="s">
        <v>439</v>
      </c>
      <c r="D442" s="3" t="n">
        <v>32</v>
      </c>
      <c r="E442" s="3" t="s">
        <v>174</v>
      </c>
      <c r="F442" s="3" t="s">
        <v>175</v>
      </c>
      <c r="G442" s="3" t="s">
        <v>175</v>
      </c>
      <c r="H442" s="3" t="s">
        <v>468</v>
      </c>
    </row>
    <row r="443" customFormat="false" ht="15" hidden="false" customHeight="false" outlineLevel="0" collapsed="false">
      <c r="A443" s="3" t="s">
        <v>460</v>
      </c>
      <c r="B443" s="3" t="n">
        <v>9</v>
      </c>
      <c r="C443" s="3" t="s">
        <v>439</v>
      </c>
      <c r="D443" s="3" t="n">
        <v>25</v>
      </c>
      <c r="E443" s="3" t="s">
        <v>174</v>
      </c>
      <c r="F443" s="3" t="s">
        <v>175</v>
      </c>
      <c r="G443" s="3" t="s">
        <v>175</v>
      </c>
      <c r="H443" s="3" t="s">
        <v>469</v>
      </c>
    </row>
    <row r="444" customFormat="false" ht="15" hidden="false" customHeight="false" outlineLevel="0" collapsed="false">
      <c r="A444" s="3" t="s">
        <v>460</v>
      </c>
      <c r="B444" s="3" t="n">
        <v>10</v>
      </c>
      <c r="C444" s="3" t="s">
        <v>439</v>
      </c>
      <c r="D444" s="3" t="n">
        <v>26</v>
      </c>
      <c r="E444" s="3" t="s">
        <v>174</v>
      </c>
      <c r="F444" s="3" t="s">
        <v>175</v>
      </c>
      <c r="G444" s="3" t="s">
        <v>175</v>
      </c>
      <c r="H444" s="3" t="s">
        <v>470</v>
      </c>
    </row>
    <row r="445" customFormat="false" ht="15" hidden="false" customHeight="false" outlineLevel="0" collapsed="false">
      <c r="A445" s="3" t="s">
        <v>460</v>
      </c>
      <c r="B445" s="3" t="n">
        <v>11</v>
      </c>
      <c r="C445" s="3" t="s">
        <v>439</v>
      </c>
      <c r="D445" s="3" t="n">
        <v>34</v>
      </c>
      <c r="E445" s="3" t="s">
        <v>174</v>
      </c>
      <c r="F445" s="3" t="s">
        <v>175</v>
      </c>
      <c r="G445" s="3" t="s">
        <v>175</v>
      </c>
      <c r="H445" s="3" t="s">
        <v>471</v>
      </c>
    </row>
    <row r="446" customFormat="false" ht="15" hidden="false" customHeight="false" outlineLevel="0" collapsed="false">
      <c r="A446" s="3" t="s">
        <v>460</v>
      </c>
      <c r="B446" s="3" t="n">
        <v>12</v>
      </c>
      <c r="C446" s="3" t="s">
        <v>439</v>
      </c>
      <c r="D446" s="3" t="n">
        <v>28</v>
      </c>
      <c r="E446" s="3" t="s">
        <v>174</v>
      </c>
      <c r="F446" s="3" t="s">
        <v>175</v>
      </c>
      <c r="G446" s="3" t="s">
        <v>175</v>
      </c>
      <c r="H446" s="3" t="s">
        <v>472</v>
      </c>
    </row>
    <row r="447" customFormat="false" ht="15" hidden="false" customHeight="false" outlineLevel="0" collapsed="false">
      <c r="A447" s="3" t="s">
        <v>460</v>
      </c>
      <c r="B447" s="3" t="n">
        <v>13</v>
      </c>
      <c r="C447" s="3" t="s">
        <v>439</v>
      </c>
      <c r="D447" s="3" t="n">
        <v>10</v>
      </c>
      <c r="E447" s="3" t="s">
        <v>174</v>
      </c>
      <c r="F447" s="3" t="s">
        <v>175</v>
      </c>
      <c r="G447" s="3" t="s">
        <v>175</v>
      </c>
      <c r="H447" s="3" t="s">
        <v>473</v>
      </c>
    </row>
    <row r="448" customFormat="false" ht="15" hidden="false" customHeight="false" outlineLevel="0" collapsed="false">
      <c r="A448" s="3" t="s">
        <v>460</v>
      </c>
      <c r="B448" s="3" t="n">
        <v>13</v>
      </c>
      <c r="C448" s="3" t="s">
        <v>439</v>
      </c>
      <c r="D448" s="3" t="n">
        <v>17</v>
      </c>
      <c r="E448" s="3" t="s">
        <v>180</v>
      </c>
      <c r="F448" s="3" t="s">
        <v>175</v>
      </c>
      <c r="G448" s="3" t="s">
        <v>175</v>
      </c>
      <c r="H448" s="3" t="s">
        <v>473</v>
      </c>
    </row>
    <row r="449" customFormat="false" ht="15" hidden="false" customHeight="false" outlineLevel="0" collapsed="false">
      <c r="A449" s="3" t="s">
        <v>460</v>
      </c>
      <c r="B449" s="3" t="n">
        <v>14</v>
      </c>
      <c r="C449" s="3" t="s">
        <v>439</v>
      </c>
      <c r="D449" s="3" t="n">
        <v>23</v>
      </c>
      <c r="E449" s="3" t="s">
        <v>174</v>
      </c>
      <c r="F449" s="3" t="s">
        <v>175</v>
      </c>
      <c r="G449" s="3" t="s">
        <v>175</v>
      </c>
      <c r="H449" s="3" t="s">
        <v>474</v>
      </c>
    </row>
    <row r="450" customFormat="false" ht="15" hidden="false" customHeight="false" outlineLevel="0" collapsed="false">
      <c r="A450" s="3" t="s">
        <v>460</v>
      </c>
      <c r="B450" s="3" t="n">
        <v>15</v>
      </c>
      <c r="C450" s="3" t="s">
        <v>439</v>
      </c>
      <c r="D450" s="3" t="n">
        <v>21</v>
      </c>
      <c r="E450" s="3" t="s">
        <v>174</v>
      </c>
      <c r="F450" s="3" t="s">
        <v>175</v>
      </c>
      <c r="G450" s="3" t="s">
        <v>175</v>
      </c>
      <c r="H450" s="3" t="s">
        <v>475</v>
      </c>
    </row>
    <row r="451" customFormat="false" ht="15" hidden="false" customHeight="false" outlineLevel="0" collapsed="false">
      <c r="A451" s="3" t="s">
        <v>460</v>
      </c>
      <c r="B451" s="3" t="n">
        <v>15</v>
      </c>
      <c r="C451" s="3" t="s">
        <v>439</v>
      </c>
      <c r="D451" s="3" t="n">
        <v>72</v>
      </c>
      <c r="E451" s="3" t="s">
        <v>180</v>
      </c>
      <c r="F451" s="3" t="s">
        <v>175</v>
      </c>
      <c r="G451" s="3" t="s">
        <v>175</v>
      </c>
      <c r="H451" s="3" t="s">
        <v>475</v>
      </c>
    </row>
    <row r="452" customFormat="false" ht="15" hidden="false" customHeight="false" outlineLevel="0" collapsed="false">
      <c r="A452" s="3" t="s">
        <v>460</v>
      </c>
      <c r="B452" s="3" t="n">
        <v>16</v>
      </c>
      <c r="C452" s="3" t="s">
        <v>439</v>
      </c>
      <c r="D452" s="3" t="n">
        <v>23</v>
      </c>
      <c r="E452" s="3" t="s">
        <v>174</v>
      </c>
      <c r="F452" s="3" t="s">
        <v>175</v>
      </c>
      <c r="G452" s="3" t="s">
        <v>175</v>
      </c>
      <c r="H452" s="3" t="s">
        <v>476</v>
      </c>
    </row>
    <row r="453" customFormat="false" ht="15" hidden="false" customHeight="false" outlineLevel="0" collapsed="false">
      <c r="A453" s="3" t="s">
        <v>460</v>
      </c>
      <c r="B453" s="3" t="n">
        <v>16</v>
      </c>
      <c r="C453" s="3" t="s">
        <v>439</v>
      </c>
      <c r="D453" s="3" t="n">
        <v>17</v>
      </c>
      <c r="E453" s="3" t="s">
        <v>180</v>
      </c>
      <c r="F453" s="3" t="s">
        <v>175</v>
      </c>
      <c r="G453" s="3" t="s">
        <v>175</v>
      </c>
      <c r="H453" s="3" t="s">
        <v>476</v>
      </c>
    </row>
    <row r="454" customFormat="false" ht="15" hidden="false" customHeight="false" outlineLevel="0" collapsed="false">
      <c r="A454" s="3" t="s">
        <v>460</v>
      </c>
      <c r="B454" s="3" t="n">
        <v>17</v>
      </c>
      <c r="C454" s="3" t="s">
        <v>439</v>
      </c>
      <c r="D454" s="3" t="n">
        <v>25</v>
      </c>
      <c r="E454" s="3" t="s">
        <v>174</v>
      </c>
      <c r="F454" s="3" t="s">
        <v>175</v>
      </c>
      <c r="G454" s="3" t="s">
        <v>175</v>
      </c>
      <c r="H454" s="3" t="s">
        <v>477</v>
      </c>
    </row>
    <row r="455" customFormat="false" ht="15" hidden="false" customHeight="false" outlineLevel="0" collapsed="false">
      <c r="A455" s="3" t="s">
        <v>460</v>
      </c>
      <c r="B455" s="3" t="n">
        <v>18</v>
      </c>
      <c r="C455" s="3" t="s">
        <v>439</v>
      </c>
      <c r="D455" s="3" t="n">
        <v>28</v>
      </c>
      <c r="E455" s="3" t="s">
        <v>174</v>
      </c>
      <c r="F455" s="3" t="s">
        <v>175</v>
      </c>
      <c r="G455" s="3" t="s">
        <v>175</v>
      </c>
      <c r="H455" s="3" t="s">
        <v>478</v>
      </c>
    </row>
    <row r="456" customFormat="false" ht="15" hidden="false" customHeight="false" outlineLevel="0" collapsed="false">
      <c r="A456" s="3" t="s">
        <v>460</v>
      </c>
      <c r="B456" s="3" t="n">
        <v>19</v>
      </c>
      <c r="C456" s="3" t="s">
        <v>439</v>
      </c>
      <c r="D456" s="3" t="n">
        <v>22</v>
      </c>
      <c r="E456" s="3" t="s">
        <v>174</v>
      </c>
      <c r="F456" s="3" t="s">
        <v>175</v>
      </c>
      <c r="G456" s="3" t="s">
        <v>175</v>
      </c>
      <c r="H456" s="3" t="s">
        <v>479</v>
      </c>
    </row>
    <row r="457" customFormat="false" ht="15" hidden="false" customHeight="false" outlineLevel="0" collapsed="false">
      <c r="A457" s="3" t="s">
        <v>460</v>
      </c>
      <c r="B457" s="3" t="n">
        <v>19</v>
      </c>
      <c r="C457" s="3" t="s">
        <v>439</v>
      </c>
      <c r="D457" s="3" t="n">
        <v>28</v>
      </c>
      <c r="E457" s="3" t="s">
        <v>180</v>
      </c>
      <c r="F457" s="3" t="s">
        <v>175</v>
      </c>
      <c r="G457" s="3" t="s">
        <v>175</v>
      </c>
      <c r="H457" s="3" t="s">
        <v>479</v>
      </c>
    </row>
    <row r="458" customFormat="false" ht="15" hidden="false" customHeight="false" outlineLevel="0" collapsed="false">
      <c r="A458" s="3" t="s">
        <v>480</v>
      </c>
      <c r="B458" s="3" t="n">
        <v>1</v>
      </c>
      <c r="C458" s="3" t="s">
        <v>439</v>
      </c>
      <c r="D458" s="3" t="n">
        <v>32</v>
      </c>
      <c r="E458" s="3" t="s">
        <v>174</v>
      </c>
      <c r="F458" s="3" t="s">
        <v>175</v>
      </c>
      <c r="G458" s="3" t="s">
        <v>175</v>
      </c>
      <c r="H458" s="3" t="s">
        <v>481</v>
      </c>
    </row>
    <row r="459" customFormat="false" ht="15" hidden="false" customHeight="false" outlineLevel="0" collapsed="false">
      <c r="A459" s="3" t="s">
        <v>480</v>
      </c>
      <c r="B459" s="3" t="n">
        <v>1</v>
      </c>
      <c r="C459" s="3" t="s">
        <v>439</v>
      </c>
      <c r="D459" s="3" t="n">
        <v>38</v>
      </c>
      <c r="E459" s="3" t="s">
        <v>180</v>
      </c>
      <c r="F459" s="3" t="s">
        <v>175</v>
      </c>
      <c r="G459" s="3" t="s">
        <v>175</v>
      </c>
      <c r="H459" s="3" t="s">
        <v>481</v>
      </c>
    </row>
    <row r="460" customFormat="false" ht="15" hidden="false" customHeight="false" outlineLevel="0" collapsed="false">
      <c r="A460" s="3" t="s">
        <v>480</v>
      </c>
      <c r="B460" s="3" t="n">
        <v>2</v>
      </c>
      <c r="C460" s="3" t="s">
        <v>439</v>
      </c>
      <c r="D460" s="3" t="n">
        <v>31</v>
      </c>
      <c r="E460" s="3" t="s">
        <v>174</v>
      </c>
      <c r="F460" s="3" t="s">
        <v>175</v>
      </c>
      <c r="G460" s="3" t="s">
        <v>175</v>
      </c>
      <c r="H460" s="3" t="s">
        <v>482</v>
      </c>
    </row>
    <row r="461" customFormat="false" ht="15" hidden="false" customHeight="false" outlineLevel="0" collapsed="false">
      <c r="A461" s="3" t="s">
        <v>480</v>
      </c>
      <c r="B461" s="3" t="n">
        <v>3</v>
      </c>
      <c r="C461" s="3" t="s">
        <v>439</v>
      </c>
      <c r="D461" s="3" t="n">
        <v>33</v>
      </c>
      <c r="E461" s="3" t="s">
        <v>174</v>
      </c>
      <c r="F461" s="3" t="s">
        <v>175</v>
      </c>
      <c r="G461" s="3" t="s">
        <v>175</v>
      </c>
      <c r="H461" s="3" t="s">
        <v>483</v>
      </c>
    </row>
    <row r="462" customFormat="false" ht="15" hidden="false" customHeight="false" outlineLevel="0" collapsed="false">
      <c r="A462" s="3" t="s">
        <v>480</v>
      </c>
      <c r="B462" s="3" t="n">
        <v>4</v>
      </c>
      <c r="C462" s="3" t="s">
        <v>439</v>
      </c>
      <c r="D462" s="3" t="n">
        <v>31</v>
      </c>
      <c r="E462" s="3" t="s">
        <v>174</v>
      </c>
      <c r="F462" s="3" t="s">
        <v>175</v>
      </c>
      <c r="G462" s="3" t="s">
        <v>175</v>
      </c>
      <c r="H462" s="3" t="s">
        <v>484</v>
      </c>
    </row>
    <row r="463" customFormat="false" ht="15" hidden="false" customHeight="false" outlineLevel="0" collapsed="false">
      <c r="A463" s="3" t="s">
        <v>480</v>
      </c>
      <c r="B463" s="3" t="n">
        <v>5</v>
      </c>
      <c r="C463" s="3" t="s">
        <v>439</v>
      </c>
      <c r="D463" s="3" t="n">
        <v>33</v>
      </c>
      <c r="E463" s="3" t="s">
        <v>174</v>
      </c>
      <c r="F463" s="3" t="s">
        <v>175</v>
      </c>
      <c r="G463" s="3" t="s">
        <v>175</v>
      </c>
      <c r="H463" s="3" t="s">
        <v>485</v>
      </c>
    </row>
    <row r="464" customFormat="false" ht="15" hidden="false" customHeight="false" outlineLevel="0" collapsed="false">
      <c r="A464" s="3" t="s">
        <v>480</v>
      </c>
      <c r="B464" s="3" t="n">
        <v>5</v>
      </c>
      <c r="C464" s="3" t="s">
        <v>439</v>
      </c>
      <c r="D464" s="3" t="n">
        <v>32</v>
      </c>
      <c r="E464" s="3" t="s">
        <v>180</v>
      </c>
      <c r="F464" s="3" t="s">
        <v>175</v>
      </c>
      <c r="G464" s="3" t="s">
        <v>175</v>
      </c>
      <c r="H464" s="3" t="s">
        <v>485</v>
      </c>
    </row>
    <row r="465" customFormat="false" ht="15" hidden="false" customHeight="false" outlineLevel="0" collapsed="false">
      <c r="A465" s="3" t="s">
        <v>480</v>
      </c>
      <c r="B465" s="3" t="n">
        <v>6</v>
      </c>
      <c r="C465" s="3" t="s">
        <v>439</v>
      </c>
      <c r="D465" s="3" t="n">
        <v>40</v>
      </c>
      <c r="E465" s="3" t="s">
        <v>174</v>
      </c>
      <c r="F465" s="3" t="s">
        <v>175</v>
      </c>
      <c r="G465" s="3" t="s">
        <v>175</v>
      </c>
      <c r="H465" s="3" t="s">
        <v>486</v>
      </c>
    </row>
    <row r="466" customFormat="false" ht="15" hidden="false" customHeight="false" outlineLevel="0" collapsed="false">
      <c r="A466" s="3" t="s">
        <v>480</v>
      </c>
      <c r="B466" s="3" t="n">
        <v>6</v>
      </c>
      <c r="C466" s="3" t="s">
        <v>439</v>
      </c>
      <c r="D466" s="3" t="n">
        <v>10</v>
      </c>
      <c r="E466" s="3" t="s">
        <v>180</v>
      </c>
      <c r="F466" s="3" t="s">
        <v>175</v>
      </c>
      <c r="G466" s="3" t="s">
        <v>175</v>
      </c>
      <c r="H466" s="3" t="s">
        <v>486</v>
      </c>
    </row>
    <row r="467" customFormat="false" ht="15" hidden="false" customHeight="false" outlineLevel="0" collapsed="false">
      <c r="A467" s="3" t="s">
        <v>480</v>
      </c>
      <c r="B467" s="3" t="n">
        <v>7</v>
      </c>
      <c r="C467" s="3" t="s">
        <v>439</v>
      </c>
      <c r="D467" s="3" t="n">
        <v>44</v>
      </c>
      <c r="E467" s="3" t="s">
        <v>174</v>
      </c>
      <c r="F467" s="3" t="s">
        <v>175</v>
      </c>
      <c r="G467" s="3" t="s">
        <v>175</v>
      </c>
      <c r="H467" s="3" t="s">
        <v>487</v>
      </c>
    </row>
    <row r="468" customFormat="false" ht="15" hidden="false" customHeight="false" outlineLevel="0" collapsed="false">
      <c r="A468" s="3" t="s">
        <v>480</v>
      </c>
      <c r="B468" s="3" t="n">
        <v>8</v>
      </c>
      <c r="C468" s="3" t="s">
        <v>439</v>
      </c>
      <c r="D468" s="3" t="n">
        <v>42</v>
      </c>
      <c r="E468" s="3" t="s">
        <v>174</v>
      </c>
      <c r="F468" s="3" t="s">
        <v>175</v>
      </c>
      <c r="G468" s="3" t="s">
        <v>175</v>
      </c>
      <c r="H468" s="3" t="s">
        <v>488</v>
      </c>
    </row>
    <row r="469" customFormat="false" ht="15" hidden="false" customHeight="false" outlineLevel="0" collapsed="false">
      <c r="A469" s="3" t="s">
        <v>480</v>
      </c>
      <c r="B469" s="3" t="n">
        <v>9</v>
      </c>
      <c r="C469" s="3" t="s">
        <v>439</v>
      </c>
      <c r="D469" s="3" t="n">
        <v>42</v>
      </c>
      <c r="E469" s="3" t="s">
        <v>174</v>
      </c>
      <c r="F469" s="3" t="s">
        <v>175</v>
      </c>
      <c r="G469" s="3" t="s">
        <v>175</v>
      </c>
      <c r="H469" s="3" t="s">
        <v>489</v>
      </c>
    </row>
    <row r="470" customFormat="false" ht="15" hidden="false" customHeight="false" outlineLevel="0" collapsed="false">
      <c r="A470" s="3" t="s">
        <v>480</v>
      </c>
      <c r="B470" s="3" t="n">
        <v>10</v>
      </c>
      <c r="C470" s="3" t="s">
        <v>439</v>
      </c>
      <c r="D470" s="3" t="n">
        <v>38</v>
      </c>
      <c r="E470" s="3" t="s">
        <v>174</v>
      </c>
      <c r="F470" s="3" t="s">
        <v>175</v>
      </c>
      <c r="G470" s="3" t="s">
        <v>175</v>
      </c>
      <c r="H470" s="3" t="s">
        <v>490</v>
      </c>
    </row>
    <row r="471" customFormat="false" ht="15" hidden="false" customHeight="false" outlineLevel="0" collapsed="false">
      <c r="A471" s="3" t="s">
        <v>480</v>
      </c>
      <c r="B471" s="3" t="n">
        <v>10</v>
      </c>
      <c r="C471" s="3" t="s">
        <v>439</v>
      </c>
      <c r="D471" s="3" t="n">
        <v>32</v>
      </c>
      <c r="E471" s="3" t="s">
        <v>180</v>
      </c>
      <c r="F471" s="3" t="s">
        <v>175</v>
      </c>
      <c r="G471" s="3" t="s">
        <v>175</v>
      </c>
      <c r="H471" s="3" t="s">
        <v>490</v>
      </c>
    </row>
    <row r="472" customFormat="false" ht="15" hidden="false" customHeight="false" outlineLevel="0" collapsed="false">
      <c r="A472" s="3" t="s">
        <v>480</v>
      </c>
      <c r="B472" s="3" t="n">
        <v>11</v>
      </c>
      <c r="C472" s="3" t="s">
        <v>439</v>
      </c>
      <c r="D472" s="3" t="n">
        <v>42</v>
      </c>
      <c r="E472" s="3" t="s">
        <v>174</v>
      </c>
      <c r="F472" s="3" t="s">
        <v>175</v>
      </c>
      <c r="G472" s="3" t="s">
        <v>175</v>
      </c>
      <c r="H472" s="3" t="s">
        <v>491</v>
      </c>
    </row>
    <row r="473" customFormat="false" ht="15" hidden="false" customHeight="false" outlineLevel="0" collapsed="false">
      <c r="A473" s="3" t="s">
        <v>480</v>
      </c>
      <c r="B473" s="3" t="n">
        <v>11</v>
      </c>
      <c r="C473" s="3" t="s">
        <v>439</v>
      </c>
      <c r="D473" s="3" t="n">
        <v>88</v>
      </c>
      <c r="E473" s="3" t="s">
        <v>180</v>
      </c>
      <c r="F473" s="3" t="s">
        <v>175</v>
      </c>
      <c r="G473" s="3" t="s">
        <v>175</v>
      </c>
      <c r="H473" s="3" t="s">
        <v>491</v>
      </c>
    </row>
    <row r="474" customFormat="false" ht="15" hidden="false" customHeight="false" outlineLevel="0" collapsed="false">
      <c r="A474" s="3" t="s">
        <v>480</v>
      </c>
      <c r="B474" s="3" t="n">
        <v>12</v>
      </c>
      <c r="C474" s="3" t="s">
        <v>439</v>
      </c>
      <c r="D474" s="3" t="n">
        <v>42</v>
      </c>
      <c r="E474" s="3" t="s">
        <v>174</v>
      </c>
      <c r="F474" s="3" t="s">
        <v>175</v>
      </c>
      <c r="G474" s="3" t="s">
        <v>175</v>
      </c>
      <c r="H474" s="3" t="s">
        <v>492</v>
      </c>
    </row>
    <row r="475" customFormat="false" ht="15" hidden="false" customHeight="false" outlineLevel="0" collapsed="false">
      <c r="A475" s="3" t="s">
        <v>480</v>
      </c>
      <c r="B475" s="3" t="n">
        <v>12</v>
      </c>
      <c r="C475" s="3" t="s">
        <v>439</v>
      </c>
      <c r="D475" s="3" t="n">
        <v>13</v>
      </c>
      <c r="E475" s="3" t="s">
        <v>180</v>
      </c>
      <c r="F475" s="3" t="s">
        <v>175</v>
      </c>
      <c r="G475" s="3" t="s">
        <v>175</v>
      </c>
      <c r="H475" s="3" t="s">
        <v>492</v>
      </c>
    </row>
    <row r="476" customFormat="false" ht="15" hidden="false" customHeight="false" outlineLevel="0" collapsed="false">
      <c r="A476" s="3" t="s">
        <v>480</v>
      </c>
      <c r="B476" s="3" t="n">
        <v>13</v>
      </c>
      <c r="C476" s="3" t="s">
        <v>439</v>
      </c>
      <c r="D476" s="3" t="n">
        <v>40</v>
      </c>
      <c r="E476" s="3" t="s">
        <v>174</v>
      </c>
      <c r="F476" s="3" t="s">
        <v>175</v>
      </c>
      <c r="G476" s="3" t="s">
        <v>175</v>
      </c>
      <c r="H476" s="3" t="s">
        <v>493</v>
      </c>
    </row>
    <row r="477" customFormat="false" ht="15" hidden="false" customHeight="false" outlineLevel="0" collapsed="false">
      <c r="A477" s="3" t="s">
        <v>480</v>
      </c>
      <c r="B477" s="3" t="n">
        <v>14</v>
      </c>
      <c r="C477" s="3" t="s">
        <v>439</v>
      </c>
      <c r="D477" s="3" t="n">
        <v>42</v>
      </c>
      <c r="E477" s="3" t="s">
        <v>174</v>
      </c>
      <c r="F477" s="3" t="s">
        <v>175</v>
      </c>
      <c r="G477" s="3" t="s">
        <v>175</v>
      </c>
      <c r="H477" s="3" t="s">
        <v>494</v>
      </c>
    </row>
    <row r="478" customFormat="false" ht="15" hidden="false" customHeight="false" outlineLevel="0" collapsed="false">
      <c r="A478" s="3" t="s">
        <v>480</v>
      </c>
      <c r="B478" s="3" t="n">
        <v>15</v>
      </c>
      <c r="C478" s="3" t="s">
        <v>439</v>
      </c>
      <c r="D478" s="3" t="n">
        <v>32</v>
      </c>
      <c r="E478" s="3" t="s">
        <v>174</v>
      </c>
      <c r="F478" s="3" t="s">
        <v>175</v>
      </c>
      <c r="G478" s="3" t="s">
        <v>175</v>
      </c>
      <c r="H478" s="3" t="s">
        <v>495</v>
      </c>
    </row>
    <row r="479" customFormat="false" ht="15" hidden="false" customHeight="false" outlineLevel="0" collapsed="false">
      <c r="A479" s="3" t="s">
        <v>480</v>
      </c>
      <c r="B479" s="3" t="n">
        <v>15</v>
      </c>
      <c r="C479" s="3" t="s">
        <v>439</v>
      </c>
      <c r="D479" s="3" t="n">
        <v>44</v>
      </c>
      <c r="E479" s="3" t="s">
        <v>180</v>
      </c>
      <c r="F479" s="3" t="s">
        <v>175</v>
      </c>
      <c r="G479" s="3" t="s">
        <v>175</v>
      </c>
      <c r="H479" s="3" t="s">
        <v>495</v>
      </c>
    </row>
    <row r="480" customFormat="false" ht="15" hidden="false" customHeight="false" outlineLevel="0" collapsed="false">
      <c r="A480" s="3" t="s">
        <v>480</v>
      </c>
      <c r="B480" s="3" t="n">
        <v>16</v>
      </c>
      <c r="C480" s="3" t="s">
        <v>439</v>
      </c>
      <c r="D480" s="3" t="n">
        <v>32</v>
      </c>
      <c r="E480" s="3" t="s">
        <v>174</v>
      </c>
      <c r="F480" s="3" t="s">
        <v>175</v>
      </c>
      <c r="G480" s="3" t="s">
        <v>175</v>
      </c>
      <c r="H480" s="3" t="s">
        <v>496</v>
      </c>
    </row>
    <row r="481" customFormat="false" ht="15" hidden="false" customHeight="false" outlineLevel="0" collapsed="false">
      <c r="A481" s="3" t="s">
        <v>480</v>
      </c>
      <c r="B481" s="3" t="n">
        <v>16</v>
      </c>
      <c r="C481" s="3" t="s">
        <v>439</v>
      </c>
      <c r="D481" s="3" t="n">
        <v>23</v>
      </c>
      <c r="E481" s="3" t="s">
        <v>180</v>
      </c>
      <c r="F481" s="3" t="s">
        <v>175</v>
      </c>
      <c r="G481" s="3" t="s">
        <v>175</v>
      </c>
      <c r="H481" s="3" t="s">
        <v>496</v>
      </c>
    </row>
    <row r="482" customFormat="false" ht="15" hidden="false" customHeight="false" outlineLevel="0" collapsed="false">
      <c r="A482" s="3" t="s">
        <v>480</v>
      </c>
      <c r="B482" s="3" t="n">
        <v>17</v>
      </c>
      <c r="C482" s="3" t="s">
        <v>439</v>
      </c>
      <c r="D482" s="3" t="n">
        <v>33</v>
      </c>
      <c r="E482" s="3" t="s">
        <v>174</v>
      </c>
      <c r="F482" s="3" t="s">
        <v>175</v>
      </c>
      <c r="G482" s="3" t="s">
        <v>175</v>
      </c>
      <c r="H482" s="3" t="s">
        <v>497</v>
      </c>
    </row>
    <row r="483" customFormat="false" ht="15" hidden="false" customHeight="false" outlineLevel="0" collapsed="false">
      <c r="A483" s="3" t="s">
        <v>480</v>
      </c>
      <c r="B483" s="3" t="n">
        <v>18</v>
      </c>
      <c r="C483" s="3" t="s">
        <v>439</v>
      </c>
      <c r="D483" s="3" t="n">
        <v>38</v>
      </c>
      <c r="E483" s="3" t="s">
        <v>174</v>
      </c>
      <c r="F483" s="3" t="s">
        <v>175</v>
      </c>
      <c r="G483" s="3" t="s">
        <v>175</v>
      </c>
      <c r="H483" s="3" t="s">
        <v>498</v>
      </c>
    </row>
    <row r="484" customFormat="false" ht="15" hidden="false" customHeight="false" outlineLevel="0" collapsed="false">
      <c r="A484" s="3" t="s">
        <v>480</v>
      </c>
      <c r="B484" s="3" t="n">
        <v>19</v>
      </c>
      <c r="C484" s="3" t="s">
        <v>439</v>
      </c>
      <c r="D484" s="3" t="n">
        <v>38</v>
      </c>
      <c r="E484" s="3" t="s">
        <v>174</v>
      </c>
      <c r="F484" s="3" t="s">
        <v>175</v>
      </c>
      <c r="G484" s="3" t="s">
        <v>175</v>
      </c>
      <c r="H484" s="3" t="s">
        <v>499</v>
      </c>
    </row>
    <row r="485" customFormat="false" ht="15" hidden="false" customHeight="false" outlineLevel="0" collapsed="false">
      <c r="A485" s="3" t="s">
        <v>480</v>
      </c>
      <c r="B485" s="3" t="n">
        <v>20</v>
      </c>
      <c r="C485" s="3" t="s">
        <v>439</v>
      </c>
      <c r="D485" s="3" t="n">
        <v>32</v>
      </c>
      <c r="E485" s="3" t="s">
        <v>174</v>
      </c>
      <c r="F485" s="3" t="s">
        <v>175</v>
      </c>
      <c r="G485" s="3" t="s">
        <v>175</v>
      </c>
      <c r="H485" s="3" t="s">
        <v>500</v>
      </c>
    </row>
    <row r="486" customFormat="false" ht="15" hidden="false" customHeight="false" outlineLevel="0" collapsed="false">
      <c r="A486" s="3" t="s">
        <v>480</v>
      </c>
      <c r="B486" s="3" t="n">
        <v>20</v>
      </c>
      <c r="C486" s="3" t="s">
        <v>439</v>
      </c>
      <c r="D486" s="3" t="n">
        <v>15</v>
      </c>
      <c r="E486" s="3" t="s">
        <v>180</v>
      </c>
      <c r="F486" s="3" t="s">
        <v>175</v>
      </c>
      <c r="G486" s="3" t="s">
        <v>175</v>
      </c>
      <c r="H486" s="3" t="s">
        <v>500</v>
      </c>
    </row>
    <row r="487" customFormat="false" ht="15" hidden="false" customHeight="false" outlineLevel="0" collapsed="false">
      <c r="A487" s="3" t="s">
        <v>480</v>
      </c>
      <c r="B487" s="3" t="n">
        <v>21</v>
      </c>
      <c r="C487" s="3" t="s">
        <v>439</v>
      </c>
      <c r="D487" s="3" t="n">
        <v>44</v>
      </c>
      <c r="E487" s="3" t="s">
        <v>174</v>
      </c>
      <c r="F487" s="3" t="s">
        <v>175</v>
      </c>
      <c r="G487" s="3" t="s">
        <v>175</v>
      </c>
      <c r="H487" s="3" t="s">
        <v>501</v>
      </c>
    </row>
    <row r="488" customFormat="false" ht="15" hidden="false" customHeight="false" outlineLevel="0" collapsed="false">
      <c r="A488" s="3" t="s">
        <v>480</v>
      </c>
      <c r="B488" s="3" t="n">
        <v>21</v>
      </c>
      <c r="C488" s="3" t="s">
        <v>439</v>
      </c>
      <c r="D488" s="3" t="n">
        <v>32</v>
      </c>
      <c r="E488" s="3" t="s">
        <v>180</v>
      </c>
      <c r="F488" s="3" t="s">
        <v>175</v>
      </c>
      <c r="G488" s="3" t="s">
        <v>175</v>
      </c>
      <c r="H488" s="3" t="s">
        <v>501</v>
      </c>
    </row>
    <row r="489" customFormat="false" ht="15" hidden="false" customHeight="false" outlineLevel="0" collapsed="false">
      <c r="A489" s="3" t="s">
        <v>480</v>
      </c>
      <c r="B489" s="3" t="n">
        <v>22</v>
      </c>
      <c r="C489" s="3" t="s">
        <v>439</v>
      </c>
      <c r="D489" s="3" t="n">
        <v>38</v>
      </c>
      <c r="E489" s="3" t="s">
        <v>174</v>
      </c>
      <c r="F489" s="3" t="s">
        <v>175</v>
      </c>
      <c r="G489" s="3" t="s">
        <v>175</v>
      </c>
      <c r="H489" s="3" t="s">
        <v>502</v>
      </c>
    </row>
    <row r="490" customFormat="false" ht="15" hidden="false" customHeight="false" outlineLevel="0" collapsed="false">
      <c r="A490" s="3" t="s">
        <v>503</v>
      </c>
      <c r="B490" s="3" t="n">
        <v>1</v>
      </c>
      <c r="C490" s="3" t="s">
        <v>439</v>
      </c>
      <c r="D490" s="3" t="n">
        <v>52</v>
      </c>
      <c r="E490" s="3" t="s">
        <v>174</v>
      </c>
      <c r="F490" s="3" t="s">
        <v>175</v>
      </c>
      <c r="G490" s="3" t="s">
        <v>175</v>
      </c>
      <c r="H490" s="3" t="s">
        <v>504</v>
      </c>
    </row>
    <row r="491" customFormat="false" ht="15" hidden="false" customHeight="false" outlineLevel="0" collapsed="false">
      <c r="A491" s="3" t="s">
        <v>503</v>
      </c>
      <c r="B491" s="3" t="n">
        <v>2</v>
      </c>
      <c r="C491" s="3" t="s">
        <v>439</v>
      </c>
      <c r="D491" s="3" t="n">
        <v>46</v>
      </c>
      <c r="E491" s="3" t="s">
        <v>174</v>
      </c>
      <c r="F491" s="3" t="s">
        <v>175</v>
      </c>
      <c r="G491" s="3" t="s">
        <v>175</v>
      </c>
      <c r="H491" s="3" t="s">
        <v>505</v>
      </c>
    </row>
    <row r="492" customFormat="false" ht="15" hidden="false" customHeight="false" outlineLevel="0" collapsed="false">
      <c r="A492" s="3" t="s">
        <v>503</v>
      </c>
      <c r="B492" s="3" t="n">
        <v>3</v>
      </c>
      <c r="C492" s="3" t="s">
        <v>439</v>
      </c>
      <c r="D492" s="3" t="n">
        <v>52</v>
      </c>
      <c r="E492" s="3" t="s">
        <v>174</v>
      </c>
      <c r="F492" s="3" t="s">
        <v>175</v>
      </c>
      <c r="G492" s="3" t="s">
        <v>175</v>
      </c>
      <c r="H492" s="3" t="s">
        <v>506</v>
      </c>
    </row>
    <row r="493" customFormat="false" ht="15" hidden="false" customHeight="false" outlineLevel="0" collapsed="false">
      <c r="A493" s="3" t="s">
        <v>503</v>
      </c>
      <c r="B493" s="3" t="n">
        <v>3</v>
      </c>
      <c r="C493" s="3" t="s">
        <v>439</v>
      </c>
      <c r="D493" s="3" t="n">
        <v>71</v>
      </c>
      <c r="E493" s="3" t="s">
        <v>180</v>
      </c>
      <c r="F493" s="3" t="s">
        <v>175</v>
      </c>
      <c r="G493" s="3" t="s">
        <v>175</v>
      </c>
      <c r="H493" s="3" t="s">
        <v>506</v>
      </c>
    </row>
    <row r="494" customFormat="false" ht="15" hidden="false" customHeight="false" outlineLevel="0" collapsed="false">
      <c r="A494" s="3" t="s">
        <v>503</v>
      </c>
      <c r="B494" s="3" t="n">
        <v>4</v>
      </c>
      <c r="C494" s="3" t="s">
        <v>439</v>
      </c>
      <c r="D494" s="3" t="n">
        <v>50</v>
      </c>
      <c r="E494" s="3" t="s">
        <v>174</v>
      </c>
      <c r="F494" s="3" t="s">
        <v>175</v>
      </c>
      <c r="G494" s="3" t="s">
        <v>175</v>
      </c>
      <c r="H494" s="3" t="s">
        <v>507</v>
      </c>
    </row>
    <row r="495" customFormat="false" ht="15" hidden="false" customHeight="false" outlineLevel="0" collapsed="false">
      <c r="A495" s="3" t="s">
        <v>503</v>
      </c>
      <c r="B495" s="3" t="n">
        <v>5</v>
      </c>
      <c r="C495" s="3" t="s">
        <v>439</v>
      </c>
      <c r="D495" s="3" t="n">
        <v>51</v>
      </c>
      <c r="E495" s="3" t="s">
        <v>174</v>
      </c>
      <c r="F495" s="3" t="s">
        <v>175</v>
      </c>
      <c r="G495" s="3" t="s">
        <v>175</v>
      </c>
      <c r="H495" s="3" t="s">
        <v>508</v>
      </c>
    </row>
    <row r="496" customFormat="false" ht="15" hidden="false" customHeight="false" outlineLevel="0" collapsed="false">
      <c r="A496" s="3" t="s">
        <v>503</v>
      </c>
      <c r="B496" s="3" t="n">
        <v>6</v>
      </c>
      <c r="C496" s="3" t="s">
        <v>439</v>
      </c>
      <c r="D496" s="3" t="n">
        <v>51</v>
      </c>
      <c r="E496" s="3" t="s">
        <v>174</v>
      </c>
      <c r="F496" s="3" t="s">
        <v>175</v>
      </c>
      <c r="G496" s="3" t="s">
        <v>175</v>
      </c>
      <c r="H496" s="3" t="s">
        <v>509</v>
      </c>
    </row>
    <row r="497" customFormat="false" ht="15" hidden="false" customHeight="false" outlineLevel="0" collapsed="false">
      <c r="A497" s="3" t="s">
        <v>503</v>
      </c>
      <c r="B497" s="3" t="n">
        <v>7</v>
      </c>
      <c r="C497" s="3" t="s">
        <v>439</v>
      </c>
      <c r="D497" s="3" t="n">
        <v>46</v>
      </c>
      <c r="E497" s="3" t="s">
        <v>174</v>
      </c>
      <c r="F497" s="3" t="s">
        <v>175</v>
      </c>
      <c r="G497" s="3" t="s">
        <v>175</v>
      </c>
      <c r="H497" s="3" t="s">
        <v>510</v>
      </c>
    </row>
    <row r="498" customFormat="false" ht="15" hidden="false" customHeight="false" outlineLevel="0" collapsed="false">
      <c r="A498" s="3" t="s">
        <v>503</v>
      </c>
      <c r="B498" s="3" t="n">
        <v>7</v>
      </c>
      <c r="C498" s="3" t="s">
        <v>439</v>
      </c>
      <c r="D498" s="3" t="n">
        <v>2</v>
      </c>
      <c r="E498" s="3" t="s">
        <v>180</v>
      </c>
      <c r="F498" s="3" t="s">
        <v>175</v>
      </c>
      <c r="G498" s="3" t="s">
        <v>175</v>
      </c>
      <c r="H498" s="3" t="s">
        <v>510</v>
      </c>
    </row>
    <row r="499" customFormat="false" ht="15" hidden="false" customHeight="false" outlineLevel="0" collapsed="false">
      <c r="A499" s="3" t="s">
        <v>503</v>
      </c>
      <c r="B499" s="3" t="n">
        <v>8</v>
      </c>
      <c r="C499" s="3" t="s">
        <v>439</v>
      </c>
      <c r="D499" s="3" t="n">
        <v>51</v>
      </c>
      <c r="E499" s="3" t="s">
        <v>174</v>
      </c>
      <c r="F499" s="3" t="s">
        <v>175</v>
      </c>
      <c r="G499" s="3" t="s">
        <v>175</v>
      </c>
      <c r="H499" s="3" t="s">
        <v>511</v>
      </c>
    </row>
    <row r="500" customFormat="false" ht="15" hidden="false" customHeight="false" outlineLevel="0" collapsed="false">
      <c r="A500" s="3" t="s">
        <v>503</v>
      </c>
      <c r="B500" s="3" t="n">
        <v>8</v>
      </c>
      <c r="C500" s="3" t="s">
        <v>439</v>
      </c>
      <c r="D500" s="3" t="n">
        <v>64</v>
      </c>
      <c r="E500" s="3" t="s">
        <v>180</v>
      </c>
      <c r="F500" s="3" t="s">
        <v>175</v>
      </c>
      <c r="G500" s="3" t="s">
        <v>175</v>
      </c>
      <c r="H500" s="3" t="s">
        <v>511</v>
      </c>
    </row>
    <row r="501" customFormat="false" ht="15" hidden="false" customHeight="false" outlineLevel="0" collapsed="false">
      <c r="A501" s="3" t="s">
        <v>503</v>
      </c>
      <c r="B501" s="3" t="n">
        <v>9</v>
      </c>
      <c r="C501" s="3" t="s">
        <v>439</v>
      </c>
      <c r="D501" s="3" t="n">
        <v>48</v>
      </c>
      <c r="E501" s="3" t="s">
        <v>174</v>
      </c>
      <c r="F501" s="3" t="s">
        <v>175</v>
      </c>
      <c r="G501" s="3" t="s">
        <v>175</v>
      </c>
      <c r="H501" s="3" t="s">
        <v>512</v>
      </c>
    </row>
    <row r="502" customFormat="false" ht="15" hidden="false" customHeight="false" outlineLevel="0" collapsed="false">
      <c r="A502" s="3" t="s">
        <v>503</v>
      </c>
      <c r="B502" s="3" t="n">
        <v>10</v>
      </c>
      <c r="C502" s="3" t="s">
        <v>439</v>
      </c>
      <c r="D502" s="3" t="n">
        <v>40</v>
      </c>
      <c r="E502" s="3" t="s">
        <v>174</v>
      </c>
      <c r="F502" s="3" t="s">
        <v>175</v>
      </c>
      <c r="G502" s="3" t="s">
        <v>175</v>
      </c>
      <c r="H502" s="3" t="s">
        <v>513</v>
      </c>
    </row>
    <row r="503" customFormat="false" ht="15" hidden="false" customHeight="false" outlineLevel="0" collapsed="false">
      <c r="A503" s="3" t="s">
        <v>503</v>
      </c>
      <c r="B503" s="3" t="n">
        <v>11</v>
      </c>
      <c r="C503" s="3" t="s">
        <v>439</v>
      </c>
      <c r="D503" s="3" t="n">
        <v>39</v>
      </c>
      <c r="E503" s="3" t="s">
        <v>174</v>
      </c>
      <c r="F503" s="3" t="s">
        <v>175</v>
      </c>
      <c r="G503" s="3" t="s">
        <v>175</v>
      </c>
      <c r="H503" s="3" t="s">
        <v>514</v>
      </c>
    </row>
    <row r="504" customFormat="false" ht="15" hidden="false" customHeight="false" outlineLevel="0" collapsed="false">
      <c r="A504" s="3" t="s">
        <v>503</v>
      </c>
      <c r="B504" s="3" t="n">
        <v>12</v>
      </c>
      <c r="C504" s="3" t="s">
        <v>439</v>
      </c>
      <c r="D504" s="3" t="n">
        <v>50</v>
      </c>
      <c r="E504" s="3" t="s">
        <v>174</v>
      </c>
      <c r="F504" s="3" t="s">
        <v>175</v>
      </c>
      <c r="G504" s="3" t="s">
        <v>175</v>
      </c>
      <c r="H504" s="3" t="s">
        <v>515</v>
      </c>
    </row>
    <row r="505" customFormat="false" ht="15" hidden="false" customHeight="false" outlineLevel="0" collapsed="false">
      <c r="A505" s="3" t="s">
        <v>503</v>
      </c>
      <c r="B505" s="3" t="n">
        <v>13</v>
      </c>
      <c r="C505" s="3" t="s">
        <v>439</v>
      </c>
      <c r="D505" s="3" t="n">
        <v>48</v>
      </c>
      <c r="E505" s="3" t="s">
        <v>174</v>
      </c>
      <c r="F505" s="3" t="s">
        <v>175</v>
      </c>
      <c r="G505" s="3" t="s">
        <v>175</v>
      </c>
      <c r="H505" s="3" t="s">
        <v>516</v>
      </c>
    </row>
    <row r="506" customFormat="false" ht="15" hidden="false" customHeight="false" outlineLevel="0" collapsed="false">
      <c r="A506" s="3" t="s">
        <v>503</v>
      </c>
      <c r="B506" s="3" t="n">
        <v>14</v>
      </c>
      <c r="C506" s="3" t="s">
        <v>439</v>
      </c>
      <c r="D506" s="3" t="n">
        <v>46</v>
      </c>
      <c r="E506" s="3" t="s">
        <v>174</v>
      </c>
      <c r="F506" s="3" t="s">
        <v>175</v>
      </c>
      <c r="G506" s="3" t="s">
        <v>175</v>
      </c>
      <c r="H506" s="3" t="s">
        <v>517</v>
      </c>
    </row>
    <row r="507" customFormat="false" ht="15" hidden="false" customHeight="false" outlineLevel="0" collapsed="false">
      <c r="A507" s="3" t="s">
        <v>518</v>
      </c>
      <c r="B507" s="3" t="n">
        <v>1</v>
      </c>
      <c r="C507" s="3" t="s">
        <v>439</v>
      </c>
      <c r="D507" s="3" t="n">
        <v>63</v>
      </c>
      <c r="E507" s="3" t="s">
        <v>174</v>
      </c>
      <c r="F507" s="3" t="s">
        <v>175</v>
      </c>
      <c r="G507" s="3" t="s">
        <v>175</v>
      </c>
      <c r="H507" s="3" t="s">
        <v>519</v>
      </c>
    </row>
    <row r="508" customFormat="false" ht="15" hidden="false" customHeight="false" outlineLevel="0" collapsed="false">
      <c r="A508" s="3" t="s">
        <v>518</v>
      </c>
      <c r="B508" s="3" t="n">
        <v>2</v>
      </c>
      <c r="C508" s="3" t="s">
        <v>439</v>
      </c>
      <c r="D508" s="3" t="n">
        <v>60</v>
      </c>
      <c r="E508" s="3" t="s">
        <v>174</v>
      </c>
      <c r="F508" s="3" t="s">
        <v>175</v>
      </c>
      <c r="G508" s="3" t="s">
        <v>175</v>
      </c>
      <c r="H508" s="3" t="s">
        <v>520</v>
      </c>
    </row>
    <row r="509" customFormat="false" ht="15" hidden="false" customHeight="false" outlineLevel="0" collapsed="false">
      <c r="A509" s="3" t="s">
        <v>518</v>
      </c>
      <c r="B509" s="3" t="n">
        <v>3</v>
      </c>
      <c r="C509" s="3" t="s">
        <v>439</v>
      </c>
      <c r="D509" s="3" t="n">
        <v>58</v>
      </c>
      <c r="E509" s="3" t="s">
        <v>174</v>
      </c>
      <c r="F509" s="3" t="s">
        <v>175</v>
      </c>
      <c r="G509" s="3" t="s">
        <v>175</v>
      </c>
      <c r="H509" s="3" t="s">
        <v>521</v>
      </c>
    </row>
    <row r="510" customFormat="false" ht="15" hidden="false" customHeight="false" outlineLevel="0" collapsed="false">
      <c r="A510" s="3" t="s">
        <v>518</v>
      </c>
      <c r="B510" s="3" t="n">
        <v>4</v>
      </c>
      <c r="C510" s="3" t="s">
        <v>439</v>
      </c>
      <c r="D510" s="3" t="n">
        <v>58</v>
      </c>
      <c r="E510" s="3" t="s">
        <v>174</v>
      </c>
      <c r="F510" s="3" t="s">
        <v>175</v>
      </c>
      <c r="G510" s="3" t="s">
        <v>175</v>
      </c>
      <c r="H510" s="3" t="s">
        <v>522</v>
      </c>
    </row>
    <row r="511" customFormat="false" ht="15" hidden="false" customHeight="false" outlineLevel="0" collapsed="false">
      <c r="A511" s="3" t="s">
        <v>518</v>
      </c>
      <c r="B511" s="3" t="n">
        <v>5</v>
      </c>
      <c r="C511" s="3" t="s">
        <v>439</v>
      </c>
      <c r="D511" s="3" t="n">
        <v>58</v>
      </c>
      <c r="E511" s="3" t="s">
        <v>174</v>
      </c>
      <c r="F511" s="3" t="s">
        <v>175</v>
      </c>
      <c r="G511" s="3" t="s">
        <v>175</v>
      </c>
      <c r="H511" s="3" t="s">
        <v>523</v>
      </c>
    </row>
    <row r="512" customFormat="false" ht="15" hidden="false" customHeight="false" outlineLevel="0" collapsed="false">
      <c r="A512" s="3" t="s">
        <v>518</v>
      </c>
      <c r="B512" s="3" t="n">
        <v>6</v>
      </c>
      <c r="C512" s="3" t="s">
        <v>439</v>
      </c>
      <c r="D512" s="3" t="n">
        <v>13</v>
      </c>
      <c r="E512" s="3" t="s">
        <v>174</v>
      </c>
      <c r="F512" s="3" t="s">
        <v>175</v>
      </c>
      <c r="G512" s="3" t="s">
        <v>175</v>
      </c>
      <c r="H512" s="3" t="s">
        <v>524</v>
      </c>
    </row>
    <row r="513" customFormat="false" ht="15" hidden="false" customHeight="false" outlineLevel="0" collapsed="false">
      <c r="A513" s="3" t="s">
        <v>518</v>
      </c>
      <c r="B513" s="3" t="n">
        <v>7</v>
      </c>
      <c r="C513" s="3" t="s">
        <v>439</v>
      </c>
      <c r="D513" s="3" t="n">
        <v>1</v>
      </c>
      <c r="E513" s="3" t="s">
        <v>174</v>
      </c>
      <c r="F513" s="3" t="s">
        <v>175</v>
      </c>
      <c r="G513" s="3" t="s">
        <v>175</v>
      </c>
      <c r="H513" s="3" t="s">
        <v>525</v>
      </c>
    </row>
    <row r="514" customFormat="false" ht="15" hidden="false" customHeight="false" outlineLevel="0" collapsed="false">
      <c r="A514" s="3" t="s">
        <v>518</v>
      </c>
      <c r="B514" s="3" t="n">
        <v>8</v>
      </c>
      <c r="C514" s="3" t="s">
        <v>439</v>
      </c>
      <c r="D514" s="3" t="n">
        <v>58</v>
      </c>
      <c r="E514" s="3" t="s">
        <v>174</v>
      </c>
      <c r="F514" s="3" t="s">
        <v>175</v>
      </c>
      <c r="G514" s="3" t="s">
        <v>175</v>
      </c>
      <c r="H514" s="3" t="s">
        <v>526</v>
      </c>
    </row>
    <row r="515" customFormat="false" ht="15" hidden="false" customHeight="false" outlineLevel="0" collapsed="false">
      <c r="A515" s="3" t="s">
        <v>518</v>
      </c>
      <c r="B515" s="3" t="n">
        <v>9</v>
      </c>
      <c r="C515" s="3" t="s">
        <v>439</v>
      </c>
      <c r="D515" s="3" t="n">
        <v>58</v>
      </c>
      <c r="E515" s="3" t="s">
        <v>174</v>
      </c>
      <c r="F515" s="3" t="s">
        <v>175</v>
      </c>
      <c r="G515" s="3" t="s">
        <v>175</v>
      </c>
      <c r="H515" s="3" t="s">
        <v>527</v>
      </c>
    </row>
    <row r="516" customFormat="false" ht="15" hidden="false" customHeight="false" outlineLevel="0" collapsed="false">
      <c r="A516" s="3" t="s">
        <v>518</v>
      </c>
      <c r="B516" s="3" t="n">
        <v>10</v>
      </c>
      <c r="C516" s="3" t="s">
        <v>439</v>
      </c>
      <c r="D516" s="3" t="n">
        <v>1</v>
      </c>
      <c r="E516" s="3" t="s">
        <v>174</v>
      </c>
      <c r="F516" s="3" t="s">
        <v>175</v>
      </c>
      <c r="G516" s="3" t="s">
        <v>175</v>
      </c>
      <c r="H516" s="3" t="s">
        <v>528</v>
      </c>
    </row>
    <row r="517" customFormat="false" ht="15" hidden="false" customHeight="false" outlineLevel="0" collapsed="false">
      <c r="A517" s="3" t="s">
        <v>518</v>
      </c>
      <c r="B517" s="3" t="n">
        <v>11</v>
      </c>
      <c r="C517" s="3" t="s">
        <v>439</v>
      </c>
      <c r="D517" s="3" t="n">
        <v>58</v>
      </c>
      <c r="E517" s="3" t="s">
        <v>174</v>
      </c>
      <c r="F517" s="3" t="s">
        <v>175</v>
      </c>
      <c r="G517" s="3" t="s">
        <v>175</v>
      </c>
      <c r="H517" s="3" t="s">
        <v>529</v>
      </c>
    </row>
    <row r="518" customFormat="false" ht="15" hidden="false" customHeight="false" outlineLevel="0" collapsed="false">
      <c r="A518" s="3" t="s">
        <v>518</v>
      </c>
      <c r="B518" s="3" t="n">
        <v>12</v>
      </c>
      <c r="C518" s="3" t="s">
        <v>439</v>
      </c>
      <c r="D518" s="3" t="n">
        <v>64</v>
      </c>
      <c r="E518" s="3" t="s">
        <v>174</v>
      </c>
      <c r="F518" s="3" t="s">
        <v>175</v>
      </c>
      <c r="G518" s="3" t="s">
        <v>175</v>
      </c>
      <c r="H518" s="3" t="s">
        <v>530</v>
      </c>
    </row>
    <row r="519" customFormat="false" ht="15" hidden="false" customHeight="false" outlineLevel="0" collapsed="false">
      <c r="A519" s="3" t="s">
        <v>518</v>
      </c>
      <c r="B519" s="3" t="n">
        <v>13</v>
      </c>
      <c r="C519" s="3" t="s">
        <v>439</v>
      </c>
      <c r="D519" s="3" t="n">
        <v>13</v>
      </c>
      <c r="E519" s="3" t="s">
        <v>174</v>
      </c>
      <c r="F519" s="3" t="s">
        <v>175</v>
      </c>
      <c r="G519" s="3" t="s">
        <v>175</v>
      </c>
      <c r="H519" s="3" t="s">
        <v>531</v>
      </c>
    </row>
    <row r="520" customFormat="false" ht="15" hidden="false" customHeight="false" outlineLevel="0" collapsed="false">
      <c r="A520" s="3" t="s">
        <v>518</v>
      </c>
      <c r="B520" s="3" t="n">
        <v>14</v>
      </c>
      <c r="C520" s="3" t="s">
        <v>439</v>
      </c>
      <c r="D520" s="3" t="n">
        <v>48</v>
      </c>
      <c r="E520" s="3" t="s">
        <v>174</v>
      </c>
      <c r="F520" s="3" t="s">
        <v>175</v>
      </c>
      <c r="G520" s="3" t="s">
        <v>175</v>
      </c>
      <c r="H520" s="3" t="s">
        <v>532</v>
      </c>
    </row>
    <row r="521" customFormat="false" ht="15" hidden="false" customHeight="false" outlineLevel="0" collapsed="false">
      <c r="A521" s="3" t="s">
        <v>518</v>
      </c>
      <c r="B521" s="3" t="n">
        <v>15</v>
      </c>
      <c r="C521" s="3" t="s">
        <v>439</v>
      </c>
      <c r="D521" s="3" t="n">
        <v>58</v>
      </c>
      <c r="E521" s="3" t="s">
        <v>174</v>
      </c>
      <c r="F521" s="3" t="s">
        <v>175</v>
      </c>
      <c r="G521" s="3" t="s">
        <v>175</v>
      </c>
      <c r="H521" s="3" t="s">
        <v>533</v>
      </c>
    </row>
    <row r="522" customFormat="false" ht="15" hidden="false" customHeight="false" outlineLevel="0" collapsed="false">
      <c r="A522" s="3" t="s">
        <v>518</v>
      </c>
      <c r="B522" s="3" t="n">
        <v>15</v>
      </c>
      <c r="C522" s="3" t="s">
        <v>439</v>
      </c>
      <c r="D522" s="3" t="n">
        <v>64</v>
      </c>
      <c r="E522" s="3" t="s">
        <v>180</v>
      </c>
      <c r="F522" s="3" t="s">
        <v>175</v>
      </c>
      <c r="G522" s="3" t="s">
        <v>175</v>
      </c>
      <c r="H522" s="3" t="s">
        <v>533</v>
      </c>
    </row>
    <row r="523" customFormat="false" ht="15" hidden="false" customHeight="false" outlineLevel="0" collapsed="false">
      <c r="A523" s="3" t="s">
        <v>518</v>
      </c>
      <c r="B523" s="3" t="n">
        <v>16</v>
      </c>
      <c r="C523" s="3" t="s">
        <v>439</v>
      </c>
      <c r="D523" s="3" t="n">
        <v>60</v>
      </c>
      <c r="E523" s="3" t="s">
        <v>174</v>
      </c>
      <c r="F523" s="3" t="s">
        <v>175</v>
      </c>
      <c r="G523" s="3" t="s">
        <v>175</v>
      </c>
      <c r="H523" s="3" t="s">
        <v>534</v>
      </c>
    </row>
    <row r="524" customFormat="false" ht="15" hidden="false" customHeight="false" outlineLevel="0" collapsed="false">
      <c r="A524" s="3" t="s">
        <v>518</v>
      </c>
      <c r="B524" s="3" t="n">
        <v>17</v>
      </c>
      <c r="C524" s="3" t="s">
        <v>439</v>
      </c>
      <c r="D524" s="3" t="n">
        <v>58</v>
      </c>
      <c r="E524" s="3" t="s">
        <v>174</v>
      </c>
      <c r="F524" s="3" t="s">
        <v>175</v>
      </c>
      <c r="G524" s="3" t="s">
        <v>175</v>
      </c>
      <c r="H524" s="3" t="s">
        <v>535</v>
      </c>
    </row>
    <row r="525" customFormat="false" ht="15" hidden="false" customHeight="false" outlineLevel="0" collapsed="false">
      <c r="A525" s="3" t="s">
        <v>518</v>
      </c>
      <c r="B525" s="3" t="n">
        <v>17</v>
      </c>
      <c r="C525" s="3" t="s">
        <v>439</v>
      </c>
      <c r="D525" s="3" t="n">
        <v>28</v>
      </c>
      <c r="E525" s="3" t="s">
        <v>180</v>
      </c>
      <c r="F525" s="3" t="s">
        <v>175</v>
      </c>
      <c r="G525" s="3" t="s">
        <v>175</v>
      </c>
      <c r="H525" s="3" t="s">
        <v>535</v>
      </c>
    </row>
    <row r="526" customFormat="false" ht="15" hidden="false" customHeight="false" outlineLevel="0" collapsed="false">
      <c r="A526" s="3" t="s">
        <v>518</v>
      </c>
      <c r="B526" s="3" t="n">
        <v>18</v>
      </c>
      <c r="C526" s="3" t="s">
        <v>439</v>
      </c>
      <c r="D526" s="3" t="n">
        <v>60</v>
      </c>
      <c r="E526" s="3" t="s">
        <v>174</v>
      </c>
      <c r="F526" s="3" t="s">
        <v>175</v>
      </c>
      <c r="G526" s="3" t="s">
        <v>175</v>
      </c>
      <c r="H526" s="3" t="s">
        <v>536</v>
      </c>
    </row>
    <row r="527" customFormat="false" ht="15" hidden="false" customHeight="false" outlineLevel="0" collapsed="false">
      <c r="A527" s="3" t="s">
        <v>518</v>
      </c>
      <c r="B527" s="3" t="n">
        <v>18</v>
      </c>
      <c r="C527" s="3" t="s">
        <v>439</v>
      </c>
      <c r="D527" s="3" t="n">
        <v>58</v>
      </c>
      <c r="E527" s="3" t="s">
        <v>180</v>
      </c>
      <c r="F527" s="3" t="s">
        <v>175</v>
      </c>
      <c r="G527" s="3" t="s">
        <v>175</v>
      </c>
      <c r="H527" s="3" t="s">
        <v>536</v>
      </c>
    </row>
    <row r="528" customFormat="false" ht="15" hidden="false" customHeight="false" outlineLevel="0" collapsed="false">
      <c r="A528" s="3" t="s">
        <v>518</v>
      </c>
      <c r="B528" s="3" t="n">
        <v>19</v>
      </c>
      <c r="C528" s="3" t="s">
        <v>439</v>
      </c>
      <c r="D528" s="3" t="n">
        <v>58</v>
      </c>
      <c r="E528" s="3" t="s">
        <v>174</v>
      </c>
      <c r="F528" s="3" t="s">
        <v>175</v>
      </c>
      <c r="G528" s="3" t="s">
        <v>175</v>
      </c>
      <c r="H528" s="3" t="s">
        <v>537</v>
      </c>
    </row>
    <row r="529" customFormat="false" ht="15" hidden="false" customHeight="false" outlineLevel="0" collapsed="false">
      <c r="A529" s="3" t="s">
        <v>518</v>
      </c>
      <c r="B529" s="3" t="n">
        <v>19</v>
      </c>
      <c r="C529" s="3" t="s">
        <v>439</v>
      </c>
      <c r="D529" s="3" t="n">
        <v>13</v>
      </c>
      <c r="E529" s="3" t="s">
        <v>180</v>
      </c>
      <c r="F529" s="3" t="s">
        <v>175</v>
      </c>
      <c r="G529" s="3" t="s">
        <v>175</v>
      </c>
      <c r="H529" s="3" t="s">
        <v>537</v>
      </c>
    </row>
    <row r="530" customFormat="false" ht="15" hidden="false" customHeight="false" outlineLevel="0" collapsed="false">
      <c r="A530" s="3" t="s">
        <v>518</v>
      </c>
      <c r="B530" s="3" t="n">
        <v>20</v>
      </c>
      <c r="C530" s="3" t="s">
        <v>439</v>
      </c>
      <c r="D530" s="3" t="n">
        <v>65</v>
      </c>
      <c r="E530" s="3" t="s">
        <v>174</v>
      </c>
      <c r="F530" s="3" t="s">
        <v>175</v>
      </c>
      <c r="G530" s="3" t="s">
        <v>175</v>
      </c>
      <c r="H530" s="3" t="s">
        <v>538</v>
      </c>
    </row>
    <row r="531" customFormat="false" ht="15" hidden="false" customHeight="false" outlineLevel="0" collapsed="false">
      <c r="A531" s="3" t="s">
        <v>539</v>
      </c>
      <c r="B531" s="3" t="n">
        <v>1</v>
      </c>
      <c r="C531" s="3" t="s">
        <v>439</v>
      </c>
      <c r="D531" s="3" t="n">
        <v>73</v>
      </c>
      <c r="E531" s="3" t="s">
        <v>174</v>
      </c>
      <c r="F531" s="3" t="s">
        <v>175</v>
      </c>
      <c r="G531" s="3" t="s">
        <v>175</v>
      </c>
      <c r="H531" s="3" t="s">
        <v>540</v>
      </c>
    </row>
    <row r="532" customFormat="false" ht="15" hidden="false" customHeight="false" outlineLevel="0" collapsed="false">
      <c r="A532" s="3" t="s">
        <v>539</v>
      </c>
      <c r="B532" s="3" t="n">
        <v>2</v>
      </c>
      <c r="C532" s="3" t="s">
        <v>439</v>
      </c>
      <c r="D532" s="3" t="n">
        <v>73</v>
      </c>
      <c r="E532" s="3" t="s">
        <v>174</v>
      </c>
      <c r="F532" s="3" t="s">
        <v>175</v>
      </c>
      <c r="G532" s="3" t="s">
        <v>175</v>
      </c>
      <c r="H532" s="3" t="s">
        <v>541</v>
      </c>
    </row>
    <row r="533" customFormat="false" ht="15" hidden="false" customHeight="false" outlineLevel="0" collapsed="false">
      <c r="A533" s="3" t="s">
        <v>539</v>
      </c>
      <c r="B533" s="3" t="n">
        <v>3</v>
      </c>
      <c r="C533" s="3" t="s">
        <v>439</v>
      </c>
      <c r="D533" s="3" t="n">
        <v>73</v>
      </c>
      <c r="E533" s="3" t="s">
        <v>174</v>
      </c>
      <c r="F533" s="3" t="s">
        <v>175</v>
      </c>
      <c r="G533" s="3" t="s">
        <v>175</v>
      </c>
      <c r="H533" s="3" t="s">
        <v>542</v>
      </c>
    </row>
    <row r="534" customFormat="false" ht="15" hidden="false" customHeight="false" outlineLevel="0" collapsed="false">
      <c r="A534" s="3" t="s">
        <v>539</v>
      </c>
      <c r="B534" s="3" t="n">
        <v>3</v>
      </c>
      <c r="C534" s="3" t="s">
        <v>439</v>
      </c>
      <c r="D534" s="3" t="n">
        <v>42</v>
      </c>
      <c r="E534" s="3" t="s">
        <v>180</v>
      </c>
      <c r="F534" s="3" t="s">
        <v>175</v>
      </c>
      <c r="G534" s="3" t="s">
        <v>175</v>
      </c>
      <c r="H534" s="3" t="s">
        <v>542</v>
      </c>
    </row>
    <row r="535" customFormat="false" ht="15" hidden="false" customHeight="false" outlineLevel="0" collapsed="false">
      <c r="A535" s="3" t="s">
        <v>539</v>
      </c>
      <c r="B535" s="3" t="n">
        <v>4</v>
      </c>
      <c r="C535" s="3" t="s">
        <v>439</v>
      </c>
      <c r="D535" s="3" t="n">
        <v>86</v>
      </c>
      <c r="E535" s="3" t="s">
        <v>174</v>
      </c>
      <c r="F535" s="3" t="s">
        <v>175</v>
      </c>
      <c r="G535" s="3" t="s">
        <v>175</v>
      </c>
      <c r="H535" s="3" t="s">
        <v>543</v>
      </c>
    </row>
    <row r="536" customFormat="false" ht="15" hidden="false" customHeight="false" outlineLevel="0" collapsed="false">
      <c r="A536" s="3" t="s">
        <v>539</v>
      </c>
      <c r="B536" s="3" t="n">
        <v>5</v>
      </c>
      <c r="C536" s="3" t="s">
        <v>439</v>
      </c>
      <c r="D536" s="3" t="n">
        <v>88</v>
      </c>
      <c r="E536" s="3" t="s">
        <v>174</v>
      </c>
      <c r="F536" s="3" t="s">
        <v>175</v>
      </c>
      <c r="G536" s="3" t="s">
        <v>175</v>
      </c>
      <c r="H536" s="3" t="s">
        <v>544</v>
      </c>
    </row>
    <row r="537" customFormat="false" ht="15" hidden="false" customHeight="false" outlineLevel="0" collapsed="false">
      <c r="A537" s="3" t="s">
        <v>539</v>
      </c>
      <c r="B537" s="3" t="n">
        <v>5</v>
      </c>
      <c r="C537" s="3" t="s">
        <v>439</v>
      </c>
      <c r="D537" s="3" t="n">
        <v>23</v>
      </c>
      <c r="E537" s="3" t="s">
        <v>180</v>
      </c>
      <c r="F537" s="3" t="s">
        <v>175</v>
      </c>
      <c r="G537" s="3" t="s">
        <v>175</v>
      </c>
      <c r="H537" s="3" t="s">
        <v>544</v>
      </c>
    </row>
    <row r="538" customFormat="false" ht="15" hidden="false" customHeight="false" outlineLevel="0" collapsed="false">
      <c r="A538" s="3" t="s">
        <v>539</v>
      </c>
      <c r="B538" s="3" t="n">
        <v>6</v>
      </c>
      <c r="C538" s="3" t="s">
        <v>439</v>
      </c>
      <c r="D538" s="3" t="n">
        <v>81</v>
      </c>
      <c r="E538" s="3" t="s">
        <v>174</v>
      </c>
      <c r="F538" s="3" t="s">
        <v>175</v>
      </c>
      <c r="G538" s="3" t="s">
        <v>175</v>
      </c>
      <c r="H538" s="3" t="s">
        <v>545</v>
      </c>
    </row>
    <row r="539" customFormat="false" ht="15" hidden="false" customHeight="false" outlineLevel="0" collapsed="false">
      <c r="A539" s="3" t="s">
        <v>539</v>
      </c>
      <c r="B539" s="3" t="n">
        <v>7</v>
      </c>
      <c r="C539" s="3" t="s">
        <v>439</v>
      </c>
      <c r="D539" s="3" t="n">
        <v>88</v>
      </c>
      <c r="E539" s="3" t="s">
        <v>174</v>
      </c>
      <c r="F539" s="3" t="s">
        <v>175</v>
      </c>
      <c r="G539" s="3" t="s">
        <v>175</v>
      </c>
      <c r="H539" s="3" t="s">
        <v>546</v>
      </c>
    </row>
    <row r="540" customFormat="false" ht="15" hidden="false" customHeight="false" outlineLevel="0" collapsed="false">
      <c r="A540" s="3" t="s">
        <v>539</v>
      </c>
      <c r="B540" s="3" t="n">
        <v>8</v>
      </c>
      <c r="C540" s="3" t="s">
        <v>439</v>
      </c>
      <c r="D540" s="3" t="n">
        <v>90</v>
      </c>
      <c r="E540" s="3" t="s">
        <v>174</v>
      </c>
      <c r="F540" s="3" t="s">
        <v>175</v>
      </c>
      <c r="G540" s="3" t="s">
        <v>175</v>
      </c>
      <c r="H540" s="3" t="s">
        <v>547</v>
      </c>
    </row>
    <row r="541" customFormat="false" ht="15" hidden="false" customHeight="false" outlineLevel="0" collapsed="false">
      <c r="A541" s="3" t="s">
        <v>539</v>
      </c>
      <c r="B541" s="3" t="n">
        <v>9</v>
      </c>
      <c r="C541" s="3" t="s">
        <v>439</v>
      </c>
      <c r="D541" s="3" t="n">
        <v>83</v>
      </c>
      <c r="E541" s="3" t="s">
        <v>174</v>
      </c>
      <c r="F541" s="3" t="s">
        <v>175</v>
      </c>
      <c r="G541" s="3" t="s">
        <v>175</v>
      </c>
      <c r="H541" s="3" t="s">
        <v>548</v>
      </c>
    </row>
    <row r="542" customFormat="false" ht="15" hidden="false" customHeight="false" outlineLevel="0" collapsed="false">
      <c r="A542" s="3" t="s">
        <v>539</v>
      </c>
      <c r="B542" s="3" t="n">
        <v>10</v>
      </c>
      <c r="C542" s="3" t="s">
        <v>439</v>
      </c>
      <c r="D542" s="3" t="n">
        <v>84</v>
      </c>
      <c r="E542" s="3" t="s">
        <v>174</v>
      </c>
      <c r="F542" s="3" t="s">
        <v>175</v>
      </c>
      <c r="G542" s="3" t="s">
        <v>175</v>
      </c>
      <c r="H542" s="3" t="s">
        <v>549</v>
      </c>
    </row>
    <row r="543" customFormat="false" ht="15" hidden="false" customHeight="false" outlineLevel="0" collapsed="false">
      <c r="A543" s="3" t="s">
        <v>539</v>
      </c>
      <c r="B543" s="3" t="n">
        <v>11</v>
      </c>
      <c r="C543" s="3" t="s">
        <v>439</v>
      </c>
      <c r="D543" s="3" t="n">
        <v>83</v>
      </c>
      <c r="E543" s="3" t="s">
        <v>174</v>
      </c>
      <c r="F543" s="3" t="s">
        <v>175</v>
      </c>
      <c r="G543" s="3" t="s">
        <v>175</v>
      </c>
      <c r="H543" s="3" t="s">
        <v>550</v>
      </c>
    </row>
    <row r="544" customFormat="false" ht="15" hidden="false" customHeight="false" outlineLevel="0" collapsed="false">
      <c r="A544" s="3" t="s">
        <v>539</v>
      </c>
      <c r="B544" s="3" t="n">
        <v>11</v>
      </c>
      <c r="C544" s="3" t="s">
        <v>439</v>
      </c>
      <c r="D544" s="3" t="n">
        <v>92</v>
      </c>
      <c r="E544" s="3" t="s">
        <v>180</v>
      </c>
      <c r="F544" s="3" t="s">
        <v>175</v>
      </c>
      <c r="G544" s="3" t="s">
        <v>175</v>
      </c>
      <c r="H544" s="3" t="s">
        <v>550</v>
      </c>
    </row>
    <row r="545" customFormat="false" ht="15" hidden="false" customHeight="false" outlineLevel="0" collapsed="false">
      <c r="A545" s="3" t="s">
        <v>539</v>
      </c>
      <c r="B545" s="3" t="n">
        <v>12</v>
      </c>
      <c r="C545" s="3" t="s">
        <v>439</v>
      </c>
      <c r="D545" s="3" t="n">
        <v>49</v>
      </c>
      <c r="E545" s="3" t="s">
        <v>174</v>
      </c>
      <c r="F545" s="3" t="s">
        <v>175</v>
      </c>
      <c r="G545" s="3" t="s">
        <v>175</v>
      </c>
      <c r="H545" s="3" t="s">
        <v>551</v>
      </c>
    </row>
    <row r="546" customFormat="false" ht="15" hidden="false" customHeight="false" outlineLevel="0" collapsed="false">
      <c r="A546" s="3" t="s">
        <v>539</v>
      </c>
      <c r="B546" s="3" t="n">
        <v>13</v>
      </c>
      <c r="C546" s="3" t="s">
        <v>439</v>
      </c>
      <c r="D546" s="3" t="n">
        <v>46</v>
      </c>
      <c r="E546" s="3" t="s">
        <v>174</v>
      </c>
      <c r="F546" s="3" t="s">
        <v>175</v>
      </c>
      <c r="G546" s="3" t="s">
        <v>175</v>
      </c>
      <c r="H546" s="3" t="s">
        <v>552</v>
      </c>
    </row>
    <row r="547" customFormat="false" ht="15" hidden="false" customHeight="false" outlineLevel="0" collapsed="false">
      <c r="A547" s="3" t="s">
        <v>539</v>
      </c>
      <c r="B547" s="3" t="n">
        <v>14</v>
      </c>
      <c r="C547" s="3" t="s">
        <v>439</v>
      </c>
      <c r="D547" s="3" t="n">
        <v>101</v>
      </c>
      <c r="E547" s="3" t="s">
        <v>174</v>
      </c>
      <c r="F547" s="3" t="s">
        <v>175</v>
      </c>
      <c r="G547" s="3" t="s">
        <v>175</v>
      </c>
      <c r="H547" s="3" t="s">
        <v>553</v>
      </c>
    </row>
    <row r="548" customFormat="false" ht="15" hidden="false" customHeight="false" outlineLevel="0" collapsed="false">
      <c r="A548" s="3" t="s">
        <v>539</v>
      </c>
      <c r="B548" s="3" t="n">
        <v>15</v>
      </c>
      <c r="C548" s="3" t="s">
        <v>439</v>
      </c>
      <c r="D548" s="3" t="n">
        <v>68</v>
      </c>
      <c r="E548" s="3" t="s">
        <v>174</v>
      </c>
      <c r="F548" s="3" t="s">
        <v>175</v>
      </c>
      <c r="G548" s="3" t="s">
        <v>175</v>
      </c>
      <c r="H548" s="3" t="s">
        <v>554</v>
      </c>
    </row>
    <row r="549" customFormat="false" ht="15" hidden="false" customHeight="false" outlineLevel="0" collapsed="false">
      <c r="A549" s="3" t="s">
        <v>539</v>
      </c>
      <c r="B549" s="3" t="n">
        <v>16</v>
      </c>
      <c r="C549" s="3" t="s">
        <v>439</v>
      </c>
      <c r="D549" s="3" t="n">
        <v>70</v>
      </c>
      <c r="E549" s="3" t="s">
        <v>174</v>
      </c>
      <c r="F549" s="3" t="s">
        <v>175</v>
      </c>
      <c r="G549" s="3" t="s">
        <v>175</v>
      </c>
      <c r="H549" s="3" t="s">
        <v>555</v>
      </c>
    </row>
    <row r="550" customFormat="false" ht="15" hidden="false" customHeight="false" outlineLevel="0" collapsed="false">
      <c r="A550" s="3" t="s">
        <v>539</v>
      </c>
      <c r="B550" s="3" t="n">
        <v>16</v>
      </c>
      <c r="C550" s="3" t="s">
        <v>439</v>
      </c>
      <c r="D550" s="3" t="n">
        <v>32</v>
      </c>
      <c r="E550" s="3" t="s">
        <v>180</v>
      </c>
      <c r="F550" s="3" t="s">
        <v>175</v>
      </c>
      <c r="G550" s="3" t="s">
        <v>175</v>
      </c>
      <c r="H550" s="3" t="s">
        <v>555</v>
      </c>
    </row>
    <row r="551" customFormat="false" ht="15" hidden="false" customHeight="false" outlineLevel="0" collapsed="false">
      <c r="A551" s="3" t="s">
        <v>539</v>
      </c>
      <c r="B551" s="3" t="n">
        <v>17</v>
      </c>
      <c r="C551" s="3" t="s">
        <v>439</v>
      </c>
      <c r="D551" s="3" t="n">
        <v>68</v>
      </c>
      <c r="E551" s="3" t="s">
        <v>174</v>
      </c>
      <c r="F551" s="3" t="s">
        <v>175</v>
      </c>
      <c r="G551" s="3" t="s">
        <v>175</v>
      </c>
      <c r="H551" s="3" t="s">
        <v>556</v>
      </c>
    </row>
    <row r="552" customFormat="false" ht="15" hidden="false" customHeight="false" outlineLevel="0" collapsed="false">
      <c r="A552" s="3" t="s">
        <v>539</v>
      </c>
      <c r="B552" s="3" t="n">
        <v>17</v>
      </c>
      <c r="C552" s="3" t="s">
        <v>439</v>
      </c>
      <c r="D552" s="3" t="n">
        <v>100</v>
      </c>
      <c r="E552" s="3" t="s">
        <v>180</v>
      </c>
      <c r="F552" s="3" t="s">
        <v>175</v>
      </c>
      <c r="G552" s="3" t="s">
        <v>175</v>
      </c>
      <c r="H552" s="3" t="s">
        <v>556</v>
      </c>
    </row>
    <row r="553" customFormat="false" ht="15" hidden="false" customHeight="false" outlineLevel="0" collapsed="false">
      <c r="A553" s="3" t="s">
        <v>539</v>
      </c>
      <c r="B553" s="3" t="n">
        <v>18</v>
      </c>
      <c r="C553" s="3" t="s">
        <v>439</v>
      </c>
      <c r="D553" s="3" t="n">
        <v>68</v>
      </c>
      <c r="E553" s="3" t="s">
        <v>174</v>
      </c>
      <c r="F553" s="3" t="s">
        <v>175</v>
      </c>
      <c r="G553" s="3" t="s">
        <v>175</v>
      </c>
      <c r="H553" s="3" t="s">
        <v>557</v>
      </c>
    </row>
    <row r="554" customFormat="false" ht="15" hidden="false" customHeight="false" outlineLevel="0" collapsed="false">
      <c r="A554" s="3" t="s">
        <v>539</v>
      </c>
      <c r="B554" s="3" t="n">
        <v>19</v>
      </c>
      <c r="C554" s="3" t="s">
        <v>439</v>
      </c>
      <c r="D554" s="3" t="n">
        <v>42</v>
      </c>
      <c r="E554" s="3" t="s">
        <v>174</v>
      </c>
      <c r="F554" s="3" t="s">
        <v>175</v>
      </c>
      <c r="G554" s="3" t="s">
        <v>175</v>
      </c>
      <c r="H554" s="3" t="s">
        <v>558</v>
      </c>
    </row>
    <row r="555" customFormat="false" ht="15" hidden="false" customHeight="false" outlineLevel="0" collapsed="false">
      <c r="A555" s="3" t="s">
        <v>539</v>
      </c>
      <c r="B555" s="3" t="n">
        <v>19</v>
      </c>
      <c r="C555" s="3" t="s">
        <v>439</v>
      </c>
      <c r="D555" s="3" t="n">
        <v>88</v>
      </c>
      <c r="E555" s="3" t="s">
        <v>180</v>
      </c>
      <c r="F555" s="3" t="s">
        <v>175</v>
      </c>
      <c r="G555" s="3" t="s">
        <v>175</v>
      </c>
      <c r="H555" s="3" t="s">
        <v>558</v>
      </c>
    </row>
    <row r="556" customFormat="false" ht="15" hidden="false" customHeight="false" outlineLevel="0" collapsed="false">
      <c r="A556" s="3" t="s">
        <v>559</v>
      </c>
      <c r="B556" s="3" t="n">
        <v>1</v>
      </c>
      <c r="C556" s="3" t="s">
        <v>439</v>
      </c>
      <c r="D556" s="3" t="n">
        <v>81</v>
      </c>
      <c r="E556" s="3" t="s">
        <v>174</v>
      </c>
      <c r="F556" s="3" t="s">
        <v>175</v>
      </c>
      <c r="G556" s="3" t="s">
        <v>175</v>
      </c>
      <c r="H556" s="3" t="s">
        <v>560</v>
      </c>
    </row>
    <row r="557" customFormat="false" ht="15" hidden="false" customHeight="false" outlineLevel="0" collapsed="false">
      <c r="A557" s="3" t="s">
        <v>559</v>
      </c>
      <c r="B557" s="3" t="n">
        <v>2</v>
      </c>
      <c r="C557" s="3" t="s">
        <v>439</v>
      </c>
      <c r="D557" s="3" t="n">
        <v>89</v>
      </c>
      <c r="E557" s="3" t="s">
        <v>174</v>
      </c>
      <c r="F557" s="3" t="s">
        <v>175</v>
      </c>
      <c r="G557" s="3" t="s">
        <v>175</v>
      </c>
      <c r="H557" s="3" t="s">
        <v>561</v>
      </c>
    </row>
    <row r="558" customFormat="false" ht="15" hidden="false" customHeight="false" outlineLevel="0" collapsed="false">
      <c r="A558" s="3" t="s">
        <v>559</v>
      </c>
      <c r="B558" s="3" t="n">
        <v>3</v>
      </c>
      <c r="C558" s="3" t="s">
        <v>439</v>
      </c>
      <c r="D558" s="3" t="n">
        <v>94</v>
      </c>
      <c r="E558" s="3" t="s">
        <v>174</v>
      </c>
      <c r="F558" s="3" t="s">
        <v>175</v>
      </c>
      <c r="G558" s="3" t="s">
        <v>175</v>
      </c>
      <c r="H558" s="3" t="s">
        <v>562</v>
      </c>
    </row>
    <row r="559" customFormat="false" ht="15" hidden="false" customHeight="false" outlineLevel="0" collapsed="false">
      <c r="A559" s="3" t="s">
        <v>559</v>
      </c>
      <c r="B559" s="3" t="n">
        <v>3</v>
      </c>
      <c r="C559" s="3" t="s">
        <v>439</v>
      </c>
      <c r="D559" s="3" t="n">
        <v>95</v>
      </c>
      <c r="E559" s="3" t="s">
        <v>180</v>
      </c>
      <c r="F559" s="3" t="s">
        <v>175</v>
      </c>
      <c r="G559" s="3" t="s">
        <v>175</v>
      </c>
      <c r="H559" s="3" t="s">
        <v>562</v>
      </c>
    </row>
    <row r="560" customFormat="false" ht="15" hidden="false" customHeight="false" outlineLevel="0" collapsed="false">
      <c r="A560" s="3" t="s">
        <v>559</v>
      </c>
      <c r="B560" s="3" t="n">
        <v>4</v>
      </c>
      <c r="C560" s="3" t="s">
        <v>439</v>
      </c>
      <c r="D560" s="3" t="n">
        <v>101</v>
      </c>
      <c r="E560" s="3" t="s">
        <v>174</v>
      </c>
      <c r="F560" s="3" t="s">
        <v>175</v>
      </c>
      <c r="G560" s="3" t="s">
        <v>175</v>
      </c>
      <c r="H560" s="3" t="s">
        <v>563</v>
      </c>
    </row>
    <row r="561" customFormat="false" ht="15" hidden="false" customHeight="false" outlineLevel="0" collapsed="false">
      <c r="A561" s="3" t="s">
        <v>559</v>
      </c>
      <c r="B561" s="3" t="n">
        <v>4</v>
      </c>
      <c r="C561" s="3" t="s">
        <v>439</v>
      </c>
      <c r="D561" s="3" t="n">
        <v>100</v>
      </c>
      <c r="E561" s="3" t="s">
        <v>180</v>
      </c>
      <c r="F561" s="3" t="s">
        <v>175</v>
      </c>
      <c r="G561" s="3" t="s">
        <v>175</v>
      </c>
      <c r="H561" s="3" t="s">
        <v>563</v>
      </c>
    </row>
    <row r="562" customFormat="false" ht="15" hidden="false" customHeight="false" outlineLevel="0" collapsed="false">
      <c r="A562" s="3" t="s">
        <v>559</v>
      </c>
      <c r="B562" s="3" t="n">
        <v>5</v>
      </c>
      <c r="C562" s="3" t="s">
        <v>439</v>
      </c>
      <c r="D562" s="3" t="n">
        <v>87</v>
      </c>
      <c r="E562" s="3" t="s">
        <v>174</v>
      </c>
      <c r="F562" s="3" t="s">
        <v>175</v>
      </c>
      <c r="G562" s="3" t="s">
        <v>175</v>
      </c>
      <c r="H562" s="3" t="s">
        <v>564</v>
      </c>
    </row>
    <row r="563" customFormat="false" ht="15" hidden="false" customHeight="false" outlineLevel="0" collapsed="false">
      <c r="A563" s="3" t="s">
        <v>559</v>
      </c>
      <c r="B563" s="3" t="n">
        <v>5</v>
      </c>
      <c r="C563" s="3" t="s">
        <v>439</v>
      </c>
      <c r="D563" s="3" t="n">
        <v>91</v>
      </c>
      <c r="E563" s="3" t="s">
        <v>180</v>
      </c>
      <c r="F563" s="3" t="s">
        <v>175</v>
      </c>
      <c r="G563" s="3" t="s">
        <v>175</v>
      </c>
      <c r="H563" s="3" t="s">
        <v>564</v>
      </c>
    </row>
    <row r="564" customFormat="false" ht="15" hidden="false" customHeight="false" outlineLevel="0" collapsed="false">
      <c r="A564" s="3" t="s">
        <v>559</v>
      </c>
      <c r="B564" s="3" t="n">
        <v>6</v>
      </c>
      <c r="C564" s="3" t="s">
        <v>439</v>
      </c>
      <c r="D564" s="3" t="n">
        <v>90</v>
      </c>
      <c r="E564" s="3" t="s">
        <v>174</v>
      </c>
      <c r="F564" s="3" t="s">
        <v>175</v>
      </c>
      <c r="G564" s="3" t="s">
        <v>175</v>
      </c>
      <c r="H564" s="3" t="s">
        <v>565</v>
      </c>
    </row>
    <row r="565" customFormat="false" ht="15" hidden="false" customHeight="false" outlineLevel="0" collapsed="false">
      <c r="A565" s="3" t="s">
        <v>559</v>
      </c>
      <c r="B565" s="3" t="n">
        <v>6</v>
      </c>
      <c r="C565" s="3" t="s">
        <v>439</v>
      </c>
      <c r="D565" s="3" t="n">
        <v>23</v>
      </c>
      <c r="E565" s="3" t="s">
        <v>180</v>
      </c>
      <c r="F565" s="3" t="s">
        <v>175</v>
      </c>
      <c r="G565" s="3" t="s">
        <v>175</v>
      </c>
      <c r="H565" s="3" t="s">
        <v>565</v>
      </c>
    </row>
    <row r="566" customFormat="false" ht="15" hidden="false" customHeight="false" outlineLevel="0" collapsed="false">
      <c r="A566" s="3" t="s">
        <v>559</v>
      </c>
      <c r="B566" s="3" t="n">
        <v>7</v>
      </c>
      <c r="C566" s="3" t="s">
        <v>439</v>
      </c>
      <c r="D566" s="3" t="n">
        <v>88</v>
      </c>
      <c r="E566" s="3" t="s">
        <v>174</v>
      </c>
      <c r="F566" s="3" t="s">
        <v>175</v>
      </c>
      <c r="G566" s="3" t="s">
        <v>175</v>
      </c>
      <c r="H566" s="3" t="s">
        <v>566</v>
      </c>
    </row>
    <row r="567" customFormat="false" ht="15" hidden="false" customHeight="false" outlineLevel="0" collapsed="false">
      <c r="A567" s="3" t="s">
        <v>559</v>
      </c>
      <c r="B567" s="3" t="n">
        <v>8</v>
      </c>
      <c r="C567" s="3" t="s">
        <v>439</v>
      </c>
      <c r="D567" s="3" t="n">
        <v>81</v>
      </c>
      <c r="E567" s="3" t="s">
        <v>174</v>
      </c>
      <c r="F567" s="3" t="s">
        <v>175</v>
      </c>
      <c r="G567" s="3" t="s">
        <v>175</v>
      </c>
      <c r="H567" s="3" t="s">
        <v>567</v>
      </c>
    </row>
    <row r="568" customFormat="false" ht="15" hidden="false" customHeight="false" outlineLevel="0" collapsed="false">
      <c r="A568" s="3" t="s">
        <v>559</v>
      </c>
      <c r="B568" s="3" t="n">
        <v>9</v>
      </c>
      <c r="C568" s="3" t="s">
        <v>439</v>
      </c>
      <c r="D568" s="3" t="n">
        <v>100</v>
      </c>
      <c r="E568" s="3" t="s">
        <v>174</v>
      </c>
      <c r="F568" s="3" t="s">
        <v>175</v>
      </c>
      <c r="G568" s="3" t="s">
        <v>175</v>
      </c>
      <c r="H568" s="3" t="s">
        <v>568</v>
      </c>
    </row>
    <row r="569" customFormat="false" ht="15" hidden="false" customHeight="false" outlineLevel="0" collapsed="false">
      <c r="A569" s="3" t="s">
        <v>559</v>
      </c>
      <c r="B569" s="3" t="n">
        <v>9</v>
      </c>
      <c r="C569" s="3" t="s">
        <v>439</v>
      </c>
      <c r="D569" s="3" t="n">
        <v>1</v>
      </c>
      <c r="E569" s="3" t="s">
        <v>180</v>
      </c>
      <c r="F569" s="3" t="s">
        <v>175</v>
      </c>
      <c r="G569" s="3" t="s">
        <v>175</v>
      </c>
      <c r="H569" s="3" t="s">
        <v>568</v>
      </c>
    </row>
    <row r="570" customFormat="false" ht="15" hidden="false" customHeight="false" outlineLevel="0" collapsed="false">
      <c r="A570" s="3" t="s">
        <v>559</v>
      </c>
      <c r="B570" s="3" t="n">
        <v>10</v>
      </c>
      <c r="C570" s="3" t="s">
        <v>439</v>
      </c>
      <c r="D570" s="3" t="n">
        <v>88</v>
      </c>
      <c r="E570" s="3" t="s">
        <v>174</v>
      </c>
      <c r="F570" s="3" t="s">
        <v>175</v>
      </c>
      <c r="G570" s="3" t="s">
        <v>175</v>
      </c>
      <c r="H570" s="3" t="s">
        <v>569</v>
      </c>
    </row>
    <row r="571" customFormat="false" ht="15" hidden="false" customHeight="false" outlineLevel="0" collapsed="false">
      <c r="A571" s="3" t="s">
        <v>559</v>
      </c>
      <c r="B571" s="3" t="n">
        <v>11</v>
      </c>
      <c r="C571" s="3" t="s">
        <v>439</v>
      </c>
      <c r="D571" s="3" t="n">
        <v>88</v>
      </c>
      <c r="E571" s="3" t="s">
        <v>174</v>
      </c>
      <c r="F571" s="3" t="s">
        <v>175</v>
      </c>
      <c r="G571" s="3" t="s">
        <v>175</v>
      </c>
      <c r="H571" s="3" t="s">
        <v>570</v>
      </c>
    </row>
    <row r="572" customFormat="false" ht="15" hidden="false" customHeight="false" outlineLevel="0" collapsed="false">
      <c r="A572" s="3" t="s">
        <v>559</v>
      </c>
      <c r="B572" s="3" t="n">
        <v>12</v>
      </c>
      <c r="C572" s="3" t="s">
        <v>439</v>
      </c>
      <c r="D572" s="3" t="n">
        <v>33</v>
      </c>
      <c r="E572" s="3" t="s">
        <v>174</v>
      </c>
      <c r="F572" s="3" t="s">
        <v>175</v>
      </c>
      <c r="G572" s="3" t="s">
        <v>175</v>
      </c>
      <c r="H572" s="3" t="s">
        <v>571</v>
      </c>
    </row>
    <row r="573" customFormat="false" ht="15" hidden="false" customHeight="false" outlineLevel="0" collapsed="false">
      <c r="A573" s="3" t="s">
        <v>559</v>
      </c>
      <c r="B573" s="3" t="n">
        <v>13</v>
      </c>
      <c r="C573" s="3" t="s">
        <v>439</v>
      </c>
      <c r="D573" s="3" t="n">
        <v>65</v>
      </c>
      <c r="E573" s="3" t="s">
        <v>174</v>
      </c>
      <c r="F573" s="3" t="s">
        <v>175</v>
      </c>
      <c r="G573" s="3" t="s">
        <v>175</v>
      </c>
      <c r="H573" s="3" t="s">
        <v>572</v>
      </c>
    </row>
    <row r="574" customFormat="false" ht="15" hidden="false" customHeight="false" outlineLevel="0" collapsed="false">
      <c r="A574" s="3" t="s">
        <v>559</v>
      </c>
      <c r="B574" s="3" t="n">
        <v>13</v>
      </c>
      <c r="C574" s="3" t="s">
        <v>439</v>
      </c>
      <c r="D574" s="3" t="n">
        <v>39</v>
      </c>
      <c r="E574" s="3" t="s">
        <v>180</v>
      </c>
      <c r="F574" s="3" t="s">
        <v>175</v>
      </c>
      <c r="G574" s="3" t="s">
        <v>175</v>
      </c>
      <c r="H574" s="3" t="s">
        <v>572</v>
      </c>
    </row>
    <row r="575" customFormat="false" ht="15" hidden="false" customHeight="false" outlineLevel="0" collapsed="false">
      <c r="A575" s="3" t="s">
        <v>559</v>
      </c>
      <c r="B575" s="3" t="n">
        <v>14</v>
      </c>
      <c r="C575" s="3" t="s">
        <v>439</v>
      </c>
      <c r="D575" s="3" t="n">
        <v>65</v>
      </c>
      <c r="E575" s="3" t="s">
        <v>174</v>
      </c>
      <c r="F575" s="3" t="s">
        <v>175</v>
      </c>
      <c r="G575" s="3" t="s">
        <v>175</v>
      </c>
      <c r="H575" s="3" t="s">
        <v>573</v>
      </c>
    </row>
    <row r="576" customFormat="false" ht="15" hidden="false" customHeight="false" outlineLevel="0" collapsed="false">
      <c r="A576" s="3" t="s">
        <v>559</v>
      </c>
      <c r="B576" s="3" t="n">
        <v>14</v>
      </c>
      <c r="C576" s="3" t="s">
        <v>439</v>
      </c>
      <c r="D576" s="3" t="n">
        <v>94</v>
      </c>
      <c r="E576" s="3" t="s">
        <v>180</v>
      </c>
      <c r="F576" s="3" t="s">
        <v>175</v>
      </c>
      <c r="G576" s="3" t="s">
        <v>175</v>
      </c>
      <c r="H576" s="3" t="s">
        <v>573</v>
      </c>
    </row>
    <row r="577" customFormat="false" ht="15" hidden="false" customHeight="false" outlineLevel="0" collapsed="false">
      <c r="A577" s="3" t="s">
        <v>559</v>
      </c>
      <c r="B577" s="3" t="n">
        <v>15</v>
      </c>
      <c r="C577" s="3" t="s">
        <v>439</v>
      </c>
      <c r="D577" s="3" t="n">
        <v>85</v>
      </c>
      <c r="E577" s="3" t="s">
        <v>174</v>
      </c>
      <c r="F577" s="3" t="s">
        <v>175</v>
      </c>
      <c r="G577" s="3" t="s">
        <v>175</v>
      </c>
      <c r="H577" s="3" t="s">
        <v>574</v>
      </c>
    </row>
    <row r="578" customFormat="false" ht="15" hidden="false" customHeight="false" outlineLevel="0" collapsed="false">
      <c r="A578" s="3" t="s">
        <v>559</v>
      </c>
      <c r="B578" s="3" t="n">
        <v>15</v>
      </c>
      <c r="C578" s="3" t="s">
        <v>439</v>
      </c>
      <c r="D578" s="3" t="n">
        <v>81</v>
      </c>
      <c r="E578" s="3" t="s">
        <v>180</v>
      </c>
      <c r="F578" s="3" t="s">
        <v>175</v>
      </c>
      <c r="G578" s="3" t="s">
        <v>175</v>
      </c>
      <c r="H578" s="3" t="s">
        <v>574</v>
      </c>
    </row>
    <row r="579" customFormat="false" ht="15" hidden="false" customHeight="false" outlineLevel="0" collapsed="false">
      <c r="A579" s="3" t="s">
        <v>559</v>
      </c>
      <c r="B579" s="3" t="n">
        <v>16</v>
      </c>
      <c r="C579" s="3" t="s">
        <v>439</v>
      </c>
      <c r="D579" s="3" t="n">
        <v>88</v>
      </c>
      <c r="E579" s="3" t="s">
        <v>174</v>
      </c>
      <c r="F579" s="3" t="s">
        <v>175</v>
      </c>
      <c r="G579" s="3" t="s">
        <v>175</v>
      </c>
      <c r="H579" s="3" t="s">
        <v>575</v>
      </c>
    </row>
    <row r="580" customFormat="false" ht="15" hidden="false" customHeight="false" outlineLevel="0" collapsed="false">
      <c r="A580" s="3" t="s">
        <v>559</v>
      </c>
      <c r="B580" s="3" t="n">
        <v>17</v>
      </c>
      <c r="C580" s="3" t="s">
        <v>439</v>
      </c>
      <c r="D580" s="3" t="n">
        <v>88</v>
      </c>
      <c r="E580" s="3" t="s">
        <v>174</v>
      </c>
      <c r="F580" s="3" t="s">
        <v>175</v>
      </c>
      <c r="G580" s="3" t="s">
        <v>175</v>
      </c>
      <c r="H580" s="3" t="s">
        <v>576</v>
      </c>
    </row>
    <row r="581" customFormat="false" ht="15" hidden="false" customHeight="false" outlineLevel="0" collapsed="false">
      <c r="A581" s="3" t="s">
        <v>559</v>
      </c>
      <c r="B581" s="3" t="n">
        <v>18</v>
      </c>
      <c r="C581" s="3" t="s">
        <v>439</v>
      </c>
      <c r="D581" s="3" t="n">
        <v>84</v>
      </c>
      <c r="E581" s="3" t="s">
        <v>174</v>
      </c>
      <c r="F581" s="3" t="s">
        <v>175</v>
      </c>
      <c r="G581" s="3" t="s">
        <v>175</v>
      </c>
      <c r="H581" s="3" t="s">
        <v>577</v>
      </c>
    </row>
    <row r="582" customFormat="false" ht="15" hidden="false" customHeight="false" outlineLevel="0" collapsed="false">
      <c r="A582" s="3" t="s">
        <v>578</v>
      </c>
      <c r="B582" s="3" t="n">
        <v>1</v>
      </c>
      <c r="C582" s="3" t="s">
        <v>439</v>
      </c>
      <c r="D582" s="3" t="n">
        <v>111</v>
      </c>
      <c r="E582" s="3" t="s">
        <v>174</v>
      </c>
      <c r="F582" s="3" t="s">
        <v>175</v>
      </c>
      <c r="G582" s="3" t="s">
        <v>175</v>
      </c>
      <c r="H582" s="3" t="s">
        <v>579</v>
      </c>
    </row>
    <row r="583" customFormat="false" ht="15" hidden="false" customHeight="false" outlineLevel="0" collapsed="false">
      <c r="A583" s="3" t="s">
        <v>578</v>
      </c>
      <c r="B583" s="3" t="n">
        <v>2</v>
      </c>
      <c r="C583" s="3" t="s">
        <v>439</v>
      </c>
      <c r="D583" s="3" t="n">
        <v>114</v>
      </c>
      <c r="E583" s="3" t="s">
        <v>174</v>
      </c>
      <c r="F583" s="3" t="s">
        <v>175</v>
      </c>
      <c r="G583" s="3" t="s">
        <v>175</v>
      </c>
      <c r="H583" s="3" t="s">
        <v>580</v>
      </c>
    </row>
    <row r="584" customFormat="false" ht="15" hidden="false" customHeight="false" outlineLevel="0" collapsed="false">
      <c r="A584" s="3" t="s">
        <v>578</v>
      </c>
      <c r="B584" s="3" t="n">
        <v>3</v>
      </c>
      <c r="C584" s="3" t="s">
        <v>439</v>
      </c>
      <c r="D584" s="3" t="n">
        <v>114</v>
      </c>
      <c r="E584" s="3" t="s">
        <v>174</v>
      </c>
      <c r="F584" s="3" t="s">
        <v>175</v>
      </c>
      <c r="G584" s="3" t="s">
        <v>175</v>
      </c>
      <c r="H584" s="3" t="s">
        <v>581</v>
      </c>
    </row>
    <row r="585" customFormat="false" ht="15" hidden="false" customHeight="false" outlineLevel="0" collapsed="false">
      <c r="A585" s="3" t="s">
        <v>578</v>
      </c>
      <c r="B585" s="3" t="n">
        <v>3</v>
      </c>
      <c r="C585" s="3" t="s">
        <v>439</v>
      </c>
      <c r="D585" s="3" t="n">
        <v>23</v>
      </c>
      <c r="E585" s="3" t="s">
        <v>180</v>
      </c>
      <c r="F585" s="3" t="s">
        <v>175</v>
      </c>
      <c r="G585" s="3" t="s">
        <v>175</v>
      </c>
      <c r="H585" s="3" t="s">
        <v>581</v>
      </c>
    </row>
    <row r="586" customFormat="false" ht="15" hidden="false" customHeight="false" outlineLevel="0" collapsed="false">
      <c r="A586" s="3" t="s">
        <v>578</v>
      </c>
      <c r="B586" s="3" t="n">
        <v>4</v>
      </c>
      <c r="C586" s="3" t="s">
        <v>439</v>
      </c>
      <c r="D586" s="3" t="n">
        <v>73</v>
      </c>
      <c r="E586" s="3" t="s">
        <v>174</v>
      </c>
      <c r="F586" s="3" t="s">
        <v>175</v>
      </c>
      <c r="G586" s="3" t="s">
        <v>175</v>
      </c>
      <c r="H586" s="3" t="s">
        <v>582</v>
      </c>
    </row>
    <row r="587" customFormat="false" ht="15" hidden="false" customHeight="false" outlineLevel="0" collapsed="false">
      <c r="A587" s="3" t="s">
        <v>578</v>
      </c>
      <c r="B587" s="3" t="n">
        <v>4</v>
      </c>
      <c r="C587" s="3" t="s">
        <v>439</v>
      </c>
      <c r="D587" s="3" t="n">
        <v>115</v>
      </c>
      <c r="E587" s="3" t="s">
        <v>180</v>
      </c>
      <c r="F587" s="3" t="s">
        <v>175</v>
      </c>
      <c r="G587" s="3" t="s">
        <v>175</v>
      </c>
      <c r="H587" s="3" t="s">
        <v>582</v>
      </c>
    </row>
    <row r="588" customFormat="false" ht="15" hidden="false" customHeight="false" outlineLevel="0" collapsed="false">
      <c r="A588" s="3" t="s">
        <v>578</v>
      </c>
      <c r="B588" s="3" t="n">
        <v>5</v>
      </c>
      <c r="C588" s="3" t="s">
        <v>439</v>
      </c>
      <c r="D588" s="3" t="n">
        <v>115</v>
      </c>
      <c r="E588" s="3" t="s">
        <v>174</v>
      </c>
      <c r="F588" s="3" t="s">
        <v>175</v>
      </c>
      <c r="G588" s="3" t="s">
        <v>175</v>
      </c>
      <c r="H588" s="3" t="s">
        <v>583</v>
      </c>
    </row>
    <row r="589" customFormat="false" ht="15" hidden="false" customHeight="false" outlineLevel="0" collapsed="false">
      <c r="A589" s="3" t="s">
        <v>578</v>
      </c>
      <c r="B589" s="3" t="n">
        <v>5</v>
      </c>
      <c r="C589" s="3" t="s">
        <v>439</v>
      </c>
      <c r="D589" s="3" t="n">
        <v>112</v>
      </c>
      <c r="E589" s="3" t="s">
        <v>180</v>
      </c>
      <c r="F589" s="3" t="s">
        <v>175</v>
      </c>
      <c r="G589" s="3" t="s">
        <v>175</v>
      </c>
      <c r="H589" s="3" t="s">
        <v>583</v>
      </c>
    </row>
    <row r="590" customFormat="false" ht="15" hidden="false" customHeight="false" outlineLevel="0" collapsed="false">
      <c r="A590" s="3" t="s">
        <v>578</v>
      </c>
      <c r="B590" s="3" t="n">
        <v>6</v>
      </c>
      <c r="C590" s="3" t="s">
        <v>439</v>
      </c>
      <c r="D590" s="3" t="n">
        <v>114</v>
      </c>
      <c r="E590" s="3" t="s">
        <v>174</v>
      </c>
      <c r="F590" s="3" t="s">
        <v>175</v>
      </c>
      <c r="G590" s="3" t="s">
        <v>175</v>
      </c>
      <c r="H590" s="3" t="s">
        <v>584</v>
      </c>
    </row>
    <row r="591" customFormat="false" ht="15" hidden="false" customHeight="false" outlineLevel="0" collapsed="false">
      <c r="A591" s="3" t="s">
        <v>578</v>
      </c>
      <c r="B591" s="3" t="n">
        <v>6</v>
      </c>
      <c r="C591" s="3" t="s">
        <v>439</v>
      </c>
      <c r="D591" s="3" t="n">
        <v>100</v>
      </c>
      <c r="E591" s="3" t="s">
        <v>180</v>
      </c>
      <c r="F591" s="3" t="s">
        <v>175</v>
      </c>
      <c r="G591" s="3" t="s">
        <v>175</v>
      </c>
      <c r="H591" s="3" t="s">
        <v>584</v>
      </c>
    </row>
    <row r="592" customFormat="false" ht="15" hidden="false" customHeight="false" outlineLevel="0" collapsed="false">
      <c r="A592" s="3" t="s">
        <v>578</v>
      </c>
      <c r="B592" s="3" t="n">
        <v>7</v>
      </c>
      <c r="C592" s="3" t="s">
        <v>439</v>
      </c>
      <c r="D592" s="3" t="n">
        <v>115</v>
      </c>
      <c r="E592" s="3" t="s">
        <v>174</v>
      </c>
      <c r="F592" s="3" t="s">
        <v>175</v>
      </c>
      <c r="G592" s="3" t="s">
        <v>175</v>
      </c>
      <c r="H592" s="3" t="s">
        <v>585</v>
      </c>
    </row>
    <row r="593" customFormat="false" ht="15" hidden="false" customHeight="false" outlineLevel="0" collapsed="false">
      <c r="A593" s="3" t="s">
        <v>578</v>
      </c>
      <c r="B593" s="3" t="n">
        <v>7</v>
      </c>
      <c r="C593" s="3" t="s">
        <v>439</v>
      </c>
      <c r="D593" s="3" t="n">
        <v>117</v>
      </c>
      <c r="E593" s="3" t="s">
        <v>180</v>
      </c>
      <c r="F593" s="3" t="s">
        <v>175</v>
      </c>
      <c r="G593" s="3" t="s">
        <v>175</v>
      </c>
      <c r="H593" s="3" t="s">
        <v>585</v>
      </c>
    </row>
    <row r="594" customFormat="false" ht="15" hidden="false" customHeight="false" outlineLevel="0" collapsed="false">
      <c r="A594" s="3" t="s">
        <v>578</v>
      </c>
      <c r="B594" s="3" t="n">
        <v>8</v>
      </c>
      <c r="C594" s="3" t="s">
        <v>439</v>
      </c>
      <c r="D594" s="3" t="n">
        <v>117</v>
      </c>
      <c r="E594" s="3" t="s">
        <v>174</v>
      </c>
      <c r="F594" s="3" t="s">
        <v>175</v>
      </c>
      <c r="G594" s="3" t="s">
        <v>175</v>
      </c>
      <c r="H594" s="3" t="s">
        <v>586</v>
      </c>
    </row>
    <row r="595" customFormat="false" ht="15" hidden="false" customHeight="false" outlineLevel="0" collapsed="false">
      <c r="A595" s="3" t="s">
        <v>578</v>
      </c>
      <c r="B595" s="3" t="n">
        <v>8</v>
      </c>
      <c r="C595" s="3" t="s">
        <v>439</v>
      </c>
      <c r="D595" s="3" t="n">
        <v>115</v>
      </c>
      <c r="E595" s="3" t="s">
        <v>180</v>
      </c>
      <c r="F595" s="3" t="s">
        <v>175</v>
      </c>
      <c r="G595" s="3" t="s">
        <v>175</v>
      </c>
      <c r="H595" s="3" t="s">
        <v>586</v>
      </c>
    </row>
    <row r="596" customFormat="false" ht="15" hidden="false" customHeight="false" outlineLevel="0" collapsed="false">
      <c r="A596" s="3" t="s">
        <v>578</v>
      </c>
      <c r="B596" s="3" t="n">
        <v>9</v>
      </c>
      <c r="C596" s="3" t="s">
        <v>439</v>
      </c>
      <c r="D596" s="3" t="n">
        <v>113</v>
      </c>
      <c r="E596" s="3" t="s">
        <v>174</v>
      </c>
      <c r="F596" s="3" t="s">
        <v>175</v>
      </c>
      <c r="G596" s="3" t="s">
        <v>175</v>
      </c>
      <c r="H596" s="3" t="s">
        <v>587</v>
      </c>
    </row>
    <row r="597" customFormat="false" ht="15" hidden="false" customHeight="false" outlineLevel="0" collapsed="false">
      <c r="A597" s="3" t="s">
        <v>578</v>
      </c>
      <c r="B597" s="3" t="n">
        <v>10</v>
      </c>
      <c r="C597" s="3" t="s">
        <v>439</v>
      </c>
      <c r="D597" s="3" t="n">
        <v>16</v>
      </c>
      <c r="E597" s="3" t="s">
        <v>174</v>
      </c>
      <c r="F597" s="3" t="s">
        <v>175</v>
      </c>
      <c r="G597" s="3" t="s">
        <v>175</v>
      </c>
      <c r="H597" s="3" t="s">
        <v>588</v>
      </c>
    </row>
    <row r="598" customFormat="false" ht="15" hidden="false" customHeight="false" outlineLevel="0" collapsed="false">
      <c r="A598" s="3" t="s">
        <v>578</v>
      </c>
      <c r="B598" s="3" t="n">
        <v>11</v>
      </c>
      <c r="C598" s="3" t="s">
        <v>439</v>
      </c>
      <c r="D598" s="3" t="n">
        <v>1</v>
      </c>
      <c r="E598" s="3" t="s">
        <v>174</v>
      </c>
      <c r="F598" s="3" t="s">
        <v>175</v>
      </c>
      <c r="G598" s="3" t="s">
        <v>175</v>
      </c>
      <c r="H598" s="3" t="s">
        <v>589</v>
      </c>
    </row>
    <row r="599" customFormat="false" ht="15" hidden="false" customHeight="false" outlineLevel="0" collapsed="false">
      <c r="A599" s="3" t="s">
        <v>578</v>
      </c>
      <c r="B599" s="3" t="n">
        <v>12</v>
      </c>
      <c r="C599" s="3" t="s">
        <v>439</v>
      </c>
      <c r="D599" s="3" t="n">
        <v>111</v>
      </c>
      <c r="E599" s="3" t="s">
        <v>174</v>
      </c>
      <c r="F599" s="3" t="s">
        <v>175</v>
      </c>
      <c r="G599" s="3" t="s">
        <v>175</v>
      </c>
      <c r="H599" s="3" t="s">
        <v>590</v>
      </c>
    </row>
    <row r="600" customFormat="false" ht="15" hidden="false" customHeight="false" outlineLevel="0" collapsed="false">
      <c r="A600" s="3" t="s">
        <v>578</v>
      </c>
      <c r="B600" s="3" t="n">
        <v>13</v>
      </c>
      <c r="C600" s="3" t="s">
        <v>439</v>
      </c>
      <c r="D600" s="3" t="n">
        <v>15</v>
      </c>
      <c r="E600" s="3" t="s">
        <v>174</v>
      </c>
      <c r="F600" s="3" t="s">
        <v>175</v>
      </c>
      <c r="G600" s="3" t="s">
        <v>175</v>
      </c>
      <c r="H600" s="3" t="s">
        <v>591</v>
      </c>
    </row>
    <row r="601" customFormat="false" ht="15" hidden="false" customHeight="false" outlineLevel="0" collapsed="false">
      <c r="A601" s="3" t="s">
        <v>578</v>
      </c>
      <c r="B601" s="3" t="n">
        <v>13</v>
      </c>
      <c r="C601" s="3" t="s">
        <v>439</v>
      </c>
      <c r="D601" s="3" t="n">
        <v>13</v>
      </c>
      <c r="E601" s="3" t="s">
        <v>180</v>
      </c>
      <c r="F601" s="3" t="s">
        <v>175</v>
      </c>
      <c r="G601" s="3" t="s">
        <v>175</v>
      </c>
      <c r="H601" s="3" t="s">
        <v>591</v>
      </c>
    </row>
    <row r="602" customFormat="false" ht="15" hidden="false" customHeight="false" outlineLevel="0" collapsed="false">
      <c r="A602" s="3" t="s">
        <v>578</v>
      </c>
      <c r="B602" s="3" t="n">
        <v>14</v>
      </c>
      <c r="C602" s="3" t="s">
        <v>439</v>
      </c>
      <c r="D602" s="3" t="n">
        <v>71</v>
      </c>
      <c r="E602" s="3" t="s">
        <v>174</v>
      </c>
      <c r="F602" s="3" t="s">
        <v>175</v>
      </c>
      <c r="G602" s="3" t="s">
        <v>175</v>
      </c>
      <c r="H602" s="3" t="s">
        <v>592</v>
      </c>
    </row>
    <row r="603" customFormat="false" ht="15" hidden="false" customHeight="false" outlineLevel="0" collapsed="false">
      <c r="A603" s="3" t="s">
        <v>578</v>
      </c>
      <c r="B603" s="3" t="n">
        <v>15</v>
      </c>
      <c r="C603" s="3" t="s">
        <v>439</v>
      </c>
      <c r="D603" s="3" t="n">
        <v>1</v>
      </c>
      <c r="E603" s="3" t="s">
        <v>174</v>
      </c>
      <c r="F603" s="3" t="s">
        <v>175</v>
      </c>
      <c r="G603" s="3" t="s">
        <v>175</v>
      </c>
      <c r="H603" s="3" t="s">
        <v>593</v>
      </c>
    </row>
    <row r="604" customFormat="false" ht="15" hidden="false" customHeight="false" outlineLevel="0" collapsed="false">
      <c r="A604" s="3" t="s">
        <v>578</v>
      </c>
      <c r="B604" s="3" t="n">
        <v>15</v>
      </c>
      <c r="C604" s="3" t="s">
        <v>439</v>
      </c>
      <c r="D604" s="3" t="n">
        <v>65</v>
      </c>
      <c r="E604" s="3" t="s">
        <v>180</v>
      </c>
      <c r="F604" s="3" t="s">
        <v>175</v>
      </c>
      <c r="G604" s="3" t="s">
        <v>175</v>
      </c>
      <c r="H604" s="3" t="s">
        <v>593</v>
      </c>
    </row>
    <row r="605" customFormat="false" ht="15" hidden="false" customHeight="false" outlineLevel="0" collapsed="false">
      <c r="A605" s="3" t="s">
        <v>578</v>
      </c>
      <c r="B605" s="3" t="n">
        <v>16</v>
      </c>
      <c r="C605" s="3" t="s">
        <v>439</v>
      </c>
      <c r="D605" s="3" t="n">
        <v>115</v>
      </c>
      <c r="E605" s="3" t="s">
        <v>174</v>
      </c>
      <c r="F605" s="3" t="s">
        <v>175</v>
      </c>
      <c r="G605" s="3" t="s">
        <v>175</v>
      </c>
      <c r="H605" s="3" t="s">
        <v>594</v>
      </c>
    </row>
    <row r="606" customFormat="false" ht="15" hidden="false" customHeight="false" outlineLevel="0" collapsed="false">
      <c r="A606" s="3" t="s">
        <v>578</v>
      </c>
      <c r="B606" s="3" t="n">
        <v>17</v>
      </c>
      <c r="C606" s="3" t="s">
        <v>439</v>
      </c>
      <c r="D606" s="3" t="n">
        <v>104</v>
      </c>
      <c r="E606" s="3" t="s">
        <v>174</v>
      </c>
      <c r="F606" s="3" t="s">
        <v>175</v>
      </c>
      <c r="G606" s="3" t="s">
        <v>175</v>
      </c>
      <c r="H606" s="3" t="s">
        <v>595</v>
      </c>
    </row>
    <row r="607" customFormat="false" ht="15" hidden="false" customHeight="false" outlineLevel="0" collapsed="false">
      <c r="A607" s="3" t="s">
        <v>578</v>
      </c>
      <c r="B607" s="3" t="n">
        <v>18</v>
      </c>
      <c r="C607" s="3" t="s">
        <v>439</v>
      </c>
      <c r="D607" s="3" t="n">
        <v>115</v>
      </c>
      <c r="E607" s="3" t="s">
        <v>174</v>
      </c>
      <c r="F607" s="3" t="s">
        <v>175</v>
      </c>
      <c r="G607" s="3" t="s">
        <v>175</v>
      </c>
      <c r="H607" s="3" t="s">
        <v>596</v>
      </c>
    </row>
    <row r="608" customFormat="false" ht="15" hidden="false" customHeight="false" outlineLevel="0" collapsed="false">
      <c r="A608" s="3" t="s">
        <v>578</v>
      </c>
      <c r="B608" s="3" t="n">
        <v>19</v>
      </c>
      <c r="C608" s="3" t="s">
        <v>439</v>
      </c>
      <c r="D608" s="3" t="n">
        <v>116</v>
      </c>
      <c r="E608" s="3" t="s">
        <v>174</v>
      </c>
      <c r="F608" s="3" t="s">
        <v>175</v>
      </c>
      <c r="G608" s="3" t="s">
        <v>175</v>
      </c>
      <c r="H608" s="3" t="s">
        <v>597</v>
      </c>
    </row>
    <row r="609" customFormat="false" ht="15" hidden="false" customHeight="false" outlineLevel="0" collapsed="false">
      <c r="A609" s="3" t="s">
        <v>578</v>
      </c>
      <c r="B609" s="3" t="n">
        <v>20</v>
      </c>
      <c r="C609" s="3" t="s">
        <v>439</v>
      </c>
      <c r="D609" s="3" t="n">
        <v>68</v>
      </c>
      <c r="E609" s="3" t="s">
        <v>174</v>
      </c>
      <c r="F609" s="3" t="s">
        <v>175</v>
      </c>
      <c r="G609" s="3" t="s">
        <v>175</v>
      </c>
      <c r="H609" s="3" t="s">
        <v>598</v>
      </c>
    </row>
    <row r="610" customFormat="false" ht="15" hidden="false" customHeight="false" outlineLevel="0" collapsed="false">
      <c r="A610" s="3" t="s">
        <v>578</v>
      </c>
      <c r="B610" s="3" t="n">
        <v>20</v>
      </c>
      <c r="C610" s="3" t="s">
        <v>439</v>
      </c>
      <c r="D610" s="3" t="n">
        <v>50</v>
      </c>
      <c r="E610" s="3" t="s">
        <v>180</v>
      </c>
      <c r="F610" s="3" t="s">
        <v>175</v>
      </c>
      <c r="G610" s="3" t="s">
        <v>175</v>
      </c>
      <c r="H610" s="3" t="s">
        <v>598</v>
      </c>
    </row>
    <row r="611" customFormat="false" ht="15" hidden="false" customHeight="false" outlineLevel="0" collapsed="false">
      <c r="A611" s="3" t="s">
        <v>599</v>
      </c>
      <c r="B611" s="3" t="n">
        <v>38</v>
      </c>
      <c r="C611" s="3" t="s">
        <v>600</v>
      </c>
      <c r="D611" s="3" t="n">
        <v>11</v>
      </c>
      <c r="E611" s="3" t="s">
        <v>174</v>
      </c>
      <c r="F611" s="3" t="s">
        <v>290</v>
      </c>
      <c r="G611" s="3" t="s">
        <v>290</v>
      </c>
      <c r="H611" s="3" t="s">
        <v>601</v>
      </c>
    </row>
    <row r="612" customFormat="false" ht="15" hidden="false" customHeight="false" outlineLevel="0" collapsed="false">
      <c r="A612" s="3" t="s">
        <v>599</v>
      </c>
      <c r="B612" s="3" t="n">
        <v>39</v>
      </c>
      <c r="C612" s="3" t="s">
        <v>600</v>
      </c>
      <c r="D612" s="3" t="n">
        <v>88</v>
      </c>
      <c r="E612" s="3" t="s">
        <v>174</v>
      </c>
      <c r="F612" s="3" t="s">
        <v>290</v>
      </c>
      <c r="G612" s="3" t="s">
        <v>290</v>
      </c>
      <c r="H612" s="3" t="s">
        <v>602</v>
      </c>
    </row>
    <row r="613" customFormat="false" ht="15" hidden="false" customHeight="false" outlineLevel="0" collapsed="false">
      <c r="A613" s="3" t="s">
        <v>599</v>
      </c>
      <c r="B613" s="3" t="n">
        <v>39</v>
      </c>
      <c r="C613" s="3" t="s">
        <v>600</v>
      </c>
      <c r="D613" s="3" t="n">
        <v>23</v>
      </c>
      <c r="E613" s="3" t="s">
        <v>180</v>
      </c>
      <c r="F613" s="3" t="s">
        <v>290</v>
      </c>
      <c r="G613" s="3" t="s">
        <v>290</v>
      </c>
      <c r="H613" s="3" t="s">
        <v>602</v>
      </c>
    </row>
    <row r="614" customFormat="false" ht="15" hidden="false" customHeight="false" outlineLevel="0" collapsed="false">
      <c r="A614" s="3" t="s">
        <v>599</v>
      </c>
      <c r="B614" s="3" t="n">
        <v>40</v>
      </c>
      <c r="C614" s="3" t="s">
        <v>600</v>
      </c>
      <c r="D614" s="3" t="n">
        <v>12</v>
      </c>
      <c r="E614" s="3" t="s">
        <v>174</v>
      </c>
      <c r="F614" s="3" t="s">
        <v>290</v>
      </c>
      <c r="G614" s="3" t="s">
        <v>290</v>
      </c>
      <c r="H614" s="3" t="s">
        <v>603</v>
      </c>
    </row>
    <row r="615" customFormat="false" ht="15" hidden="false" customHeight="false" outlineLevel="0" collapsed="false">
      <c r="A615" s="3" t="s">
        <v>599</v>
      </c>
      <c r="B615" s="3" t="n">
        <v>40</v>
      </c>
      <c r="C615" s="3" t="s">
        <v>600</v>
      </c>
      <c r="D615" s="3" t="n">
        <v>25</v>
      </c>
      <c r="E615" s="3" t="s">
        <v>180</v>
      </c>
      <c r="F615" s="3" t="s">
        <v>290</v>
      </c>
      <c r="G615" s="3" t="s">
        <v>290</v>
      </c>
      <c r="H615" s="3" t="s">
        <v>603</v>
      </c>
    </row>
    <row r="616" customFormat="false" ht="15" hidden="false" customHeight="false" outlineLevel="0" collapsed="false">
      <c r="A616" s="3" t="s">
        <v>599</v>
      </c>
      <c r="B616" s="3" t="n">
        <v>41</v>
      </c>
      <c r="C616" s="3" t="s">
        <v>600</v>
      </c>
      <c r="D616" s="3" t="n">
        <v>23</v>
      </c>
      <c r="E616" s="3" t="s">
        <v>174</v>
      </c>
      <c r="F616" s="3" t="s">
        <v>290</v>
      </c>
      <c r="G616" s="3" t="s">
        <v>290</v>
      </c>
      <c r="H616" s="3" t="s">
        <v>604</v>
      </c>
    </row>
    <row r="617" customFormat="false" ht="15" hidden="false" customHeight="false" outlineLevel="0" collapsed="false">
      <c r="A617" s="3" t="s">
        <v>599</v>
      </c>
      <c r="B617" s="3" t="n">
        <v>41</v>
      </c>
      <c r="C617" s="3" t="s">
        <v>600</v>
      </c>
      <c r="D617" s="3" t="n">
        <v>17</v>
      </c>
      <c r="E617" s="3" t="s">
        <v>180</v>
      </c>
      <c r="F617" s="3" t="s">
        <v>290</v>
      </c>
      <c r="G617" s="3" t="s">
        <v>290</v>
      </c>
      <c r="H617" s="3" t="s">
        <v>604</v>
      </c>
    </row>
    <row r="618" customFormat="false" ht="15" hidden="false" customHeight="false" outlineLevel="0" collapsed="false">
      <c r="A618" s="3" t="s">
        <v>599</v>
      </c>
      <c r="B618" s="3" t="n">
        <v>42</v>
      </c>
      <c r="C618" s="3" t="s">
        <v>600</v>
      </c>
      <c r="D618" s="3" t="n">
        <v>16</v>
      </c>
      <c r="E618" s="3" t="s">
        <v>174</v>
      </c>
      <c r="F618" s="3" t="s">
        <v>290</v>
      </c>
      <c r="G618" s="3" t="s">
        <v>290</v>
      </c>
      <c r="H618" s="3" t="s">
        <v>605</v>
      </c>
    </row>
    <row r="619" customFormat="false" ht="15" hidden="false" customHeight="false" outlineLevel="0" collapsed="false">
      <c r="A619" s="3" t="s">
        <v>599</v>
      </c>
      <c r="B619" s="3" t="n">
        <v>42</v>
      </c>
      <c r="C619" s="3" t="s">
        <v>600</v>
      </c>
      <c r="D619" s="3" t="n">
        <v>60</v>
      </c>
      <c r="E619" s="3" t="s">
        <v>180</v>
      </c>
      <c r="F619" s="3" t="s">
        <v>290</v>
      </c>
      <c r="G619" s="3" t="s">
        <v>290</v>
      </c>
      <c r="H619" s="3" t="s">
        <v>605</v>
      </c>
    </row>
    <row r="620" customFormat="false" ht="15" hidden="false" customHeight="false" outlineLevel="0" collapsed="false">
      <c r="A620" s="3" t="s">
        <v>599</v>
      </c>
      <c r="B620" s="3" t="n">
        <v>43</v>
      </c>
      <c r="C620" s="3" t="s">
        <v>600</v>
      </c>
      <c r="D620" s="3" t="n">
        <v>59</v>
      </c>
      <c r="E620" s="3" t="s">
        <v>174</v>
      </c>
      <c r="F620" s="3" t="s">
        <v>290</v>
      </c>
      <c r="G620" s="3" t="s">
        <v>290</v>
      </c>
      <c r="H620" s="3" t="s">
        <v>606</v>
      </c>
    </row>
    <row r="621" customFormat="false" ht="15" hidden="false" customHeight="false" outlineLevel="0" collapsed="false">
      <c r="A621" s="3" t="s">
        <v>599</v>
      </c>
      <c r="B621" s="3" t="n">
        <v>44</v>
      </c>
      <c r="C621" s="3" t="s">
        <v>600</v>
      </c>
      <c r="D621" s="3" t="n">
        <v>26</v>
      </c>
      <c r="E621" s="3" t="s">
        <v>174</v>
      </c>
      <c r="F621" s="3" t="s">
        <v>290</v>
      </c>
      <c r="G621" s="3" t="s">
        <v>175</v>
      </c>
      <c r="H621" s="3" t="s">
        <v>607</v>
      </c>
    </row>
    <row r="622" customFormat="false" ht="15" hidden="false" customHeight="false" outlineLevel="0" collapsed="false">
      <c r="A622" s="3" t="s">
        <v>599</v>
      </c>
      <c r="B622" s="3" t="n">
        <v>45</v>
      </c>
      <c r="C622" s="3" t="s">
        <v>600</v>
      </c>
      <c r="D622" s="3" t="n">
        <v>16</v>
      </c>
      <c r="E622" s="3" t="s">
        <v>174</v>
      </c>
      <c r="F622" s="3" t="s">
        <v>290</v>
      </c>
      <c r="G622" s="3" t="s">
        <v>175</v>
      </c>
      <c r="H622" s="3" t="s">
        <v>430</v>
      </c>
    </row>
    <row r="623" customFormat="false" ht="15" hidden="false" customHeight="false" outlineLevel="0" collapsed="false">
      <c r="A623" s="3" t="s">
        <v>599</v>
      </c>
      <c r="B623" s="3" t="n">
        <v>46</v>
      </c>
      <c r="C623" s="3" t="s">
        <v>600</v>
      </c>
      <c r="D623" s="3" t="n">
        <v>29</v>
      </c>
      <c r="E623" s="3" t="s">
        <v>174</v>
      </c>
      <c r="F623" s="3" t="s">
        <v>290</v>
      </c>
      <c r="G623" s="3" t="s">
        <v>175</v>
      </c>
      <c r="H623" s="3" t="s">
        <v>431</v>
      </c>
    </row>
    <row r="624" customFormat="false" ht="15" hidden="false" customHeight="false" outlineLevel="0" collapsed="false">
      <c r="A624" s="3" t="s">
        <v>599</v>
      </c>
      <c r="B624" s="3" t="n">
        <v>46</v>
      </c>
      <c r="C624" s="3" t="s">
        <v>600</v>
      </c>
      <c r="D624" s="3" t="n">
        <v>23</v>
      </c>
      <c r="E624" s="3" t="s">
        <v>180</v>
      </c>
      <c r="F624" s="3" t="s">
        <v>290</v>
      </c>
      <c r="G624" s="3" t="s">
        <v>175</v>
      </c>
      <c r="H624" s="3" t="s">
        <v>431</v>
      </c>
    </row>
    <row r="625" customFormat="false" ht="15" hidden="false" customHeight="false" outlineLevel="0" collapsed="false">
      <c r="A625" s="3" t="s">
        <v>599</v>
      </c>
      <c r="B625" s="3" t="n">
        <v>47</v>
      </c>
      <c r="C625" s="3" t="s">
        <v>600</v>
      </c>
      <c r="D625" s="3" t="n">
        <v>32</v>
      </c>
      <c r="E625" s="3" t="s">
        <v>174</v>
      </c>
      <c r="F625" s="3" t="s">
        <v>290</v>
      </c>
      <c r="G625" s="3" t="s">
        <v>175</v>
      </c>
      <c r="H625" s="3" t="s">
        <v>432</v>
      </c>
    </row>
    <row r="626" customFormat="false" ht="15" hidden="false" customHeight="false" outlineLevel="0" collapsed="false">
      <c r="A626" s="3" t="s">
        <v>599</v>
      </c>
      <c r="B626" s="3" t="n">
        <v>47</v>
      </c>
      <c r="C626" s="3" t="s">
        <v>600</v>
      </c>
      <c r="D626" s="3" t="n">
        <v>23</v>
      </c>
      <c r="E626" s="3" t="s">
        <v>180</v>
      </c>
      <c r="F626" s="3" t="s">
        <v>290</v>
      </c>
      <c r="G626" s="3" t="s">
        <v>175</v>
      </c>
      <c r="H626" s="3" t="s">
        <v>432</v>
      </c>
    </row>
    <row r="627" customFormat="false" ht="15" hidden="false" customHeight="false" outlineLevel="0" collapsed="false">
      <c r="A627" s="3" t="s">
        <v>599</v>
      </c>
      <c r="B627" s="3" t="n">
        <v>48</v>
      </c>
      <c r="C627" s="3" t="s">
        <v>600</v>
      </c>
      <c r="D627" s="3" t="n">
        <v>100</v>
      </c>
      <c r="E627" s="3" t="s">
        <v>174</v>
      </c>
      <c r="F627" s="3" t="s">
        <v>290</v>
      </c>
      <c r="G627" s="3" t="s">
        <v>175</v>
      </c>
      <c r="H627" s="3" t="s">
        <v>608</v>
      </c>
    </row>
    <row r="628" customFormat="false" ht="15" hidden="false" customHeight="false" outlineLevel="0" collapsed="false">
      <c r="A628" s="3" t="s">
        <v>599</v>
      </c>
      <c r="B628" s="3" t="n">
        <v>49</v>
      </c>
      <c r="C628" s="3" t="s">
        <v>600</v>
      </c>
      <c r="D628" s="3" t="n">
        <v>2</v>
      </c>
      <c r="E628" s="3" t="s">
        <v>174</v>
      </c>
      <c r="F628" s="3" t="s">
        <v>290</v>
      </c>
      <c r="G628" s="3" t="s">
        <v>175</v>
      </c>
      <c r="H628" s="3" t="s">
        <v>434</v>
      </c>
    </row>
    <row r="629" customFormat="false" ht="15" hidden="false" customHeight="false" outlineLevel="0" collapsed="false">
      <c r="A629" s="3" t="s">
        <v>599</v>
      </c>
      <c r="B629" s="3" t="n">
        <v>50</v>
      </c>
      <c r="C629" s="3" t="s">
        <v>600</v>
      </c>
      <c r="D629" s="3" t="n">
        <v>88</v>
      </c>
      <c r="E629" s="3" t="s">
        <v>174</v>
      </c>
      <c r="F629" s="3" t="s">
        <v>290</v>
      </c>
      <c r="G629" s="3" t="s">
        <v>175</v>
      </c>
      <c r="H629" s="3" t="s">
        <v>609</v>
      </c>
    </row>
    <row r="630" customFormat="false" ht="15" hidden="false" customHeight="false" outlineLevel="0" collapsed="false">
      <c r="A630" s="3" t="s">
        <v>599</v>
      </c>
      <c r="B630" s="3" t="n">
        <v>50</v>
      </c>
      <c r="C630" s="3" t="s">
        <v>600</v>
      </c>
      <c r="D630" s="3" t="n">
        <v>81</v>
      </c>
      <c r="E630" s="3" t="s">
        <v>180</v>
      </c>
      <c r="F630" s="3" t="s">
        <v>290</v>
      </c>
      <c r="G630" s="3" t="s">
        <v>175</v>
      </c>
      <c r="H630" s="3" t="s">
        <v>609</v>
      </c>
    </row>
    <row r="631" customFormat="false" ht="15" hidden="false" customHeight="false" outlineLevel="0" collapsed="false">
      <c r="A631" s="3" t="s">
        <v>599</v>
      </c>
      <c r="B631" s="3" t="n">
        <v>51</v>
      </c>
      <c r="C631" s="3" t="s">
        <v>600</v>
      </c>
      <c r="D631" s="3" t="n">
        <v>6</v>
      </c>
      <c r="E631" s="3" t="s">
        <v>174</v>
      </c>
      <c r="F631" s="3" t="s">
        <v>290</v>
      </c>
      <c r="G631" s="3" t="s">
        <v>175</v>
      </c>
      <c r="H631" s="3" t="s">
        <v>423</v>
      </c>
    </row>
    <row r="632" customFormat="false" ht="15" hidden="false" customHeight="false" outlineLevel="0" collapsed="false">
      <c r="A632" s="3" t="s">
        <v>599</v>
      </c>
      <c r="B632" s="3" t="n">
        <v>52</v>
      </c>
      <c r="C632" s="3" t="s">
        <v>600</v>
      </c>
      <c r="D632" s="3" t="n">
        <v>63</v>
      </c>
      <c r="E632" s="3" t="s">
        <v>174</v>
      </c>
      <c r="F632" s="3" t="s">
        <v>290</v>
      </c>
      <c r="G632" s="3" t="s">
        <v>175</v>
      </c>
      <c r="H632" s="3" t="s">
        <v>425</v>
      </c>
    </row>
    <row r="633" customFormat="false" ht="15" hidden="false" customHeight="false" outlineLevel="0" collapsed="false">
      <c r="A633" s="3" t="s">
        <v>599</v>
      </c>
      <c r="B633" s="3" t="n">
        <v>53</v>
      </c>
      <c r="C633" s="3" t="s">
        <v>600</v>
      </c>
      <c r="D633" s="3" t="n">
        <v>1</v>
      </c>
      <c r="E633" s="3" t="s">
        <v>174</v>
      </c>
      <c r="F633" s="3" t="s">
        <v>290</v>
      </c>
      <c r="G633" s="3" t="s">
        <v>175</v>
      </c>
      <c r="H633" s="3" t="s">
        <v>412</v>
      </c>
    </row>
    <row r="634" customFormat="false" ht="15" hidden="false" customHeight="false" outlineLevel="0" collapsed="false">
      <c r="A634" s="3" t="s">
        <v>599</v>
      </c>
      <c r="B634" s="3" t="n">
        <v>54</v>
      </c>
      <c r="C634" s="3" t="s">
        <v>600</v>
      </c>
      <c r="D634" s="3" t="n">
        <v>25</v>
      </c>
      <c r="E634" s="3" t="s">
        <v>174</v>
      </c>
      <c r="F634" s="3" t="s">
        <v>290</v>
      </c>
      <c r="G634" s="3" t="s">
        <v>175</v>
      </c>
      <c r="H634" s="3" t="s">
        <v>413</v>
      </c>
    </row>
    <row r="635" customFormat="false" ht="15" hidden="false" customHeight="false" outlineLevel="0" collapsed="false">
      <c r="A635" s="3" t="s">
        <v>599</v>
      </c>
      <c r="B635" s="3" t="n">
        <v>55</v>
      </c>
      <c r="C635" s="3" t="s">
        <v>600</v>
      </c>
      <c r="D635" s="3" t="n">
        <v>32</v>
      </c>
      <c r="E635" s="3" t="s">
        <v>174</v>
      </c>
      <c r="F635" s="3" t="s">
        <v>290</v>
      </c>
      <c r="G635" s="3" t="s">
        <v>175</v>
      </c>
      <c r="H635" s="3" t="s">
        <v>414</v>
      </c>
    </row>
    <row r="636" customFormat="false" ht="15" hidden="false" customHeight="false" outlineLevel="0" collapsed="false">
      <c r="A636" s="3" t="s">
        <v>599</v>
      </c>
      <c r="B636" s="3" t="n">
        <v>55</v>
      </c>
      <c r="C636" s="3" t="s">
        <v>600</v>
      </c>
      <c r="D636" s="3" t="n">
        <v>42</v>
      </c>
      <c r="E636" s="3" t="s">
        <v>180</v>
      </c>
      <c r="F636" s="3" t="s">
        <v>290</v>
      </c>
      <c r="G636" s="3" t="s">
        <v>175</v>
      </c>
      <c r="H636" s="3" t="s">
        <v>414</v>
      </c>
    </row>
    <row r="637" customFormat="false" ht="15" hidden="false" customHeight="false" outlineLevel="0" collapsed="false">
      <c r="A637" s="3" t="s">
        <v>599</v>
      </c>
      <c r="B637" s="3" t="n">
        <v>56</v>
      </c>
      <c r="C637" s="3" t="s">
        <v>600</v>
      </c>
      <c r="D637" s="3" t="n">
        <v>1</v>
      </c>
      <c r="E637" s="3" t="s">
        <v>174</v>
      </c>
      <c r="F637" s="3" t="s">
        <v>290</v>
      </c>
      <c r="G637" s="3" t="s">
        <v>175</v>
      </c>
      <c r="H637" s="3" t="s">
        <v>401</v>
      </c>
    </row>
    <row r="638" customFormat="false" ht="15" hidden="false" customHeight="false" outlineLevel="0" collapsed="false">
      <c r="A638" s="3" t="s">
        <v>599</v>
      </c>
      <c r="B638" s="3" t="n">
        <v>57</v>
      </c>
      <c r="C638" s="3" t="s">
        <v>600</v>
      </c>
      <c r="D638" s="3" t="n">
        <v>12</v>
      </c>
      <c r="E638" s="3" t="s">
        <v>174</v>
      </c>
      <c r="F638" s="3" t="s">
        <v>290</v>
      </c>
      <c r="G638" s="3" t="s">
        <v>175</v>
      </c>
      <c r="H638" s="3" t="s">
        <v>402</v>
      </c>
    </row>
    <row r="639" customFormat="false" ht="15" hidden="false" customHeight="false" outlineLevel="0" collapsed="false">
      <c r="A639" s="3" t="s">
        <v>599</v>
      </c>
      <c r="B639" s="3" t="n">
        <v>57</v>
      </c>
      <c r="C639" s="3" t="s">
        <v>600</v>
      </c>
      <c r="D639" s="3" t="n">
        <v>13</v>
      </c>
      <c r="E639" s="3" t="s">
        <v>180</v>
      </c>
      <c r="F639" s="3" t="s">
        <v>290</v>
      </c>
      <c r="G639" s="3" t="s">
        <v>175</v>
      </c>
      <c r="H639" s="3" t="s">
        <v>402</v>
      </c>
    </row>
    <row r="640" customFormat="false" ht="15" hidden="false" customHeight="false" outlineLevel="0" collapsed="false">
      <c r="A640" s="3" t="s">
        <v>599</v>
      </c>
      <c r="B640" s="3" t="n">
        <v>57</v>
      </c>
      <c r="C640" s="3" t="s">
        <v>600</v>
      </c>
      <c r="D640" s="3" t="n">
        <v>15</v>
      </c>
      <c r="E640" s="3" t="s">
        <v>180</v>
      </c>
      <c r="F640" s="3" t="s">
        <v>290</v>
      </c>
      <c r="G640" s="3" t="s">
        <v>175</v>
      </c>
      <c r="H640" s="3" t="s">
        <v>402</v>
      </c>
    </row>
    <row r="641" customFormat="false" ht="15" hidden="false" customHeight="false" outlineLevel="0" collapsed="false">
      <c r="A641" s="3" t="s">
        <v>599</v>
      </c>
      <c r="B641" s="3" t="n">
        <v>58</v>
      </c>
      <c r="C641" s="3" t="s">
        <v>600</v>
      </c>
      <c r="D641" s="3" t="n">
        <v>66</v>
      </c>
      <c r="E641" s="3" t="s">
        <v>174</v>
      </c>
      <c r="F641" s="3" t="s">
        <v>290</v>
      </c>
      <c r="G641" s="3" t="s">
        <v>175</v>
      </c>
      <c r="H641" s="3" t="s">
        <v>403</v>
      </c>
    </row>
    <row r="642" customFormat="false" ht="15" hidden="false" customHeight="false" outlineLevel="0" collapsed="false">
      <c r="A642" s="3" t="s">
        <v>599</v>
      </c>
      <c r="B642" s="3" t="n">
        <v>58</v>
      </c>
      <c r="C642" s="3" t="s">
        <v>600</v>
      </c>
      <c r="D642" s="3" t="n">
        <v>32</v>
      </c>
      <c r="E642" s="3" t="s">
        <v>180</v>
      </c>
      <c r="F642" s="3" t="s">
        <v>290</v>
      </c>
      <c r="G642" s="3" t="s">
        <v>175</v>
      </c>
      <c r="H642" s="3" t="s">
        <v>403</v>
      </c>
    </row>
    <row r="643" customFormat="false" ht="15" hidden="false" customHeight="false" outlineLevel="0" collapsed="false">
      <c r="A643" s="3" t="s">
        <v>599</v>
      </c>
      <c r="B643" s="3" t="n">
        <v>59</v>
      </c>
      <c r="C643" s="3" t="s">
        <v>600</v>
      </c>
      <c r="D643" s="3" t="n">
        <v>32</v>
      </c>
      <c r="E643" s="3" t="s">
        <v>174</v>
      </c>
      <c r="F643" s="3" t="s">
        <v>290</v>
      </c>
      <c r="G643" s="3" t="s">
        <v>175</v>
      </c>
      <c r="H643" s="3" t="s">
        <v>610</v>
      </c>
    </row>
    <row r="644" customFormat="false" ht="15" hidden="false" customHeight="false" outlineLevel="0" collapsed="false">
      <c r="A644" s="3" t="s">
        <v>599</v>
      </c>
      <c r="B644" s="3" t="n">
        <v>60</v>
      </c>
      <c r="C644" s="3" t="s">
        <v>600</v>
      </c>
      <c r="D644" s="3" t="n">
        <v>12</v>
      </c>
      <c r="E644" s="3" t="s">
        <v>174</v>
      </c>
      <c r="F644" s="3" t="s">
        <v>290</v>
      </c>
      <c r="G644" s="3" t="s">
        <v>175</v>
      </c>
      <c r="H644" s="3" t="s">
        <v>405</v>
      </c>
    </row>
    <row r="645" customFormat="false" ht="15" hidden="false" customHeight="false" outlineLevel="0" collapsed="false">
      <c r="A645" s="3" t="s">
        <v>599</v>
      </c>
      <c r="B645" s="3" t="n">
        <v>60</v>
      </c>
      <c r="C645" s="3" t="s">
        <v>600</v>
      </c>
      <c r="D645" s="3" t="n">
        <v>4</v>
      </c>
      <c r="E645" s="3" t="s">
        <v>180</v>
      </c>
      <c r="F645" s="3" t="s">
        <v>290</v>
      </c>
      <c r="G645" s="3" t="s">
        <v>175</v>
      </c>
      <c r="H645" s="3" t="s">
        <v>405</v>
      </c>
    </row>
    <row r="646" customFormat="false" ht="15" hidden="false" customHeight="false" outlineLevel="0" collapsed="false">
      <c r="A646" s="3" t="s">
        <v>599</v>
      </c>
      <c r="B646" s="3" t="n">
        <v>61</v>
      </c>
      <c r="C646" s="3" t="s">
        <v>600</v>
      </c>
      <c r="D646" s="3" t="n">
        <v>58</v>
      </c>
      <c r="E646" s="3" t="s">
        <v>174</v>
      </c>
      <c r="F646" s="3" t="s">
        <v>290</v>
      </c>
      <c r="G646" s="3" t="s">
        <v>175</v>
      </c>
      <c r="H646" s="3" t="s">
        <v>611</v>
      </c>
    </row>
    <row r="647" customFormat="false" ht="15" hidden="false" customHeight="false" outlineLevel="0" collapsed="false">
      <c r="A647" s="3" t="s">
        <v>599</v>
      </c>
      <c r="B647" s="3" t="n">
        <v>62</v>
      </c>
      <c r="C647" s="3" t="s">
        <v>600</v>
      </c>
      <c r="D647" s="3" t="n">
        <v>32</v>
      </c>
      <c r="E647" s="3" t="s">
        <v>174</v>
      </c>
      <c r="F647" s="3" t="s">
        <v>290</v>
      </c>
      <c r="G647" s="3" t="s">
        <v>290</v>
      </c>
      <c r="H647" s="3" t="s">
        <v>612</v>
      </c>
    </row>
    <row r="648" customFormat="false" ht="15" hidden="false" customHeight="false" outlineLevel="0" collapsed="false">
      <c r="A648" s="3" t="s">
        <v>599</v>
      </c>
      <c r="B648" s="3" t="n">
        <v>62</v>
      </c>
      <c r="C648" s="3" t="s">
        <v>600</v>
      </c>
      <c r="D648" s="3" t="n">
        <v>23</v>
      </c>
      <c r="E648" s="3" t="s">
        <v>180</v>
      </c>
      <c r="F648" s="3" t="s">
        <v>290</v>
      </c>
      <c r="G648" s="3" t="s">
        <v>290</v>
      </c>
      <c r="H648" s="3" t="s">
        <v>612</v>
      </c>
    </row>
    <row r="649" customFormat="false" ht="15" hidden="false" customHeight="false" outlineLevel="0" collapsed="false">
      <c r="A649" s="3" t="s">
        <v>599</v>
      </c>
      <c r="B649" s="3" t="n">
        <v>63</v>
      </c>
      <c r="C649" s="3" t="s">
        <v>600</v>
      </c>
      <c r="D649" s="3" t="n">
        <v>44</v>
      </c>
      <c r="E649" s="3" t="s">
        <v>174</v>
      </c>
      <c r="F649" s="3" t="s">
        <v>290</v>
      </c>
      <c r="G649" s="3" t="s">
        <v>175</v>
      </c>
      <c r="H649" s="3" t="s">
        <v>426</v>
      </c>
    </row>
    <row r="650" customFormat="false" ht="15" hidden="false" customHeight="false" outlineLevel="0" collapsed="false">
      <c r="A650" s="3" t="s">
        <v>599</v>
      </c>
      <c r="B650" s="3" t="n">
        <v>63</v>
      </c>
      <c r="C650" s="3" t="s">
        <v>600</v>
      </c>
      <c r="D650" s="3" t="n">
        <v>32</v>
      </c>
      <c r="E650" s="3" t="s">
        <v>180</v>
      </c>
      <c r="F650" s="3" t="s">
        <v>290</v>
      </c>
      <c r="G650" s="3" t="s">
        <v>175</v>
      </c>
      <c r="H650" s="3" t="s">
        <v>426</v>
      </c>
    </row>
    <row r="651" customFormat="false" ht="15" hidden="false" customHeight="false" outlineLevel="0" collapsed="false">
      <c r="A651" s="3" t="s">
        <v>599</v>
      </c>
      <c r="B651" s="3" t="n">
        <v>64</v>
      </c>
      <c r="C651" s="3" t="s">
        <v>600</v>
      </c>
      <c r="D651" s="3" t="n">
        <v>32</v>
      </c>
      <c r="E651" s="3" t="s">
        <v>174</v>
      </c>
      <c r="F651" s="3" t="s">
        <v>290</v>
      </c>
      <c r="G651" s="3" t="s">
        <v>175</v>
      </c>
      <c r="H651" s="3" t="s">
        <v>427</v>
      </c>
    </row>
    <row r="652" customFormat="false" ht="15" hidden="false" customHeight="false" outlineLevel="0" collapsed="false">
      <c r="A652" s="3" t="s">
        <v>599</v>
      </c>
      <c r="B652" s="3" t="n">
        <v>64</v>
      </c>
      <c r="C652" s="3" t="s">
        <v>600</v>
      </c>
      <c r="D652" s="3" t="n">
        <v>4</v>
      </c>
      <c r="E652" s="3" t="s">
        <v>180</v>
      </c>
      <c r="F652" s="3" t="s">
        <v>290</v>
      </c>
      <c r="G652" s="3" t="s">
        <v>175</v>
      </c>
      <c r="H652" s="3" t="s">
        <v>427</v>
      </c>
    </row>
    <row r="653" customFormat="false" ht="15" hidden="false" customHeight="false" outlineLevel="0" collapsed="false">
      <c r="A653" s="3" t="s">
        <v>599</v>
      </c>
      <c r="B653" s="3" t="n">
        <v>65</v>
      </c>
      <c r="C653" s="3" t="s">
        <v>600</v>
      </c>
      <c r="D653" s="3" t="n">
        <v>113</v>
      </c>
      <c r="E653" s="3" t="s">
        <v>174</v>
      </c>
      <c r="F653" s="3" t="s">
        <v>290</v>
      </c>
      <c r="G653" s="3" t="s">
        <v>175</v>
      </c>
      <c r="H653" s="3" t="s">
        <v>428</v>
      </c>
    </row>
    <row r="654" customFormat="false" ht="15" hidden="false" customHeight="false" outlineLevel="0" collapsed="false">
      <c r="A654" s="3" t="s">
        <v>599</v>
      </c>
      <c r="B654" s="3" t="n">
        <v>65</v>
      </c>
      <c r="C654" s="3" t="s">
        <v>600</v>
      </c>
      <c r="D654" s="3" t="n">
        <v>100</v>
      </c>
      <c r="E654" s="3" t="s">
        <v>180</v>
      </c>
      <c r="F654" s="3" t="s">
        <v>290</v>
      </c>
      <c r="G654" s="3" t="s">
        <v>175</v>
      </c>
      <c r="H654" s="3" t="s">
        <v>428</v>
      </c>
    </row>
    <row r="655" customFormat="false" ht="15" hidden="false" customHeight="false" outlineLevel="0" collapsed="false">
      <c r="A655" s="3" t="s">
        <v>599</v>
      </c>
      <c r="B655" s="3" t="n">
        <v>66</v>
      </c>
      <c r="C655" s="3" t="s">
        <v>600</v>
      </c>
      <c r="D655" s="3" t="n">
        <v>28</v>
      </c>
      <c r="E655" s="3" t="s">
        <v>174</v>
      </c>
      <c r="F655" s="3" t="s">
        <v>290</v>
      </c>
      <c r="G655" s="3" t="s">
        <v>175</v>
      </c>
      <c r="H655" s="3" t="s">
        <v>416</v>
      </c>
    </row>
    <row r="656" customFormat="false" ht="15" hidden="false" customHeight="false" outlineLevel="0" collapsed="false">
      <c r="A656" s="3" t="s">
        <v>599</v>
      </c>
      <c r="B656" s="3" t="n">
        <v>66</v>
      </c>
      <c r="C656" s="3" t="s">
        <v>600</v>
      </c>
      <c r="D656" s="3" t="n">
        <v>33</v>
      </c>
      <c r="E656" s="3" t="s">
        <v>180</v>
      </c>
      <c r="F656" s="3" t="s">
        <v>290</v>
      </c>
      <c r="G656" s="3" t="s">
        <v>175</v>
      </c>
      <c r="H656" s="3" t="s">
        <v>416</v>
      </c>
    </row>
    <row r="657" customFormat="false" ht="15" hidden="false" customHeight="false" outlineLevel="0" collapsed="false">
      <c r="A657" s="3" t="s">
        <v>599</v>
      </c>
      <c r="B657" s="3" t="n">
        <v>67</v>
      </c>
      <c r="C657" s="3" t="s">
        <v>600</v>
      </c>
      <c r="D657" s="3" t="n">
        <v>23</v>
      </c>
      <c r="E657" s="3" t="s">
        <v>174</v>
      </c>
      <c r="F657" s="3" t="s">
        <v>290</v>
      </c>
      <c r="G657" s="3" t="s">
        <v>175</v>
      </c>
      <c r="H657" s="3" t="s">
        <v>417</v>
      </c>
    </row>
    <row r="658" customFormat="false" ht="15" hidden="false" customHeight="false" outlineLevel="0" collapsed="false">
      <c r="A658" s="3" t="s">
        <v>599</v>
      </c>
      <c r="B658" s="3" t="n">
        <v>67</v>
      </c>
      <c r="C658" s="3" t="s">
        <v>600</v>
      </c>
      <c r="D658" s="3" t="n">
        <v>21</v>
      </c>
      <c r="E658" s="3" t="s">
        <v>180</v>
      </c>
      <c r="F658" s="3" t="s">
        <v>290</v>
      </c>
      <c r="G658" s="3" t="s">
        <v>175</v>
      </c>
      <c r="H658" s="3" t="s">
        <v>417</v>
      </c>
    </row>
    <row r="659" customFormat="false" ht="15" hidden="false" customHeight="false" outlineLevel="0" collapsed="false">
      <c r="A659" s="3" t="s">
        <v>599</v>
      </c>
      <c r="B659" s="3" t="n">
        <v>68</v>
      </c>
      <c r="C659" s="3" t="s">
        <v>600</v>
      </c>
      <c r="D659" s="3" t="n">
        <v>12</v>
      </c>
      <c r="E659" s="3" t="s">
        <v>174</v>
      </c>
      <c r="F659" s="3" t="s">
        <v>290</v>
      </c>
      <c r="G659" s="3" t="s">
        <v>175</v>
      </c>
      <c r="H659" s="3" t="s">
        <v>418</v>
      </c>
    </row>
    <row r="660" customFormat="false" ht="15" hidden="false" customHeight="false" outlineLevel="0" collapsed="false">
      <c r="A660" s="3" t="s">
        <v>599</v>
      </c>
      <c r="B660" s="3" t="n">
        <v>68</v>
      </c>
      <c r="C660" s="3" t="s">
        <v>600</v>
      </c>
      <c r="D660" s="3" t="n">
        <v>6</v>
      </c>
      <c r="E660" s="3" t="s">
        <v>180</v>
      </c>
      <c r="F660" s="3" t="s">
        <v>290</v>
      </c>
      <c r="G660" s="3" t="s">
        <v>175</v>
      </c>
      <c r="H660" s="3" t="s">
        <v>418</v>
      </c>
    </row>
    <row r="661" customFormat="false" ht="15" hidden="false" customHeight="false" outlineLevel="0" collapsed="false">
      <c r="A661" s="3" t="s">
        <v>599</v>
      </c>
      <c r="B661" s="3" t="n">
        <v>69</v>
      </c>
      <c r="C661" s="3" t="s">
        <v>600</v>
      </c>
      <c r="D661" s="3" t="n">
        <v>16</v>
      </c>
      <c r="E661" s="3" t="s">
        <v>174</v>
      </c>
      <c r="F661" s="3" t="s">
        <v>290</v>
      </c>
      <c r="G661" s="3" t="s">
        <v>175</v>
      </c>
      <c r="H661" s="3" t="s">
        <v>419</v>
      </c>
    </row>
    <row r="662" customFormat="false" ht="15" hidden="false" customHeight="false" outlineLevel="0" collapsed="false">
      <c r="A662" s="3" t="s">
        <v>599</v>
      </c>
      <c r="B662" s="3" t="n">
        <v>69</v>
      </c>
      <c r="C662" s="3" t="s">
        <v>600</v>
      </c>
      <c r="D662" s="3" t="n">
        <v>23</v>
      </c>
      <c r="E662" s="3" t="s">
        <v>180</v>
      </c>
      <c r="F662" s="3" t="s">
        <v>290</v>
      </c>
      <c r="G662" s="3" t="s">
        <v>175</v>
      </c>
      <c r="H662" s="3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164</v>
      </c>
      <c r="B1" s="1" t="s">
        <v>165</v>
      </c>
      <c r="C1" s="1" t="s">
        <v>171</v>
      </c>
    </row>
    <row r="2" customFormat="false" ht="15" hidden="false" customHeight="false" outlineLevel="0" collapsed="false">
      <c r="A2" s="3" t="s">
        <v>336</v>
      </c>
      <c r="B2" s="3" t="n">
        <v>6</v>
      </c>
      <c r="C2" s="3" t="s">
        <v>613</v>
      </c>
    </row>
    <row r="3" customFormat="false" ht="15" hidden="false" customHeight="false" outlineLevel="0" collapsed="false">
      <c r="A3" s="3" t="s">
        <v>438</v>
      </c>
      <c r="B3" s="3" t="n">
        <v>16</v>
      </c>
      <c r="C3" s="3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615</v>
      </c>
    </row>
    <row r="3" customFormat="false" ht="15" hidden="false" customHeight="false" outlineLevel="0" collapsed="false">
      <c r="A3" s="5" t="s">
        <v>616</v>
      </c>
      <c r="B3" s="6" t="n">
        <v>8</v>
      </c>
    </row>
    <row r="4" customFormat="false" ht="15" hidden="false" customHeight="false" outlineLevel="0" collapsed="false">
      <c r="A4" s="5" t="s">
        <v>617</v>
      </c>
      <c r="B4" s="6" t="n">
        <v>6</v>
      </c>
    </row>
    <row r="5" customFormat="false" ht="15" hidden="false" customHeight="false" outlineLevel="0" collapsed="false">
      <c r="A5" s="5" t="s">
        <v>618</v>
      </c>
      <c r="B5" s="6" t="n">
        <v>1</v>
      </c>
    </row>
    <row r="7" customFormat="false" ht="15" hidden="false" customHeight="false" outlineLevel="0" collapsed="false">
      <c r="A7" s="7" t="s">
        <v>619</v>
      </c>
    </row>
    <row r="8" customFormat="false" ht="15" hidden="false" customHeight="false" outlineLevel="0" collapsed="false">
      <c r="A8" s="7" t="s">
        <v>620</v>
      </c>
    </row>
    <row r="9" customFormat="false" ht="15" hidden="false" customHeight="false" outlineLevel="0" collapsed="false">
      <c r="A9" s="7" t="s">
        <v>621</v>
      </c>
    </row>
    <row r="10" customFormat="false" ht="15" hidden="false" customHeight="false" outlineLevel="0" collapsed="false">
      <c r="A10" s="7" t="s">
        <v>622</v>
      </c>
    </row>
    <row r="11" customFormat="false" ht="15" hidden="false" customHeight="false" outlineLevel="0" collapsed="false">
      <c r="A11" s="7" t="s">
        <v>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2026-10-17T16:44:24Z</dcterms:created>
  <dc:creator>openpyxl</dc:creator>
  <dc:description/>
  <dc:language>en-US</dc:language>
  <cp:lastModifiedBy/>
  <dcterms:modified xsi:type="dcterms:W3CDTF">2026-10-17T16:44:25Z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