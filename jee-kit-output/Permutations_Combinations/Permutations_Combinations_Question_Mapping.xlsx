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Items!$A$1:$K$107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<sst xmlns="http://schemas.openxmlformats.org/spreadsheetml/2006/main" count="3955" uniqueCount="573">
  <si>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</si>
  <si>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</si>
  <si>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</si>
  <si>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</si>
  <si>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</si>
  <si>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</si>
  <si>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</si>
  <si>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</si>
  <si>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</si>
  <si>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</si>
  <si>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</si>
  <si>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Fundamental Principle of Counting</t>
  </si>
  <si>
    <t xml:space="preserve">When to add and when to multiply the number of ways?</t>
  </si>
  <si>
    <t xml:space="preserve">Original</t>
  </si>
  <si>
    <t xml:space="preserve">When to use the complementary method?</t>
  </si>
  <si>
    <t xml:space="preserve">How to deal with "at least" and "at most" in questions?</t>
  </si>
  <si>
    <t xml:space="preserve">How to count "neither / none / at least one of several conditions" using inclusion-exclusion (Venn diagram)?</t>
  </si>
  <si>
    <t xml:space="preserve">Added</t>
  </si>
  <si>
    <t xml:space="preserve">J-I: 19,20; J-II: 31; J-M(XII): 21,23; J-M(XIII): 32; C-II: 2; DPP-6: 10; QB: 199</t>
  </si>
  <si>
    <t xml:space="preserve">Formation of Numbers</t>
  </si>
  <si>
    <t xml:space="preserve">When should we take repetition as allowed or not allowed in the formation of numbers?</t>
  </si>
  <si>
    <t xml:space="preserve">How to find the number of numbers divisible by 3?</t>
  </si>
  <si>
    <t xml:space="preserve">How to find the number of numbers divisible by 4?</t>
  </si>
  <si>
    <t xml:space="preserve">How to find the numbers divisible by 2, 5, 6, 8, 9, 11 or 25?</t>
  </si>
  <si>
    <t xml:space="preserve">J-M(XII): 10,15,31; J-M(XIII): 11,16,25,37; DPP-1: 11,13; DPP-2: 17; DPP-4: 9</t>
  </si>
  <si>
    <t xml:space="preserve">How to count (and add) palindromic numbers or words?</t>
  </si>
  <si>
    <t xml:space="preserve">J-I: 29; J-M(XII): 11; DPP-1: 12; DPP-6: 9</t>
  </si>
  <si>
    <t xml:space="preserve">How to count numbers (or selections) whose digits are strictly increasing or decreasing?</t>
  </si>
  <si>
    <t xml:space="preserve">J-II: 13; J-M(XIII): 10; C-I: 12; DPP-3: 12; QB: 168</t>
  </si>
  <si>
    <t xml:space="preserve">$m^n$ or $n^m$</t>
  </si>
  <si>
    <t xml:space="preserve">How to solve m^n or n^m type questions?</t>
  </si>
  <si>
    <t xml:space="preserve">Rank of Word</t>
  </si>
  <si>
    <t xml:space="preserve">How to find the rank of a word when the letters are different?</t>
  </si>
  <si>
    <t xml:space="preserve">How to find the word at a given position when the formed words are arranged alphabetically?</t>
  </si>
  <si>
    <t xml:space="preserve">Factorial</t>
  </si>
  <si>
    <t xml:space="preserve">Have you remembered the factorial values up to 7!?</t>
  </si>
  <si>
    <t xml:space="preserve">How to find the power of a prime number in n!?</t>
  </si>
  <si>
    <t xml:space="preserve">How to find the power of a composite number in n!?</t>
  </si>
  <si>
    <t xml:space="preserve">How to find the number of zeroes at the end of n!?</t>
  </si>
  <si>
    <t xml:space="preserve">Properties of ${}^nC_r$</t>
  </si>
  <si>
    <t xml:space="preserve">Write down all 6 properties of {}^nC_r.</t>
  </si>
  <si>
    <t xml:space="preserve">Questions based on Selection and Arrangements</t>
  </si>
  <si>
    <t xml:space="preserve">When to apply {}^nP_r and when to apply {}^nC_r?</t>
  </si>
  <si>
    <t xml:space="preserve">Do you know all the basic terms associated with playing cards?</t>
  </si>
  <si>
    <t xml:space="preserve">How to find the total number of lines and triangles formed by many points, some of them collinear?</t>
  </si>
  <si>
    <t xml:space="preserve">How to find the total number of quadrilaterals formed by many points, some of them collinear?</t>
  </si>
  <si>
    <t xml:space="preserve">What is the number of diagonals of an n-sided polygon?</t>
  </si>
  <si>
    <t xml:space="preserve">How to select three numbers in A.P.?</t>
  </si>
  <si>
    <t xml:space="preserve">How to find the number of rectangles and squares in a chess board (grid)?</t>
  </si>
  <si>
    <t xml:space="preserve">How to count selections with conditions: particular persons always included, never included, together or not at all, or not together?</t>
  </si>
  <si>
    <t xml:space="preserve">J-I: 8; J-II: 2,3,4,6,7,11,12,42,43,44,48; J-M(XII): 2,5,20; J-M(XIII): 6,8,31,45,55; J-A: 8,9,12,18; C-I: 2; C-II: 7; DPP-3: 1,3,10,11; DPP-4: 11,13,14,17; QB: 167,170,190,194,198</t>
  </si>
  <si>
    <t xml:space="preserve">How to find the number of intersection points of lines, diagonals or chords?</t>
  </si>
  <si>
    <t xml:space="preserve">J-M(XIII): 48; C-I: 11; QB: 196</t>
  </si>
  <si>
    <t xml:space="preserve">How to arrange when some persons or objects are tied to particular places (seats, middle place, sides of a table)?</t>
  </si>
  <si>
    <t xml:space="preserve">J-I: 9; J-II: 14; DPP-4: 4,12,16; DPP-5: 14; DPP-6: 14</t>
  </si>
  <si>
    <t xml:space="preserve">Gap and String Method</t>
  </si>
  <si>
    <t xml:space="preserve">How and when to use the string method?</t>
  </si>
  <si>
    <t xml:space="preserve">How and when to use the gap method?</t>
  </si>
  <si>
    <t xml:space="preserve">Can we use the string method when two types of groups are to be kept together?</t>
  </si>
  <si>
    <t xml:space="preserve">How to arrange when two types of things are to be kept alternate?</t>
  </si>
  <si>
    <t xml:space="preserve">Station Method</t>
  </si>
  <si>
    <t xml:space="preserve">When to use the station method?</t>
  </si>
  <si>
    <t xml:space="preserve">How to use the station method?</t>
  </si>
  <si>
    <t xml:space="preserve">Formation of Groups</t>
  </si>
  <si>
    <t xml:space="preserve">How to find the number of ways of forming groups of distinct things into given group sizes?</t>
  </si>
  <si>
    <t xml:space="preserve">When to use formation of groups in questions?</t>
  </si>
  <si>
    <t xml:space="preserve">How to distribute n things among 2 or 3 persons when each person gets at least one thing?</t>
  </si>
  <si>
    <t xml:space="preserve">Permutation of Alike Objects taken all at a time</t>
  </si>
  <si>
    <t xml:space="preserve">How to arrange things when a few of them are alike?</t>
  </si>
  <si>
    <t xml:space="preserve">How to use the string method in permutation of alike objects taken all at a time?</t>
  </si>
  <si>
    <t xml:space="preserve">How to use the gap method in permutation of alike objects taken all at a time?</t>
  </si>
  <si>
    <t xml:space="preserve">What does "without changing the order of vowels / consonants" mean in questions?</t>
  </si>
  <si>
    <t xml:space="preserve">How to arrange things when two or three types of things are to be kept separated?</t>
  </si>
  <si>
    <t xml:space="preserve">How to find the rank of a word when letters are alike?</t>
  </si>
  <si>
    <t xml:space="preserve">Permutation of Alike Objects taken some at a time</t>
  </si>
  <si>
    <t xml:space="preserve">How to find the number of selections when alike things are taken some at a time?</t>
  </si>
  <si>
    <t xml:space="preserve">How to find the number of arrangements when alike things are taken some at a time?</t>
  </si>
  <si>
    <t xml:space="preserve">Circular Permutations</t>
  </si>
  <si>
    <t xml:space="preserve">What is circular permutation and how is it different from linear permutation?</t>
  </si>
  <si>
    <t xml:space="preserve">How to arrange things in circular permutation?</t>
  </si>
  <si>
    <t xml:space="preserve">How to use the string method in circular permutation?</t>
  </si>
  <si>
    <t xml:space="preserve">How to use the gap method in circular permutation?</t>
  </si>
  <si>
    <t xml:space="preserve">When will we consider clockwise and anti-clockwise arrangements as same, and what to do in that case?</t>
  </si>
  <si>
    <t xml:space="preserve">When will we consider clockwise and anti-clockwise arrangements as same in case of arrangement of persons?</t>
  </si>
  <si>
    <t xml:space="preserve">How to use permutation of alike objects taken all at a time in circular permutations?</t>
  </si>
  <si>
    <t xml:space="preserve">Station Method in Circular Permutation</t>
  </si>
  <si>
    <t xml:space="preserve">When to use the station method in circular permutations?</t>
  </si>
  <si>
    <t xml:space="preserve">How to solve formation-of-polygon type questions in circular permutations?</t>
  </si>
  <si>
    <t xml:space="preserve">How to use the station method in circular permutations? (both methods)</t>
  </si>
  <si>
    <t xml:space="preserve">Total Number of Combinations</t>
  </si>
  <si>
    <t xml:space="preserve">How to find the total number of combinations when many things are given, some alike of one type, some alike of another type, etc.?</t>
  </si>
  <si>
    <t xml:space="preserve">When to subtract 1 from the answer in total-number-of-combinations questions?</t>
  </si>
  <si>
    <t xml:space="preserve">Divisors Based Problems</t>
  </si>
  <si>
    <t xml:space="preserve">How to find the total number of divisors?</t>
  </si>
  <si>
    <t xml:space="preserve">How to find the total number of odd and even divisors?</t>
  </si>
  <si>
    <t xml:space="preserve">What do you mean by proper divisors?</t>
  </si>
  <si>
    <t xml:space="preserve">How to find the total number of divisors divisible by a given number?</t>
  </si>
  <si>
    <t xml:space="preserve">How to find the sum of all divisors?</t>
  </si>
  <si>
    <t xml:space="preserve">How to find the sum of all odd and even divisors?</t>
  </si>
  <si>
    <t xml:space="preserve">How to find the sum of all divisors divisible by a given number?</t>
  </si>
  <si>
    <t xml:space="preserve">How to find the number of ways in which a given number can be expressed as a product of two divisors?</t>
  </si>
  <si>
    <t xml:space="preserve">How to find the number of ways in which a given number can be expressed as a product of two divisors which are relatively prime?</t>
  </si>
  <si>
    <t xml:space="preserve">How to find the product of all divisors?</t>
  </si>
  <si>
    <t xml:space="preserve">How to count ordered pairs of numbers with a given LCM or GCD?</t>
  </si>
  <si>
    <t xml:space="preserve">C-I: 9; QB: 185</t>
  </si>
  <si>
    <t xml:space="preserve">Maximum value of ${}^nC_r$</t>
  </si>
  <si>
    <t xml:space="preserve">How to find the maximum value of {}^nC_r?</t>
  </si>
  <si>
    <t xml:space="preserve">Grid Problem</t>
  </si>
  <si>
    <t xml:space="preserve">How to find the number of ways in a grid structure?</t>
  </si>
  <si>
    <t xml:space="preserve">How to find the number of ways in a grid structure if we have to pass through a given point every time?</t>
  </si>
  <si>
    <t xml:space="preserve">How to find the number of ways in a grid structure if exactly r diagonal steps are to be taken?</t>
  </si>
  <si>
    <t xml:space="preserve">De-arrangement</t>
  </si>
  <si>
    <t xml:space="preserve">What is the subjective approach to find D_n?</t>
  </si>
  <si>
    <t xml:space="preserve">What is the formula for D_n?</t>
  </si>
  <si>
    <t xml:space="preserve">Summation of Numbers</t>
  </si>
  <si>
    <t xml:space="preserve">How to use the place value method in finding the sum of numbers formed by given digits?</t>
  </si>
  <si>
    <t xml:space="preserve">How to use the carry method in finding the sum of numbers formed by given digits?</t>
  </si>
  <si>
    <t xml:space="preserve">Distribution of Alike Objects</t>
  </si>
  <si>
    <t xml:space="preserve">When to use the beggars' method?</t>
  </si>
  <si>
    <t xml:space="preserve">How to use the beggars' method?</t>
  </si>
  <si>
    <t xml:space="preserve">How to use the beggars' method when there is a minimum condition from the beggars' side?</t>
  </si>
  <si>
    <t xml:space="preserve">Algebra based problems in distribution of alike objects</t>
  </si>
  <si>
    <t xml:space="preserve">How to find the number of non-negative integral solutions of an equation of type x+y+z=100?</t>
  </si>
  <si>
    <t xml:space="preserve">How to find the number of non-negative integral solutions of an equation of type x+y+z=100 when conditions on x,y,z are given?</t>
  </si>
  <si>
    <t xml:space="preserve">How to find the number of non-negative integral solutions of an inequality such as x+y+z+w\le30?</t>
  </si>
  <si>
    <t xml:space="preserve">How to find the number of non-negative integral solutions of an inequality when conditions on x,y,z are given?</t>
  </si>
  <si>
    <t xml:space="preserve">How to find the number of positive integral solutions of equations of type xyz=30?</t>
  </si>
  <si>
    <t xml:space="preserve">Coefficient Method</t>
  </si>
  <si>
    <t xml:space="preserve">When to use the coefficient method?</t>
  </si>
  <si>
    <t xml:space="preserve">How to write the factors in the coefficient method and which power of x is to be computed?</t>
  </si>
  <si>
    <t xml:space="preserve">How to use the coefficient method in finding the number of selections in permutation of alike objects taken some at a time?</t>
  </si>
  <si>
    <t xml:space="preserve">Miscellaneous</t>
  </si>
  <si>
    <t xml:space="preserve">How to express the general term of a series involving factorial as a difference of two terms?</t>
  </si>
  <si>
    <t xml:space="preserve">How to count by remainder classes (parity or residues mod m) when a sum must be divisible by m?</t>
  </si>
  <si>
    <t xml:space="preserve">J-M(XII): 12; J-M(XIII): 7; QB: 184</t>
  </si>
  <si>
    <t xml:space="preserve">How to count arrangements in which adjacent objects must differ (colouring a line or a circle)?</t>
  </si>
  <si>
    <t xml:space="preserve">J-A: 13; DPP-2: 3,11,15</t>
  </si>
  <si>
    <t xml:space="preserve">Extra Reading Material</t>
  </si>
  <si>
    <t xml:space="preserve">Write down the formula for the distribution of n distinct objects among k persons if each person receives at least one object.</t>
  </si>
  <si>
    <t xml:space="preserve">Write down the recurrence relation of the Fibonacci sequence and write down the Fibonacci sequence also.</t>
  </si>
  <si>
    <t xml:space="preserve">What does a partition of a natural number mean?</t>
  </si>
  <si>
    <t xml:space="preserve">How to write the recurrence relation of P(n) and how to find P(n) with its help?</t>
  </si>
  <si>
    <t xml:space="preserve">What does the partition of a natural number into at most k parts, i.e. P(n,k), mean?</t>
  </si>
  <si>
    <t xml:space="preserve">How to find P(n,1), P(n,2) and P(n,3)?</t>
  </si>
  <si>
    <t xml:space="preserve">How to find P(n,k) if k&gt;3?</t>
  </si>
  <si>
    <t xml:space="preserve">What does Euler's totient function represent and how to find it?</t>
  </si>
  <si>
    <t xml:space="preserve">What does the Bell number B_n represent?</t>
  </si>
  <si>
    <t xml:space="preserve">How to find B_n with the help of the triangle scheme?</t>
  </si>
  <si>
    <t xml:space="preserve">What does the Stirling subset number S(n,k) represent and how to find it?</t>
  </si>
  <si>
    <t xml:space="preserve">What is the relation between B_n and S(n,k)?</t>
  </si>
  <si>
    <t xml:space="preserve">How to find the number of ways to distribute n distinct or alike objects into k distinct or alike boxes?</t>
  </si>
  <si>
    <t xml:space="preserve">How to find the number of ways to distribute n distinct or alike objects into k distinct or alike boxes if each box receives at least one object?</t>
  </si>
  <si>
    <t xml:space="preserve">How to find the number of non-negative integral solutions of the equation x_1+x_2+\cdots+x_k=n?</t>
  </si>
  <si>
    <t xml:space="preserve">Ordered and weighted solutions $\left(0&lt;x_1\le x_2\le\cdots\le x_k\right)$</t>
  </si>
  <si>
    <t xml:space="preserve">How to find the number of non-negative integral solutions of the equation x_1+2x_2+3x_3+\cdots+kx_k=n?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</si>
  <si>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</si>
  <si>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</si>
  <si>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</si>
  <si>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</si>
  <si>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</si>
  <si>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</si>
  <si>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</si>
  <si>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</si>
  <si>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</si>
  <si>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</si>
  <si>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</si>
  <si>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</si>
  <si>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Let Pm stand for mPm. Then the expression 1. P1 + 2. P2 + 3. P3 +...... + n. Pn =</t>
  </si>
  <si>
    <t xml:space="preserve">The letters of the word COCHIN are permuted and all the permutations are arranged in an alphabetical order as in an English dictionary. The </t>
  </si>
  <si>
    <t xml:space="preserve">There are two urns. Urn A has 3 distinct red balls and urn B has 9 distinct blue balls. From each urn two balls are taken out at random and </t>
  </si>
  <si>
    <t xml:space="preserve">There are 10 points in a plans, out of these 6 are collnear. If N is the number of trangles formed by joining these points, then : [AIEEE 20</t>
  </si>
  <si>
    <t xml:space="preserve">Let Tn be the number of all possible triangles formed by joining vertices of an n-sided regular polygon. If Tn+1 – Tn = 10, then the value o</t>
  </si>
  <si>
    <t xml:space="preserve">Also</t>
  </si>
  <si>
    <t xml:space="preserve">Let A and B be two sets containing four and two elements respectively. Then the number of subsets of the set A × B, each having at least thr</t>
  </si>
  <si>
    <t xml:space="preserve">The numbet of integers greater than 6000 that can be formed, using the digits 3, 5, 6, 7, 8, without repetition is : [JEE (Main) 2015]</t>
  </si>
  <si>
    <t xml:space="preserve">A man X has 7 friends, 4 of them are ladies and 3 are men. His wife Y also has 7 friends, 3 of them are ladies and 4 are men. Assume X and Y</t>
  </si>
  <si>
    <t xml:space="preserve">From 6 different novels and 3 different dictionaries, 4 novels and 1 dictionary are to be selected and arranged in a row on a shelf so that </t>
  </si>
  <si>
    <t xml:space="preserve">5 boys &amp; 3 girls are sitting in a row of 8 seats. Number of ways in which they can be seated so that not all the girls sit side by side is: </t>
  </si>
  <si>
    <t xml:space="preserve">The number of ways in which 6 men and 5 women can dine at a round table if no two women are to sit together is given by :</t>
  </si>
  <si>
    <t xml:space="preserve">The set S : = {1, 2, 3,....12} is to be partitioned into three sets A, B, C of equal size. Thus A  B  C = S, A  B = B  C = A  C = . Th</t>
  </si>
  <si>
    <t xml:space="preserve">Number of ways in which 9 different toys be distributed among 4 children belonging to different age groups in such a way that distribution a</t>
  </si>
  <si>
    <t xml:space="preserve">The number of words that can be formed by using the letters of the word ‘MATHEMATICS’ that start as well as end with T is : gksr sgS aA:</t>
  </si>
  <si>
    <t xml:space="preserve">How many nine digit numbers can be formed using the digits 2, 2, 3, 3, 5, 5, 8, 8, 8 so that the odd digits occupy even positions : i j v k;</t>
  </si>
  <si>
    <t xml:space="preserve">How many different words can be formed by jumbling the letters in the word MISSISSIPPI in which not two S are adjacent ? [AIEEE-2008] 8 (A )</t>
  </si>
  <si>
    <t xml:space="preserve">If all the words (with or without meaning) having five letters, formed using the letters of the word SMALL and arranged as in a dictionary; </t>
  </si>
  <si>
    <t xml:space="preserve">The number of seven digit integers, with sum of the digits equal to 10 and formed by using the digits 1, 2 and 3 only, is [JEE 2009, 3]</t>
  </si>
  <si>
    <t xml:space="preserve">How many words can be made with the letters of the word "GENIUS" if each word neither begins with G nor ends in S is:</t>
  </si>
  <si>
    <t xml:space="preserve">The number of positive integers not greater than 100, which are not divisible by 2, 3 or 5 is :</t>
  </si>
  <si>
    <t xml:space="preserve">The number of ways in which 8 different flowers can be strung to form a garland so that 4 particulars flowers are never separated is: 8! 4! </t>
  </si>
  <si>
    <t xml:space="preserve">The number of ways in which 6 red roses and 3 white roses (all roses different) can form a garland so that all the white roses come together</t>
  </si>
  <si>
    <t xml:space="preserve">A box contains 2 white balls, 3 black balls &amp; 4 red balls. In how many ways can three balls be drawn from the box if atleast one black ball </t>
  </si>
  <si>
    <t xml:space="preserve">Assuming the balls to be identical except for difference in colours, the number of ways in which one or more balls can be selected from 10 w</t>
  </si>
  <si>
    <t xml:space="preserve">How many divisors of 21600 are divisible by 10 but not by 15 :</t>
  </si>
  <si>
    <t xml:space="preserve">The sum of the divisors of 25 . 37 . 53 . 72 is : 6 (A ) 2 . 38 . 54 . 73 (B) 2 6 . 3 8 . 5 4 . 7 3 – 2 . 3 . 5 . 7 6 (A ) 2 . 38 . 54 . 73 </t>
  </si>
  <si>
    <t xml:space="preserve">The number of ways in which the number 27720 can be split into two factors which are co-primes is:</t>
  </si>
  <si>
    <t xml:space="preserve">The streets of a city are arranged like the lines of a chess board. There are m streets running North to South &amp; 'n' streets running East to</t>
  </si>
  <si>
    <t xml:space="preserve">A 3 digit palindrome is a 3 digit number (not starting with zero) which reads the same backwards as forwards. For example 171. The sum of al</t>
  </si>
  <si>
    <t xml:space="preserve">The sum of all the numbers which can be formed by using the digits 1, 3, 5, 7 all at a time and which have no digit repeated is : i qu j kof</t>
  </si>
  <si>
    <t xml:space="preserve">Three digit numbers in which the middle one is a perfect square are formed using the digits 1 to 9 . Their sum is :</t>
  </si>
  <si>
    <t xml:space="preserve">If chocolates of a particular brand are all identical then the number of ways in which we can choose 6 chocolates out of 8 different brands </t>
  </si>
  <si>
    <t xml:space="preserve">Number of positive integral solutions of x1 . x2 . x3 = 30 is :</t>
  </si>
  <si>
    <t xml:space="preserve">The number of ways of distributing 8 identical balls in 3 distinct boxes so that none of the boxes is empty is : gksx h: 8</t>
  </si>
  <si>
    <t xml:space="preserve">The number of points, having both co-ordinates as integers, that lie in the interior of the triangle with vertices (0, 0), (0, 41) and (41, </t>
  </si>
  <si>
    <t xml:space="preserve">Number of ways in which 3 persons throw a normal die to have a total score of 11 is :</t>
  </si>
  <si>
    <t xml:space="preserve">J-II</t>
  </si>
  <si>
    <t xml:space="preserve">How many words can be formed by using all the letters of the word 'MONDAY' if each word start with a consonant. (consonant) ls izk jEHk gksr</t>
  </si>
  <si>
    <t xml:space="preserve">In how many ways we can select a committee of 6 persons from 6 boys and 3 girls, if atleast two boys &amp; atleast two girls must be there in th</t>
  </si>
  <si>
    <t xml:space="preserve">In how many ways playing 11 can be selected from 15 players, if only 6 of these players can bowl and the playing 11 must include atleast 4 b</t>
  </si>
  <si>
    <t xml:space="preserve">In a question paper there are two parts part A and part B each consisting of 5 questions. In how many ways a student can answer 6 questions,</t>
  </si>
  <si>
    <t xml:space="preserve">How many four digit natural numbers not exceeding the number 4321 can be formed using the digits 1, 2, 3, 4, if repetition is allowed. gks l</t>
  </si>
  <si>
    <t xml:space="preserve">A committee of 6 is to be chosen from 10 persons with the condition that if a particular person 'A' is chosen, then another particular perso</t>
  </si>
  <si>
    <t xml:space="preserve">In how many ways a team of 5 can be chosen from 4 girls &amp; 7 boys, if the team has atleast 3 girls. gks A</t>
  </si>
  <si>
    <t xml:space="preserve">(a) How many five digits numbers divisible by 3 can be formed using the digits 0, 1, 2, 3, 4, 7 and 8 if each digit is to be used atmost onc</t>
  </si>
  <si>
    <t xml:space="preserve">There are 2 women participating in a chess tournament. Every participant played 2 games with the other participants. The number of games tha</t>
  </si>
  <si>
    <t xml:space="preserve">All the 7 digit numbers containing each of the digits 1, 2, 3, 4, 5, 6, 7 exactly once, and not divisible by 5 are arranged in the increasin</t>
  </si>
  <si>
    <t xml:space="preserve">An examination paper consists of 12 questions divided into parts A &amp; B. Part-A contains 7 questions &amp; PartB contains 5 questions. A candida</t>
  </si>
  <si>
    <t xml:space="preserve">In how many ways can a team of 6 horses be selected out of a stud of 16 , so that there shall always be 3 out of A B C A  B  C  , but nev</t>
  </si>
  <si>
    <t xml:space="preserve">During a draw of lottery, tickets bearing numbers 1, 2, 3,......, 40, 6 tickets are drawn out &amp; then arranged in the descending order of the</t>
  </si>
  <si>
    <t xml:space="preserve">12 persons are to be seated at a square table, three on each side. 2 persons wish to sit on the north side and two wish to sit on the east s</t>
  </si>
  <si>
    <t xml:space="preserve">(i) If 9 ! + 10 ! = 11! , find 'x'. (ii) If nP5 = 42. nP3, find 'n'. 1 1 x</t>
  </si>
  <si>
    <t xml:space="preserve">(i) If nC3 = nC5, find the value of nC2. (ii) If 2nC3 : nC3 = 11 : 1, find 'n'. (iii) If n – 1Cr : nCr : n + 1Cr = 6 : 9 : 13, find n &amp; r.</t>
  </si>
  <si>
    <t xml:space="preserve">Find exponent of 3 in 20 !</t>
  </si>
  <si>
    <t xml:space="preserve">Find number of zeros at the end of 45!.</t>
  </si>
  <si>
    <t xml:space="preserve">Find the number of words those can be formed by using all letters of the word 'DAUGHTER', if all the vowels must not be together.</t>
  </si>
  <si>
    <t xml:space="preserve">How many ways fifteen different items may be given to A, B, C such that A gets 3, B gets 5 and remaining goes to C. nsr s gks A</t>
  </si>
  <si>
    <t xml:space="preserve">A firm of Chartered Accountants in Bombay has to send 10 clerks to 5 different companies, two clerks in each. Two of the companies are in Bo</t>
  </si>
  <si>
    <t xml:space="preserve">A man has 3 friends. In how many ways he can invite one friend everyday for dinner on 6 successive nights so that no friend is invited more </t>
  </si>
  <si>
    <t xml:space="preserve">Using permutation or otherwise, prove that is an integer, where n is a positive integer.. ( n! ) n (n 2 ) ! ( n! ) n</t>
  </si>
  <si>
    <t xml:space="preserve">There are 3 cars of different make available to transport 3 girls and 5 boys on a field trip. Each car can hold up to 3 children. Find (a) t</t>
  </si>
  <si>
    <t xml:space="preserve">If all the letters of the word 'AGAIN' are arranged in all possible ways &amp; put in dictionary order, what is the 50th word. gksxk \</t>
  </si>
  <si>
    <t xml:space="preserve">There are 3 white, 4 blue and 1 red flowers. All of them are taken out one by one and arranged in a row in the order. How many different arr</t>
  </si>
  <si>
    <t xml:space="preserve">How many different permutations are possible using all the letters of the word MISSISSIPPI, if no two 's are together.</t>
  </si>
  <si>
    <t xml:space="preserve">In how many other ways can the letters of the word MULTIPLE be arranged; (i) without changing the order of the vowels (ii) keeping the posit</t>
  </si>
  <si>
    <t xml:space="preserve">How many arrangements each consisting of 2 vowels &amp; 2 consonants can be made out of the letters of the word ‘DEVASTATION’?</t>
  </si>
  <si>
    <t xml:space="preserve">(a) Find the number of words each consisting of 3 consonants &amp; 3 vowels that can be formed from the letters of the word “Circumference”. In </t>
  </si>
  <si>
    <t xml:space="preserve">Find the number of ways in which the letters of the word 'KUTKUT' can be arranged so that no two alike letters are together.</t>
  </si>
  <si>
    <t xml:space="preserve">Find ways of selection of atleast one vowel and one consonant from the word TRIPLE.</t>
  </si>
  <si>
    <t xml:space="preserve">In how many ways four men and three women may sit around a round table if all the women are together.</t>
  </si>
  <si>
    <t xml:space="preserve">Find number of divisior of 1980. How many of them are multiple of 11.</t>
  </si>
  <si>
    <t xml:space="preserve">(a) How many divisors are there of the number x = 21600. Find also the sum of these divisors. (b) In how many ways the number 7056 can be re</t>
  </si>
  <si>
    <t xml:space="preserve">The number of ways in which the number 94864 can be resolved as a product of two factors is____.</t>
  </si>
  <si>
    <t xml:space="preserve">Determine the number of paths from the origin to the point (9, 9) in the cartesian plane which never pass through (5, 5) in paths consisting</t>
  </si>
  <si>
    <t xml:space="preserve">Find number of negative integral solution of equation x + y + z = – 12.</t>
  </si>
  <si>
    <t xml:space="preserve">Find number of natural solution of xyz = 30.</t>
  </si>
  <si>
    <t xml:space="preserve">A person writes letters to five friends and addresses the corresponding envelops. In how many ways can the letters be placed in the envelops</t>
  </si>
  <si>
    <t xml:space="preserve">In how many ways it is possible to divide six identical green, six identical blue and six identical red among two persons such that each get</t>
  </si>
  <si>
    <t xml:space="preserve">Number of committees consisting of 3 official and 2 non-official members, are :</t>
  </si>
  <si>
    <t xml:space="preserve">Number of committees consisting of at least two non-official members, are :</t>
  </si>
  <si>
    <t xml:space="preserve">Number of committees in which a particular official member is never included, are :</t>
  </si>
  <si>
    <t xml:space="preserve">If N denotes the number of different selections of 5 letters from the word W = MISSISSIPPI then N belongs to the set :</t>
  </si>
  <si>
    <t xml:space="preserve">Number of ways in which the letters of the word W can be arranged if atleast one vowel is separated from rest of the vowels : 8!·161 8!·161 </t>
  </si>
  <si>
    <t xml:space="preserve">If the number of arrangements of the letters of the word W if all the S's and P's are separated is (K)  4!·4!  then   K equals :  10!</t>
  </si>
  <si>
    <t xml:space="preserve">A student has to answer 10 out of 13 questions in an examination. The number of ways in which he can answer if he must answer atleast 3 of t</t>
  </si>
  <si>
    <t xml:space="preserve">The number of ways in which 10 students can be divided into three teams, one containing 4 and others 3 each, is : esa3 fo|kFkhZ gks : 10 ! 1</t>
  </si>
  <si>
    <t xml:space="preserve">The continued product, 2 . 6 . 10 . 14 ...... to n factors is equal to : ( A ) 2nCn (B) 2nPn</t>
  </si>
  <si>
    <t xml:space="preserve">The Number of ways in which five different books to be distributed among 3 persons so that each person gets at least one book, is equal to t</t>
  </si>
  <si>
    <t xml:space="preserve">The maximum number of permutations of 2n letters in which there are only a's &amp; b's, taken all at a time is given by: 2 6 10 4n  6 4n  2 ( </t>
  </si>
  <si>
    <t xml:space="preserve">The combinatorial coefficient n – 1Cp denotes : always excluded. each box can hold any number of balls. separated, balls are all alike excep</t>
  </si>
  <si>
    <t xml:space="preserve">Which of the following statements are correct? must contain all the vowels is 3 · 7! arranged in a row, is maximum then the number of white </t>
  </si>
  <si>
    <t xml:space="preserve">Consider all possible permutations of the letters of the word ENDEANOEL [JEE 2008, 6] Match the statements / Expression in Column-I with the</t>
  </si>
  <si>
    <t xml:space="preserve">Column – I Column – II from, 3 alike bananas, 4 alike apples and 2 alike oranges is the number of triangles formed is number of red, black, </t>
  </si>
  <si>
    <t xml:space="preserve">Match the following column : Column-I Column-II numbers {a1, a2, , an} where the order among the numbers is given by a1 &lt; a2 &lt; a3 &lt;  an–1 </t>
  </si>
  <si>
    <t xml:space="preserve">J-A</t>
  </si>
  <si>
    <t xml:space="preserve">Y</t>
  </si>
  <si>
    <t xml:space="preserve">The total number of ways in which 5 balls of different colours can be distributed among 3 persons so that each person gets at least one ball</t>
  </si>
  <si>
    <t xml:space="preserve">The value of b6 is :</t>
  </si>
  <si>
    <t xml:space="preserve">Which of the following is correct ? [JEE 2012]</t>
  </si>
  <si>
    <t xml:space="preserve">Six cards and six envelops are numbered 1, 2, 3, 4, 5, 6 and cards are to be placed in envelopes so that each envelope contains exactly one </t>
  </si>
  <si>
    <t xml:space="preserve">Let n1 &lt; n2 &lt; n3 &lt; n4 &lt; n5 be positive integers such that n1 + n2 + n3 + n4 + n5 = 20. Then the number of such distinct arrangement (n1, n2,</t>
  </si>
  <si>
    <t xml:space="preserve">Let n  2 be an integer. Take n distinct points on a circle and join each pair of points by a line segment. Colour the line segment joining </t>
  </si>
  <si>
    <t xml:space="preserve">Let n be the number of ways in which 5 boys and 5 girls can stand in a queue in such a way that all the girls stand consecutively in the que</t>
  </si>
  <si>
    <t xml:space="preserve">A debate club consists of 6 girls and 4 boys. A team of 4 members is to be selected from this club including the selection of a captain (fro</t>
  </si>
  <si>
    <t xml:space="preserve">Let S = {1, 2, 3,....9}. For k = 1, 2,....5, let Nk be the number of subsets of S each containing five elements out of which exactly k are o</t>
  </si>
  <si>
    <t xml:space="preserve">Words of length 10 are formed using the letters A, B, C, D, E, F, G, H, I, J. Let x be the nubmer of such words where no letter is repeated;</t>
  </si>
  <si>
    <t xml:space="preserve">The number of 5 digit numbers which are divisible by 4, with digits from the set {1,2,3,4,5} and the repetition of digits is allowed, is ___</t>
  </si>
  <si>
    <t xml:space="preserve">In a high school, a committee has to be formed from a group of 6 boys M1, M2, M3, M4, M5, M6 and 5 girls G1, G2, G3, G4, G5. (i) Let 1 be t</t>
  </si>
  <si>
    <t xml:space="preserve">Five persons A,B,C,D and E are seated in a circular arrangment.If each of them is given a hat of one of the three colours red, blue and gree</t>
  </si>
  <si>
    <t xml:space="preserve">An engineer is required to visit a factory for exactly four days during the first 15 days of every month and it is mandatory that no two vis</t>
  </si>
  <si>
    <t xml:space="preserve">In a hotel, four rooms are available. Six persons are to be accommodated in these four rooms in such a way that each of these rooms contains</t>
  </si>
  <si>
    <t xml:space="preserve">Let S1  {(i, j, k) : i, j, k {1, 2,....10}} , S2  {(i, j) :1  i  j  2  10, i, j  {1, 2,......,10}} S3 = {(i, j, k,  )} : 1  i &lt; j </t>
  </si>
  <si>
    <t xml:space="preserve">The number of 4-digit integers in the closed interval [2022, 4482] formed by using the digits 0, 2, 3, 4, 6, 7 is ____________. [JEE (Adv) 2</t>
  </si>
  <si>
    <t xml:space="preserve">Consider 4 boxes, where each box contains 3 red balls and 2 blue balls. Assume that all 20 balls are distinct. In how many different ways ca</t>
  </si>
  <si>
    <t xml:space="preserve">A group of 9 students, s1, s2, ....., s9, is divided to form three teams X, Y, and Z of sizes 2,3, and 4, respectively. Suppose that s1 cann</t>
  </si>
  <si>
    <t xml:space="preserve">C-I</t>
  </si>
  <si>
    <t xml:space="preserve">Seven different coins are to be divided amongst three persons. If no two of the persons receive the same number of coins but each receives a</t>
  </si>
  <si>
    <t xml:space="preserve">The number of ways in which a mixed double tennis game can be arranged from amongst 9 married couple if no husband &amp; wife plays in the same </t>
  </si>
  <si>
    <t xml:space="preserve">The number of ways in which 5 X's can be placed in the squares of the figure so that no row remains empty is:</t>
  </si>
  <si>
    <t xml:space="preserve">If all the letters of the word "QUEUE" are arranged in all possible manner as they are in a dictionary, then the rank of the word QUEUE is :</t>
  </si>
  <si>
    <t xml:space="preserve">The number of integers which lie between 1 and 106 and which have the sum of the digits equal to 12 is:</t>
  </si>
  <si>
    <t xml:space="preserve">Number of ways in which a pack of 52 playing cards be distributed equally among four players so that each may have the Ace, King, Queen and </t>
  </si>
  <si>
    <t xml:space="preserve">Number of divisors of the form 4n + 2 (n &gt; 0) of the integer 240 is :</t>
  </si>
  <si>
    <t xml:space="preserve">A rectangle with sides 2m – 1 and 2n – 1 is divided into squares of unit length by drawing parallel lines as shown in the diagram, then the </t>
  </si>
  <si>
    <t xml:space="preserve">If r, s, t are prime numbers and p, q are the positive integers such that their LCM of p, q is is r2t4s2, then the numbers of ordered pair o</t>
  </si>
  <si>
    <t xml:space="preserve">There are n identical red balls &amp; m identical green balls . The number of different linear arrangements consisting of "n red balls but not n</t>
  </si>
  <si>
    <t xml:space="preserve">Let there be 9 fixed points on the circumference of a circle. Each of these points is joined to every one of the remaining 8 points by a str</t>
  </si>
  <si>
    <t xml:space="preserve">All the five digits number in which each successive digit exceeds its predecessor are arranged in the increasing order of their magnitude. T</t>
  </si>
  <si>
    <t xml:space="preserve">A four digit number is called a doublet if any of its digit is the same as only one neighbour. For example, 1221 is a doublet but 1222 is no</t>
  </si>
  <si>
    <t xml:space="preserve">Distinct 3 digit numbers are formed using only the digits 1, 2, 3 and 4 with each digit used at most once in each number thus formed. The su</t>
  </si>
  <si>
    <t xml:space="preserve">Let S = {1, 2, 3, 4}. The total number of unordered pairs of disjoint subsets of S is equal to :</t>
  </si>
  <si>
    <t xml:space="preserve">Pn is equal to : 2n</t>
  </si>
  <si>
    <t xml:space="preserve">In an examination, a candidate is required to pass in all the four subjects he is studying. The number of ways in which he can fail is : l d</t>
  </si>
  <si>
    <t xml:space="preserve">There are 12 points in a plane of which 5 are collinear. The number of distinct quadrilaterals which can be formed with vertices at these po</t>
  </si>
  <si>
    <t xml:space="preserve">The number of ways in which 200 different things can be divided into groups of 100 pairs is: 200 !  101  102   103  200       </t>
  </si>
  <si>
    <t xml:space="preserve">Number of ways in which 3 numbers in A.P. can be selected from 1, 2, 3, ...... n is : n 1  2 n  n  2  2  4  n 12 if n is odd (D) n</t>
  </si>
  <si>
    <t xml:space="preserve">C-II</t>
  </si>
  <si>
    <t xml:space="preserve">How many five digits numbers divisible by 3 can be formed using the digits 0, 1, 2, 3, 4, 7 and 8 if, each digit is to be used atmost one.</t>
  </si>
  <si>
    <t xml:space="preserve">How many positive integers of n digits exist such that each digit is 1, 2, or 3? How many of these contain all three of the digits 1, 2 and </t>
  </si>
  <si>
    <t xml:space="preserve">Find the number of three elements sets of positive integers {a, b, c} such that a × b × c = 2310.</t>
  </si>
  <si>
    <t xml:space="preserve">Find the largest integer ' n ' for which 35 ! is divisible by 3n. egÙke iw.kk±d ' n ' Kkr dhft, ftlds fy, 35 ! ] 3n ls foHkkT; gSaA</t>
  </si>
  <si>
    <t xml:space="preserve">Find the number of positive integral solutions of, (i) x2  y2 = 352706 (ii) xyz = 21600.</t>
  </si>
  <si>
    <t xml:space="preserve">Find the total number of ways of selecting five letters from the letters of the word INDEPENDENT.</t>
  </si>
  <si>
    <t xml:space="preserve">A committee of 12 is to be formed from 9 women and 8 men. In how many ways this can be done if at least five women have to be included in a </t>
  </si>
  <si>
    <t xml:space="preserve">Find the number of five digit numbers that can be formed using the digits 1, 2, 3, 4, 5, 6, 7, 8, 9 in which one digit appears once and two </t>
  </si>
  <si>
    <t xml:space="preserve">Find t he number of ways in which 3 distinct numbers can be selected from t he set {31, 32, 33, ....... 3100, 3101} so that they form a G.P.</t>
  </si>
  <si>
    <t xml:space="preserve">For each positive integer k, let Sk denote the increasing arithmetic sequence of integers whose first term is 1 and whose common difference </t>
  </si>
  <si>
    <t xml:space="preserve">A shop sells 6 different flavours of ice-cream. In how many ways can a customer choose 4 ice-cream cones if (i) they are all of different fl</t>
  </si>
  <si>
    <t xml:space="preserve">The number of three digit numbers of the form xyz such that x &lt; y and z  y is____.</t>
  </si>
  <si>
    <t xml:space="preserve">A telegraph has x arms &amp; each arm is capable of (x - 1) distinct positions, including the position of rest. The total number of signals that</t>
  </si>
  <si>
    <t xml:space="preserve">Find the number of ways in which two squares can be selected from an 8 by 8 chess board of size 1 × 1 so that they are not in the same row a</t>
  </si>
  <si>
    <t xml:space="preserve">A forecast is to be made of the results of five cricket matches, each of which can be win, a draw or a loss for Indian team. Find (i) the nu</t>
  </si>
  <si>
    <t xml:space="preserve">In a certain college at the B.Sc. examination, 3 candidates obtained first class honours in each of the following subjects: Physics, Chemist</t>
  </si>
  <si>
    <t xml:space="preserve">Number of ways in which n distinct objects can be kept into two identical boxes so that no box remains empty, is</t>
  </si>
  <si>
    <t xml:space="preserve">Number of ways in which 16 players can be divided into four equal groups, is : 35 8 35 8 35 8 35 8 27 r 1 24 r 1 52 r 1 6 r 1</t>
  </si>
  <si>
    <t xml:space="preserve">Number of ways in which they can be divided into 4 equal groups if the players P1, P2, P3 and P4 are in different groups, is : (11)! (11)! (</t>
  </si>
  <si>
    <t xml:space="preserve">Number of ways in which these 16 players can be divided into four equal groups, such that when the best player is 12! selected from each gro</t>
  </si>
  <si>
    <t xml:space="preserve">If m &lt; n the dimension of a largest possible square must be :</t>
  </si>
  <si>
    <t xml:space="preserve">The number of squares on a 8 × 8 chess board must be :</t>
  </si>
  <si>
    <t xml:space="preserve">Total number of squares, when m such lines (as described in the above passage) are intersected by n such lines must be (m &lt; n) : l a[ ; kgks</t>
  </si>
  <si>
    <t xml:space="preserve">Exactly 4 integers are in natural positions that is exactly 6 of the integers are deranged :</t>
  </si>
  <si>
    <t xml:space="preserve">1, 2, 3, 4, 5 are in some order in first 5 places that they should not take its original positions : 2 2</t>
  </si>
  <si>
    <t xml:space="preserve">6, 7, 8, 9, 10 are in some order in first '5' places :</t>
  </si>
  <si>
    <t xml:space="preserve">Column-I Column-II these four movies. The number of ways in which every movie is watched by atleast one student, is (Assume each way differs</t>
  </si>
  <si>
    <t xml:space="preserve">J-M(XII)</t>
  </si>
  <si>
    <t xml:space="preserve">If nPr = nPr+1 and nCr = nCr–1, then the value of r is equal to : [JEE(Main)July2021]</t>
  </si>
  <si>
    <t xml:space="preserve">There are 15 players in a cricket team, out of which 6 are bowlers, 7 are bstsmen and 2 are wicketkeepers. The number of ways, a team of 11 </t>
  </si>
  <si>
    <t xml:space="preserve">The sum of all the elements in the set {n{1,2........, 100}| H.C.F. of n and 2040 is 1} is equal to ______. [JEE(Main)July2021]</t>
  </si>
  <si>
    <t xml:space="preserve">If the digits are not allowed to repeat in any number formed by using the digits 0, 2, 4, 6, 8, then the number of all numbers greater than </t>
  </si>
  <si>
    <t xml:space="preserve">There are 5 students in class 10, 6 students in class 11 and 8 students in class 12. If the number of ways, in which 10 students can be sele</t>
  </si>
  <si>
    <t xml:space="preserve">L e t n b e a n o n - n e g a t i v e in t e g e r . T h e n t h e n u m b e r o f d i v i s o r s o f t h e f o r m " 4 n + 1 " o f t h e n</t>
  </si>
  <si>
    <t xml:space="preserve">Let P1, P2 ....., P15 be 15 points on a circle. The number of distinct triangles formed by points Pi, Pj, Pk such that i + j + k  15, is : </t>
  </si>
  <si>
    <t xml:space="preserve">The number of three – digit even numbers, formed by the digits 0, 1, 3, 4, 6, 7 if the repetition of digits is not allowed, is ________. [JE</t>
  </si>
  <si>
    <t xml:space="preserve">If 1 P1  2.2 P2  3.3 P3  ......  15.15 P15  q p r  s, 0  s  1 , then q s C r s is equal to __________. [JEE(Main)Aug.2021]</t>
  </si>
  <si>
    <t xml:space="preserve">The sum of all 3-digit numbers less than or equal to 500, that are formed without using the digit "1" and they all are multiple of 11, is __</t>
  </si>
  <si>
    <t xml:space="preserve">A number is called a palindrome if it reads the same backward as well as forward. For example 285582 is a six digit palindrome. The number o</t>
  </si>
  <si>
    <t xml:space="preserve">Let S ={1, 2, 3, 4, 5, 6, 9}. Then the number ofelements inthe set T  {A  S : A   and sumofallthe elements ofAis is not a multiple of 3 </t>
  </si>
  <si>
    <t xml:space="preserve">The number of six letter words (with or without meaning), formed using all the letters of the word 'VOWELS' , so that all the consonants nev</t>
  </si>
  <si>
    <t xml:space="preserve">All the arrangements, with or without meaning, of the word FARMER are written excluding any word that has two R appearing together. The arra</t>
  </si>
  <si>
    <t xml:space="preserve">The total number of 5-digit numbers, formed by using the digits 1, 2, 3, 5, 6, 7 without repetition, which are multiple of 6, is : [JEE(Main</t>
  </si>
  <si>
    <t xml:space="preserve">The number of ways to distribute 30 identical candies among four children C1, C2, C3 and C4 so that C2 receives atleast 4 and atmost 7 candi</t>
  </si>
  <si>
    <t xml:space="preserve">In an examination, there are 5 multiple choice questions with 3 choices, out of which exactly one is correct. There are 3 marks for each cor</t>
  </si>
  <si>
    <t xml:space="preserve">The number of 3-digit odd numbers, whose sum of digits is a mutliple of 7, is _______. [JEE(Main)June2022] [JEE(Main)June2022]</t>
  </si>
  <si>
    <t xml:space="preserve">The total number of three-digit numbers, with one digit repeated two times, is __________. [JEE(Main)June2022] [JEE(Main)June2022]</t>
  </si>
  <si>
    <t xml:space="preserve">There are ten boys B1,B2,......,B10 and five girls G1, G2,....,G5 in a class. Then the number of ways of forming a group consisting of three</t>
  </si>
  <si>
    <t xml:space="preserve">The total number of 3-digit numbers, whose greatest common divisor with 36 is 2, is ________. [JEE(Main)June2022] [JEE(Main)June2022]</t>
  </si>
  <si>
    <t xml:space="preserve">The number of ways, 16 identical cubes, of which 11 are blue and rest are red, can be placed in a row so that between any two red cubes ther</t>
  </si>
  <si>
    <t xml:space="preserve">Let b1b2b3b4 be a 4-element permutation with bi  {1, 2, 3, ........, 100} for 1  i  4 and bi  bj for i  j, such that either b1, b2, b3 </t>
  </si>
  <si>
    <t xml:space="preserve">The total number of four digit numbers such that of first three digits is divisible by the last digit, is equal to ____________. [JEE(Main)J</t>
  </si>
  <si>
    <t xml:space="preserve">  r  1  r! is equal to : r 1 2 [JEE(Main)July2022] 20 r 1 2 [JEE(Main)July2022] (1) 22! – 21! (2) 22! – 2(21!) (3) 21! – 2(20!) (4) </t>
  </si>
  <si>
    <t xml:space="preserve">The letters of the word ‘MANKIND’ are written in all possible orders and arranged in serial order as in an English dictionary. Then the seri</t>
  </si>
  <si>
    <t xml:space="preserve">The number of 5-digit natural numbers, such that the product of their digits is 36, is ___________ [JEE(Main)July2022] ________ [JEE(Main)Ju</t>
  </si>
  <si>
    <t xml:space="preserve">Number are to be formed between 1000 and 3000, which are divisible by 4, using the digits 1, 2, 3, 4, 5 and 6 without repetition of digits. </t>
  </si>
  <si>
    <t xml:space="preserve">Let S be the set of all passwords which are six to eight characters long, where each character is either an alphabet from {A, B, C, D, E} or</t>
  </si>
  <si>
    <t xml:space="preserve">A class contains b boys and g girls. If the number of ways of selecting 3 boys and 2 girls from the class is 168, then b + 3 g is equal to _</t>
  </si>
  <si>
    <t xml:space="preserve">The number of natural numbers lying between 1012 and 23421 that can be formed using the digits 2, 3, 4, 5, 6 (repetition of digits is not al</t>
  </si>
  <si>
    <t xml:space="preserve">J-M(XIII)</t>
  </si>
  <si>
    <t xml:space="preserve">The number of integers, greater than 7000 that can be formed, using the digits 3, 5, 6, 7, 8 without repetition, is : [JEE(Main)Jan.2023] [J</t>
  </si>
  <si>
    <t xml:space="preserve">The number of numbers, strictly between 5000 and 10000 can be formed using the digits 1,3,5,7,9 without repetition, is : [JEE(Main)Jan.2023]</t>
  </si>
  <si>
    <t xml:space="preserve">The letters of the word OUGHT are written in all possible ways and these words are arranged in a dictionary, in a series. Then the serial nu</t>
  </si>
  <si>
    <t xml:space="preserve">If 2n 1 Pn 1 : 2n 1Pn  11: 21 , then n2 + n + 15 is equal to : [JEE(Main)Jan.2023]</t>
  </si>
  <si>
    <t xml:space="preserve">The number of 9 digit numbers, that can be formed using all the digits of the number 123412341 so that the even digits occupy only even plac</t>
  </si>
  <si>
    <t xml:space="preserve">A boy needs to select five courses from 12 available course, out of which 5 courses are language courses. If he can choose at most two langu</t>
  </si>
  <si>
    <t xml:space="preserve">Let x and y be distinct integers where 1  x  25 and 1  y  25. Then, the number of ways of choosing x and y, such that x + y is divisible</t>
  </si>
  <si>
    <t xml:space="preserve">Suppose Anil’s mother wants to give 5 whole fruits to Anil from a basket of 7 red apples, 5 white apples snf 8 oranges. If in the selected 5</t>
  </si>
  <si>
    <t xml:space="preserve">Five digit numbers are formed using the digits 1,2,3,5,7 with repetitions and are written in descending order with serial numbers. For examp</t>
  </si>
  <si>
    <t xml:space="preserve">If all the six digit numbers x1 x2 x3 x4 x5 x6 with 0 &lt; x1 &lt; x2 &lt; x3 &lt; x4 &lt; x5 &lt; x6 are arranged in the increasing order, then the sum of th</t>
  </si>
  <si>
    <t xml:space="preserve">Number of 4-digit numbers (the repetition of digits is allowed) which are made using the digits 1,2,3 and 5, and are divisible by 15, is equ</t>
  </si>
  <si>
    <t xml:space="preserve">The number of seven digits odd numbers, that can be formed using all the seven digits 1, 2, 2, 2, 3, 3, 5 is ___________ . [JEE(Main)Jan.202</t>
  </si>
  <si>
    <t xml:space="preserve">Let 5 digit numbers be constructed using the digits 0,2,3,4,7,9 with repetition allowed, and are arranged in ascending ordere with serial nu</t>
  </si>
  <si>
    <t xml:space="preserve">The number of words, with or without meaning, that can be formed using all the letters of the word ASSASSINATION so that the vowels occur to</t>
  </si>
  <si>
    <t xml:space="preserve">Number of integral solutions to the equation x + y + z = 21, where x  1, y  3, z  4 is equal to _________. [JEE(Main)Jan.2023]</t>
  </si>
  <si>
    <t xml:space="preserve">The total number of six digit numbers, formed using the digits 4, 5, 9 only and divisible by 6, is ________. [JEE(Main)Jan.2023] [JEE(Main)J</t>
  </si>
  <si>
    <t xml:space="preserve">If 2n C3 :n C3  10 :1 , then the ratio  n 2  3n  :  n 2  3n  4  is : [JEE(Main)April,2023]</t>
  </si>
  <si>
    <t xml:space="preserve">All the letters of the word PUBLIC are written in all possible orders and these words are written as in a dictionary with serial numbers. Th</t>
  </si>
  <si>
    <t xml:space="preserve">The number of ways, in which 5 girls and 7 boys can be seated at a round table so that no two girls sit together, is: [JEE(Main)April,2023] </t>
  </si>
  <si>
    <t xml:space="preserve">The number of arrangements of the letters of the word "INDEPENDENCE" in which all the vowels always occur together is : [JEE(Main)April,2023</t>
  </si>
  <si>
    <t xml:space="preserve">If the number of words, with or without meaning, which can be made using all the letters of the word MATHEMATICS in which C and S do not com</t>
  </si>
  <si>
    <t xml:space="preserve">Eight persons are to be transported from city A to city B in three cars of different makes. If each car can accommodate at most three person</t>
  </si>
  <si>
    <t xml:space="preserve">The number of triplets (x, y, z) where, x, y, z are distinct non negative integers satisfying x + y + z = 15, is : [JEE(Main)April,2023] [JE</t>
  </si>
  <si>
    <t xml:space="preserve">If the letters of the word MATHS are permuted and all possible words so formed are arranged as in a dictionary with serial numbers, then the</t>
  </si>
  <si>
    <t xml:space="preserve">The number of five digit numbers, greater than 40000 and divisible by 5, which can be formed using the digits 0, 1, 3, 5, 7 and 9 without re</t>
  </si>
  <si>
    <t xml:space="preserve">All words, with or without meaning, are made using all the letters of the word MONDAY. These words are written as in a dictionary with seria</t>
  </si>
  <si>
    <t xml:space="preserve">The total number of three-digit numbers, divisible by 3, which can be formed using the digits 1, 3, 5, 8, if repetition of digits is allowed</t>
  </si>
  <si>
    <t xml:space="preserve">The number of ways of giving 20 alike oranges to 3 children such that each child gets at least one orange is _________. [JEE(Main)April,2023</t>
  </si>
  <si>
    <t xml:space="preserve">The number of 4-letter words, with or without meaning, each consisting of 2 vowels and 2 consonants, which can be formed from the letters of</t>
  </si>
  <si>
    <t xml:space="preserve">The largest natural number n such that 3n divides 66! is _________. [JEE(Main)April,2023]</t>
  </si>
  <si>
    <t xml:space="preserve">Some couples participated in a mixed doubles badminton tournament. If the number of matches played, so that no couple played in a match, is </t>
  </si>
  <si>
    <t xml:space="preserve">The number of permutations, of the digits 1, 2, 3, ...... 7 without repetition, which neither contain the string 153 nor the string 2467, is</t>
  </si>
  <si>
    <t xml:space="preserve">The sum of all the four-digit numbers that can be formed using all the digits 2, 1, 2, 3 is equal to _________. [JEE(Main)April,2023] [JEE(M</t>
  </si>
  <si>
    <t xml:space="preserve">In an examination, 5 students have been allotted their seats as per their roll numbers. The number of ways, in which none of the students si</t>
  </si>
  <si>
    <t xml:space="preserve">Let the digits a, b, c be in A. P. Nine-digit numbers are to be formed using each of these three digits thrice such that three consecutive d</t>
  </si>
  <si>
    <t xml:space="preserve">The number of seven digit positive integers formed using the digits 1, 2, 3 and 4 only and sum of the digits equal to 12 is _________. [JEE(</t>
  </si>
  <si>
    <t xml:space="preserve">Total numbers of 3-digit numbers that are divisible by 6 and can be formed by using the digits 1, 2, 3 4, 5 with repetition, is _________. [</t>
  </si>
  <si>
    <t xml:space="preserve">A person forgets his 4-digit ATM pin code. But he remembers that in the code all the digits are different, the greatest digit is 7 and the s</t>
  </si>
  <si>
    <t xml:space="preserve">Let   3! and   . Then : [JEE(Main)Jan.2024] (4!) (5!)4! (4!)! (5!)! (4!) (5!)4!</t>
  </si>
  <si>
    <t xml:space="preserve">Number of ways of arranging 8 identical books into 4 identical shelves where any number of shelves may remain empty is equal to : [JEE(Main)</t>
  </si>
  <si>
    <t xml:space="preserve">The number of ways in which 21 identical apples can be distributed among three children such that each child gets at least 2 apples is : [JE</t>
  </si>
  <si>
    <t xml:space="preserve">If for some m, n; 6 Cm  2  6 Cm 1   6 Cm  2  8C3 and n 1 P3 : n P4  1: 8 , then n Pm 1  n 1 C m is equal to : [JEE(Main)Jan.2024</t>
  </si>
  <si>
    <t xml:space="preserve">If n is the number of ways five different employees can sit into four indistinguishable offices where any office may have any number of pers</t>
  </si>
  <si>
    <t xml:space="preserve">All the letters of the word "GTWENTY" are written in all possible ways with or without meaning and these words are written as in a dictionar</t>
  </si>
  <si>
    <t xml:space="preserve">In an examination of Mathematics paper, there are 20 questions of equal marks and the question paper is divided into three sections : A, B a</t>
  </si>
  <si>
    <t xml:space="preserve">The total number of words (with or without meaning) that can be formed out of the letters of the word 'DISTRIBUTION' taken four at a time, i</t>
  </si>
  <si>
    <t xml:space="preserve">The number of elements in the set S = {(x,y,z) : x,y,z  Z, x + 2y + 3z = 42, x, y, z  0} equals __________. [JEE(Main)Jan.2024] [JEE(Main)</t>
  </si>
  <si>
    <t xml:space="preserve">The lines L1, L2, .......L20 are distinct. For n = 1, 2, 3, ......., 10 all the lines L2n – 1 are parallel to each other and all the lines L</t>
  </si>
  <si>
    <t xml:space="preserve">There are 5 points P1, P2, P3, P4, P5 on the side AB, excluding A and B, of a triangle ABC. Similarly, there are 6 points P6, P7, ......, P1</t>
  </si>
  <si>
    <t xml:space="preserve">60 words can be made using all the letters of the word BHBJO, with or without meaning. If these words are written as in a dictionary, then t</t>
  </si>
  <si>
    <t xml:space="preserve">Let the set S = {2, 4, 8, 16,.....512} be partitioned into 3 sets A,B,C with equal number of elements such that A  B  C  S and A  B  B </t>
  </si>
  <si>
    <t xml:space="preserve">The number of triangles whose vertices are at the vertices of a regular octagon but none of whose sides is a side of the octagon is : [JEE(M</t>
  </si>
  <si>
    <t xml:space="preserve">If all the words with or without meaning made using all the letters of the word "NAGPUR" are arranged as in a dictionary, then the word at 3</t>
  </si>
  <si>
    <t xml:space="preserve">The number of ways five alphabets can be chosen from the alphabets of the word MATHEMATICS, where the chosen alphabets are not necessarily d</t>
  </si>
  <si>
    <t xml:space="preserve">There are 4 men and 5 women in Group A, and 5 men and 4 women in Group B. If 4 persons are selected from each group, then the number of ways</t>
  </si>
  <si>
    <t xml:space="preserve">The number of ways of getting a sum 16 on throwing a dice four times is___________. [JEE(Main)April,2024]</t>
  </si>
  <si>
    <t xml:space="preserve">The number of 3-digit numbers, formed using the digirts 2,3,4,5 and 7, when the repetition of digits is not allowed, and which are not divis</t>
  </si>
  <si>
    <t xml:space="preserve">The number of integers between 100 and 1000 having the sum of their digits equals to 14, is ___________. [JEE(Main)April,2024]</t>
  </si>
  <si>
    <t xml:space="preserve">QB</t>
  </si>
  <si>
    <t xml:space="preserve">Question Bank</t>
  </si>
  <si>
    <t xml:space="preserve">The number of ways, in which the letters A, B, C, D, E can be placed in the 8 boxes of the figure below so that no row remains empty and at </t>
  </si>
  <si>
    <t xml:space="preserve">Line L1 of slope 2 and line L2 of slope intersect at the origin O. In the first quadrant, P1, P2, ....., P12 are 12 2 points on line L1 and </t>
  </si>
  <si>
    <t xml:space="preserve">From a group of 7 batsmen and 6 bowlers, 10 players are to be chosen for a team, which should include atleast 4 batsmen and atleast 4 bowler</t>
  </si>
  <si>
    <t xml:space="preserve">From all the English alphabets, five letters are chosen and are arranged in alphabetical order. The total number of ways, in which the middl</t>
  </si>
  <si>
    <t xml:space="preserve">In a group of 3 girls and 4 boys, there are two boys B1 and B2. The number of ways, in which these girls and boys can stand in a queue such </t>
  </si>
  <si>
    <t xml:space="preserve">Group A consists of 7 boys and 3 girls, while group B consists of 6 boys and 5 girls. The number of ways, 4 boys and 4 girls can be invited </t>
  </si>
  <si>
    <t xml:space="preserve">The number of different 5 digit numbers greater than 50000 that can be formed using the digits 0, 1, 2, 3, 4, 5, 6, 7, such that the sum of </t>
  </si>
  <si>
    <t xml:space="preserve">Let P be the set of seven digit numbers with sum of their digits to 11. If the numbers in P are formed by using the digits 1, 2 and 3 only, </t>
  </si>
  <si>
    <t xml:space="preserve">The value of n   k1 lim  is :   k  3!   n k 3  6k 2  11k  5  n  k 1   k  3! </t>
  </si>
  <si>
    <t xml:space="preserve">If the number of seven-digit numbers, such that the sum of their digits is even, is m·n·10 n; m, n  {1, 2, 3, ...., 9}, then m + n is equal</t>
  </si>
  <si>
    <t xml:space="preserve">Let m and n, (m &lt; n), be two 2-digit numbers. Then the total numbers of pairs (m, n), such that gcd(m,n) = 6, is ___________. ___________.</t>
  </si>
  <si>
    <t xml:space="preserve">The number of ways, 5 boys and 4 girls can sit in a row so that either all the boys sit together or no two boys sit together, is ___________</t>
  </si>
  <si>
    <t xml:space="preserve">Let S = {p1, p2 ......., p10} be the set of first ten prime numbers. Let A = S  P, where P is the set of all possible products of distinct </t>
  </si>
  <si>
    <t xml:space="preserve">The number of natural numbers, between 212 and 999 , such that the sum of their digits is 15, is ___________.</t>
  </si>
  <si>
    <t xml:space="preserve">The number of 6-letter words, with or without meaning, that can be formed using the letters of the word MATHS such that any letter that appe</t>
  </si>
  <si>
    <t xml:space="preserve">Let   3! and   . Then : (4!) (5!)4! (4!)! (5!)! (4!) (5!)4!</t>
  </si>
  <si>
    <t xml:space="preserve">Number of ways of arranging 8 identical books into 4 identical shelves where any number of shelves may remain empty is equal to :</t>
  </si>
  <si>
    <t xml:space="preserve">If for some m, n; 6 Cm  2  6 Cm 1   6 Cm  2  8C3 and n 1 P3 : n P4  1: 8 , then n Pm 1  n 1 C m is equal to :</t>
  </si>
  <si>
    <t xml:space="preserve">The number of triplets (x, y, z) where, x, y, z are distinct non negative integers satisfying x + y + z = 15, is:</t>
  </si>
  <si>
    <t xml:space="preserve">The number of ways of getting a sum 16 on throwing a dice four times is___________.</t>
  </si>
  <si>
    <t xml:space="preserve">The number of elements in the set S = {(x,y,z) : x,y,z  Z, x + 2y + 3z = 42, x, y, z  0} equals __________.</t>
  </si>
  <si>
    <t xml:space="preserve">DPP-1</t>
  </si>
  <si>
    <t xml:space="preserve">DPP</t>
  </si>
  <si>
    <t xml:space="preserve">In how many ways can clean &amp; clouded (overcast) days occur in a week assuming that an entire day is either clean or clouded. cknyksa okykA</t>
  </si>
  <si>
    <t xml:space="preserve">Four visitors A, B, C &amp; D arrive at a town which has 5 hotels. In how many ways can they disperse themselves among 5 hotels, if 4 hotels are</t>
  </si>
  <si>
    <t xml:space="preserve">How many natural numbers are their from 1 to 1000 which have none of their digits repeated.</t>
  </si>
  <si>
    <t xml:space="preserve">There are 6 roads between A &amp; B and 4 roads between B &amp; C. (i) In how many ways can one drive from A to C by way of B ? (ii) In how many way</t>
  </si>
  <si>
    <t xml:space="preserve">(i) How many car number plates can be made if each plate contains 2 different letters of English alphabet, followed by 3 different digits. (</t>
  </si>
  <si>
    <t xml:space="preserve">(i) Find the number of four letter word that can be formed from the letters of the word HISTORY. (each letter to be used at most once) (ii) </t>
  </si>
  <si>
    <t xml:space="preserve">If repetitions are not permitted (i) How many 3 digit numbers can be formed from the six digits 2, 3, 5, 6, 7 &amp; 9 ? (ii) How many of these a</t>
  </si>
  <si>
    <t xml:space="preserve">How many two digit numbers are there in which the tens digit and the units digit are different and odd?</t>
  </si>
  <si>
    <t xml:space="preserve">Every telephone number consists of 7 digits. How many telephone numbers are there which do not include any other digits but 2 , 3 , 5 &amp; 7 ? </t>
  </si>
  <si>
    <t xml:space="preserve">How many odd numbers of five distinct digits can be formed with the digits 0,1,2,3,4?</t>
  </si>
  <si>
    <t xml:space="preserve">How many four digit numbers are there which are divisible by 2. pkj vadks fd fdruh la[;k,¡ gksxh tks 2 ls foHkkftr gSA</t>
  </si>
  <si>
    <t xml:space="preserve">Find the number of 7 lettered palindromes which can be formed using the letters from the English alphabets.</t>
  </si>
  <si>
    <t xml:space="preserve">Number of 9 digits numbers divisible by nine using the digits from 0 to 9 if each digit is used atmost once is K · 8 ! , then K has the valu</t>
  </si>
  <si>
    <t xml:space="preserve">There are 720 permutations of the digits 1, 2, 3, 4, 5, 6. Suppose these permutations are arranged from smallest to largest numerical values</t>
  </si>
  <si>
    <t xml:space="preserve">Number of natural numbers between 100 and 1000 such that at least one of their digits is 7, is :</t>
  </si>
  <si>
    <t xml:space="preserve">How many of the 900 three digit numbers have at least one even digit?</t>
  </si>
  <si>
    <t xml:space="preserve">The number of natual numbers from 1000 to 9999 (both inclusive) that do not have all 4 different digits is : OR What can you say about the n</t>
  </si>
  <si>
    <t xml:space="preserve">A 5 digit number divisible by 3 is to be formed using the numerals 0, 1, 2, 3, 4 &amp; 5 without repetition. The total number of ways this can b</t>
  </si>
  <si>
    <t xml:space="preserve">If the letters of the word “VARUN” are written in all possible ways and then are arranged as in a dictionary, then the rank of the word VARU</t>
  </si>
  <si>
    <t xml:space="preserve">The 120 permutations of MAHES are arranged in dictionary order, as if each were an ordinary five-letter word. The last letter of the 86th wo</t>
  </si>
  <si>
    <t xml:space="preserve">In a certain strange language, words are written with letters from the following six-letter alphabet : A, G, K, N, R, U. Each word consists </t>
  </si>
  <si>
    <t xml:space="preserve">Number of cyphers at the end of 2002C is : 1001</t>
  </si>
  <si>
    <t xml:space="preserve">DPP-2</t>
  </si>
  <si>
    <t xml:space="preserve">3 different railway passes are allotted to 5 students. The number of ways this can be done is :</t>
  </si>
  <si>
    <t xml:space="preserve">Number of 4 digit numbers of the form N = abcd which satisfy following three conditions : (i) 4000  N &lt; 6000 (ii) N is a multiple of 5 (iii</t>
  </si>
  <si>
    <t xml:space="preserve">The number of 10-digit numbers such that the product of any two consecutive digits in the number is a prime number, is :</t>
  </si>
  <si>
    <t xml:space="preserve">The number of different seven digit numbers that can be written using only three digits 1, 2 &amp; 3 under the condition that the digit 2 occurs</t>
  </si>
  <si>
    <t xml:space="preserve">Out of seven consonants and four vowels, the number of words of six letters, formed by taking four consonants and two vowels is (Assume that</t>
  </si>
  <si>
    <t xml:space="preserve">Consider the five points comprising of the vertices of a square and the intersection point of its diagonals. How many triangles can be forme</t>
  </si>
  <si>
    <t xml:space="preserve">Number of 3 digit numbers in which the digit at hundreath's place is greater than the other two digit is :</t>
  </si>
  <si>
    <t xml:space="preserve">Number of permutations of 1, 2, 3, 4, 5, 6, 7, 8 and 9 taken all at a time, such that the digit 1 appearing somewhere to the left of 2 3 app</t>
  </si>
  <si>
    <t xml:space="preserve">Number of odd integers between 1000 and 8000 which have none of their digits repeated, is :</t>
  </si>
  <si>
    <t xml:space="preserve">The number of ways in which 5 different books can be distributed among 10 people if each person can get at most one book is :</t>
  </si>
  <si>
    <t xml:space="preserve">A new flag is to be designed with six vertical strips using some or all of the colours yellow, green, blue and red. Then, the number of ways</t>
  </si>
  <si>
    <t xml:space="preserve">(a) In how many ways can four passengers be accommodate in three railway carriages, if each carriage can accommodate any number of passenger</t>
  </si>
  <si>
    <t xml:space="preserve">Number of ways in which 7 different colours in a rainbow can be arranged if green is always in the middle.</t>
  </si>
  <si>
    <t xml:space="preserve">A letter lock consists of three rings each marked with 10 different letters. Find the number of ways in which it is possible to make an unsu</t>
  </si>
  <si>
    <t xml:space="preserve">How many 10 digit numbers can be made with odd digits so that no two consecutive digits are same.</t>
  </si>
  <si>
    <t xml:space="preserve">In how many ways can the letters of the word "CINEMA" be arranged so that the order of vowels do not change.</t>
  </si>
  <si>
    <t xml:space="preserve">Number of natural numbers less than 1000 and divisible by 5 can be formed with the ten digits, each digit not occuring more than once in eac</t>
  </si>
  <si>
    <t xml:space="preserve">DPP-3</t>
  </si>
  <si>
    <t xml:space="preserve">5 Indian &amp; 5 American couples meet at a party &amp; shake hands . If no wife shakes hands with her own husband &amp; no Indian wife shakes hands wit</t>
  </si>
  <si>
    <t xml:space="preserve">The 9 horizontal and 9 vertical lines on an 8 × 8 chessboard form 'r' rectangles and 's' squares. The ratio in its r lowest terms is : 1 17 </t>
  </si>
  <si>
    <t xml:space="preserve">A student has to answer 10 out of 13 questions in an examination . The number of ways in which he can answer if he must answer atleast 3 of </t>
  </si>
  <si>
    <t xml:space="preserve">The number of three digit numbers having only two consecutive digits identical is :</t>
  </si>
  <si>
    <t xml:space="preserve">The interior angles of a regular polygon measure 150º each . The number of diagonals of the polygon is :</t>
  </si>
  <si>
    <t xml:space="preserve">Number of different natural numbers which are smaller than two hundred million &amp; using only the digits 1 or 2 is</t>
  </si>
  <si>
    <t xml:space="preserve">The number of n digit numbers which consists of the digits 1 &amp; 2 only if each digit is to be used atleast once, is equal to 510 then n is eq</t>
  </si>
  <si>
    <t xml:space="preserve">There are counters available in x different colours. The counters are all alike except for the colour. The total number of arrangements cons</t>
  </si>
  <si>
    <t xml:space="preserve">Number of four digit numbers with all digits different and containing the digit 7 is :</t>
  </si>
  <si>
    <t xml:space="preserve">A committee of 5 is to be chosen from a group of 9 people. Number of ways in which it can be formed if two particular persons either serve t</t>
  </si>
  <si>
    <t xml:space="preserve">A question paper on mathematics consists of twelve questions divided into three parts A, B and C, each containing four questions. In how man</t>
  </si>
  <si>
    <t xml:space="preserve">If m denotes the number of 5 digit numbers if each successive digits are in their descending order of magnitude and n is the corresponding f</t>
  </si>
  <si>
    <t xml:space="preserve">There are m points on a straight line AB &amp; n points on the line AC none of them being the point A. Triangles are formed with these points as</t>
  </si>
  <si>
    <t xml:space="preserve">The number 916238457 is an example of nine digit number which contains each of the digit 1 to 9 exactly once. It also has the property that </t>
  </si>
  <si>
    <t xml:space="preserve">How many numbers between 400 and 1000 (both exclusive) can be made with the digits 2,3,4,5,6,0 if (a) repetition of digits not allowed. (b) </t>
  </si>
  <si>
    <t xml:space="preserve">Number of six digit numbers which have 3 digits even &amp; 3 digits odd, if each digit is to be used atmost once is ______ .</t>
  </si>
  <si>
    <t xml:space="preserve">Find the number of 10 digit numbers using the digits 0, 1, 2, ....... 9 without repetition. How many of these are divisible by 4. buesa ls f</t>
  </si>
  <si>
    <t xml:space="preserve">DPP-4</t>
  </si>
  <si>
    <t xml:space="preserve">The kindergarten teacher has 25 kids in her class . She takes 5 of them at a time, to zoological garden as often as she can, without taking </t>
  </si>
  <si>
    <t xml:space="preserve">A rack has 5 different pairs of shoes. The number of ways in which 4 shoes can be chosen from it , so that there will be no complete pair is</t>
  </si>
  <si>
    <t xml:space="preserve">An old man while dialing a 7 digit telephone number remembers that the first four digits consists of one 1's, one 2's and two 3's. He also r</t>
  </si>
  <si>
    <t xml:space="preserve">Number of ways in which 7 people can occupy six seats, 3 seats on each side in a first class railway compartment if two specified persons ar</t>
  </si>
  <si>
    <t xml:space="preserve">Number of rectangles in the grid shown which are not squares is :</t>
  </si>
  <si>
    <t xml:space="preserve">Number of ways in which 3 men and their wives can be arranged in a line such that none of the 3 men stand in a position that is ahead of his</t>
  </si>
  <si>
    <t xml:space="preserve">In a unique hockey series between India &amp; Pakistan, they decide to play on till a team wins 5 matches. The number of ways in which the serie</t>
  </si>
  <si>
    <t xml:space="preserve">Given 11 points, of which 5 lie on one circle, other than these 5, no 4 lie on one circle. Then the maximum number of circles that can be dr</t>
  </si>
  <si>
    <t xml:space="preserve">Number of 5 digit numbers divisible by 25 that can be formed using only the digits 1, 2, 3, 4, 5 &amp; 0 taken five at a time is :</t>
  </si>
  <si>
    <t xml:space="preserve">In a conference 10 speakers are present. If S1 wants to speak before S2 &amp; S2 wants to speak after S3, then the number of ways all the 10 spe</t>
  </si>
  <si>
    <t xml:space="preserve">The number of ways of choosing a committee of 2 women &amp; 3 men from 5 women &amp; 6 men, if Mr. A refuses to serve on the committee if Mr. B is a</t>
  </si>
  <si>
    <t xml:space="preserve">Two classrooms A and B having capacity of 25 and (n–25) seats respectively.An denotes the number of possible seating arrangements of room 'A</t>
  </si>
  <si>
    <t xml:space="preserve">In a certain algebraical exercise book there are 4 examples on arithmetical progressions, 5 examples on permutation-combination and 6 exampl</t>
  </si>
  <si>
    <t xml:space="preserve">A women has 11 close friends. Find the number of ways in which she can invite 5 of them to dinner, if two particular of them are not on spea</t>
  </si>
  <si>
    <t xml:space="preserve">Find the number of permutations of the word "AUROBIND" in which vowels appear in an alphabetical order. 8C</t>
  </si>
  <si>
    <t xml:space="preserve">In how many different ways a grandfather along with two of his grandsons and four grand daughters can be seated in a line for a photograph s</t>
  </si>
  <si>
    <t xml:space="preserve">Six married couple are sitting in a room. Find the number of ways in which 4 people can be selected so that (a) they do not form a couple (b</t>
  </si>
  <si>
    <t xml:space="preserve">DPP-5</t>
  </si>
  <si>
    <t xml:space="preserve">Number of ways in which 8 people can be arranged in a line if A and B must be next each other and C must be somewhere behind D, is equal to </t>
  </si>
  <si>
    <t xml:space="preserve">Number of ways in which 7 green bottles and 8 blue bottles can be arranged in a row if exactly 1 pair of green bottles is side by side, is (</t>
  </si>
  <si>
    <t xml:space="preserve">A shelf contains 20 different books of which 4 are in single volume and the others form sets of 8, 5 and 3 volumes respectively. Number of w</t>
  </si>
  <si>
    <t xml:space="preserve">Let Pn denotes the number of ways in which three people can be selected out of ' n ' people sitting in a row, if no two of them are consecut</t>
  </si>
  <si>
    <t xml:space="preserve">There are 100 different books in a shelf. Number of ways in which 3 books can be selected so that no two of which are neighbours is :</t>
  </si>
  <si>
    <t xml:space="preserve">Seven different coins are to be divided amongst three persons . If no two of the persons receive the same number of coins but each receives </t>
  </si>
  <si>
    <t xml:space="preserve">The number of ways in which 8 distinguishable apples can be distributed among 3 boys such that every boy should get atleast 1 apple &amp; atmost</t>
  </si>
  <si>
    <t xml:space="preserve">There are five different peaches and three different apples. Number of ways they can be divided into two packs of four fruits if each pack m</t>
  </si>
  <si>
    <t xml:space="preserve">There are six periods in each working day of a school. Number of ways in which 5 subjects can be arranged if each subject is allotted at lea</t>
  </si>
  <si>
    <t xml:space="preserve">A team of 8 students goes on an excursion, in two cars, of which one can seat 5 and the other only 4. If internal arrangement inside the car</t>
  </si>
  <si>
    <t xml:space="preserve">A guardian with 6 wards wishes everyone of them to study either Law or Medicine or Engineering. Number of ways in which he can make up his m</t>
  </si>
  <si>
    <t xml:space="preserve">Find the number of ways in which letters of the word VALEDICTORY be arranged so that the vowels may never be separated.</t>
  </si>
  <si>
    <t xml:space="preserve">There are 10 different books in a shelf. Find the number of ways in which 3 books can be selected so that exactly two of them are consecutiv</t>
  </si>
  <si>
    <t xml:space="preserve">There are 10 seats in a double decker bus, 6 in the lower deck and 4 on the upper deck. Ten passengers board the bus, of them 3 refuse to go</t>
  </si>
  <si>
    <t xml:space="preserve">(a) In how many ways can five people be divided into three groups? (b) In how many ways can five people be distributed in three different ro</t>
  </si>
  <si>
    <t xml:space="preserve">DPP-6</t>
  </si>
  <si>
    <t xml:space="preserve">There are 10 red balls of different shades &amp; 9 green balls of identical shades. Then the number of arranging them in a row so that no two gr</t>
  </si>
  <si>
    <t xml:space="preserve">The number of different ways in which five 'dashes' and eight 'dots' can be arranged, using only seven of these 13 'dashes' &amp; 'dots' is :</t>
  </si>
  <si>
    <t xml:space="preserve">Number of different words that can be formed using all the letters of the word "DEEPMALA" if two vowels are together and the other two are a</t>
  </si>
  <si>
    <t xml:space="preserve">Sameer has to make a telephone call to his friend Harish, Unfortunately he does not remember the 7 digit phone number. But he remembers that</t>
  </si>
  <si>
    <t xml:space="preserve">Let m denote the number of ways in which 4 different books are distributed among 10 persons, each receiving none or one only and let n denot</t>
  </si>
  <si>
    <t xml:space="preserve">Number of 7 digit numbers the sum of whose digits is 61 is :</t>
  </si>
  <si>
    <t xml:space="preserve">There are 2 identical white balls, 3 identical red balls and 4 green balls of different shades. The number of ways in which they can be arra</t>
  </si>
  <si>
    <t xml:space="preserve">There are counters available in 3 different colours (atleast four of each colour). Counters are all alike except for the colour. If 'm' deno</t>
  </si>
  <si>
    <t xml:space="preserve">Number of ways in which 5 A's and 6 B's can be arranged in a row which reads the same backwards and forwards, is :</t>
  </si>
  <si>
    <t xml:space="preserve">One hundred management students who read at least one of the three business magazines are surveyed to study the readership pattern. It is fo</t>
  </si>
  <si>
    <t xml:space="preserve">A gentleman invites a party of m + n (m  n) friends to a dinner &amp; places m at one table T1 and n at another table T2 , the table being roun</t>
  </si>
  <si>
    <t xml:space="preserve">Six people are going to sit in a row on a bench. A and B are adjacent, C does not want to sit adjacent to D. E and F can sit anywhere. Numbe</t>
  </si>
  <si>
    <t xml:space="preserve">Three vertices of a convex n sided polygon are selected. If the number of triangles that can be constructed such that none of the sides of t</t>
  </si>
  <si>
    <t xml:space="preserve">There are 12 guests at a dinner party. Supposing that the master and mistress of the house have fixed seats opposite one another, and that t</t>
  </si>
  <si>
    <t xml:space="preserve">Let Pn denotes the number of ways of selecting 3 people out of 'n' sitting in a row, if no two of them are consecutive and Qn is the corresp</t>
  </si>
  <si>
    <t xml:space="preserve">Six persons A, B, C, D, E and F are to be seated at a circular table. The number of ways this can be done if A must have either B or C on hi</t>
  </si>
  <si>
    <t xml:space="preserve">If as many more words as possible be formed out of the letters of the word "DOGMATIC" then the number of words in which the relative order o</t>
  </si>
  <si>
    <t xml:space="preserve">Find the number of 4 digit numbers starting with 1 and having exactly two identical digits.</t>
  </si>
  <si>
    <t xml:space="preserve">how many ways 5 persons can sit at a round table, if two of the persons do not sit together ?</t>
  </si>
  <si>
    <t xml:space="preserve">In how many ways four men and three women may sit around a round table if all the women are together ?</t>
  </si>
  <si>
    <t xml:space="preserve">DPP-7</t>
  </si>
  <si>
    <t xml:space="preserve">The number of all possible selections of one or more questions from 10 given questions, each equestion having an alternative is :</t>
  </si>
  <si>
    <t xml:space="preserve">Consider a determinant of order 3 all whose entries are either 0 or 1. Five of these entries are 1 and four of them are '0'. Also aij = aji 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</si>
  <si>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</si>
  <si>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</si>
  <si>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</si>
  <si>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</si>
  <si>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</si>
  <si>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85 graded questions; High threshold 8 (about 9.1%).</t>
  </si>
  <si>
    <t xml:space="preserve">Batch XIII: 92 graded questions; High threshold 8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</si>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</sst>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0</v>
      </c>
      <c r="H2" s="2" t="str">
        <f aca="false">IF(G2&gt;=Settings!$B$3,"High",IF(G2&gt;=Settings!$B$5,"Medium","Low"))</f>
        <v>Low</v>
      </c>
      <c r="I2" s="2" t="n">
        <f aca="false">COUNTIFS(Map!$D:$D,$A2,Map!$G:$G,"Y")</f>
        <v>0</v>
      </c>
      <c r="J2" s="2" t="str">
        <f aca="false">IF(I2&gt;=Settings!$B$4,"High",IF(I2&gt;=Settings!$B$5,"Medium","Low"))</f>
        <v>Low</v>
      </c>
      <c r="K2" s="2" t="n">
        <f aca="false">COUNTIF(Map!$D:$D,$A2)</f>
        <v>5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3</v>
      </c>
      <c r="H3" s="2" t="str">
        <f aca="false">IF(G3&gt;=Settings!$B$3,"High",IF(G3&gt;=Settings!$B$5,"Medium","Low"))</f>
        <v>Medium</v>
      </c>
      <c r="I3" s="2" t="n">
        <f aca="false">COUNTIFS(Map!$D:$D,$A3,Map!$G:$G,"Y")</f>
        <v>2</v>
      </c>
      <c r="J3" s="2" t="str">
        <f aca="false">IF(I3&gt;=Settings!$B$4,"High",IF(I3&gt;=Settings!$B$5,"Medium","Low"))</f>
        <v>Medium</v>
      </c>
      <c r="K3" s="2" t="n">
        <f aca="false">COUNTIF(Map!$D:$D,$A3)</f>
        <v>24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s">
        <v>15</v>
      </c>
      <c r="D4" s="2" t="s">
        <v>13</v>
      </c>
      <c r="E4" s="2"/>
      <c r="F4" s="2" t="n">
        <v>3</v>
      </c>
      <c r="G4" s="2" t="n">
        <f aca="false">COUNTIFS(Map!$D:$D,$A4,Map!$F:$F,"Y")</f>
        <v>7</v>
      </c>
      <c r="H4" s="2" t="str">
        <f aca="false">IF(G4&gt;=Settings!$B$3,"High",IF(G4&gt;=Settings!$B$5,"Medium","Low"))</f>
        <v>Medium</v>
      </c>
      <c r="I4" s="2" t="n">
        <f aca="false">COUNTIFS(Map!$D:$D,$A4,Map!$G:$G,"Y")</f>
        <v>7</v>
      </c>
      <c r="J4" s="2" t="str">
        <f aca="false">IF(I4&gt;=Settings!$B$4,"High",IF(I4&gt;=Settings!$B$5,"Medium","Low"))</f>
        <v>Medium</v>
      </c>
      <c r="K4" s="2" t="n">
        <f aca="false">COUNTIF(Map!$D:$D,$A4)</f>
        <v>26</v>
      </c>
    </row>
    <row r="5" customFormat="false" ht="35.05" hidden="false" customHeight="false" outlineLevel="0" collapsed="false">
      <c r="A5" s="2" t="n">
        <v>4</v>
      </c>
      <c r="B5" s="2" t="s">
        <v>11</v>
      </c>
      <c r="C5" s="2" t="s">
        <v>16</v>
      </c>
      <c r="D5" s="2" t="s">
        <v>17</v>
      </c>
      <c r="E5" s="2" t="s">
        <v>18</v>
      </c>
      <c r="F5" s="2"/>
      <c r="G5" s="2" t="n">
        <f aca="false">COUNTIFS(Map!$D:$D,$A5,Map!$F:$F,"Y")</f>
        <v>5</v>
      </c>
      <c r="H5" s="2" t="str">
        <f aca="false">IF(G5&gt;=Settings!$B$3,"High",IF(G5&gt;=Settings!$B$5,"Medium","Low"))</f>
        <v>Medium</v>
      </c>
      <c r="I5" s="2" t="n">
        <f aca="false">COUNTIFS(Map!$D:$D,$A5,Map!$G:$G,"Y")</f>
        <v>2</v>
      </c>
      <c r="J5" s="2" t="str">
        <f aca="false">IF(I5&gt;=Settings!$B$4,"High",IF(I5&gt;=Settings!$B$5,"Medium","Low"))</f>
        <v>Medium</v>
      </c>
      <c r="K5" s="2" t="n">
        <f aca="false">COUNTIF(Map!$D:$D,$A5)</f>
        <v>13</v>
      </c>
    </row>
    <row r="6" customFormat="false" ht="23.85" hidden="false" customHeight="false" outlineLevel="0" collapsed="false">
      <c r="A6" s="2" t="n">
        <v>5</v>
      </c>
      <c r="B6" s="2" t="s">
        <v>19</v>
      </c>
      <c r="C6" s="2" t="s">
        <v>20</v>
      </c>
      <c r="D6" s="2" t="s">
        <v>13</v>
      </c>
      <c r="E6" s="2"/>
      <c r="F6" s="2" t="n">
        <v>4</v>
      </c>
      <c r="G6" s="2" t="n">
        <f aca="false">COUNTIFS(Map!$D:$D,$A6,Map!$F:$F,"Y")</f>
        <v>9</v>
      </c>
      <c r="H6" s="2" t="str">
        <f aca="false">IF(G6&gt;=Settings!$B$3,"High",IF(G6&gt;=Settings!$B$5,"Medium","Low"))</f>
        <v>High</v>
      </c>
      <c r="I6" s="2" t="n">
        <f aca="false">COUNTIFS(Map!$D:$D,$A6,Map!$G:$G,"Y")</f>
        <v>12</v>
      </c>
      <c r="J6" s="2" t="str">
        <f aca="false">IF(I6&gt;=Settings!$B$4,"High",IF(I6&gt;=Settings!$B$5,"Medium","Low"))</f>
        <v>High</v>
      </c>
      <c r="K6" s="2" t="n">
        <f aca="false">COUNTIF(Map!$D:$D,$A6)</f>
        <v>44</v>
      </c>
    </row>
    <row r="7" customFormat="false" ht="15" hidden="false" customHeight="false" outlineLevel="0" collapsed="false">
      <c r="A7" s="2" t="n">
        <v>6</v>
      </c>
      <c r="B7" s="2" t="s">
        <v>19</v>
      </c>
      <c r="C7" s="2" t="s">
        <v>21</v>
      </c>
      <c r="D7" s="2" t="s">
        <v>13</v>
      </c>
      <c r="E7" s="2"/>
      <c r="F7" s="2" t="n">
        <v>5</v>
      </c>
      <c r="G7" s="2" t="n">
        <f aca="false">COUNTIFS(Map!$D:$D,$A7,Map!$F:$F,"Y")</f>
        <v>3</v>
      </c>
      <c r="H7" s="2" t="str">
        <f aca="false">IF(G7&gt;=Settings!$B$3,"High",IF(G7&gt;=Settings!$B$5,"Medium","Low"))</f>
        <v>Medium</v>
      </c>
      <c r="I7" s="2" t="n">
        <f aca="false">COUNTIFS(Map!$D:$D,$A7,Map!$G:$G,"Y")</f>
        <v>2</v>
      </c>
      <c r="J7" s="2" t="str">
        <f aca="false">IF(I7&gt;=Settings!$B$4,"High",IF(I7&gt;=Settings!$B$5,"Medium","Low"))</f>
        <v>Medium</v>
      </c>
      <c r="K7" s="2" t="n">
        <f aca="false">COUNTIF(Map!$D:$D,$A7)</f>
        <v>9</v>
      </c>
    </row>
    <row r="8" customFormat="false" ht="15" hidden="false" customHeight="false" outlineLevel="0" collapsed="false">
      <c r="A8" s="2" t="n">
        <v>7</v>
      </c>
      <c r="B8" s="2" t="s">
        <v>19</v>
      </c>
      <c r="C8" s="2" t="s">
        <v>22</v>
      </c>
      <c r="D8" s="2" t="s">
        <v>13</v>
      </c>
      <c r="E8" s="2"/>
      <c r="F8" s="2" t="n">
        <v>6</v>
      </c>
      <c r="G8" s="2" t="n">
        <f aca="false">COUNTIFS(Map!$D:$D,$A8,Map!$F:$F,"Y")</f>
        <v>2</v>
      </c>
      <c r="H8" s="2" t="str">
        <f aca="false">IF(G8&gt;=Settings!$B$3,"High",IF(G8&gt;=Settings!$B$5,"Medium","Low"))</f>
        <v>Medium</v>
      </c>
      <c r="I8" s="2" t="n">
        <f aca="false">COUNTIFS(Map!$D:$D,$A8,Map!$G:$G,"Y")</f>
        <v>1</v>
      </c>
      <c r="J8" s="2" t="str">
        <f aca="false">IF(I8&gt;=Settings!$B$4,"High",IF(I8&gt;=Settings!$B$5,"Medium","Low"))</f>
        <v>Medium</v>
      </c>
      <c r="K8" s="2" t="n">
        <f aca="false">COUNTIF(Map!$D:$D,$A8)</f>
        <v>3</v>
      </c>
    </row>
    <row r="9" customFormat="false" ht="35.05" hidden="false" customHeight="false" outlineLevel="0" collapsed="false">
      <c r="A9" s="2" t="n">
        <v>8</v>
      </c>
      <c r="B9" s="2" t="s">
        <v>19</v>
      </c>
      <c r="C9" s="2" t="s">
        <v>23</v>
      </c>
      <c r="D9" s="2" t="s">
        <v>17</v>
      </c>
      <c r="E9" s="2" t="s">
        <v>24</v>
      </c>
      <c r="F9" s="2"/>
      <c r="G9" s="2" t="n">
        <f aca="false">COUNTIFS(Map!$D:$D,$A9,Map!$F:$F,"Y")</f>
        <v>5</v>
      </c>
      <c r="H9" s="2" t="str">
        <f aca="false">IF(G9&gt;=Settings!$B$3,"High",IF(G9&gt;=Settings!$B$5,"Medium","Low"))</f>
        <v>Medium</v>
      </c>
      <c r="I9" s="2" t="n">
        <f aca="false">COUNTIFS(Map!$D:$D,$A9,Map!$G:$G,"Y")</f>
        <v>4</v>
      </c>
      <c r="J9" s="2" t="str">
        <f aca="false">IF(I9&gt;=Settings!$B$4,"High",IF(I9&gt;=Settings!$B$5,"Medium","Low"))</f>
        <v>Medium</v>
      </c>
      <c r="K9" s="2" t="n">
        <f aca="false">COUNTIF(Map!$D:$D,$A9)</f>
        <v>17</v>
      </c>
    </row>
    <row r="10" customFormat="false" ht="23.85" hidden="false" customHeight="false" outlineLevel="0" collapsed="false">
      <c r="A10" s="2" t="n">
        <v>9</v>
      </c>
      <c r="B10" s="2" t="s">
        <v>19</v>
      </c>
      <c r="C10" s="2" t="s">
        <v>25</v>
      </c>
      <c r="D10" s="2" t="s">
        <v>17</v>
      </c>
      <c r="E10" s="2" t="s">
        <v>26</v>
      </c>
      <c r="F10" s="2"/>
      <c r="G10" s="2" t="n">
        <f aca="false">COUNTIFS(Map!$D:$D,$A10,Map!$F:$F,"Y")</f>
        <v>1</v>
      </c>
      <c r="H10" s="2" t="str">
        <f aca="false">IF(G10&gt;=Settings!$B$3,"High",IF(G10&gt;=Settings!$B$5,"Medium","Low"))</f>
        <v>Medium</v>
      </c>
      <c r="I10" s="2" t="n">
        <f aca="false">COUNTIFS(Map!$D:$D,$A10,Map!$G:$G,"Y")</f>
        <v>0</v>
      </c>
      <c r="J10" s="2" t="str">
        <f aca="false">IF(I10&gt;=Settings!$B$4,"High",IF(I10&gt;=Settings!$B$5,"Medium","Low"))</f>
        <v>Low</v>
      </c>
      <c r="K10" s="2" t="n">
        <f aca="false">COUNTIF(Map!$D:$D,$A10)</f>
        <v>4</v>
      </c>
    </row>
    <row r="11" customFormat="false" ht="23.85" hidden="false" customHeight="false" outlineLevel="0" collapsed="false">
      <c r="A11" s="2" t="n">
        <v>10</v>
      </c>
      <c r="B11" s="2" t="s">
        <v>19</v>
      </c>
      <c r="C11" s="2" t="s">
        <v>27</v>
      </c>
      <c r="D11" s="2" t="s">
        <v>17</v>
      </c>
      <c r="E11" s="2" t="s">
        <v>28</v>
      </c>
      <c r="F11" s="2"/>
      <c r="G11" s="2" t="n">
        <f aca="false">COUNTIFS(Map!$D:$D,$A11,Map!$F:$F,"Y")</f>
        <v>2</v>
      </c>
      <c r="H11" s="2" t="str">
        <f aca="false">IF(G11&gt;=Settings!$B$3,"High",IF(G11&gt;=Settings!$B$5,"Medium","Low"))</f>
        <v>Medium</v>
      </c>
      <c r="I11" s="2" t="n">
        <f aca="false">COUNTIFS(Map!$D:$D,$A11,Map!$G:$G,"Y")</f>
        <v>3</v>
      </c>
      <c r="J11" s="2" t="str">
        <f aca="false">IF(I11&gt;=Settings!$B$4,"High",IF(I11&gt;=Settings!$B$5,"Medium","Low"))</f>
        <v>Medium</v>
      </c>
      <c r="K11" s="2" t="n">
        <f aca="false">COUNTIF(Map!$D:$D,$A11)</f>
        <v>7</v>
      </c>
    </row>
    <row r="12" customFormat="false" ht="15" hidden="false" customHeight="false" outlineLevel="0" collapsed="false">
      <c r="A12" s="2" t="n">
        <v>11</v>
      </c>
      <c r="B12" s="2" t="s">
        <v>29</v>
      </c>
      <c r="C12" s="2" t="s">
        <v>30</v>
      </c>
      <c r="D12" s="2" t="s">
        <v>13</v>
      </c>
      <c r="E12" s="2"/>
      <c r="F12" s="2" t="n">
        <v>7</v>
      </c>
      <c r="G12" s="2" t="n">
        <f aca="false">COUNTIFS(Map!$D:$D,$A12,Map!$F:$F,"Y")</f>
        <v>2</v>
      </c>
      <c r="H12" s="2" t="str">
        <f aca="false">IF(G12&gt;=Settings!$B$3,"High",IF(G12&gt;=Settings!$B$5,"Medium","Low"))</f>
        <v>Medium</v>
      </c>
      <c r="I12" s="2" t="n">
        <f aca="false">COUNTIFS(Map!$D:$D,$A12,Map!$G:$G,"Y")</f>
        <v>0</v>
      </c>
      <c r="J12" s="2" t="str">
        <f aca="false">IF(I12&gt;=Settings!$B$4,"High",IF(I12&gt;=Settings!$B$5,"Medium","Low"))</f>
        <v>Low</v>
      </c>
      <c r="K12" s="2" t="n">
        <f aca="false">COUNTIF(Map!$D:$D,$A12)</f>
        <v>14</v>
      </c>
    </row>
    <row r="13" customFormat="false" ht="15" hidden="false" customHeight="false" outlineLevel="0" collapsed="false">
      <c r="A13" s="2" t="n">
        <v>12</v>
      </c>
      <c r="B13" s="2" t="s">
        <v>31</v>
      </c>
      <c r="C13" s="2" t="s">
        <v>32</v>
      </c>
      <c r="D13" s="2" t="s">
        <v>13</v>
      </c>
      <c r="E13" s="2"/>
      <c r="F13" s="2" t="n">
        <v>8</v>
      </c>
      <c r="G13" s="2" t="n">
        <f aca="false">COUNTIFS(Map!$D:$D,$A13,Map!$F:$F,"Y")</f>
        <v>0</v>
      </c>
      <c r="H13" s="2" t="str">
        <f aca="false">IF(G13&gt;=Settings!$B$3,"High",IF(G13&gt;=Settings!$B$5,"Medium","Low"))</f>
        <v>Low</v>
      </c>
      <c r="I13" s="2" t="n">
        <f aca="false">COUNTIFS(Map!$D:$D,$A13,Map!$G:$G,"Y")</f>
        <v>6</v>
      </c>
      <c r="J13" s="2" t="str">
        <f aca="false">IF(I13&gt;=Settings!$B$4,"High",IF(I13&gt;=Settings!$B$5,"Medium","Low"))</f>
        <v>Medium</v>
      </c>
      <c r="K13" s="2" t="n">
        <f aca="false">COUNTIF(Map!$D:$D,$A13)</f>
        <v>9</v>
      </c>
    </row>
    <row r="14" customFormat="false" ht="23.85" hidden="false" customHeight="false" outlineLevel="0" collapsed="false">
      <c r="A14" s="2" t="n">
        <v>13</v>
      </c>
      <c r="B14" s="2" t="s">
        <v>31</v>
      </c>
      <c r="C14" s="2" t="s">
        <v>33</v>
      </c>
      <c r="D14" s="2" t="s">
        <v>13</v>
      </c>
      <c r="E14" s="2"/>
      <c r="F14" s="2" t="n">
        <v>9</v>
      </c>
      <c r="G14" s="2" t="n">
        <f aca="false">COUNTIFS(Map!$D:$D,$A14,Map!$F:$F,"Y")</f>
        <v>1</v>
      </c>
      <c r="H14" s="2" t="str">
        <f aca="false">IF(G14&gt;=Settings!$B$3,"High",IF(G14&gt;=Settings!$B$5,"Medium","Low"))</f>
        <v>Medium</v>
      </c>
      <c r="I14" s="2" t="n">
        <f aca="false">COUNTIFS(Map!$D:$D,$A14,Map!$G:$G,"Y")</f>
        <v>3</v>
      </c>
      <c r="J14" s="2" t="str">
        <f aca="false">IF(I14&gt;=Settings!$B$4,"High",IF(I14&gt;=Settings!$B$5,"Medium","Low"))</f>
        <v>Medium</v>
      </c>
      <c r="K14" s="2" t="n">
        <f aca="false">COUNTIF(Map!$D:$D,$A14)</f>
        <v>9</v>
      </c>
    </row>
    <row r="15" customFormat="false" ht="15" hidden="false" customHeight="false" outlineLevel="0" collapsed="false">
      <c r="A15" s="2" t="n">
        <v>14</v>
      </c>
      <c r="B15" s="2" t="s">
        <v>34</v>
      </c>
      <c r="C15" s="2" t="s">
        <v>35</v>
      </c>
      <c r="D15" s="2" t="s">
        <v>13</v>
      </c>
      <c r="E15" s="2"/>
      <c r="F15" s="2" t="n">
        <v>10</v>
      </c>
      <c r="G15" s="2" t="n">
        <f aca="false">COUNTIFS(Map!$D:$D,$A15,Map!$F:$F,"Y")</f>
        <v>2</v>
      </c>
      <c r="H15" s="2" t="str">
        <f aca="false">IF(G15&gt;=Settings!$B$3,"High",IF(G15&gt;=Settings!$B$5,"Medium","Low"))</f>
        <v>Medium</v>
      </c>
      <c r="I15" s="2" t="n">
        <f aca="false">COUNTIFS(Map!$D:$D,$A15,Map!$G:$G,"Y")</f>
        <v>2</v>
      </c>
      <c r="J15" s="2" t="str">
        <f aca="false">IF(I15&gt;=Settings!$B$4,"High",IF(I15&gt;=Settings!$B$5,"Medium","Low"))</f>
        <v>Medium</v>
      </c>
      <c r="K15" s="2" t="n">
        <f aca="false">COUNTIF(Map!$D:$D,$A15)</f>
        <v>7</v>
      </c>
    </row>
    <row r="16" customFormat="false" ht="15" hidden="false" customHeight="false" outlineLevel="0" collapsed="false">
      <c r="A16" s="2" t="n">
        <v>15</v>
      </c>
      <c r="B16" s="2" t="s">
        <v>34</v>
      </c>
      <c r="C16" s="2" t="s">
        <v>36</v>
      </c>
      <c r="D16" s="2" t="s">
        <v>13</v>
      </c>
      <c r="E16" s="2"/>
      <c r="F16" s="2" t="n">
        <v>11</v>
      </c>
      <c r="G16" s="2" t="n">
        <f aca="false">COUNTIFS(Map!$D:$D,$A16,Map!$F:$F,"Y")</f>
        <v>0</v>
      </c>
      <c r="H16" s="2" t="str">
        <f aca="false">IF(G16&gt;=Settings!$B$3,"High",IF(G16&gt;=Settings!$B$5,"Medium","Low"))</f>
        <v>Low</v>
      </c>
      <c r="I16" s="2" t="n">
        <f aca="false">COUNTIFS(Map!$D:$D,$A16,Map!$G:$G,"Y")</f>
        <v>1</v>
      </c>
      <c r="J16" s="2" t="str">
        <f aca="false">IF(I16&gt;=Settings!$B$4,"High",IF(I16&gt;=Settings!$B$5,"Medium","Low"))</f>
        <v>Medium</v>
      </c>
      <c r="K16" s="2" t="n">
        <f aca="false">COUNTIF(Map!$D:$D,$A16)</f>
        <v>4</v>
      </c>
    </row>
    <row r="17" customFormat="false" ht="15" hidden="false" customHeight="false" outlineLevel="0" collapsed="false">
      <c r="A17" s="2" t="n">
        <v>16</v>
      </c>
      <c r="B17" s="2" t="s">
        <v>34</v>
      </c>
      <c r="C17" s="2" t="s">
        <v>37</v>
      </c>
      <c r="D17" s="2" t="s">
        <v>13</v>
      </c>
      <c r="E17" s="2"/>
      <c r="F17" s="2" t="n">
        <v>12</v>
      </c>
      <c r="G17" s="2" t="n">
        <f aca="false">COUNTIFS(Map!$D:$D,$A17,Map!$F:$F,"Y")</f>
        <v>0</v>
      </c>
      <c r="H17" s="2" t="str">
        <f aca="false">IF(G17&gt;=Settings!$B$3,"High",IF(G17&gt;=Settings!$B$5,"Medium","Low"))</f>
        <v>Low</v>
      </c>
      <c r="I17" s="2" t="n">
        <f aca="false">COUNTIFS(Map!$D:$D,$A17,Map!$G:$G,"Y")</f>
        <v>0</v>
      </c>
      <c r="J17" s="2" t="str">
        <f aca="false">IF(I17&gt;=Settings!$B$4,"High",IF(I17&gt;=Settings!$B$5,"Medium","Low"))</f>
        <v>Low</v>
      </c>
      <c r="K17" s="2" t="n">
        <f aca="false">COUNTIF(Map!$D:$D,$A17)</f>
        <v>0</v>
      </c>
    </row>
    <row r="18" customFormat="false" ht="15" hidden="false" customHeight="false" outlineLevel="0" collapsed="false">
      <c r="A18" s="2" t="n">
        <v>17</v>
      </c>
      <c r="B18" s="2" t="s">
        <v>34</v>
      </c>
      <c r="C18" s="2" t="s">
        <v>38</v>
      </c>
      <c r="D18" s="2" t="s">
        <v>13</v>
      </c>
      <c r="E18" s="2"/>
      <c r="F18" s="2" t="n">
        <v>13</v>
      </c>
      <c r="G18" s="2" t="n">
        <f aca="false">COUNTIFS(Map!$D:$D,$A18,Map!$F:$F,"Y")</f>
        <v>0</v>
      </c>
      <c r="H18" s="2" t="str">
        <f aca="false">IF(G18&gt;=Settings!$B$3,"High",IF(G18&gt;=Settings!$B$5,"Medium","Low"))</f>
        <v>Low</v>
      </c>
      <c r="I18" s="2" t="n">
        <f aca="false">COUNTIFS(Map!$D:$D,$A18,Map!$G:$G,"Y")</f>
        <v>0</v>
      </c>
      <c r="J18" s="2" t="str">
        <f aca="false">IF(I18&gt;=Settings!$B$4,"High",IF(I18&gt;=Settings!$B$5,"Medium","Low"))</f>
        <v>Low</v>
      </c>
      <c r="K18" s="2" t="n">
        <f aca="false">COUNTIF(Map!$D:$D,$A18)</f>
        <v>2</v>
      </c>
    </row>
    <row r="19" customFormat="false" ht="15" hidden="false" customHeight="false" outlineLevel="0" collapsed="false">
      <c r="A19" s="2" t="n">
        <v>18</v>
      </c>
      <c r="B19" s="2" t="s">
        <v>39</v>
      </c>
      <c r="C19" s="2" t="s">
        <v>40</v>
      </c>
      <c r="D19" s="2" t="s">
        <v>13</v>
      </c>
      <c r="E19" s="2"/>
      <c r="F19" s="2" t="n">
        <v>14</v>
      </c>
      <c r="G19" s="2" t="n">
        <f aca="false">COUNTIFS(Map!$D:$D,$A19,Map!$F:$F,"Y")</f>
        <v>5</v>
      </c>
      <c r="H19" s="2" t="str">
        <f aca="false">IF(G19&gt;=Settings!$B$3,"High",IF(G19&gt;=Settings!$B$5,"Medium","Low"))</f>
        <v>Medium</v>
      </c>
      <c r="I19" s="2" t="n">
        <f aca="false">COUNTIFS(Map!$D:$D,$A19,Map!$G:$G,"Y")</f>
        <v>3</v>
      </c>
      <c r="J19" s="2" t="str">
        <f aca="false">IF(I19&gt;=Settings!$B$4,"High",IF(I19&gt;=Settings!$B$5,"Medium","Low"))</f>
        <v>Medium</v>
      </c>
      <c r="K19" s="2" t="n">
        <f aca="false">COUNTIF(Map!$D:$D,$A19)</f>
        <v>12</v>
      </c>
    </row>
    <row r="20" customFormat="false" ht="23.85" hidden="false" customHeight="false" outlineLevel="0" collapsed="false">
      <c r="A20" s="2" t="n">
        <v>19</v>
      </c>
      <c r="B20" s="2" t="s">
        <v>41</v>
      </c>
      <c r="C20" s="2" t="s">
        <v>42</v>
      </c>
      <c r="D20" s="2" t="s">
        <v>13</v>
      </c>
      <c r="E20" s="2"/>
      <c r="F20" s="2" t="n">
        <v>15</v>
      </c>
      <c r="G20" s="2" t="n">
        <f aca="false">COUNTIFS(Map!$D:$D,$A20,Map!$F:$F,"Y")</f>
        <v>7</v>
      </c>
      <c r="H20" s="2" t="str">
        <f aca="false">IF(G20&gt;=Settings!$B$3,"High",IF(G20&gt;=Settings!$B$5,"Medium","Low"))</f>
        <v>Medium</v>
      </c>
      <c r="I20" s="2" t="n">
        <f aca="false">COUNTIFS(Map!$D:$D,$A20,Map!$G:$G,"Y")</f>
        <v>3</v>
      </c>
      <c r="J20" s="2" t="str">
        <f aca="false">IF(I20&gt;=Settings!$B$4,"High",IF(I20&gt;=Settings!$B$5,"Medium","Low"))</f>
        <v>Medium</v>
      </c>
      <c r="K20" s="2" t="n">
        <f aca="false">COUNTIF(Map!$D:$D,$A20)</f>
        <v>33</v>
      </c>
    </row>
    <row r="21" customFormat="false" ht="23.85" hidden="false" customHeight="false" outlineLevel="0" collapsed="false">
      <c r="A21" s="2" t="n">
        <v>20</v>
      </c>
      <c r="B21" s="2" t="s">
        <v>41</v>
      </c>
      <c r="C21" s="2" t="s">
        <v>43</v>
      </c>
      <c r="D21" s="2" t="s">
        <v>13</v>
      </c>
      <c r="E21" s="2"/>
      <c r="F21" s="2" t="n">
        <v>16</v>
      </c>
      <c r="G21" s="2" t="n">
        <f aca="false">COUNTIFS(Map!$D:$D,$A21,Map!$F:$F,"Y")</f>
        <v>0</v>
      </c>
      <c r="H21" s="2" t="str">
        <f aca="false">IF(G21&gt;=Settings!$B$3,"High",IF(G21&gt;=Settings!$B$5,"Medium","Low"))</f>
        <v>Low</v>
      </c>
      <c r="I21" s="2" t="n">
        <f aca="false">COUNTIFS(Map!$D:$D,$A21,Map!$G:$G,"Y")</f>
        <v>0</v>
      </c>
      <c r="J21" s="2" t="str">
        <f aca="false">IF(I21&gt;=Settings!$B$4,"High",IF(I21&gt;=Settings!$B$5,"Medium","Low"))</f>
        <v>Low</v>
      </c>
      <c r="K21" s="2" t="n">
        <f aca="false">COUNTIF(Map!$D:$D,$A21)</f>
        <v>1</v>
      </c>
    </row>
    <row r="22" customFormat="false" ht="23.85" hidden="false" customHeight="false" outlineLevel="0" collapsed="false">
      <c r="A22" s="2" t="n">
        <v>21</v>
      </c>
      <c r="B22" s="2" t="s">
        <v>41</v>
      </c>
      <c r="C22" s="2" t="s">
        <v>44</v>
      </c>
      <c r="D22" s="2" t="s">
        <v>13</v>
      </c>
      <c r="E22" s="2"/>
      <c r="F22" s="2" t="n">
        <v>17</v>
      </c>
      <c r="G22" s="2" t="n">
        <f aca="false">COUNTIFS(Map!$D:$D,$A22,Map!$F:$F,"Y")</f>
        <v>2</v>
      </c>
      <c r="H22" s="2" t="str">
        <f aca="false">IF(G22&gt;=Settings!$B$3,"High",IF(G22&gt;=Settings!$B$5,"Medium","Low"))</f>
        <v>Medium</v>
      </c>
      <c r="I22" s="2" t="n">
        <f aca="false">COUNTIFS(Map!$D:$D,$A22,Map!$G:$G,"Y")</f>
        <v>2</v>
      </c>
      <c r="J22" s="2" t="str">
        <f aca="false">IF(I22&gt;=Settings!$B$4,"High",IF(I22&gt;=Settings!$B$5,"Medium","Low"))</f>
        <v>Medium</v>
      </c>
      <c r="K22" s="2" t="n">
        <f aca="false">COUNTIF(Map!$D:$D,$A22)</f>
        <v>9</v>
      </c>
    </row>
    <row r="23" customFormat="false" ht="23.85" hidden="false" customHeight="false" outlineLevel="0" collapsed="false">
      <c r="A23" s="2" t="n">
        <v>22</v>
      </c>
      <c r="B23" s="2" t="s">
        <v>41</v>
      </c>
      <c r="C23" s="2" t="s">
        <v>45</v>
      </c>
      <c r="D23" s="2" t="s">
        <v>13</v>
      </c>
      <c r="E23" s="2"/>
      <c r="F23" s="2" t="n">
        <v>18</v>
      </c>
      <c r="G23" s="2" t="n">
        <f aca="false">COUNTIFS(Map!$D:$D,$A23,Map!$F:$F,"Y")</f>
        <v>0</v>
      </c>
      <c r="H23" s="2" t="str">
        <f aca="false">IF(G23&gt;=Settings!$B$3,"High",IF(G23&gt;=Settings!$B$5,"Medium","Low"))</f>
        <v>Low</v>
      </c>
      <c r="I23" s="2" t="n">
        <f aca="false">COUNTIFS(Map!$D:$D,$A23,Map!$G:$G,"Y")</f>
        <v>0</v>
      </c>
      <c r="J23" s="2" t="str">
        <f aca="false">IF(I23&gt;=Settings!$B$4,"High",IF(I23&gt;=Settings!$B$5,"Medium","Low"))</f>
        <v>Low</v>
      </c>
      <c r="K23" s="2" t="n">
        <f aca="false">COUNTIF(Map!$D:$D,$A23)</f>
        <v>1</v>
      </c>
    </row>
    <row r="24" customFormat="false" ht="23.85" hidden="false" customHeight="false" outlineLevel="0" collapsed="false">
      <c r="A24" s="2" t="n">
        <v>23</v>
      </c>
      <c r="B24" s="2" t="s">
        <v>41</v>
      </c>
      <c r="C24" s="2" t="s">
        <v>46</v>
      </c>
      <c r="D24" s="2" t="s">
        <v>13</v>
      </c>
      <c r="E24" s="2"/>
      <c r="F24" s="2" t="n">
        <v>19</v>
      </c>
      <c r="G24" s="2" t="n">
        <f aca="false">COUNTIFS(Map!$D:$D,$A24,Map!$F:$F,"Y")</f>
        <v>1</v>
      </c>
      <c r="H24" s="2" t="str">
        <f aca="false">IF(G24&gt;=Settings!$B$3,"High",IF(G24&gt;=Settings!$B$5,"Medium","Low"))</f>
        <v>Medium</v>
      </c>
      <c r="I24" s="2" t="n">
        <f aca="false">COUNTIFS(Map!$D:$D,$A24,Map!$G:$G,"Y")</f>
        <v>1</v>
      </c>
      <c r="J24" s="2" t="str">
        <f aca="false">IF(I24&gt;=Settings!$B$4,"High",IF(I24&gt;=Settings!$B$5,"Medium","Low"))</f>
        <v>Medium</v>
      </c>
      <c r="K24" s="2" t="n">
        <f aca="false">COUNTIF(Map!$D:$D,$A24)</f>
        <v>2</v>
      </c>
    </row>
    <row r="25" customFormat="false" ht="23.85" hidden="false" customHeight="false" outlineLevel="0" collapsed="false">
      <c r="A25" s="2" t="n">
        <v>24</v>
      </c>
      <c r="B25" s="2" t="s">
        <v>41</v>
      </c>
      <c r="C25" s="2" t="s">
        <v>47</v>
      </c>
      <c r="D25" s="2" t="s">
        <v>13</v>
      </c>
      <c r="E25" s="2"/>
      <c r="F25" s="2" t="n">
        <v>20</v>
      </c>
      <c r="G25" s="2" t="n">
        <f aca="false">COUNTIFS(Map!$D:$D,$A25,Map!$F:$F,"Y")</f>
        <v>0</v>
      </c>
      <c r="H25" s="2" t="str">
        <f aca="false">IF(G25&gt;=Settings!$B$3,"High",IF(G25&gt;=Settings!$B$5,"Medium","Low"))</f>
        <v>Low</v>
      </c>
      <c r="I25" s="2" t="n">
        <f aca="false">COUNTIFS(Map!$D:$D,$A25,Map!$G:$G,"Y")</f>
        <v>0</v>
      </c>
      <c r="J25" s="2" t="str">
        <f aca="false">IF(I25&gt;=Settings!$B$4,"High",IF(I25&gt;=Settings!$B$5,"Medium","Low"))</f>
        <v>Low</v>
      </c>
      <c r="K25" s="2" t="n">
        <f aca="false">COUNTIF(Map!$D:$D,$A25)</f>
        <v>2</v>
      </c>
    </row>
    <row r="26" customFormat="false" ht="23.85" hidden="false" customHeight="false" outlineLevel="0" collapsed="false">
      <c r="A26" s="2" t="n">
        <v>25</v>
      </c>
      <c r="B26" s="2" t="s">
        <v>41</v>
      </c>
      <c r="C26" s="2" t="s">
        <v>48</v>
      </c>
      <c r="D26" s="2" t="s">
        <v>13</v>
      </c>
      <c r="E26" s="2"/>
      <c r="F26" s="2" t="n">
        <v>21</v>
      </c>
      <c r="G26" s="2" t="n">
        <f aca="false">COUNTIFS(Map!$D:$D,$A26,Map!$F:$F,"Y")</f>
        <v>0</v>
      </c>
      <c r="H26" s="2" t="str">
        <f aca="false">IF(G26&gt;=Settings!$B$3,"High",IF(G26&gt;=Settings!$B$5,"Medium","Low"))</f>
        <v>Low</v>
      </c>
      <c r="I26" s="2" t="n">
        <f aca="false">COUNTIFS(Map!$D:$D,$A26,Map!$G:$G,"Y")</f>
        <v>0</v>
      </c>
      <c r="J26" s="2" t="str">
        <f aca="false">IF(I26&gt;=Settings!$B$4,"High",IF(I26&gt;=Settings!$B$5,"Medium","Low"))</f>
        <v>Low</v>
      </c>
      <c r="K26" s="2" t="n">
        <f aca="false">COUNTIF(Map!$D:$D,$A26)</f>
        <v>7</v>
      </c>
    </row>
    <row r="27" customFormat="false" ht="91" hidden="false" customHeight="false" outlineLevel="0" collapsed="false">
      <c r="A27" s="2" t="n">
        <v>26</v>
      </c>
      <c r="B27" s="2" t="s">
        <v>41</v>
      </c>
      <c r="C27" s="2" t="s">
        <v>49</v>
      </c>
      <c r="D27" s="2" t="s">
        <v>17</v>
      </c>
      <c r="E27" s="2" t="s">
        <v>50</v>
      </c>
      <c r="F27" s="2"/>
      <c r="G27" s="2" t="n">
        <f aca="false">COUNTIFS(Map!$D:$D,$A27,Map!$F:$F,"Y")</f>
        <v>13</v>
      </c>
      <c r="H27" s="2" t="str">
        <f aca="false">IF(G27&gt;=Settings!$B$3,"High",IF(G27&gt;=Settings!$B$5,"Medium","Low"))</f>
        <v>High</v>
      </c>
      <c r="I27" s="2" t="n">
        <f aca="false">COUNTIFS(Map!$D:$D,$A27,Map!$G:$G,"Y")</f>
        <v>12</v>
      </c>
      <c r="J27" s="2" t="str">
        <f aca="false">IF(I27&gt;=Settings!$B$4,"High",IF(I27&gt;=Settings!$B$5,"Medium","Low"))</f>
        <v>High</v>
      </c>
      <c r="K27" s="2" t="n">
        <f aca="false">COUNTIF(Map!$D:$D,$A27)</f>
        <v>41</v>
      </c>
    </row>
    <row r="28" customFormat="false" ht="23.85" hidden="false" customHeight="false" outlineLevel="0" collapsed="false">
      <c r="A28" s="2" t="n">
        <v>27</v>
      </c>
      <c r="B28" s="2" t="s">
        <v>41</v>
      </c>
      <c r="C28" s="2" t="s">
        <v>51</v>
      </c>
      <c r="D28" s="2" t="s">
        <v>17</v>
      </c>
      <c r="E28" s="2" t="s">
        <v>52</v>
      </c>
      <c r="F28" s="2"/>
      <c r="G28" s="2" t="n">
        <f aca="false">COUNTIFS(Map!$D:$D,$A28,Map!$F:$F,"Y")</f>
        <v>1</v>
      </c>
      <c r="H28" s="2" t="str">
        <f aca="false">IF(G28&gt;=Settings!$B$3,"High",IF(G28&gt;=Settings!$B$5,"Medium","Low"))</f>
        <v>Medium</v>
      </c>
      <c r="I28" s="2" t="n">
        <f aca="false">COUNTIFS(Map!$D:$D,$A28,Map!$G:$G,"Y")</f>
        <v>1</v>
      </c>
      <c r="J28" s="2" t="str">
        <f aca="false">IF(I28&gt;=Settings!$B$4,"High",IF(I28&gt;=Settings!$B$5,"Medium","Low"))</f>
        <v>Medium</v>
      </c>
      <c r="K28" s="2" t="n">
        <f aca="false">COUNTIF(Map!$D:$D,$A28)</f>
        <v>3</v>
      </c>
    </row>
    <row r="29" customFormat="false" ht="35.05" hidden="false" customHeight="false" outlineLevel="0" collapsed="false">
      <c r="A29" s="2" t="n">
        <v>28</v>
      </c>
      <c r="B29" s="2" t="s">
        <v>41</v>
      </c>
      <c r="C29" s="2" t="s">
        <v>53</v>
      </c>
      <c r="D29" s="2" t="s">
        <v>17</v>
      </c>
      <c r="E29" s="2" t="s">
        <v>54</v>
      </c>
      <c r="F29" s="2"/>
      <c r="G29" s="2" t="n">
        <f aca="false">COUNTIFS(Map!$D:$D,$A29,Map!$F:$F,"Y")</f>
        <v>0</v>
      </c>
      <c r="H29" s="2" t="str">
        <f aca="false">IF(G29&gt;=Settings!$B$3,"High",IF(G29&gt;=Settings!$B$5,"Medium","Low"))</f>
        <v>Low</v>
      </c>
      <c r="I29" s="2" t="n">
        <f aca="false">COUNTIFS(Map!$D:$D,$A29,Map!$G:$G,"Y")</f>
        <v>1</v>
      </c>
      <c r="J29" s="2" t="str">
        <f aca="false">IF(I29&gt;=Settings!$B$4,"High",IF(I29&gt;=Settings!$B$5,"Medium","Low"))</f>
        <v>Medium</v>
      </c>
      <c r="K29" s="2" t="n">
        <f aca="false">COUNTIF(Map!$D:$D,$A29)</f>
        <v>10</v>
      </c>
    </row>
    <row r="30" customFormat="false" ht="15" hidden="false" customHeight="false" outlineLevel="0" collapsed="false">
      <c r="A30" s="2" t="n">
        <v>29</v>
      </c>
      <c r="B30" s="2" t="s">
        <v>55</v>
      </c>
      <c r="C30" s="2" t="s">
        <v>56</v>
      </c>
      <c r="D30" s="2" t="s">
        <v>13</v>
      </c>
      <c r="E30" s="2"/>
      <c r="F30" s="2" t="n">
        <v>22</v>
      </c>
      <c r="G30" s="2" t="n">
        <f aca="false">COUNTIFS(Map!$D:$D,$A30,Map!$F:$F,"Y")</f>
        <v>6</v>
      </c>
      <c r="H30" s="2" t="str">
        <f aca="false">IF(G30&gt;=Settings!$B$3,"High",IF(G30&gt;=Settings!$B$5,"Medium","Low"))</f>
        <v>Medium</v>
      </c>
      <c r="I30" s="2" t="n">
        <f aca="false">COUNTIFS(Map!$D:$D,$A30,Map!$G:$G,"Y")</f>
        <v>5</v>
      </c>
      <c r="J30" s="2" t="str">
        <f aca="false">IF(I30&gt;=Settings!$B$4,"High",IF(I30&gt;=Settings!$B$5,"Medium","Low"))</f>
        <v>Medium</v>
      </c>
      <c r="K30" s="2" t="n">
        <f aca="false">COUNTIF(Map!$D:$D,$A30)</f>
        <v>16</v>
      </c>
    </row>
    <row r="31" customFormat="false" ht="15" hidden="false" customHeight="false" outlineLevel="0" collapsed="false">
      <c r="A31" s="2" t="n">
        <v>30</v>
      </c>
      <c r="B31" s="2" t="s">
        <v>55</v>
      </c>
      <c r="C31" s="2" t="s">
        <v>57</v>
      </c>
      <c r="D31" s="2" t="s">
        <v>13</v>
      </c>
      <c r="E31" s="2"/>
      <c r="F31" s="2" t="n">
        <v>23</v>
      </c>
      <c r="G31" s="2" t="n">
        <f aca="false">COUNTIFS(Map!$D:$D,$A31,Map!$F:$F,"Y")</f>
        <v>3</v>
      </c>
      <c r="H31" s="2" t="str">
        <f aca="false">IF(G31&gt;=Settings!$B$3,"High",IF(G31&gt;=Settings!$B$5,"Medium","Low"))</f>
        <v>Medium</v>
      </c>
      <c r="I31" s="2" t="n">
        <f aca="false">COUNTIFS(Map!$D:$D,$A31,Map!$G:$G,"Y")</f>
        <v>2</v>
      </c>
      <c r="J31" s="2" t="str">
        <f aca="false">IF(I31&gt;=Settings!$B$4,"High",IF(I31&gt;=Settings!$B$5,"Medium","Low"))</f>
        <v>Medium</v>
      </c>
      <c r="K31" s="2" t="n">
        <f aca="false">COUNTIF(Map!$D:$D,$A31)</f>
        <v>5</v>
      </c>
    </row>
    <row r="32" customFormat="false" ht="15" hidden="false" customHeight="false" outlineLevel="0" collapsed="false">
      <c r="A32" s="2" t="n">
        <v>31</v>
      </c>
      <c r="B32" s="2" t="s">
        <v>55</v>
      </c>
      <c r="C32" s="2" t="s">
        <v>58</v>
      </c>
      <c r="D32" s="2" t="s">
        <v>13</v>
      </c>
      <c r="E32" s="2"/>
      <c r="F32" s="2" t="n">
        <v>24</v>
      </c>
      <c r="G32" s="2" t="n">
        <f aca="false">COUNTIFS(Map!$D:$D,$A32,Map!$F:$F,"Y")</f>
        <v>1</v>
      </c>
      <c r="H32" s="2" t="str">
        <f aca="false">IF(G32&gt;=Settings!$B$3,"High",IF(G32&gt;=Settings!$B$5,"Medium","Low"))</f>
        <v>Medium</v>
      </c>
      <c r="I32" s="2" t="n">
        <f aca="false">COUNTIFS(Map!$D:$D,$A32,Map!$G:$G,"Y")</f>
        <v>1</v>
      </c>
      <c r="J32" s="2" t="str">
        <f aca="false">IF(I32&gt;=Settings!$B$4,"High",IF(I32&gt;=Settings!$B$5,"Medium","Low"))</f>
        <v>Medium</v>
      </c>
      <c r="K32" s="2" t="n">
        <f aca="false">COUNTIF(Map!$D:$D,$A32)</f>
        <v>2</v>
      </c>
    </row>
    <row r="33" customFormat="false" ht="15" hidden="false" customHeight="false" outlineLevel="0" collapsed="false">
      <c r="A33" s="2" t="n">
        <v>32</v>
      </c>
      <c r="B33" s="2" t="s">
        <v>55</v>
      </c>
      <c r="C33" s="2" t="s">
        <v>59</v>
      </c>
      <c r="D33" s="2" t="s">
        <v>13</v>
      </c>
      <c r="E33" s="2"/>
      <c r="F33" s="2" t="n">
        <v>25</v>
      </c>
      <c r="G33" s="2" t="n">
        <f aca="false">COUNTIFS(Map!$D:$D,$A33,Map!$F:$F,"Y")</f>
        <v>0</v>
      </c>
      <c r="H33" s="2" t="str">
        <f aca="false">IF(G33&gt;=Settings!$B$3,"High",IF(G33&gt;=Settings!$B$5,"Medium","Low"))</f>
        <v>Low</v>
      </c>
      <c r="I33" s="2" t="n">
        <f aca="false">COUNTIFS(Map!$D:$D,$A33,Map!$G:$G,"Y")</f>
        <v>0</v>
      </c>
      <c r="J33" s="2" t="str">
        <f aca="false">IF(I33&gt;=Settings!$B$4,"High",IF(I33&gt;=Settings!$B$5,"Medium","Low"))</f>
        <v>Low</v>
      </c>
      <c r="K33" s="2" t="n">
        <f aca="false">COUNTIF(Map!$D:$D,$A33)</f>
        <v>0</v>
      </c>
    </row>
    <row r="34" customFormat="false" ht="15" hidden="false" customHeight="false" outlineLevel="0" collapsed="false">
      <c r="A34" s="2" t="n">
        <v>33</v>
      </c>
      <c r="B34" s="2" t="s">
        <v>60</v>
      </c>
      <c r="C34" s="2" t="s">
        <v>61</v>
      </c>
      <c r="D34" s="2" t="s">
        <v>13</v>
      </c>
      <c r="E34" s="2"/>
      <c r="F34" s="2" t="n">
        <v>26</v>
      </c>
      <c r="G34" s="2" t="n">
        <f aca="false">COUNTIFS(Map!$D:$D,$A34,Map!$F:$F,"Y")</f>
        <v>0</v>
      </c>
      <c r="H34" s="2" t="str">
        <f aca="false">IF(G34&gt;=Settings!$B$3,"High",IF(G34&gt;=Settings!$B$5,"Medium","Low"))</f>
        <v>Low</v>
      </c>
      <c r="I34" s="2" t="n">
        <f aca="false">COUNTIFS(Map!$D:$D,$A34,Map!$G:$G,"Y")</f>
        <v>0</v>
      </c>
      <c r="J34" s="2" t="str">
        <f aca="false">IF(I34&gt;=Settings!$B$4,"High",IF(I34&gt;=Settings!$B$5,"Medium","Low"))</f>
        <v>Low</v>
      </c>
      <c r="K34" s="2" t="n">
        <f aca="false">COUNTIF(Map!$D:$D,$A34)</f>
        <v>0</v>
      </c>
    </row>
    <row r="35" customFormat="false" ht="15" hidden="false" customHeight="false" outlineLevel="0" collapsed="false">
      <c r="A35" s="2" t="n">
        <v>34</v>
      </c>
      <c r="B35" s="2" t="s">
        <v>60</v>
      </c>
      <c r="C35" s="2" t="s">
        <v>62</v>
      </c>
      <c r="D35" s="2" t="s">
        <v>13</v>
      </c>
      <c r="E35" s="2"/>
      <c r="F35" s="2" t="n">
        <v>27</v>
      </c>
      <c r="G35" s="2" t="n">
        <f aca="false">COUNTIFS(Map!$D:$D,$A35,Map!$F:$F,"Y")</f>
        <v>1</v>
      </c>
      <c r="H35" s="2" t="str">
        <f aca="false">IF(G35&gt;=Settings!$B$3,"High",IF(G35&gt;=Settings!$B$5,"Medium","Low"))</f>
        <v>Medium</v>
      </c>
      <c r="I35" s="2" t="n">
        <f aca="false">COUNTIFS(Map!$D:$D,$A35,Map!$G:$G,"Y")</f>
        <v>1</v>
      </c>
      <c r="J35" s="2" t="str">
        <f aca="false">IF(I35&gt;=Settings!$B$4,"High",IF(I35&gt;=Settings!$B$5,"Medium","Low"))</f>
        <v>Medium</v>
      </c>
      <c r="K35" s="2" t="n">
        <f aca="false">COUNTIF(Map!$D:$D,$A35)</f>
        <v>5</v>
      </c>
    </row>
    <row r="36" customFormat="false" ht="23.85" hidden="false" customHeight="false" outlineLevel="0" collapsed="false">
      <c r="A36" s="2" t="n">
        <v>35</v>
      </c>
      <c r="B36" s="2" t="s">
        <v>63</v>
      </c>
      <c r="C36" s="2" t="s">
        <v>64</v>
      </c>
      <c r="D36" s="2" t="s">
        <v>13</v>
      </c>
      <c r="E36" s="2"/>
      <c r="F36" s="2" t="n">
        <v>28</v>
      </c>
      <c r="G36" s="2" t="n">
        <f aca="false">COUNTIFS(Map!$D:$D,$A36,Map!$F:$F,"Y")</f>
        <v>4</v>
      </c>
      <c r="H36" s="2" t="str">
        <f aca="false">IF(G36&gt;=Settings!$B$3,"High",IF(G36&gt;=Settings!$B$5,"Medium","Low"))</f>
        <v>Medium</v>
      </c>
      <c r="I36" s="2" t="n">
        <f aca="false">COUNTIFS(Map!$D:$D,$A36,Map!$G:$G,"Y")</f>
        <v>5</v>
      </c>
      <c r="J36" s="2" t="str">
        <f aca="false">IF(I36&gt;=Settings!$B$4,"High",IF(I36&gt;=Settings!$B$5,"Medium","Low"))</f>
        <v>Medium</v>
      </c>
      <c r="K36" s="2" t="n">
        <f aca="false">COUNTIF(Map!$D:$D,$A36)</f>
        <v>26</v>
      </c>
    </row>
    <row r="37" customFormat="false" ht="15" hidden="false" customHeight="false" outlineLevel="0" collapsed="false">
      <c r="A37" s="2" t="n">
        <v>36</v>
      </c>
      <c r="B37" s="2" t="s">
        <v>63</v>
      </c>
      <c r="C37" s="2" t="s">
        <v>65</v>
      </c>
      <c r="D37" s="2" t="s">
        <v>13</v>
      </c>
      <c r="E37" s="2"/>
      <c r="F37" s="2" t="n">
        <v>29</v>
      </c>
      <c r="G37" s="2" t="n">
        <f aca="false">COUNTIFS(Map!$D:$D,$A37,Map!$F:$F,"Y")</f>
        <v>1</v>
      </c>
      <c r="H37" s="2" t="str">
        <f aca="false">IF(G37&gt;=Settings!$B$3,"High",IF(G37&gt;=Settings!$B$5,"Medium","Low"))</f>
        <v>Medium</v>
      </c>
      <c r="I37" s="2" t="n">
        <f aca="false">COUNTIFS(Map!$D:$D,$A37,Map!$G:$G,"Y")</f>
        <v>2</v>
      </c>
      <c r="J37" s="2" t="str">
        <f aca="false">IF(I37&gt;=Settings!$B$4,"High",IF(I37&gt;=Settings!$B$5,"Medium","Low"))</f>
        <v>Medium</v>
      </c>
      <c r="K37" s="2" t="n">
        <f aca="false">COUNTIF(Map!$D:$D,$A37)</f>
        <v>9</v>
      </c>
    </row>
    <row r="38" customFormat="false" ht="23.85" hidden="false" customHeight="false" outlineLevel="0" collapsed="false">
      <c r="A38" s="2" t="n">
        <v>37</v>
      </c>
      <c r="B38" s="2" t="s">
        <v>63</v>
      </c>
      <c r="C38" s="2" t="s">
        <v>66</v>
      </c>
      <c r="D38" s="2" t="s">
        <v>13</v>
      </c>
      <c r="E38" s="2"/>
      <c r="F38" s="2" t="n">
        <v>30</v>
      </c>
      <c r="G38" s="2" t="n">
        <f aca="false">COUNTIFS(Map!$D:$D,$A38,Map!$F:$F,"Y")</f>
        <v>1</v>
      </c>
      <c r="H38" s="2" t="str">
        <f aca="false">IF(G38&gt;=Settings!$B$3,"High",IF(G38&gt;=Settings!$B$5,"Medium","Low"))</f>
        <v>Medium</v>
      </c>
      <c r="I38" s="2" t="n">
        <f aca="false">COUNTIFS(Map!$D:$D,$A38,Map!$G:$G,"Y")</f>
        <v>1</v>
      </c>
      <c r="J38" s="2" t="str">
        <f aca="false">IF(I38&gt;=Settings!$B$4,"High",IF(I38&gt;=Settings!$B$5,"Medium","Low"))</f>
        <v>Medium</v>
      </c>
      <c r="K38" s="2" t="n">
        <f aca="false">COUNTIF(Map!$D:$D,$A38)</f>
        <v>3</v>
      </c>
    </row>
    <row r="39" customFormat="false" ht="23.85" hidden="false" customHeight="false" outlineLevel="0" collapsed="false">
      <c r="A39" s="2" t="n">
        <v>38</v>
      </c>
      <c r="B39" s="2" t="s">
        <v>67</v>
      </c>
      <c r="C39" s="2" t="s">
        <v>68</v>
      </c>
      <c r="D39" s="2" t="s">
        <v>13</v>
      </c>
      <c r="E39" s="2"/>
      <c r="F39" s="2" t="n">
        <v>31</v>
      </c>
      <c r="G39" s="2" t="n">
        <f aca="false">COUNTIFS(Map!$D:$D,$A39,Map!$F:$F,"Y")</f>
        <v>4</v>
      </c>
      <c r="H39" s="2" t="str">
        <f aca="false">IF(G39&gt;=Settings!$B$3,"High",IF(G39&gt;=Settings!$B$5,"Medium","Low"))</f>
        <v>Medium</v>
      </c>
      <c r="I39" s="2" t="n">
        <f aca="false">COUNTIFS(Map!$D:$D,$A39,Map!$G:$G,"Y")</f>
        <v>8</v>
      </c>
      <c r="J39" s="2" t="str">
        <f aca="false">IF(I39&gt;=Settings!$B$4,"High",IF(I39&gt;=Settings!$B$5,"Medium","Low"))</f>
        <v>High</v>
      </c>
      <c r="K39" s="2" t="n">
        <f aca="false">COUNTIF(Map!$D:$D,$A39)</f>
        <v>26</v>
      </c>
    </row>
    <row r="40" customFormat="false" ht="23.85" hidden="false" customHeight="false" outlineLevel="0" collapsed="false">
      <c r="A40" s="2" t="n">
        <v>39</v>
      </c>
      <c r="B40" s="2" t="s">
        <v>67</v>
      </c>
      <c r="C40" s="2" t="s">
        <v>69</v>
      </c>
      <c r="D40" s="2" t="s">
        <v>13</v>
      </c>
      <c r="E40" s="2"/>
      <c r="F40" s="2" t="n">
        <v>32</v>
      </c>
      <c r="G40" s="2" t="n">
        <f aca="false">COUNTIFS(Map!$D:$D,$A40,Map!$F:$F,"Y")</f>
        <v>0</v>
      </c>
      <c r="H40" s="2" t="str">
        <f aca="false">IF(G40&gt;=Settings!$B$3,"High",IF(G40&gt;=Settings!$B$5,"Medium","Low"))</f>
        <v>Low</v>
      </c>
      <c r="I40" s="2" t="n">
        <f aca="false">COUNTIFS(Map!$D:$D,$A40,Map!$G:$G,"Y")</f>
        <v>2</v>
      </c>
      <c r="J40" s="2" t="str">
        <f aca="false">IF(I40&gt;=Settings!$B$4,"High",IF(I40&gt;=Settings!$B$5,"Medium","Low"))</f>
        <v>Medium</v>
      </c>
      <c r="K40" s="2" t="n">
        <f aca="false">COUNTIF(Map!$D:$D,$A40)</f>
        <v>3</v>
      </c>
    </row>
    <row r="41" customFormat="false" ht="23.85" hidden="false" customHeight="false" outlineLevel="0" collapsed="false">
      <c r="A41" s="2" t="n">
        <v>40</v>
      </c>
      <c r="B41" s="2" t="s">
        <v>67</v>
      </c>
      <c r="C41" s="2" t="s">
        <v>70</v>
      </c>
      <c r="D41" s="2" t="s">
        <v>13</v>
      </c>
      <c r="E41" s="2"/>
      <c r="F41" s="2" t="n">
        <v>33</v>
      </c>
      <c r="G41" s="2" t="n">
        <f aca="false">COUNTIFS(Map!$D:$D,$A41,Map!$F:$F,"Y")</f>
        <v>1</v>
      </c>
      <c r="H41" s="2" t="str">
        <f aca="false">IF(G41&gt;=Settings!$B$3,"High",IF(G41&gt;=Settings!$B$5,"Medium","Low"))</f>
        <v>Medium</v>
      </c>
      <c r="I41" s="2" t="n">
        <f aca="false">COUNTIFS(Map!$D:$D,$A41,Map!$G:$G,"Y")</f>
        <v>0</v>
      </c>
      <c r="J41" s="2" t="str">
        <f aca="false">IF(I41&gt;=Settings!$B$4,"High",IF(I41&gt;=Settings!$B$5,"Medium","Low"))</f>
        <v>Low</v>
      </c>
      <c r="K41" s="2" t="n">
        <f aca="false">COUNTIF(Map!$D:$D,$A41)</f>
        <v>7</v>
      </c>
    </row>
    <row r="42" customFormat="false" ht="23.85" hidden="false" customHeight="false" outlineLevel="0" collapsed="false">
      <c r="A42" s="2" t="n">
        <v>41</v>
      </c>
      <c r="B42" s="2" t="s">
        <v>67</v>
      </c>
      <c r="C42" s="2" t="s">
        <v>71</v>
      </c>
      <c r="D42" s="2" t="s">
        <v>13</v>
      </c>
      <c r="E42" s="2"/>
      <c r="F42" s="2" t="n">
        <v>34</v>
      </c>
      <c r="G42" s="2" t="n">
        <f aca="false">COUNTIFS(Map!$D:$D,$A42,Map!$F:$F,"Y")</f>
        <v>0</v>
      </c>
      <c r="H42" s="2" t="str">
        <f aca="false">IF(G42&gt;=Settings!$B$3,"High",IF(G42&gt;=Settings!$B$5,"Medium","Low"))</f>
        <v>Low</v>
      </c>
      <c r="I42" s="2" t="n">
        <f aca="false">COUNTIFS(Map!$D:$D,$A42,Map!$G:$G,"Y")</f>
        <v>0</v>
      </c>
      <c r="J42" s="2" t="str">
        <f aca="false">IF(I42&gt;=Settings!$B$4,"High",IF(I42&gt;=Settings!$B$5,"Medium","Low"))</f>
        <v>Low</v>
      </c>
      <c r="K42" s="2" t="n">
        <f aca="false">COUNTIF(Map!$D:$D,$A42)</f>
        <v>9</v>
      </c>
    </row>
    <row r="43" customFormat="false" ht="23.85" hidden="false" customHeight="false" outlineLevel="0" collapsed="false">
      <c r="A43" s="2" t="n">
        <v>42</v>
      </c>
      <c r="B43" s="2" t="s">
        <v>67</v>
      </c>
      <c r="C43" s="2" t="s">
        <v>72</v>
      </c>
      <c r="D43" s="2" t="s">
        <v>13</v>
      </c>
      <c r="E43" s="2"/>
      <c r="F43" s="2" t="n">
        <v>35</v>
      </c>
      <c r="G43" s="2" t="n">
        <f aca="false">COUNTIFS(Map!$D:$D,$A43,Map!$F:$F,"Y")</f>
        <v>0</v>
      </c>
      <c r="H43" s="2" t="str">
        <f aca="false">IF(G43&gt;=Settings!$B$3,"High",IF(G43&gt;=Settings!$B$5,"Medium","Low"))</f>
        <v>Low</v>
      </c>
      <c r="I43" s="2" t="n">
        <f aca="false">COUNTIFS(Map!$D:$D,$A43,Map!$G:$G,"Y")</f>
        <v>0</v>
      </c>
      <c r="J43" s="2" t="str">
        <f aca="false">IF(I43&gt;=Settings!$B$4,"High",IF(I43&gt;=Settings!$B$5,"Medium","Low"))</f>
        <v>Low</v>
      </c>
      <c r="K43" s="2" t="n">
        <f aca="false">COUNTIF(Map!$D:$D,$A43)</f>
        <v>3</v>
      </c>
    </row>
    <row r="44" customFormat="false" ht="23.85" hidden="false" customHeight="false" outlineLevel="0" collapsed="false">
      <c r="A44" s="2" t="n">
        <v>43</v>
      </c>
      <c r="B44" s="2" t="s">
        <v>67</v>
      </c>
      <c r="C44" s="2" t="s">
        <v>73</v>
      </c>
      <c r="D44" s="2" t="s">
        <v>13</v>
      </c>
      <c r="E44" s="2"/>
      <c r="F44" s="2" t="n">
        <v>36</v>
      </c>
      <c r="G44" s="2" t="n">
        <f aca="false">COUNTIFS(Map!$D:$D,$A44,Map!$F:$F,"Y")</f>
        <v>3</v>
      </c>
      <c r="H44" s="2" t="str">
        <f aca="false">IF(G44&gt;=Settings!$B$3,"High",IF(G44&gt;=Settings!$B$5,"Medium","Low"))</f>
        <v>Medium</v>
      </c>
      <c r="I44" s="2" t="n">
        <f aca="false">COUNTIFS(Map!$D:$D,$A44,Map!$G:$G,"Y")</f>
        <v>1</v>
      </c>
      <c r="J44" s="2" t="str">
        <f aca="false">IF(I44&gt;=Settings!$B$4,"High",IF(I44&gt;=Settings!$B$5,"Medium","Low"))</f>
        <v>Medium</v>
      </c>
      <c r="K44" s="2" t="n">
        <f aca="false">COUNTIF(Map!$D:$D,$A44)</f>
        <v>8</v>
      </c>
    </row>
    <row r="45" customFormat="false" ht="23.85" hidden="false" customHeight="false" outlineLevel="0" collapsed="false">
      <c r="A45" s="2" t="n">
        <v>44</v>
      </c>
      <c r="B45" s="2" t="s">
        <v>74</v>
      </c>
      <c r="C45" s="2" t="s">
        <v>75</v>
      </c>
      <c r="D45" s="2" t="s">
        <v>13</v>
      </c>
      <c r="E45" s="2"/>
      <c r="F45" s="2" t="n">
        <v>37</v>
      </c>
      <c r="G45" s="2" t="n">
        <f aca="false">COUNTIFS(Map!$D:$D,$A45,Map!$F:$F,"Y")</f>
        <v>2</v>
      </c>
      <c r="H45" s="2" t="str">
        <f aca="false">IF(G45&gt;=Settings!$B$3,"High",IF(G45&gt;=Settings!$B$5,"Medium","Low"))</f>
        <v>Medium</v>
      </c>
      <c r="I45" s="2" t="n">
        <f aca="false">COUNTIFS(Map!$D:$D,$A45,Map!$G:$G,"Y")</f>
        <v>2</v>
      </c>
      <c r="J45" s="2" t="str">
        <f aca="false">IF(I45&gt;=Settings!$B$4,"High",IF(I45&gt;=Settings!$B$5,"Medium","Low"))</f>
        <v>Medium</v>
      </c>
      <c r="K45" s="2" t="n">
        <f aca="false">COUNTIF(Map!$D:$D,$A45)</f>
        <v>9</v>
      </c>
    </row>
    <row r="46" customFormat="false" ht="23.85" hidden="false" customHeight="false" outlineLevel="0" collapsed="false">
      <c r="A46" s="2" t="n">
        <v>45</v>
      </c>
      <c r="B46" s="2" t="s">
        <v>74</v>
      </c>
      <c r="C46" s="2" t="s">
        <v>76</v>
      </c>
      <c r="D46" s="2" t="s">
        <v>13</v>
      </c>
      <c r="E46" s="2"/>
      <c r="F46" s="2" t="n">
        <v>38</v>
      </c>
      <c r="G46" s="2" t="n">
        <f aca="false">COUNTIFS(Map!$D:$D,$A46,Map!$F:$F,"Y")</f>
        <v>2</v>
      </c>
      <c r="H46" s="2" t="str">
        <f aca="false">IF(G46&gt;=Settings!$B$3,"High",IF(G46&gt;=Settings!$B$5,"Medium","Low"))</f>
        <v>Medium</v>
      </c>
      <c r="I46" s="2" t="n">
        <f aca="false">COUNTIFS(Map!$D:$D,$A46,Map!$G:$G,"Y")</f>
        <v>3</v>
      </c>
      <c r="J46" s="2" t="str">
        <f aca="false">IF(I46&gt;=Settings!$B$4,"High",IF(I46&gt;=Settings!$B$5,"Medium","Low"))</f>
        <v>Medium</v>
      </c>
      <c r="K46" s="2" t="n">
        <f aca="false">COUNTIF(Map!$D:$D,$A46)</f>
        <v>9</v>
      </c>
    </row>
    <row r="47" customFormat="false" ht="15" hidden="false" customHeight="false" outlineLevel="0" collapsed="false">
      <c r="A47" s="2" t="n">
        <v>46</v>
      </c>
      <c r="B47" s="2" t="s">
        <v>77</v>
      </c>
      <c r="C47" s="2" t="s">
        <v>78</v>
      </c>
      <c r="D47" s="2" t="s">
        <v>13</v>
      </c>
      <c r="E47" s="2"/>
      <c r="F47" s="2" t="n">
        <v>39</v>
      </c>
      <c r="G47" s="2" t="n">
        <f aca="false">COUNTIFS(Map!$D:$D,$A47,Map!$F:$F,"Y")</f>
        <v>0</v>
      </c>
      <c r="H47" s="2" t="str">
        <f aca="false">IF(G47&gt;=Settings!$B$3,"High",IF(G47&gt;=Settings!$B$5,"Medium","Low"))</f>
        <v>Low</v>
      </c>
      <c r="I47" s="2" t="n">
        <f aca="false">COUNTIFS(Map!$D:$D,$A47,Map!$G:$G,"Y")</f>
        <v>0</v>
      </c>
      <c r="J47" s="2" t="str">
        <f aca="false">IF(I47&gt;=Settings!$B$4,"High",IF(I47&gt;=Settings!$B$5,"Medium","Low"))</f>
        <v>Low</v>
      </c>
      <c r="K47" s="2" t="n">
        <f aca="false">COUNTIF(Map!$D:$D,$A47)</f>
        <v>0</v>
      </c>
    </row>
    <row r="48" customFormat="false" ht="15" hidden="false" customHeight="false" outlineLevel="0" collapsed="false">
      <c r="A48" s="2" t="n">
        <v>47</v>
      </c>
      <c r="B48" s="2" t="s">
        <v>77</v>
      </c>
      <c r="C48" s="2" t="s">
        <v>79</v>
      </c>
      <c r="D48" s="2" t="s">
        <v>13</v>
      </c>
      <c r="E48" s="2"/>
      <c r="F48" s="2" t="n">
        <v>40</v>
      </c>
      <c r="G48" s="2" t="n">
        <f aca="false">COUNTIFS(Map!$D:$D,$A48,Map!$F:$F,"Y")</f>
        <v>1</v>
      </c>
      <c r="H48" s="2" t="str">
        <f aca="false">IF(G48&gt;=Settings!$B$3,"High",IF(G48&gt;=Settings!$B$5,"Medium","Low"))</f>
        <v>Medium</v>
      </c>
      <c r="I48" s="2" t="n">
        <f aca="false">COUNTIFS(Map!$D:$D,$A48,Map!$G:$G,"Y")</f>
        <v>1</v>
      </c>
      <c r="J48" s="2" t="str">
        <f aca="false">IF(I48&gt;=Settings!$B$4,"High",IF(I48&gt;=Settings!$B$5,"Medium","Low"))</f>
        <v>Medium</v>
      </c>
      <c r="K48" s="2" t="n">
        <f aca="false">COUNTIF(Map!$D:$D,$A48)</f>
        <v>4</v>
      </c>
    </row>
    <row r="49" customFormat="false" ht="15" hidden="false" customHeight="false" outlineLevel="0" collapsed="false">
      <c r="A49" s="2" t="n">
        <v>48</v>
      </c>
      <c r="B49" s="2" t="s">
        <v>77</v>
      </c>
      <c r="C49" s="2" t="s">
        <v>80</v>
      </c>
      <c r="D49" s="2" t="s">
        <v>13</v>
      </c>
      <c r="E49" s="2"/>
      <c r="F49" s="2" t="n">
        <v>41</v>
      </c>
      <c r="G49" s="2" t="n">
        <f aca="false">COUNTIFS(Map!$D:$D,$A49,Map!$F:$F,"Y")</f>
        <v>0</v>
      </c>
      <c r="H49" s="2" t="str">
        <f aca="false">IF(G49&gt;=Settings!$B$3,"High",IF(G49&gt;=Settings!$B$5,"Medium","Low"))</f>
        <v>Low</v>
      </c>
      <c r="I49" s="2" t="n">
        <f aca="false">COUNTIFS(Map!$D:$D,$A49,Map!$G:$G,"Y")</f>
        <v>0</v>
      </c>
      <c r="J49" s="2" t="str">
        <f aca="false">IF(I49&gt;=Settings!$B$4,"High",IF(I49&gt;=Settings!$B$5,"Medium","Low"))</f>
        <v>Low</v>
      </c>
      <c r="K49" s="2" t="n">
        <f aca="false">COUNTIF(Map!$D:$D,$A49)</f>
        <v>5</v>
      </c>
    </row>
    <row r="50" customFormat="false" ht="15" hidden="false" customHeight="false" outlineLevel="0" collapsed="false">
      <c r="A50" s="2" t="n">
        <v>49</v>
      </c>
      <c r="B50" s="2" t="s">
        <v>77</v>
      </c>
      <c r="C50" s="2" t="s">
        <v>81</v>
      </c>
      <c r="D50" s="2" t="s">
        <v>13</v>
      </c>
      <c r="E50" s="2"/>
      <c r="F50" s="2" t="n">
        <v>42</v>
      </c>
      <c r="G50" s="2" t="n">
        <f aca="false">COUNTIFS(Map!$D:$D,$A50,Map!$F:$F,"Y")</f>
        <v>0</v>
      </c>
      <c r="H50" s="2" t="str">
        <f aca="false">IF(G50&gt;=Settings!$B$3,"High",IF(G50&gt;=Settings!$B$5,"Medium","Low"))</f>
        <v>Low</v>
      </c>
      <c r="I50" s="2" t="n">
        <f aca="false">COUNTIFS(Map!$D:$D,$A50,Map!$G:$G,"Y")</f>
        <v>1</v>
      </c>
      <c r="J50" s="2" t="str">
        <f aca="false">IF(I50&gt;=Settings!$B$4,"High",IF(I50&gt;=Settings!$B$5,"Medium","Low"))</f>
        <v>Medium</v>
      </c>
      <c r="K50" s="2" t="n">
        <f aca="false">COUNTIF(Map!$D:$D,$A50)</f>
        <v>2</v>
      </c>
    </row>
    <row r="51" customFormat="false" ht="23.85" hidden="false" customHeight="false" outlineLevel="0" collapsed="false">
      <c r="A51" s="2" t="n">
        <v>50</v>
      </c>
      <c r="B51" s="2" t="s">
        <v>77</v>
      </c>
      <c r="C51" s="2" t="s">
        <v>82</v>
      </c>
      <c r="D51" s="2" t="s">
        <v>13</v>
      </c>
      <c r="E51" s="2"/>
      <c r="F51" s="2" t="n">
        <v>43</v>
      </c>
      <c r="G51" s="2" t="n">
        <f aca="false">COUNTIFS(Map!$D:$D,$A51,Map!$F:$F,"Y")</f>
        <v>0</v>
      </c>
      <c r="H51" s="2" t="str">
        <f aca="false">IF(G51&gt;=Settings!$B$3,"High",IF(G51&gt;=Settings!$B$5,"Medium","Low"))</f>
        <v>Low</v>
      </c>
      <c r="I51" s="2" t="n">
        <f aca="false">COUNTIFS(Map!$D:$D,$A51,Map!$G:$G,"Y")</f>
        <v>0</v>
      </c>
      <c r="J51" s="2" t="str">
        <f aca="false">IF(I51&gt;=Settings!$B$4,"High",IF(I51&gt;=Settings!$B$5,"Medium","Low"))</f>
        <v>Low</v>
      </c>
      <c r="K51" s="2" t="n">
        <f aca="false">COUNTIF(Map!$D:$D,$A51)</f>
        <v>3</v>
      </c>
    </row>
    <row r="52" customFormat="false" ht="23.85" hidden="false" customHeight="false" outlineLevel="0" collapsed="false">
      <c r="A52" s="2" t="n">
        <v>51</v>
      </c>
      <c r="B52" s="2" t="s">
        <v>77</v>
      </c>
      <c r="C52" s="2" t="s">
        <v>83</v>
      </c>
      <c r="D52" s="2" t="s">
        <v>13</v>
      </c>
      <c r="E52" s="2"/>
      <c r="F52" s="2" t="n">
        <v>44</v>
      </c>
      <c r="G52" s="2" t="n">
        <f aca="false">COUNTIFS(Map!$D:$D,$A52,Map!$F:$F,"Y")</f>
        <v>0</v>
      </c>
      <c r="H52" s="2" t="str">
        <f aca="false">IF(G52&gt;=Settings!$B$3,"High",IF(G52&gt;=Settings!$B$5,"Medium","Low"))</f>
        <v>Low</v>
      </c>
      <c r="I52" s="2" t="n">
        <f aca="false">COUNTIFS(Map!$D:$D,$A52,Map!$G:$G,"Y")</f>
        <v>0</v>
      </c>
      <c r="J52" s="2" t="str">
        <f aca="false">IF(I52&gt;=Settings!$B$4,"High",IF(I52&gt;=Settings!$B$5,"Medium","Low"))</f>
        <v>Low</v>
      </c>
      <c r="K52" s="2" t="n">
        <f aca="false">COUNTIF(Map!$D:$D,$A52)</f>
        <v>0</v>
      </c>
    </row>
    <row r="53" customFormat="false" ht="15" hidden="false" customHeight="false" outlineLevel="0" collapsed="false">
      <c r="A53" s="2" t="n">
        <v>52</v>
      </c>
      <c r="B53" s="2" t="s">
        <v>77</v>
      </c>
      <c r="C53" s="2" t="s">
        <v>84</v>
      </c>
      <c r="D53" s="2" t="s">
        <v>13</v>
      </c>
      <c r="E53" s="2"/>
      <c r="F53" s="2" t="n">
        <v>45</v>
      </c>
      <c r="G53" s="2" t="n">
        <f aca="false">COUNTIFS(Map!$D:$D,$A53,Map!$F:$F,"Y")</f>
        <v>0</v>
      </c>
      <c r="H53" s="2" t="str">
        <f aca="false">IF(G53&gt;=Settings!$B$3,"High",IF(G53&gt;=Settings!$B$5,"Medium","Low"))</f>
        <v>Low</v>
      </c>
      <c r="I53" s="2" t="n">
        <f aca="false">COUNTIFS(Map!$D:$D,$A53,Map!$G:$G,"Y")</f>
        <v>0</v>
      </c>
      <c r="J53" s="2" t="str">
        <f aca="false">IF(I53&gt;=Settings!$B$4,"High",IF(I53&gt;=Settings!$B$5,"Medium","Low"))</f>
        <v>Low</v>
      </c>
      <c r="K53" s="2" t="n">
        <f aca="false">COUNTIF(Map!$D:$D,$A53)</f>
        <v>1</v>
      </c>
    </row>
    <row r="54" customFormat="false" ht="23.85" hidden="false" customHeight="false" outlineLevel="0" collapsed="false">
      <c r="A54" s="2" t="n">
        <v>53</v>
      </c>
      <c r="B54" s="2" t="s">
        <v>85</v>
      </c>
      <c r="C54" s="2" t="s">
        <v>86</v>
      </c>
      <c r="D54" s="2" t="s">
        <v>13</v>
      </c>
      <c r="E54" s="2"/>
      <c r="F54" s="2" t="n">
        <v>46</v>
      </c>
      <c r="G54" s="2" t="n">
        <f aca="false">COUNTIFS(Map!$D:$D,$A54,Map!$F:$F,"Y")</f>
        <v>0</v>
      </c>
      <c r="H54" s="2" t="str">
        <f aca="false">IF(G54&gt;=Settings!$B$3,"High",IF(G54&gt;=Settings!$B$5,"Medium","Low"))</f>
        <v>Low</v>
      </c>
      <c r="I54" s="2" t="n">
        <f aca="false">COUNTIFS(Map!$D:$D,$A54,Map!$G:$G,"Y")</f>
        <v>0</v>
      </c>
      <c r="J54" s="2" t="str">
        <f aca="false">IF(I54&gt;=Settings!$B$4,"High",IF(I54&gt;=Settings!$B$5,"Medium","Low"))</f>
        <v>Low</v>
      </c>
      <c r="K54" s="2" t="n">
        <f aca="false">COUNTIF(Map!$D:$D,$A54)</f>
        <v>0</v>
      </c>
    </row>
    <row r="55" customFormat="false" ht="23.85" hidden="false" customHeight="false" outlineLevel="0" collapsed="false">
      <c r="A55" s="2" t="n">
        <v>54</v>
      </c>
      <c r="B55" s="2" t="s">
        <v>85</v>
      </c>
      <c r="C55" s="2" t="s">
        <v>87</v>
      </c>
      <c r="D55" s="2" t="s">
        <v>13</v>
      </c>
      <c r="E55" s="2"/>
      <c r="F55" s="2" t="n">
        <v>47</v>
      </c>
      <c r="G55" s="2" t="n">
        <f aca="false">COUNTIFS(Map!$D:$D,$A55,Map!$F:$F,"Y")</f>
        <v>0</v>
      </c>
      <c r="H55" s="2" t="str">
        <f aca="false">IF(G55&gt;=Settings!$B$3,"High",IF(G55&gt;=Settings!$B$5,"Medium","Low"))</f>
        <v>Low</v>
      </c>
      <c r="I55" s="2" t="n">
        <f aca="false">COUNTIFS(Map!$D:$D,$A55,Map!$G:$G,"Y")</f>
        <v>1</v>
      </c>
      <c r="J55" s="2" t="str">
        <f aca="false">IF(I55&gt;=Settings!$B$4,"High",IF(I55&gt;=Settings!$B$5,"Medium","Low"))</f>
        <v>Medium</v>
      </c>
      <c r="K55" s="2" t="n">
        <f aca="false">COUNTIF(Map!$D:$D,$A55)</f>
        <v>3</v>
      </c>
    </row>
    <row r="56" customFormat="false" ht="23.85" hidden="false" customHeight="false" outlineLevel="0" collapsed="false">
      <c r="A56" s="2" t="n">
        <v>55</v>
      </c>
      <c r="B56" s="2" t="s">
        <v>85</v>
      </c>
      <c r="C56" s="2" t="s">
        <v>88</v>
      </c>
      <c r="D56" s="2" t="s">
        <v>13</v>
      </c>
      <c r="E56" s="2"/>
      <c r="F56" s="2" t="n">
        <v>48</v>
      </c>
      <c r="G56" s="2" t="n">
        <f aca="false">COUNTIFS(Map!$D:$D,$A56,Map!$F:$F,"Y")</f>
        <v>0</v>
      </c>
      <c r="H56" s="2" t="str">
        <f aca="false">IF(G56&gt;=Settings!$B$3,"High",IF(G56&gt;=Settings!$B$5,"Medium","Low"))</f>
        <v>Low</v>
      </c>
      <c r="I56" s="2" t="n">
        <f aca="false">COUNTIFS(Map!$D:$D,$A56,Map!$G:$G,"Y")</f>
        <v>0</v>
      </c>
      <c r="J56" s="2" t="str">
        <f aca="false">IF(I56&gt;=Settings!$B$4,"High",IF(I56&gt;=Settings!$B$5,"Medium","Low"))</f>
        <v>Low</v>
      </c>
      <c r="K56" s="2" t="n">
        <f aca="false">COUNTIF(Map!$D:$D,$A56)</f>
        <v>0</v>
      </c>
    </row>
    <row r="57" customFormat="false" ht="23.85" hidden="false" customHeight="false" outlineLevel="0" collapsed="false">
      <c r="A57" s="2" t="n">
        <v>56</v>
      </c>
      <c r="B57" s="2" t="s">
        <v>89</v>
      </c>
      <c r="C57" s="2" t="s">
        <v>90</v>
      </c>
      <c r="D57" s="2" t="s">
        <v>13</v>
      </c>
      <c r="E57" s="2"/>
      <c r="F57" s="2" t="n">
        <v>49</v>
      </c>
      <c r="G57" s="2" t="n">
        <f aca="false">COUNTIFS(Map!$D:$D,$A57,Map!$F:$F,"Y")</f>
        <v>0</v>
      </c>
      <c r="H57" s="2" t="str">
        <f aca="false">IF(G57&gt;=Settings!$B$3,"High",IF(G57&gt;=Settings!$B$5,"Medium","Low"))</f>
        <v>Low</v>
      </c>
      <c r="I57" s="2" t="n">
        <f aca="false">COUNTIFS(Map!$D:$D,$A57,Map!$G:$G,"Y")</f>
        <v>0</v>
      </c>
      <c r="J57" s="2" t="str">
        <f aca="false">IF(I57&gt;=Settings!$B$4,"High",IF(I57&gt;=Settings!$B$5,"Medium","Low"))</f>
        <v>Low</v>
      </c>
      <c r="K57" s="2" t="n">
        <f aca="false">COUNTIF(Map!$D:$D,$A57)</f>
        <v>4</v>
      </c>
    </row>
    <row r="58" customFormat="false" ht="15" hidden="false" customHeight="false" outlineLevel="0" collapsed="false">
      <c r="A58" s="2" t="n">
        <v>57</v>
      </c>
      <c r="B58" s="2" t="s">
        <v>89</v>
      </c>
      <c r="C58" s="2" t="s">
        <v>91</v>
      </c>
      <c r="D58" s="2" t="s">
        <v>13</v>
      </c>
      <c r="E58" s="2"/>
      <c r="F58" s="2" t="n">
        <v>50</v>
      </c>
      <c r="G58" s="2" t="n">
        <f aca="false">COUNTIFS(Map!$D:$D,$A58,Map!$F:$F,"Y")</f>
        <v>0</v>
      </c>
      <c r="H58" s="2" t="str">
        <f aca="false">IF(G58&gt;=Settings!$B$3,"High",IF(G58&gt;=Settings!$B$5,"Medium","Low"))</f>
        <v>Low</v>
      </c>
      <c r="I58" s="2" t="n">
        <f aca="false">COUNTIFS(Map!$D:$D,$A58,Map!$G:$G,"Y")</f>
        <v>0</v>
      </c>
      <c r="J58" s="2" t="str">
        <f aca="false">IF(I58&gt;=Settings!$B$4,"High",IF(I58&gt;=Settings!$B$5,"Medium","Low"))</f>
        <v>Low</v>
      </c>
      <c r="K58" s="2" t="n">
        <f aca="false">COUNTIF(Map!$D:$D,$A58)</f>
        <v>2</v>
      </c>
    </row>
    <row r="59" customFormat="false" ht="15" hidden="false" customHeight="false" outlineLevel="0" collapsed="false">
      <c r="A59" s="2" t="n">
        <v>58</v>
      </c>
      <c r="B59" s="2" t="s">
        <v>92</v>
      </c>
      <c r="C59" s="2" t="s">
        <v>93</v>
      </c>
      <c r="D59" s="2" t="s">
        <v>13</v>
      </c>
      <c r="E59" s="2"/>
      <c r="F59" s="2" t="n">
        <v>51</v>
      </c>
      <c r="G59" s="2" t="n">
        <f aca="false">COUNTIFS(Map!$D:$D,$A59,Map!$F:$F,"Y")</f>
        <v>1</v>
      </c>
      <c r="H59" s="2" t="str">
        <f aca="false">IF(G59&gt;=Settings!$B$3,"High",IF(G59&gt;=Settings!$B$5,"Medium","Low"))</f>
        <v>Medium</v>
      </c>
      <c r="I59" s="2" t="n">
        <f aca="false">COUNTIFS(Map!$D:$D,$A59,Map!$G:$G,"Y")</f>
        <v>1</v>
      </c>
      <c r="J59" s="2" t="str">
        <f aca="false">IF(I59&gt;=Settings!$B$4,"High",IF(I59&gt;=Settings!$B$5,"Medium","Low"))</f>
        <v>Medium</v>
      </c>
      <c r="K59" s="2" t="n">
        <f aca="false">COUNTIF(Map!$D:$D,$A59)</f>
        <v>6</v>
      </c>
    </row>
    <row r="60" customFormat="false" ht="15" hidden="false" customHeight="false" outlineLevel="0" collapsed="false">
      <c r="A60" s="2" t="n">
        <v>59</v>
      </c>
      <c r="B60" s="2" t="s">
        <v>92</v>
      </c>
      <c r="C60" s="2" t="s">
        <v>94</v>
      </c>
      <c r="D60" s="2" t="s">
        <v>13</v>
      </c>
      <c r="E60" s="2"/>
      <c r="F60" s="2" t="n">
        <v>52</v>
      </c>
      <c r="G60" s="2" t="n">
        <f aca="false">COUNTIFS(Map!$D:$D,$A60,Map!$F:$F,"Y")</f>
        <v>1</v>
      </c>
      <c r="H60" s="2" t="str">
        <f aca="false">IF(G60&gt;=Settings!$B$3,"High",IF(G60&gt;=Settings!$B$5,"Medium","Low"))</f>
        <v>Medium</v>
      </c>
      <c r="I60" s="2" t="n">
        <f aca="false">COUNTIFS(Map!$D:$D,$A60,Map!$G:$G,"Y")</f>
        <v>0</v>
      </c>
      <c r="J60" s="2" t="str">
        <f aca="false">IF(I60&gt;=Settings!$B$4,"High",IF(I60&gt;=Settings!$B$5,"Medium","Low"))</f>
        <v>Low</v>
      </c>
      <c r="K60" s="2" t="n">
        <f aca="false">COUNTIF(Map!$D:$D,$A60)</f>
        <v>2</v>
      </c>
    </row>
    <row r="61" customFormat="false" ht="15" hidden="false" customHeight="false" outlineLevel="0" collapsed="false">
      <c r="A61" s="2" t="n">
        <v>60</v>
      </c>
      <c r="B61" s="2" t="s">
        <v>92</v>
      </c>
      <c r="C61" s="2" t="s">
        <v>95</v>
      </c>
      <c r="D61" s="2" t="s">
        <v>13</v>
      </c>
      <c r="E61" s="2"/>
      <c r="F61" s="2" t="n">
        <v>53</v>
      </c>
      <c r="G61" s="2" t="n">
        <f aca="false">COUNTIFS(Map!$D:$D,$A61,Map!$F:$F,"Y")</f>
        <v>0</v>
      </c>
      <c r="H61" s="2" t="str">
        <f aca="false">IF(G61&gt;=Settings!$B$3,"High",IF(G61&gt;=Settings!$B$5,"Medium","Low"))</f>
        <v>Low</v>
      </c>
      <c r="I61" s="2" t="n">
        <f aca="false">COUNTIFS(Map!$D:$D,$A61,Map!$G:$G,"Y")</f>
        <v>0</v>
      </c>
      <c r="J61" s="2" t="str">
        <f aca="false">IF(I61&gt;=Settings!$B$4,"High",IF(I61&gt;=Settings!$B$5,"Medium","Low"))</f>
        <v>Low</v>
      </c>
      <c r="K61" s="2" t="n">
        <f aca="false">COUNTIF(Map!$D:$D,$A61)</f>
        <v>0</v>
      </c>
    </row>
    <row r="62" customFormat="false" ht="15" hidden="false" customHeight="false" outlineLevel="0" collapsed="false">
      <c r="A62" s="2" t="n">
        <v>61</v>
      </c>
      <c r="B62" s="2" t="s">
        <v>92</v>
      </c>
      <c r="C62" s="2" t="s">
        <v>96</v>
      </c>
      <c r="D62" s="2" t="s">
        <v>13</v>
      </c>
      <c r="E62" s="2"/>
      <c r="F62" s="2" t="n">
        <v>54</v>
      </c>
      <c r="G62" s="2" t="n">
        <f aca="false">COUNTIFS(Map!$D:$D,$A62,Map!$F:$F,"Y")</f>
        <v>0</v>
      </c>
      <c r="H62" s="2" t="str">
        <f aca="false">IF(G62&gt;=Settings!$B$3,"High",IF(G62&gt;=Settings!$B$5,"Medium","Low"))</f>
        <v>Low</v>
      </c>
      <c r="I62" s="2" t="n">
        <f aca="false">COUNTIFS(Map!$D:$D,$A62,Map!$G:$G,"Y")</f>
        <v>0</v>
      </c>
      <c r="J62" s="2" t="str">
        <f aca="false">IF(I62&gt;=Settings!$B$4,"High",IF(I62&gt;=Settings!$B$5,"Medium","Low"))</f>
        <v>Low</v>
      </c>
      <c r="K62" s="2" t="n">
        <f aca="false">COUNTIF(Map!$D:$D,$A62)</f>
        <v>2</v>
      </c>
    </row>
    <row r="63" customFormat="false" ht="15" hidden="false" customHeight="false" outlineLevel="0" collapsed="false">
      <c r="A63" s="2" t="n">
        <v>62</v>
      </c>
      <c r="B63" s="2" t="s">
        <v>92</v>
      </c>
      <c r="C63" s="2" t="s">
        <v>97</v>
      </c>
      <c r="D63" s="2" t="s">
        <v>13</v>
      </c>
      <c r="E63" s="2"/>
      <c r="F63" s="2" t="n">
        <v>55</v>
      </c>
      <c r="G63" s="2" t="n">
        <f aca="false">COUNTIFS(Map!$D:$D,$A63,Map!$F:$F,"Y")</f>
        <v>0</v>
      </c>
      <c r="H63" s="2" t="str">
        <f aca="false">IF(G63&gt;=Settings!$B$3,"High",IF(G63&gt;=Settings!$B$5,"Medium","Low"))</f>
        <v>Low</v>
      </c>
      <c r="I63" s="2" t="n">
        <f aca="false">COUNTIFS(Map!$D:$D,$A63,Map!$G:$G,"Y")</f>
        <v>0</v>
      </c>
      <c r="J63" s="2" t="str">
        <f aca="false">IF(I63&gt;=Settings!$B$4,"High",IF(I63&gt;=Settings!$B$5,"Medium","Low"))</f>
        <v>Low</v>
      </c>
      <c r="K63" s="2" t="n">
        <f aca="false">COUNTIF(Map!$D:$D,$A63)</f>
        <v>2</v>
      </c>
    </row>
    <row r="64" customFormat="false" ht="15" hidden="false" customHeight="false" outlineLevel="0" collapsed="false">
      <c r="A64" s="2" t="n">
        <v>63</v>
      </c>
      <c r="B64" s="2" t="s">
        <v>92</v>
      </c>
      <c r="C64" s="2" t="s">
        <v>98</v>
      </c>
      <c r="D64" s="2" t="s">
        <v>13</v>
      </c>
      <c r="E64" s="2"/>
      <c r="F64" s="2" t="n">
        <v>56</v>
      </c>
      <c r="G64" s="2" t="n">
        <f aca="false">COUNTIFS(Map!$D:$D,$A64,Map!$F:$F,"Y")</f>
        <v>0</v>
      </c>
      <c r="H64" s="2" t="str">
        <f aca="false">IF(G64&gt;=Settings!$B$3,"High",IF(G64&gt;=Settings!$B$5,"Medium","Low"))</f>
        <v>Low</v>
      </c>
      <c r="I64" s="2" t="n">
        <f aca="false">COUNTIFS(Map!$D:$D,$A64,Map!$G:$G,"Y")</f>
        <v>0</v>
      </c>
      <c r="J64" s="2" t="str">
        <f aca="false">IF(I64&gt;=Settings!$B$4,"High",IF(I64&gt;=Settings!$B$5,"Medium","Low"))</f>
        <v>Low</v>
      </c>
      <c r="K64" s="2" t="n">
        <f aca="false">COUNTIF(Map!$D:$D,$A64)</f>
        <v>0</v>
      </c>
    </row>
    <row r="65" customFormat="false" ht="15" hidden="false" customHeight="false" outlineLevel="0" collapsed="false">
      <c r="A65" s="2" t="n">
        <v>64</v>
      </c>
      <c r="B65" s="2" t="s">
        <v>92</v>
      </c>
      <c r="C65" s="2" t="s">
        <v>99</v>
      </c>
      <c r="D65" s="2" t="s">
        <v>13</v>
      </c>
      <c r="E65" s="2"/>
      <c r="F65" s="2" t="n">
        <v>57</v>
      </c>
      <c r="G65" s="2" t="n">
        <f aca="false">COUNTIFS(Map!$D:$D,$A65,Map!$F:$F,"Y")</f>
        <v>0</v>
      </c>
      <c r="H65" s="2" t="str">
        <f aca="false">IF(G65&gt;=Settings!$B$3,"High",IF(G65&gt;=Settings!$B$5,"Medium","Low"))</f>
        <v>Low</v>
      </c>
      <c r="I65" s="2" t="n">
        <f aca="false">COUNTIFS(Map!$D:$D,$A65,Map!$G:$G,"Y")</f>
        <v>0</v>
      </c>
      <c r="J65" s="2" t="str">
        <f aca="false">IF(I65&gt;=Settings!$B$4,"High",IF(I65&gt;=Settings!$B$5,"Medium","Low"))</f>
        <v>Low</v>
      </c>
      <c r="K65" s="2" t="n">
        <f aca="false">COUNTIF(Map!$D:$D,$A65)</f>
        <v>0</v>
      </c>
    </row>
    <row r="66" customFormat="false" ht="23.85" hidden="false" customHeight="false" outlineLevel="0" collapsed="false">
      <c r="A66" s="2" t="n">
        <v>65</v>
      </c>
      <c r="B66" s="2" t="s">
        <v>92</v>
      </c>
      <c r="C66" s="2" t="s">
        <v>100</v>
      </c>
      <c r="D66" s="2" t="s">
        <v>13</v>
      </c>
      <c r="E66" s="2"/>
      <c r="F66" s="2" t="n">
        <v>58</v>
      </c>
      <c r="G66" s="2" t="n">
        <f aca="false">COUNTIFS(Map!$D:$D,$A66,Map!$F:$F,"Y")</f>
        <v>0</v>
      </c>
      <c r="H66" s="2" t="str">
        <f aca="false">IF(G66&gt;=Settings!$B$3,"High",IF(G66&gt;=Settings!$B$5,"Medium","Low"))</f>
        <v>Low</v>
      </c>
      <c r="I66" s="2" t="n">
        <f aca="false">COUNTIFS(Map!$D:$D,$A66,Map!$G:$G,"Y")</f>
        <v>0</v>
      </c>
      <c r="J66" s="2" t="str">
        <f aca="false">IF(I66&gt;=Settings!$B$4,"High",IF(I66&gt;=Settings!$B$5,"Medium","Low"))</f>
        <v>Low</v>
      </c>
      <c r="K66" s="2" t="n">
        <f aca="false">COUNTIF(Map!$D:$D,$A66)</f>
        <v>3</v>
      </c>
    </row>
    <row r="67" customFormat="false" ht="23.85" hidden="false" customHeight="false" outlineLevel="0" collapsed="false">
      <c r="A67" s="2" t="n">
        <v>66</v>
      </c>
      <c r="B67" s="2" t="s">
        <v>92</v>
      </c>
      <c r="C67" s="2" t="s">
        <v>101</v>
      </c>
      <c r="D67" s="2" t="s">
        <v>13</v>
      </c>
      <c r="E67" s="2"/>
      <c r="F67" s="2" t="n">
        <v>59</v>
      </c>
      <c r="G67" s="2" t="n">
        <f aca="false">COUNTIFS(Map!$D:$D,$A67,Map!$F:$F,"Y")</f>
        <v>0</v>
      </c>
      <c r="H67" s="2" t="str">
        <f aca="false">IF(G67&gt;=Settings!$B$3,"High",IF(G67&gt;=Settings!$B$5,"Medium","Low"))</f>
        <v>Low</v>
      </c>
      <c r="I67" s="2" t="n">
        <f aca="false">COUNTIFS(Map!$D:$D,$A67,Map!$G:$G,"Y")</f>
        <v>0</v>
      </c>
      <c r="J67" s="2" t="str">
        <f aca="false">IF(I67&gt;=Settings!$B$4,"High",IF(I67&gt;=Settings!$B$5,"Medium","Low"))</f>
        <v>Low</v>
      </c>
      <c r="K67" s="2" t="n">
        <f aca="false">COUNTIF(Map!$D:$D,$A67)</f>
        <v>2</v>
      </c>
    </row>
    <row r="68" customFormat="false" ht="15" hidden="false" customHeight="false" outlineLevel="0" collapsed="false">
      <c r="A68" s="2" t="n">
        <v>67</v>
      </c>
      <c r="B68" s="2" t="s">
        <v>92</v>
      </c>
      <c r="C68" s="2" t="s">
        <v>102</v>
      </c>
      <c r="D68" s="2" t="s">
        <v>13</v>
      </c>
      <c r="E68" s="2"/>
      <c r="F68" s="2" t="n">
        <v>60</v>
      </c>
      <c r="G68" s="2" t="n">
        <f aca="false">COUNTIFS(Map!$D:$D,$A68,Map!$F:$F,"Y")</f>
        <v>0</v>
      </c>
      <c r="H68" s="2" t="str">
        <f aca="false">IF(G68&gt;=Settings!$B$3,"High",IF(G68&gt;=Settings!$B$5,"Medium","Low"))</f>
        <v>Low</v>
      </c>
      <c r="I68" s="2" t="n">
        <f aca="false">COUNTIFS(Map!$D:$D,$A68,Map!$G:$G,"Y")</f>
        <v>0</v>
      </c>
      <c r="J68" s="2" t="str">
        <f aca="false">IF(I68&gt;=Settings!$B$4,"High",IF(I68&gt;=Settings!$B$5,"Medium","Low"))</f>
        <v>Low</v>
      </c>
      <c r="K68" s="2" t="n">
        <f aca="false">COUNTIF(Map!$D:$D,$A68)</f>
        <v>0</v>
      </c>
    </row>
    <row r="69" customFormat="false" ht="15" hidden="false" customHeight="false" outlineLevel="0" collapsed="false">
      <c r="A69" s="2" t="n">
        <v>68</v>
      </c>
      <c r="B69" s="2" t="s">
        <v>92</v>
      </c>
      <c r="C69" s="2" t="s">
        <v>103</v>
      </c>
      <c r="D69" s="2" t="s">
        <v>17</v>
      </c>
      <c r="E69" s="2" t="s">
        <v>104</v>
      </c>
      <c r="F69" s="2"/>
      <c r="G69" s="2" t="n">
        <f aca="false">COUNTIFS(Map!$D:$D,$A69,Map!$F:$F,"Y")</f>
        <v>1</v>
      </c>
      <c r="H69" s="2" t="str">
        <f aca="false">IF(G69&gt;=Settings!$B$3,"High",IF(G69&gt;=Settings!$B$5,"Medium","Low"))</f>
        <v>Medium</v>
      </c>
      <c r="I69" s="2" t="n">
        <f aca="false">COUNTIFS(Map!$D:$D,$A69,Map!$G:$G,"Y")</f>
        <v>1</v>
      </c>
      <c r="J69" s="2" t="str">
        <f aca="false">IF(I69&gt;=Settings!$B$4,"High",IF(I69&gt;=Settings!$B$5,"Medium","Low"))</f>
        <v>Medium</v>
      </c>
      <c r="K69" s="2" t="n">
        <f aca="false">COUNTIF(Map!$D:$D,$A69)</f>
        <v>2</v>
      </c>
    </row>
    <row r="70" customFormat="false" ht="15" hidden="false" customHeight="false" outlineLevel="0" collapsed="false">
      <c r="A70" s="2" t="n">
        <v>69</v>
      </c>
      <c r="B70" s="2" t="s">
        <v>105</v>
      </c>
      <c r="C70" s="2" t="s">
        <v>106</v>
      </c>
      <c r="D70" s="2" t="s">
        <v>13</v>
      </c>
      <c r="E70" s="2"/>
      <c r="F70" s="2" t="n">
        <v>61</v>
      </c>
      <c r="G70" s="2" t="n">
        <f aca="false">COUNTIFS(Map!$D:$D,$A70,Map!$F:$F,"Y")</f>
        <v>0</v>
      </c>
      <c r="H70" s="2" t="str">
        <f aca="false">IF(G70&gt;=Settings!$B$3,"High",IF(G70&gt;=Settings!$B$5,"Medium","Low"))</f>
        <v>Low</v>
      </c>
      <c r="I70" s="2" t="n">
        <f aca="false">COUNTIFS(Map!$D:$D,$A70,Map!$G:$G,"Y")</f>
        <v>0</v>
      </c>
      <c r="J70" s="2" t="str">
        <f aca="false">IF(I70&gt;=Settings!$B$4,"High",IF(I70&gt;=Settings!$B$5,"Medium","Low"))</f>
        <v>Low</v>
      </c>
      <c r="K70" s="2" t="n">
        <f aca="false">COUNTIF(Map!$D:$D,$A70)</f>
        <v>2</v>
      </c>
    </row>
    <row r="71" customFormat="false" ht="15" hidden="false" customHeight="false" outlineLevel="0" collapsed="false">
      <c r="A71" s="2" t="n">
        <v>70</v>
      </c>
      <c r="B71" s="2" t="s">
        <v>107</v>
      </c>
      <c r="C71" s="2" t="s">
        <v>108</v>
      </c>
      <c r="D71" s="2" t="s">
        <v>13</v>
      </c>
      <c r="E71" s="2"/>
      <c r="F71" s="2" t="n">
        <v>62</v>
      </c>
      <c r="G71" s="2" t="n">
        <f aca="false">COUNTIFS(Map!$D:$D,$A71,Map!$F:$F,"Y")</f>
        <v>0</v>
      </c>
      <c r="H71" s="2" t="str">
        <f aca="false">IF(G71&gt;=Settings!$B$3,"High",IF(G71&gt;=Settings!$B$5,"Medium","Low"))</f>
        <v>Low</v>
      </c>
      <c r="I71" s="2" t="n">
        <f aca="false">COUNTIFS(Map!$D:$D,$A71,Map!$G:$G,"Y")</f>
        <v>0</v>
      </c>
      <c r="J71" s="2" t="str">
        <f aca="false">IF(I71&gt;=Settings!$B$4,"High",IF(I71&gt;=Settings!$B$5,"Medium","Low"))</f>
        <v>Low</v>
      </c>
      <c r="K71" s="2" t="n">
        <f aca="false">COUNTIF(Map!$D:$D,$A71)</f>
        <v>1</v>
      </c>
    </row>
    <row r="72" customFormat="false" ht="23.85" hidden="false" customHeight="false" outlineLevel="0" collapsed="false">
      <c r="A72" s="2" t="n">
        <v>71</v>
      </c>
      <c r="B72" s="2" t="s">
        <v>107</v>
      </c>
      <c r="C72" s="2" t="s">
        <v>109</v>
      </c>
      <c r="D72" s="2" t="s">
        <v>13</v>
      </c>
      <c r="E72" s="2"/>
      <c r="F72" s="2" t="n">
        <v>63</v>
      </c>
      <c r="G72" s="2" t="n">
        <f aca="false">COUNTIFS(Map!$D:$D,$A72,Map!$F:$F,"Y")</f>
        <v>0</v>
      </c>
      <c r="H72" s="2" t="str">
        <f aca="false">IF(G72&gt;=Settings!$B$3,"High",IF(G72&gt;=Settings!$B$5,"Medium","Low"))</f>
        <v>Low</v>
      </c>
      <c r="I72" s="2" t="n">
        <f aca="false">COUNTIFS(Map!$D:$D,$A72,Map!$G:$G,"Y")</f>
        <v>0</v>
      </c>
      <c r="J72" s="2" t="str">
        <f aca="false">IF(I72&gt;=Settings!$B$4,"High",IF(I72&gt;=Settings!$B$5,"Medium","Low"))</f>
        <v>Low</v>
      </c>
      <c r="K72" s="2" t="n">
        <f aca="false">COUNTIF(Map!$D:$D,$A72)</f>
        <v>1</v>
      </c>
    </row>
    <row r="73" customFormat="false" ht="23.85" hidden="false" customHeight="false" outlineLevel="0" collapsed="false">
      <c r="A73" s="2" t="n">
        <v>72</v>
      </c>
      <c r="B73" s="2" t="s">
        <v>107</v>
      </c>
      <c r="C73" s="2" t="s">
        <v>110</v>
      </c>
      <c r="D73" s="2" t="s">
        <v>13</v>
      </c>
      <c r="E73" s="2"/>
      <c r="F73" s="2" t="n">
        <v>64</v>
      </c>
      <c r="G73" s="2" t="n">
        <f aca="false">COUNTIFS(Map!$D:$D,$A73,Map!$F:$F,"Y")</f>
        <v>0</v>
      </c>
      <c r="H73" s="2" t="str">
        <f aca="false">IF(G73&gt;=Settings!$B$3,"High",IF(G73&gt;=Settings!$B$5,"Medium","Low"))</f>
        <v>Low</v>
      </c>
      <c r="I73" s="2" t="n">
        <f aca="false">COUNTIFS(Map!$D:$D,$A73,Map!$G:$G,"Y")</f>
        <v>0</v>
      </c>
      <c r="J73" s="2" t="str">
        <f aca="false">IF(I73&gt;=Settings!$B$4,"High",IF(I73&gt;=Settings!$B$5,"Medium","Low"))</f>
        <v>Low</v>
      </c>
      <c r="K73" s="2" t="n">
        <f aca="false">COUNTIF(Map!$D:$D,$A73)</f>
        <v>0</v>
      </c>
    </row>
    <row r="74" customFormat="false" ht="15" hidden="false" customHeight="false" outlineLevel="0" collapsed="false">
      <c r="A74" s="2" t="n">
        <v>73</v>
      </c>
      <c r="B74" s="2" t="s">
        <v>111</v>
      </c>
      <c r="C74" s="2" t="s">
        <v>112</v>
      </c>
      <c r="D74" s="2" t="s">
        <v>13</v>
      </c>
      <c r="E74" s="2"/>
      <c r="F74" s="2" t="n">
        <v>65</v>
      </c>
      <c r="G74" s="2" t="n">
        <f aca="false">COUNTIFS(Map!$D:$D,$A74,Map!$F:$F,"Y")</f>
        <v>1</v>
      </c>
      <c r="H74" s="2" t="str">
        <f aca="false">IF(G74&gt;=Settings!$B$3,"High",IF(G74&gt;=Settings!$B$5,"Medium","Low"))</f>
        <v>Medium</v>
      </c>
      <c r="I74" s="2" t="n">
        <f aca="false">COUNTIFS(Map!$D:$D,$A74,Map!$G:$G,"Y")</f>
        <v>2</v>
      </c>
      <c r="J74" s="2" t="str">
        <f aca="false">IF(I74&gt;=Settings!$B$4,"High",IF(I74&gt;=Settings!$B$5,"Medium","Low"))</f>
        <v>Medium</v>
      </c>
      <c r="K74" s="2" t="n">
        <f aca="false">COUNTIF(Map!$D:$D,$A74)</f>
        <v>2</v>
      </c>
    </row>
    <row r="75" customFormat="false" ht="15" hidden="false" customHeight="false" outlineLevel="0" collapsed="false">
      <c r="A75" s="2" t="n">
        <v>74</v>
      </c>
      <c r="B75" s="2" t="s">
        <v>111</v>
      </c>
      <c r="C75" s="2" t="s">
        <v>113</v>
      </c>
      <c r="D75" s="2" t="s">
        <v>13</v>
      </c>
      <c r="E75" s="2"/>
      <c r="F75" s="2" t="n">
        <v>66</v>
      </c>
      <c r="G75" s="2" t="n">
        <f aca="false">COUNTIFS(Map!$D:$D,$A75,Map!$F:$F,"Y")</f>
        <v>1</v>
      </c>
      <c r="H75" s="2" t="str">
        <f aca="false">IF(G75&gt;=Settings!$B$3,"High",IF(G75&gt;=Settings!$B$5,"Medium","Low"))</f>
        <v>Medium</v>
      </c>
      <c r="I75" s="2" t="n">
        <f aca="false">COUNTIFS(Map!$D:$D,$A75,Map!$G:$G,"Y")</f>
        <v>2</v>
      </c>
      <c r="J75" s="2" t="str">
        <f aca="false">IF(I75&gt;=Settings!$B$4,"High",IF(I75&gt;=Settings!$B$5,"Medium","Low"))</f>
        <v>Medium</v>
      </c>
      <c r="K75" s="2" t="n">
        <f aca="false">COUNTIF(Map!$D:$D,$A75)</f>
        <v>6</v>
      </c>
    </row>
    <row r="76" customFormat="false" ht="23.85" hidden="false" customHeight="false" outlineLevel="0" collapsed="false">
      <c r="A76" s="2" t="n">
        <v>75</v>
      </c>
      <c r="B76" s="2" t="s">
        <v>114</v>
      </c>
      <c r="C76" s="2" t="s">
        <v>115</v>
      </c>
      <c r="D76" s="2" t="s">
        <v>13</v>
      </c>
      <c r="E76" s="2"/>
      <c r="F76" s="2" t="n">
        <v>67</v>
      </c>
      <c r="G76" s="2" t="n">
        <f aca="false">COUNTIFS(Map!$D:$D,$A76,Map!$F:$F,"Y")</f>
        <v>0</v>
      </c>
      <c r="H76" s="2" t="str">
        <f aca="false">IF(G76&gt;=Settings!$B$3,"High",IF(G76&gt;=Settings!$B$5,"Medium","Low"))</f>
        <v>Low</v>
      </c>
      <c r="I76" s="2" t="n">
        <f aca="false">COUNTIFS(Map!$D:$D,$A76,Map!$G:$G,"Y")</f>
        <v>1</v>
      </c>
      <c r="J76" s="2" t="str">
        <f aca="false">IF(I76&gt;=Settings!$B$4,"High",IF(I76&gt;=Settings!$B$5,"Medium","Low"))</f>
        <v>Medium</v>
      </c>
      <c r="K76" s="2" t="n">
        <f aca="false">COUNTIF(Map!$D:$D,$A76)</f>
        <v>4</v>
      </c>
    </row>
    <row r="77" customFormat="false" ht="15" hidden="false" customHeight="false" outlineLevel="0" collapsed="false">
      <c r="A77" s="2" t="n">
        <v>76</v>
      </c>
      <c r="B77" s="2" t="s">
        <v>114</v>
      </c>
      <c r="C77" s="2" t="s">
        <v>116</v>
      </c>
      <c r="D77" s="2" t="s">
        <v>13</v>
      </c>
      <c r="E77" s="2"/>
      <c r="F77" s="2" t="n">
        <v>68</v>
      </c>
      <c r="G77" s="2" t="n">
        <f aca="false">COUNTIFS(Map!$D:$D,$A77,Map!$F:$F,"Y")</f>
        <v>0</v>
      </c>
      <c r="H77" s="2" t="str">
        <f aca="false">IF(G77&gt;=Settings!$B$3,"High",IF(G77&gt;=Settings!$B$5,"Medium","Low"))</f>
        <v>Low</v>
      </c>
      <c r="I77" s="2" t="n">
        <f aca="false">COUNTIFS(Map!$D:$D,$A77,Map!$G:$G,"Y")</f>
        <v>0</v>
      </c>
      <c r="J77" s="2" t="str">
        <f aca="false">IF(I77&gt;=Settings!$B$4,"High",IF(I77&gt;=Settings!$B$5,"Medium","Low"))</f>
        <v>Low</v>
      </c>
      <c r="K77" s="2" t="n">
        <f aca="false">COUNTIF(Map!$D:$D,$A77)</f>
        <v>0</v>
      </c>
    </row>
    <row r="78" customFormat="false" ht="15" hidden="false" customHeight="false" outlineLevel="0" collapsed="false">
      <c r="A78" s="2" t="n">
        <v>77</v>
      </c>
      <c r="B78" s="2" t="s">
        <v>117</v>
      </c>
      <c r="C78" s="2" t="s">
        <v>118</v>
      </c>
      <c r="D78" s="2" t="s">
        <v>13</v>
      </c>
      <c r="E78" s="2"/>
      <c r="F78" s="2" t="n">
        <v>69</v>
      </c>
      <c r="G78" s="2" t="n">
        <f aca="false">COUNTIFS(Map!$D:$D,$A78,Map!$F:$F,"Y")</f>
        <v>0</v>
      </c>
      <c r="H78" s="2" t="str">
        <f aca="false">IF(G78&gt;=Settings!$B$3,"High",IF(G78&gt;=Settings!$B$5,"Medium","Low"))</f>
        <v>Low</v>
      </c>
      <c r="I78" s="2" t="n">
        <f aca="false">COUNTIFS(Map!$D:$D,$A78,Map!$G:$G,"Y")</f>
        <v>0</v>
      </c>
      <c r="J78" s="2" t="str">
        <f aca="false">IF(I78&gt;=Settings!$B$4,"High",IF(I78&gt;=Settings!$B$5,"Medium","Low"))</f>
        <v>Low</v>
      </c>
      <c r="K78" s="2" t="n">
        <f aca="false">COUNTIF(Map!$D:$D,$A78)</f>
        <v>0</v>
      </c>
    </row>
    <row r="79" customFormat="false" ht="15" hidden="false" customHeight="false" outlineLevel="0" collapsed="false">
      <c r="A79" s="2" t="n">
        <v>78</v>
      </c>
      <c r="B79" s="2" t="s">
        <v>117</v>
      </c>
      <c r="C79" s="2" t="s">
        <v>119</v>
      </c>
      <c r="D79" s="2" t="s">
        <v>13</v>
      </c>
      <c r="E79" s="2"/>
      <c r="F79" s="2" t="n">
        <v>70</v>
      </c>
      <c r="G79" s="2" t="n">
        <f aca="false">COUNTIFS(Map!$D:$D,$A79,Map!$F:$F,"Y")</f>
        <v>0</v>
      </c>
      <c r="H79" s="2" t="str">
        <f aca="false">IF(G79&gt;=Settings!$B$3,"High",IF(G79&gt;=Settings!$B$5,"Medium","Low"))</f>
        <v>Low</v>
      </c>
      <c r="I79" s="2" t="n">
        <f aca="false">COUNTIFS(Map!$D:$D,$A79,Map!$G:$G,"Y")</f>
        <v>2</v>
      </c>
      <c r="J79" s="2" t="str">
        <f aca="false">IF(I79&gt;=Settings!$B$4,"High",IF(I79&gt;=Settings!$B$5,"Medium","Low"))</f>
        <v>Medium</v>
      </c>
      <c r="K79" s="2" t="n">
        <f aca="false">COUNTIF(Map!$D:$D,$A79)</f>
        <v>5</v>
      </c>
    </row>
    <row r="80" customFormat="false" ht="23.85" hidden="false" customHeight="false" outlineLevel="0" collapsed="false">
      <c r="A80" s="2" t="n">
        <v>79</v>
      </c>
      <c r="B80" s="2" t="s">
        <v>117</v>
      </c>
      <c r="C80" s="2" t="s">
        <v>120</v>
      </c>
      <c r="D80" s="2" t="s">
        <v>13</v>
      </c>
      <c r="E80" s="2"/>
      <c r="F80" s="2" t="n">
        <v>71</v>
      </c>
      <c r="G80" s="2" t="n">
        <f aca="false">COUNTIFS(Map!$D:$D,$A80,Map!$F:$F,"Y")</f>
        <v>1</v>
      </c>
      <c r="H80" s="2" t="str">
        <f aca="false">IF(G80&gt;=Settings!$B$3,"High",IF(G80&gt;=Settings!$B$5,"Medium","Low"))</f>
        <v>Medium</v>
      </c>
      <c r="I80" s="2" t="n">
        <f aca="false">COUNTIFS(Map!$D:$D,$A80,Map!$G:$G,"Y")</f>
        <v>2</v>
      </c>
      <c r="J80" s="2" t="str">
        <f aca="false">IF(I80&gt;=Settings!$B$4,"High",IF(I80&gt;=Settings!$B$5,"Medium","Low"))</f>
        <v>Medium</v>
      </c>
      <c r="K80" s="2" t="n">
        <f aca="false">COUNTIF(Map!$D:$D,$A80)</f>
        <v>6</v>
      </c>
    </row>
    <row r="81" customFormat="false" ht="23.85" hidden="false" customHeight="false" outlineLevel="0" collapsed="false">
      <c r="A81" s="2" t="n">
        <v>80</v>
      </c>
      <c r="B81" s="2" t="s">
        <v>121</v>
      </c>
      <c r="C81" s="2" t="s">
        <v>122</v>
      </c>
      <c r="D81" s="2" t="s">
        <v>13</v>
      </c>
      <c r="E81" s="2"/>
      <c r="F81" s="2" t="n">
        <v>72</v>
      </c>
      <c r="G81" s="2" t="n">
        <f aca="false">COUNTIFS(Map!$D:$D,$A81,Map!$F:$F,"Y")</f>
        <v>1</v>
      </c>
      <c r="H81" s="2" t="str">
        <f aca="false">IF(G81&gt;=Settings!$B$3,"High",IF(G81&gt;=Settings!$B$5,"Medium","Low"))</f>
        <v>Medium</v>
      </c>
      <c r="I81" s="2" t="n">
        <f aca="false">COUNTIFS(Map!$D:$D,$A81,Map!$G:$G,"Y")</f>
        <v>1</v>
      </c>
      <c r="J81" s="2" t="str">
        <f aca="false">IF(I81&gt;=Settings!$B$4,"High",IF(I81&gt;=Settings!$B$5,"Medium","Low"))</f>
        <v>Medium</v>
      </c>
      <c r="K81" s="2" t="n">
        <f aca="false">COUNTIF(Map!$D:$D,$A81)</f>
        <v>5</v>
      </c>
    </row>
    <row r="82" customFormat="false" ht="23.85" hidden="false" customHeight="false" outlineLevel="0" collapsed="false">
      <c r="A82" s="2" t="n">
        <v>81</v>
      </c>
      <c r="B82" s="2" t="s">
        <v>121</v>
      </c>
      <c r="C82" s="2" t="s">
        <v>123</v>
      </c>
      <c r="D82" s="2" t="s">
        <v>13</v>
      </c>
      <c r="E82" s="2"/>
      <c r="F82" s="2" t="n">
        <v>73</v>
      </c>
      <c r="G82" s="2" t="n">
        <f aca="false">COUNTIFS(Map!$D:$D,$A82,Map!$F:$F,"Y")</f>
        <v>4</v>
      </c>
      <c r="H82" s="2" t="str">
        <f aca="false">IF(G82&gt;=Settings!$B$3,"High",IF(G82&gt;=Settings!$B$5,"Medium","Low"))</f>
        <v>Medium</v>
      </c>
      <c r="I82" s="2" t="n">
        <f aca="false">COUNTIFS(Map!$D:$D,$A82,Map!$G:$G,"Y")</f>
        <v>6</v>
      </c>
      <c r="J82" s="2" t="str">
        <f aca="false">IF(I82&gt;=Settings!$B$4,"High",IF(I82&gt;=Settings!$B$5,"Medium","Low"))</f>
        <v>Medium</v>
      </c>
      <c r="K82" s="2" t="n">
        <f aca="false">COUNTIF(Map!$D:$D,$A82)</f>
        <v>11</v>
      </c>
    </row>
    <row r="83" customFormat="false" ht="23.85" hidden="false" customHeight="false" outlineLevel="0" collapsed="false">
      <c r="A83" s="2" t="n">
        <v>82</v>
      </c>
      <c r="B83" s="2" t="s">
        <v>121</v>
      </c>
      <c r="C83" s="2" t="s">
        <v>124</v>
      </c>
      <c r="D83" s="2" t="s">
        <v>13</v>
      </c>
      <c r="E83" s="2"/>
      <c r="F83" s="2" t="n">
        <v>74</v>
      </c>
      <c r="G83" s="2" t="n">
        <f aca="false">COUNTIFS(Map!$D:$D,$A83,Map!$F:$F,"Y")</f>
        <v>0</v>
      </c>
      <c r="H83" s="2" t="str">
        <f aca="false">IF(G83&gt;=Settings!$B$3,"High",IF(G83&gt;=Settings!$B$5,"Medium","Low"))</f>
        <v>Low</v>
      </c>
      <c r="I83" s="2" t="n">
        <f aca="false">COUNTIFS(Map!$D:$D,$A83,Map!$G:$G,"Y")</f>
        <v>0</v>
      </c>
      <c r="J83" s="2" t="str">
        <f aca="false">IF(I83&gt;=Settings!$B$4,"High",IF(I83&gt;=Settings!$B$5,"Medium","Low"))</f>
        <v>Low</v>
      </c>
      <c r="K83" s="2" t="n">
        <f aca="false">COUNTIF(Map!$D:$D,$A83)</f>
        <v>0</v>
      </c>
    </row>
    <row r="84" customFormat="false" ht="23.85" hidden="false" customHeight="false" outlineLevel="0" collapsed="false">
      <c r="A84" s="2" t="n">
        <v>83</v>
      </c>
      <c r="B84" s="2" t="s">
        <v>121</v>
      </c>
      <c r="C84" s="2" t="s">
        <v>125</v>
      </c>
      <c r="D84" s="2" t="s">
        <v>13</v>
      </c>
      <c r="E84" s="2"/>
      <c r="F84" s="2" t="n">
        <v>75</v>
      </c>
      <c r="G84" s="2" t="n">
        <f aca="false">COUNTIFS(Map!$D:$D,$A84,Map!$F:$F,"Y")</f>
        <v>0</v>
      </c>
      <c r="H84" s="2" t="str">
        <f aca="false">IF(G84&gt;=Settings!$B$3,"High",IF(G84&gt;=Settings!$B$5,"Medium","Low"))</f>
        <v>Low</v>
      </c>
      <c r="I84" s="2" t="n">
        <f aca="false">COUNTIFS(Map!$D:$D,$A84,Map!$G:$G,"Y")</f>
        <v>0</v>
      </c>
      <c r="J84" s="2" t="str">
        <f aca="false">IF(I84&gt;=Settings!$B$4,"High",IF(I84&gt;=Settings!$B$5,"Medium","Low"))</f>
        <v>Low</v>
      </c>
      <c r="K84" s="2" t="n">
        <f aca="false">COUNTIF(Map!$D:$D,$A84)</f>
        <v>2</v>
      </c>
    </row>
    <row r="85" customFormat="false" ht="23.85" hidden="false" customHeight="false" outlineLevel="0" collapsed="false">
      <c r="A85" s="2" t="n">
        <v>84</v>
      </c>
      <c r="B85" s="2" t="s">
        <v>121</v>
      </c>
      <c r="C85" s="2" t="s">
        <v>126</v>
      </c>
      <c r="D85" s="2" t="s">
        <v>13</v>
      </c>
      <c r="E85" s="2"/>
      <c r="F85" s="2" t="n">
        <v>76</v>
      </c>
      <c r="G85" s="2" t="n">
        <f aca="false">COUNTIFS(Map!$D:$D,$A85,Map!$F:$F,"Y")</f>
        <v>1</v>
      </c>
      <c r="H85" s="2" t="str">
        <f aca="false">IF(G85&gt;=Settings!$B$3,"High",IF(G85&gt;=Settings!$B$5,"Medium","Low"))</f>
        <v>Medium</v>
      </c>
      <c r="I85" s="2" t="n">
        <f aca="false">COUNTIFS(Map!$D:$D,$A85,Map!$G:$G,"Y")</f>
        <v>0</v>
      </c>
      <c r="J85" s="2" t="str">
        <f aca="false">IF(I85&gt;=Settings!$B$4,"High",IF(I85&gt;=Settings!$B$5,"Medium","Low"))</f>
        <v>Low</v>
      </c>
      <c r="K85" s="2" t="n">
        <f aca="false">COUNTIF(Map!$D:$D,$A85)</f>
        <v>5</v>
      </c>
    </row>
    <row r="86" customFormat="false" ht="15" hidden="false" customHeight="false" outlineLevel="0" collapsed="false">
      <c r="A86" s="2" t="n">
        <v>85</v>
      </c>
      <c r="B86" s="2" t="s">
        <v>127</v>
      </c>
      <c r="C86" s="2" t="s">
        <v>128</v>
      </c>
      <c r="D86" s="2" t="s">
        <v>13</v>
      </c>
      <c r="E86" s="2"/>
      <c r="F86" s="2" t="n">
        <v>77</v>
      </c>
      <c r="G86" s="2" t="n">
        <f aca="false">COUNTIFS(Map!$D:$D,$A86,Map!$F:$F,"Y")</f>
        <v>0</v>
      </c>
      <c r="H86" s="2" t="str">
        <f aca="false">IF(G86&gt;=Settings!$B$3,"High",IF(G86&gt;=Settings!$B$5,"Medium","Low"))</f>
        <v>Low</v>
      </c>
      <c r="I86" s="2" t="n">
        <f aca="false">COUNTIFS(Map!$D:$D,$A86,Map!$G:$G,"Y")</f>
        <v>0</v>
      </c>
      <c r="J86" s="2" t="str">
        <f aca="false">IF(I86&gt;=Settings!$B$4,"High",IF(I86&gt;=Settings!$B$5,"Medium","Low"))</f>
        <v>Low</v>
      </c>
      <c r="K86" s="2" t="n">
        <f aca="false">COUNTIF(Map!$D:$D,$A86)</f>
        <v>0</v>
      </c>
    </row>
    <row r="87" customFormat="false" ht="23.85" hidden="false" customHeight="false" outlineLevel="0" collapsed="false">
      <c r="A87" s="2" t="n">
        <v>86</v>
      </c>
      <c r="B87" s="2" t="s">
        <v>127</v>
      </c>
      <c r="C87" s="2" t="s">
        <v>129</v>
      </c>
      <c r="D87" s="2" t="s">
        <v>13</v>
      </c>
      <c r="E87" s="2"/>
      <c r="F87" s="2" t="n">
        <v>78</v>
      </c>
      <c r="G87" s="2" t="n">
        <f aca="false">COUNTIFS(Map!$D:$D,$A87,Map!$F:$F,"Y")</f>
        <v>6</v>
      </c>
      <c r="H87" s="2" t="str">
        <f aca="false">IF(G87&gt;=Settings!$B$3,"High",IF(G87&gt;=Settings!$B$5,"Medium","Low"))</f>
        <v>Medium</v>
      </c>
      <c r="I87" s="2" t="n">
        <f aca="false">COUNTIFS(Map!$D:$D,$A87,Map!$G:$G,"Y")</f>
        <v>6</v>
      </c>
      <c r="J87" s="2" t="str">
        <f aca="false">IF(I87&gt;=Settings!$B$4,"High",IF(I87&gt;=Settings!$B$5,"Medium","Low"))</f>
        <v>Medium</v>
      </c>
      <c r="K87" s="2" t="n">
        <f aca="false">COUNTIF(Map!$D:$D,$A87)</f>
        <v>13</v>
      </c>
    </row>
    <row r="88" customFormat="false" ht="23.85" hidden="false" customHeight="false" outlineLevel="0" collapsed="false">
      <c r="A88" s="2" t="n">
        <v>87</v>
      </c>
      <c r="B88" s="2" t="s">
        <v>127</v>
      </c>
      <c r="C88" s="2" t="s">
        <v>130</v>
      </c>
      <c r="D88" s="2" t="s">
        <v>13</v>
      </c>
      <c r="E88" s="2"/>
      <c r="F88" s="2" t="n">
        <v>79</v>
      </c>
      <c r="G88" s="2" t="n">
        <f aca="false">COUNTIFS(Map!$D:$D,$A88,Map!$F:$F,"Y")</f>
        <v>1</v>
      </c>
      <c r="H88" s="2" t="str">
        <f aca="false">IF(G88&gt;=Settings!$B$3,"High",IF(G88&gt;=Settings!$B$5,"Medium","Low"))</f>
        <v>Medium</v>
      </c>
      <c r="I88" s="2" t="n">
        <f aca="false">COUNTIFS(Map!$D:$D,$A88,Map!$G:$G,"Y")</f>
        <v>1</v>
      </c>
      <c r="J88" s="2" t="str">
        <f aca="false">IF(I88&gt;=Settings!$B$4,"High",IF(I88&gt;=Settings!$B$5,"Medium","Low"))</f>
        <v>Medium</v>
      </c>
      <c r="K88" s="2" t="n">
        <f aca="false">COUNTIF(Map!$D:$D,$A88)</f>
        <v>4</v>
      </c>
    </row>
    <row r="89" customFormat="false" ht="23.85" hidden="false" customHeight="false" outlineLevel="0" collapsed="false">
      <c r="A89" s="2" t="n">
        <v>88</v>
      </c>
      <c r="B89" s="2" t="s">
        <v>131</v>
      </c>
      <c r="C89" s="2" t="s">
        <v>132</v>
      </c>
      <c r="D89" s="2" t="s">
        <v>13</v>
      </c>
      <c r="E89" s="2"/>
      <c r="F89" s="2" t="n">
        <v>80</v>
      </c>
      <c r="G89" s="2" t="n">
        <f aca="false">COUNTIFS(Map!$D:$D,$A89,Map!$F:$F,"Y")</f>
        <v>3</v>
      </c>
      <c r="H89" s="2" t="str">
        <f aca="false">IF(G89&gt;=Settings!$B$3,"High",IF(G89&gt;=Settings!$B$5,"Medium","Low"))</f>
        <v>Medium</v>
      </c>
      <c r="I89" s="2" t="n">
        <f aca="false">COUNTIFS(Map!$D:$D,$A89,Map!$G:$G,"Y")</f>
        <v>1</v>
      </c>
      <c r="J89" s="2" t="str">
        <f aca="false">IF(I89&gt;=Settings!$B$4,"High",IF(I89&gt;=Settings!$B$5,"Medium","Low"))</f>
        <v>Medium</v>
      </c>
      <c r="K89" s="2" t="n">
        <f aca="false">COUNTIF(Map!$D:$D,$A89)</f>
        <v>4</v>
      </c>
    </row>
    <row r="90" customFormat="false" ht="23.85" hidden="false" customHeight="false" outlineLevel="0" collapsed="false">
      <c r="A90" s="2" t="n">
        <v>89</v>
      </c>
      <c r="B90" s="2" t="s">
        <v>131</v>
      </c>
      <c r="C90" s="2" t="s">
        <v>133</v>
      </c>
      <c r="D90" s="2" t="s">
        <v>17</v>
      </c>
      <c r="E90" s="2" t="s">
        <v>134</v>
      </c>
      <c r="F90" s="2"/>
      <c r="G90" s="2" t="n">
        <f aca="false">COUNTIFS(Map!$D:$D,$A90,Map!$F:$F,"Y")</f>
        <v>3</v>
      </c>
      <c r="H90" s="2" t="str">
        <f aca="false">IF(G90&gt;=Settings!$B$3,"High",IF(G90&gt;=Settings!$B$5,"Medium","Low"))</f>
        <v>Medium</v>
      </c>
      <c r="I90" s="2" t="n">
        <f aca="false">COUNTIFS(Map!$D:$D,$A90,Map!$G:$G,"Y")</f>
        <v>2</v>
      </c>
      <c r="J90" s="2" t="str">
        <f aca="false">IF(I90&gt;=Settings!$B$4,"High",IF(I90&gt;=Settings!$B$5,"Medium","Low"))</f>
        <v>Medium</v>
      </c>
      <c r="K90" s="2" t="n">
        <f aca="false">COUNTIF(Map!$D:$D,$A90)</f>
        <v>4</v>
      </c>
    </row>
    <row r="91" customFormat="false" ht="23.85" hidden="false" customHeight="false" outlineLevel="0" collapsed="false">
      <c r="A91" s="2" t="n">
        <v>90</v>
      </c>
      <c r="B91" s="2" t="s">
        <v>131</v>
      </c>
      <c r="C91" s="2" t="s">
        <v>135</v>
      </c>
      <c r="D91" s="2" t="s">
        <v>17</v>
      </c>
      <c r="E91" s="2" t="s">
        <v>136</v>
      </c>
      <c r="F91" s="2"/>
      <c r="G91" s="2" t="n">
        <f aca="false">COUNTIFS(Map!$D:$D,$A91,Map!$F:$F,"Y")</f>
        <v>1</v>
      </c>
      <c r="H91" s="2" t="str">
        <f aca="false">IF(G91&gt;=Settings!$B$3,"High",IF(G91&gt;=Settings!$B$5,"Medium","Low"))</f>
        <v>Medium</v>
      </c>
      <c r="I91" s="2" t="n">
        <f aca="false">COUNTIFS(Map!$D:$D,$A91,Map!$G:$G,"Y")</f>
        <v>1</v>
      </c>
      <c r="J91" s="2" t="str">
        <f aca="false">IF(I91&gt;=Settings!$B$4,"High",IF(I91&gt;=Settings!$B$5,"Medium","Low"))</f>
        <v>Medium</v>
      </c>
      <c r="K91" s="2" t="n">
        <f aca="false">COUNTIF(Map!$D:$D,$A91)</f>
        <v>4</v>
      </c>
    </row>
    <row r="92" customFormat="false" ht="23.85" hidden="false" customHeight="false" outlineLevel="0" collapsed="false">
      <c r="A92" s="2" t="n">
        <v>91</v>
      </c>
      <c r="B92" s="2" t="s">
        <v>137</v>
      </c>
      <c r="C92" s="2" t="s">
        <v>138</v>
      </c>
      <c r="D92" s="2" t="s">
        <v>13</v>
      </c>
      <c r="E92" s="2"/>
      <c r="F92" s="2" t="n">
        <v>81</v>
      </c>
      <c r="G92" s="2" t="n">
        <f aca="false">COUNTIFS(Map!$D:$D,$A92,Map!$F:$F,"Y")</f>
        <v>1</v>
      </c>
      <c r="H92" s="2" t="str">
        <f aca="false">IF(G92&gt;=Settings!$B$3,"High",IF(G92&gt;=Settings!$B$5,"Medium","Low"))</f>
        <v>Medium</v>
      </c>
      <c r="I92" s="2" t="n">
        <f aca="false">COUNTIFS(Map!$D:$D,$A92,Map!$G:$G,"Y")</f>
        <v>1</v>
      </c>
      <c r="J92" s="2" t="str">
        <f aca="false">IF(I92&gt;=Settings!$B$4,"High",IF(I92&gt;=Settings!$B$5,"Medium","Low"))</f>
        <v>Medium</v>
      </c>
      <c r="K92" s="2" t="n">
        <f aca="false">COUNTIF(Map!$D:$D,$A92)</f>
        <v>3</v>
      </c>
    </row>
    <row r="93" customFormat="false" ht="23.85" hidden="false" customHeight="false" outlineLevel="0" collapsed="false">
      <c r="A93" s="2" t="n">
        <v>92</v>
      </c>
      <c r="B93" s="2" t="s">
        <v>137</v>
      </c>
      <c r="C93" s="2" t="s">
        <v>139</v>
      </c>
      <c r="D93" s="2" t="s">
        <v>13</v>
      </c>
      <c r="E93" s="2"/>
      <c r="F93" s="2" t="n">
        <v>82</v>
      </c>
      <c r="G93" s="2" t="n">
        <f aca="false">COUNTIFS(Map!$D:$D,$A93,Map!$F:$F,"Y")</f>
        <v>2</v>
      </c>
      <c r="H93" s="2" t="str">
        <f aca="false">IF(G93&gt;=Settings!$B$3,"High",IF(G93&gt;=Settings!$B$5,"Medium","Low"))</f>
        <v>Medium</v>
      </c>
      <c r="I93" s="2" t="n">
        <f aca="false">COUNTIFS(Map!$D:$D,$A93,Map!$G:$G,"Y")</f>
        <v>2</v>
      </c>
      <c r="J93" s="2" t="str">
        <f aca="false">IF(I93&gt;=Settings!$B$4,"High",IF(I93&gt;=Settings!$B$5,"Medium","Low"))</f>
        <v>Medium</v>
      </c>
      <c r="K93" s="2" t="n">
        <f aca="false">COUNTIF(Map!$D:$D,$A93)</f>
        <v>2</v>
      </c>
    </row>
    <row r="94" customFormat="false" ht="15" hidden="false" customHeight="false" outlineLevel="0" collapsed="false">
      <c r="A94" s="2" t="n">
        <v>93</v>
      </c>
      <c r="B94" s="2" t="s">
        <v>137</v>
      </c>
      <c r="C94" s="2" t="s">
        <v>140</v>
      </c>
      <c r="D94" s="2" t="s">
        <v>13</v>
      </c>
      <c r="E94" s="2"/>
      <c r="F94" s="2" t="n">
        <v>83</v>
      </c>
      <c r="G94" s="2" t="n">
        <f aca="false">COUNTIFS(Map!$D:$D,$A94,Map!$F:$F,"Y")</f>
        <v>0</v>
      </c>
      <c r="H94" s="2" t="str">
        <f aca="false">IF(G94&gt;=Settings!$B$3,"High",IF(G94&gt;=Settings!$B$5,"Medium","Low"))</f>
        <v>Low</v>
      </c>
      <c r="I94" s="2" t="n">
        <f aca="false">COUNTIFS(Map!$D:$D,$A94,Map!$G:$G,"Y")</f>
        <v>0</v>
      </c>
      <c r="J94" s="2" t="str">
        <f aca="false">IF(I94&gt;=Settings!$B$4,"High",IF(I94&gt;=Settings!$B$5,"Medium","Low"))</f>
        <v>Low</v>
      </c>
      <c r="K94" s="2" t="n">
        <f aca="false">COUNTIF(Map!$D:$D,$A94)</f>
        <v>0</v>
      </c>
    </row>
    <row r="95" customFormat="false" ht="15" hidden="false" customHeight="false" outlineLevel="0" collapsed="false">
      <c r="A95" s="2" t="n">
        <v>94</v>
      </c>
      <c r="B95" s="2" t="s">
        <v>137</v>
      </c>
      <c r="C95" s="2" t="s">
        <v>141</v>
      </c>
      <c r="D95" s="2" t="s">
        <v>13</v>
      </c>
      <c r="E95" s="2"/>
      <c r="F95" s="2" t="n">
        <v>84</v>
      </c>
      <c r="G95" s="2" t="n">
        <f aca="false">COUNTIFS(Map!$D:$D,$A95,Map!$F:$F,"Y")</f>
        <v>0</v>
      </c>
      <c r="H95" s="2" t="str">
        <f aca="false">IF(G95&gt;=Settings!$B$3,"High",IF(G95&gt;=Settings!$B$5,"Medium","Low"))</f>
        <v>Low</v>
      </c>
      <c r="I95" s="2" t="n">
        <f aca="false">COUNTIFS(Map!$D:$D,$A95,Map!$G:$G,"Y")</f>
        <v>0</v>
      </c>
      <c r="J95" s="2" t="str">
        <f aca="false">IF(I95&gt;=Settings!$B$4,"High",IF(I95&gt;=Settings!$B$5,"Medium","Low"))</f>
        <v>Low</v>
      </c>
      <c r="K95" s="2" t="n">
        <f aca="false">COUNTIF(Map!$D:$D,$A95)</f>
        <v>0</v>
      </c>
    </row>
    <row r="96" customFormat="false" ht="15" hidden="false" customHeight="false" outlineLevel="0" collapsed="false">
      <c r="A96" s="2" t="n">
        <v>95</v>
      </c>
      <c r="B96" s="2" t="s">
        <v>137</v>
      </c>
      <c r="C96" s="2" t="s">
        <v>142</v>
      </c>
      <c r="D96" s="2" t="s">
        <v>13</v>
      </c>
      <c r="E96" s="2"/>
      <c r="F96" s="2" t="n">
        <v>85</v>
      </c>
      <c r="G96" s="2" t="n">
        <f aca="false">COUNTIFS(Map!$D:$D,$A96,Map!$F:$F,"Y")</f>
        <v>2</v>
      </c>
      <c r="H96" s="2" t="str">
        <f aca="false">IF(G96&gt;=Settings!$B$3,"High",IF(G96&gt;=Settings!$B$5,"Medium","Low"))</f>
        <v>Medium</v>
      </c>
      <c r="I96" s="2" t="n">
        <f aca="false">COUNTIFS(Map!$D:$D,$A96,Map!$G:$G,"Y")</f>
        <v>2</v>
      </c>
      <c r="J96" s="2" t="str">
        <f aca="false">IF(I96&gt;=Settings!$B$4,"High",IF(I96&gt;=Settings!$B$5,"Medium","Low"))</f>
        <v>Medium</v>
      </c>
      <c r="K96" s="2" t="n">
        <f aca="false">COUNTIF(Map!$D:$D,$A96)</f>
        <v>3</v>
      </c>
    </row>
    <row r="97" customFormat="false" ht="15" hidden="false" customHeight="false" outlineLevel="0" collapsed="false">
      <c r="A97" s="2" t="n">
        <v>96</v>
      </c>
      <c r="B97" s="2" t="s">
        <v>137</v>
      </c>
      <c r="C97" s="2" t="s">
        <v>143</v>
      </c>
      <c r="D97" s="2" t="s">
        <v>13</v>
      </c>
      <c r="E97" s="2"/>
      <c r="F97" s="2" t="n">
        <v>86</v>
      </c>
      <c r="G97" s="2" t="n">
        <f aca="false">COUNTIFS(Map!$D:$D,$A97,Map!$F:$F,"Y")</f>
        <v>0</v>
      </c>
      <c r="H97" s="2" t="str">
        <f aca="false">IF(G97&gt;=Settings!$B$3,"High",IF(G97&gt;=Settings!$B$5,"Medium","Low"))</f>
        <v>Low</v>
      </c>
      <c r="I97" s="2" t="n">
        <f aca="false">COUNTIFS(Map!$D:$D,$A97,Map!$G:$G,"Y")</f>
        <v>0</v>
      </c>
      <c r="J97" s="2" t="str">
        <f aca="false">IF(I97&gt;=Settings!$B$4,"High",IF(I97&gt;=Settings!$B$5,"Medium","Low"))</f>
        <v>Low</v>
      </c>
      <c r="K97" s="2" t="n">
        <f aca="false">COUNTIF(Map!$D:$D,$A97)</f>
        <v>0</v>
      </c>
    </row>
    <row r="98" customFormat="false" ht="15" hidden="false" customHeight="false" outlineLevel="0" collapsed="false">
      <c r="A98" s="2" t="n">
        <v>97</v>
      </c>
      <c r="B98" s="2" t="s">
        <v>137</v>
      </c>
      <c r="C98" s="2" t="s">
        <v>144</v>
      </c>
      <c r="D98" s="2" t="s">
        <v>13</v>
      </c>
      <c r="E98" s="2"/>
      <c r="F98" s="2" t="n">
        <v>87</v>
      </c>
      <c r="G98" s="2" t="n">
        <f aca="false">COUNTIFS(Map!$D:$D,$A98,Map!$F:$F,"Y")</f>
        <v>1</v>
      </c>
      <c r="H98" s="2" t="str">
        <f aca="false">IF(G98&gt;=Settings!$B$3,"High",IF(G98&gt;=Settings!$B$5,"Medium","Low"))</f>
        <v>Medium</v>
      </c>
      <c r="I98" s="2" t="n">
        <f aca="false">COUNTIFS(Map!$D:$D,$A98,Map!$G:$G,"Y")</f>
        <v>1</v>
      </c>
      <c r="J98" s="2" t="str">
        <f aca="false">IF(I98&gt;=Settings!$B$4,"High",IF(I98&gt;=Settings!$B$5,"Medium","Low"))</f>
        <v>Medium</v>
      </c>
      <c r="K98" s="2" t="n">
        <f aca="false">COUNTIF(Map!$D:$D,$A98)</f>
        <v>1</v>
      </c>
    </row>
    <row r="99" customFormat="false" ht="15" hidden="false" customHeight="false" outlineLevel="0" collapsed="false">
      <c r="A99" s="2" t="n">
        <v>98</v>
      </c>
      <c r="B99" s="2" t="s">
        <v>137</v>
      </c>
      <c r="C99" s="2" t="s">
        <v>145</v>
      </c>
      <c r="D99" s="2" t="s">
        <v>13</v>
      </c>
      <c r="E99" s="2"/>
      <c r="F99" s="2" t="n">
        <v>88</v>
      </c>
      <c r="G99" s="2" t="n">
        <f aca="false">COUNTIFS(Map!$D:$D,$A99,Map!$F:$F,"Y")</f>
        <v>1</v>
      </c>
      <c r="H99" s="2" t="str">
        <f aca="false">IF(G99&gt;=Settings!$B$3,"High",IF(G99&gt;=Settings!$B$5,"Medium","Low"))</f>
        <v>Medium</v>
      </c>
      <c r="I99" s="2" t="n">
        <f aca="false">COUNTIFS(Map!$D:$D,$A99,Map!$G:$G,"Y")</f>
        <v>0</v>
      </c>
      <c r="J99" s="2" t="str">
        <f aca="false">IF(I99&gt;=Settings!$B$4,"High",IF(I99&gt;=Settings!$B$5,"Medium","Low"))</f>
        <v>Low</v>
      </c>
      <c r="K99" s="2" t="n">
        <f aca="false">COUNTIF(Map!$D:$D,$A99)</f>
        <v>1</v>
      </c>
    </row>
    <row r="100" customFormat="false" ht="15" hidden="false" customHeight="false" outlineLevel="0" collapsed="false">
      <c r="A100" s="2" t="n">
        <v>99</v>
      </c>
      <c r="B100" s="2" t="s">
        <v>137</v>
      </c>
      <c r="C100" s="2" t="s">
        <v>146</v>
      </c>
      <c r="D100" s="2" t="s">
        <v>13</v>
      </c>
      <c r="E100" s="2"/>
      <c r="F100" s="2" t="n">
        <v>89</v>
      </c>
      <c r="G100" s="2" t="n">
        <f aca="false">COUNTIFS(Map!$D:$D,$A100,Map!$F:$F,"Y")</f>
        <v>0</v>
      </c>
      <c r="H100" s="2" t="str">
        <f aca="false">IF(G100&gt;=Settings!$B$3,"High",IF(G100&gt;=Settings!$B$5,"Medium","Low"))</f>
        <v>Low</v>
      </c>
      <c r="I100" s="2" t="n">
        <f aca="false">COUNTIFS(Map!$D:$D,$A100,Map!$G:$G,"Y")</f>
        <v>0</v>
      </c>
      <c r="J100" s="2" t="str">
        <f aca="false">IF(I100&gt;=Settings!$B$4,"High",IF(I100&gt;=Settings!$B$5,"Medium","Low"))</f>
        <v>Low</v>
      </c>
      <c r="K100" s="2" t="n">
        <f aca="false">COUNTIF(Map!$D:$D,$A100)</f>
        <v>0</v>
      </c>
    </row>
    <row r="101" customFormat="false" ht="15" hidden="false" customHeight="false" outlineLevel="0" collapsed="false">
      <c r="A101" s="2" t="n">
        <v>100</v>
      </c>
      <c r="B101" s="2" t="s">
        <v>137</v>
      </c>
      <c r="C101" s="2" t="s">
        <v>147</v>
      </c>
      <c r="D101" s="2" t="s">
        <v>13</v>
      </c>
      <c r="E101" s="2"/>
      <c r="F101" s="2" t="n">
        <v>90</v>
      </c>
      <c r="G101" s="2" t="n">
        <f aca="false">COUNTIFS(Map!$D:$D,$A101,Map!$F:$F,"Y")</f>
        <v>0</v>
      </c>
      <c r="H101" s="2" t="str">
        <f aca="false">IF(G101&gt;=Settings!$B$3,"High",IF(G101&gt;=Settings!$B$5,"Medium","Low"))</f>
        <v>Low</v>
      </c>
      <c r="I101" s="2" t="n">
        <f aca="false">COUNTIFS(Map!$D:$D,$A101,Map!$G:$G,"Y")</f>
        <v>0</v>
      </c>
      <c r="J101" s="2" t="str">
        <f aca="false">IF(I101&gt;=Settings!$B$4,"High",IF(I101&gt;=Settings!$B$5,"Medium","Low"))</f>
        <v>Low</v>
      </c>
      <c r="K101" s="2" t="n">
        <f aca="false">COUNTIF(Map!$D:$D,$A101)</f>
        <v>0</v>
      </c>
    </row>
    <row r="102" customFormat="false" ht="15" hidden="false" customHeight="false" outlineLevel="0" collapsed="false">
      <c r="A102" s="2" t="n">
        <v>101</v>
      </c>
      <c r="B102" s="2" t="s">
        <v>137</v>
      </c>
      <c r="C102" s="2" t="s">
        <v>148</v>
      </c>
      <c r="D102" s="2" t="s">
        <v>13</v>
      </c>
      <c r="E102" s="2"/>
      <c r="F102" s="2" t="n">
        <v>91</v>
      </c>
      <c r="G102" s="2" t="n">
        <f aca="false">COUNTIFS(Map!$D:$D,$A102,Map!$F:$F,"Y")</f>
        <v>1</v>
      </c>
      <c r="H102" s="2" t="str">
        <f aca="false">IF(G102&gt;=Settings!$B$3,"High",IF(G102&gt;=Settings!$B$5,"Medium","Low"))</f>
        <v>Medium</v>
      </c>
      <c r="I102" s="2" t="n">
        <f aca="false">COUNTIFS(Map!$D:$D,$A102,Map!$G:$G,"Y")</f>
        <v>1</v>
      </c>
      <c r="J102" s="2" t="str">
        <f aca="false">IF(I102&gt;=Settings!$B$4,"High",IF(I102&gt;=Settings!$B$5,"Medium","Low"))</f>
        <v>Medium</v>
      </c>
      <c r="K102" s="2" t="n">
        <f aca="false">COUNTIF(Map!$D:$D,$A102)</f>
        <v>3</v>
      </c>
    </row>
    <row r="103" customFormat="false" ht="15" hidden="false" customHeight="false" outlineLevel="0" collapsed="false">
      <c r="A103" s="2" t="n">
        <v>102</v>
      </c>
      <c r="B103" s="2" t="s">
        <v>137</v>
      </c>
      <c r="C103" s="2" t="s">
        <v>149</v>
      </c>
      <c r="D103" s="2" t="s">
        <v>13</v>
      </c>
      <c r="E103" s="2"/>
      <c r="F103" s="2" t="n">
        <v>92</v>
      </c>
      <c r="G103" s="2" t="n">
        <f aca="false">COUNTIFS(Map!$D:$D,$A103,Map!$F:$F,"Y")</f>
        <v>0</v>
      </c>
      <c r="H103" s="2" t="str">
        <f aca="false">IF(G103&gt;=Settings!$B$3,"High",IF(G103&gt;=Settings!$B$5,"Medium","Low"))</f>
        <v>Low</v>
      </c>
      <c r="I103" s="2" t="n">
        <f aca="false">COUNTIFS(Map!$D:$D,$A103,Map!$G:$G,"Y")</f>
        <v>0</v>
      </c>
      <c r="J103" s="2" t="str">
        <f aca="false">IF(I103&gt;=Settings!$B$4,"High",IF(I103&gt;=Settings!$B$5,"Medium","Low"))</f>
        <v>Low</v>
      </c>
      <c r="K103" s="2" t="n">
        <f aca="false">COUNTIF(Map!$D:$D,$A103)</f>
        <v>0</v>
      </c>
    </row>
    <row r="104" customFormat="false" ht="23.85" hidden="false" customHeight="false" outlineLevel="0" collapsed="false">
      <c r="A104" s="2" t="n">
        <v>103</v>
      </c>
      <c r="B104" s="2" t="s">
        <v>137</v>
      </c>
      <c r="C104" s="2" t="s">
        <v>150</v>
      </c>
      <c r="D104" s="2" t="s">
        <v>13</v>
      </c>
      <c r="E104" s="2"/>
      <c r="F104" s="2" t="n">
        <v>93</v>
      </c>
      <c r="G104" s="2" t="n">
        <f aca="false">COUNTIFS(Map!$D:$D,$A104,Map!$F:$F,"Y")</f>
        <v>2</v>
      </c>
      <c r="H104" s="2" t="str">
        <f aca="false">IF(G104&gt;=Settings!$B$3,"High",IF(G104&gt;=Settings!$B$5,"Medium","Low"))</f>
        <v>Medium</v>
      </c>
      <c r="I104" s="2" t="n">
        <f aca="false">COUNTIFS(Map!$D:$D,$A104,Map!$G:$G,"Y")</f>
        <v>2</v>
      </c>
      <c r="J104" s="2" t="str">
        <f aca="false">IF(I104&gt;=Settings!$B$4,"High",IF(I104&gt;=Settings!$B$5,"Medium","Low"))</f>
        <v>Medium</v>
      </c>
      <c r="K104" s="2" t="n">
        <f aca="false">COUNTIF(Map!$D:$D,$A104)</f>
        <v>4</v>
      </c>
    </row>
    <row r="105" customFormat="false" ht="23.85" hidden="false" customHeight="false" outlineLevel="0" collapsed="false">
      <c r="A105" s="2" t="n">
        <v>104</v>
      </c>
      <c r="B105" s="2" t="s">
        <v>137</v>
      </c>
      <c r="C105" s="2" t="s">
        <v>151</v>
      </c>
      <c r="D105" s="2" t="s">
        <v>13</v>
      </c>
      <c r="E105" s="2"/>
      <c r="F105" s="2" t="n">
        <v>94</v>
      </c>
      <c r="G105" s="2" t="n">
        <f aca="false">COUNTIFS(Map!$D:$D,$A105,Map!$F:$F,"Y")</f>
        <v>0</v>
      </c>
      <c r="H105" s="2" t="str">
        <f aca="false">IF(G105&gt;=Settings!$B$3,"High",IF(G105&gt;=Settings!$B$5,"Medium","Low"))</f>
        <v>Low</v>
      </c>
      <c r="I105" s="2" t="n">
        <f aca="false">COUNTIFS(Map!$D:$D,$A105,Map!$G:$G,"Y")</f>
        <v>0</v>
      </c>
      <c r="J105" s="2" t="str">
        <f aca="false">IF(I105&gt;=Settings!$B$4,"High",IF(I105&gt;=Settings!$B$5,"Medium","Low"))</f>
        <v>Low</v>
      </c>
      <c r="K105" s="2" t="n">
        <f aca="false">COUNTIF(Map!$D:$D,$A105)</f>
        <v>0</v>
      </c>
    </row>
    <row r="106" customFormat="false" ht="23.85" hidden="false" customHeight="false" outlineLevel="0" collapsed="false">
      <c r="A106" s="2" t="n">
        <v>105</v>
      </c>
      <c r="B106" s="2" t="s">
        <v>137</v>
      </c>
      <c r="C106" s="2" t="s">
        <v>152</v>
      </c>
      <c r="D106" s="2" t="s">
        <v>13</v>
      </c>
      <c r="E106" s="2"/>
      <c r="F106" s="2" t="n">
        <v>95</v>
      </c>
      <c r="G106" s="2" t="n">
        <f aca="false">COUNTIFS(Map!$D:$D,$A106,Map!$F:$F,"Y")</f>
        <v>0</v>
      </c>
      <c r="H106" s="2" t="str">
        <f aca="false">IF(G106&gt;=Settings!$B$3,"High",IF(G106&gt;=Settings!$B$5,"Medium","Low"))</f>
        <v>Low</v>
      </c>
      <c r="I106" s="2" t="n">
        <f aca="false">COUNTIFS(Map!$D:$D,$A106,Map!$G:$G,"Y")</f>
        <v>0</v>
      </c>
      <c r="J106" s="2" t="str">
        <f aca="false">IF(I106&gt;=Settings!$B$4,"High",IF(I106&gt;=Settings!$B$5,"Medium","Low"))</f>
        <v>Low</v>
      </c>
      <c r="K106" s="2" t="n">
        <f aca="false">COUNTIF(Map!$D:$D,$A106)</f>
        <v>0</v>
      </c>
    </row>
    <row r="107" customFormat="false" ht="35.05" hidden="false" customHeight="false" outlineLevel="0" collapsed="false">
      <c r="A107" s="2" t="n">
        <v>106</v>
      </c>
      <c r="B107" s="2" t="s">
        <v>153</v>
      </c>
      <c r="C107" s="2" t="s">
        <v>154</v>
      </c>
      <c r="D107" s="2" t="s">
        <v>13</v>
      </c>
      <c r="E107" s="2"/>
      <c r="F107" s="2" t="n">
        <v>96</v>
      </c>
      <c r="G107" s="2" t="n">
        <f aca="false">COUNTIFS(Map!$D:$D,$A107,Map!$F:$F,"Y")</f>
        <v>1</v>
      </c>
      <c r="H107" s="2" t="str">
        <f aca="false">IF(G107&gt;=Settings!$B$3,"High",IF(G107&gt;=Settings!$B$5,"Medium","Low"))</f>
        <v>Medium</v>
      </c>
      <c r="I107" s="2" t="n">
        <f aca="false">COUNTIFS(Map!$D:$D,$A107,Map!$G:$G,"Y")</f>
        <v>1</v>
      </c>
      <c r="J107" s="2" t="str">
        <f aca="false">IF(I107&gt;=Settings!$B$4,"High",IF(I107&gt;=Settings!$B$5,"Medium","Low"))</f>
        <v>Medium</v>
      </c>
      <c r="K107" s="2" t="n">
        <f aca="false">COUNTIF(Map!$D:$D,$A107)</f>
        <v>2</v>
      </c>
    </row>
  </sheetData>
  <autoFilter ref="A1:K107"/>
  <conditionalFormatting sqref="H2:H107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107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</row>
    <row r="2" customFormat="false" ht="15" hidden="false" customHeight="false" outlineLevel="0" collapsed="false">
      <c r="A2" s="3" t="s">
        <v>163</v>
      </c>
      <c r="B2" s="3" t="n">
        <v>1</v>
      </c>
      <c r="C2" s="3" t="s">
        <v>164</v>
      </c>
      <c r="D2" s="3" t="n">
        <v>88</v>
      </c>
      <c r="E2" s="3" t="s">
        <v>165</v>
      </c>
      <c r="F2" s="3" t="s">
        <v>166</v>
      </c>
      <c r="G2" s="3" t="s">
        <v>166</v>
      </c>
      <c r="H2" s="3" t="s">
        <v>167</v>
      </c>
    </row>
    <row r="3" customFormat="false" ht="15" hidden="false" customHeight="false" outlineLevel="0" collapsed="false">
      <c r="A3" s="3" t="s">
        <v>163</v>
      </c>
      <c r="B3" s="3" t="n">
        <v>2</v>
      </c>
      <c r="C3" s="3" t="s">
        <v>164</v>
      </c>
      <c r="D3" s="3" t="n">
        <v>43</v>
      </c>
      <c r="E3" s="3" t="s">
        <v>165</v>
      </c>
      <c r="F3" s="3" t="s">
        <v>166</v>
      </c>
      <c r="G3" s="3" t="s">
        <v>166</v>
      </c>
      <c r="H3" s="3" t="s">
        <v>168</v>
      </c>
    </row>
    <row r="4" customFormat="false" ht="15" hidden="false" customHeight="false" outlineLevel="0" collapsed="false">
      <c r="A4" s="3" t="s">
        <v>163</v>
      </c>
      <c r="B4" s="3" t="n">
        <v>3</v>
      </c>
      <c r="C4" s="3" t="s">
        <v>164</v>
      </c>
      <c r="D4" s="3" t="n">
        <v>19</v>
      </c>
      <c r="E4" s="3" t="s">
        <v>165</v>
      </c>
      <c r="F4" s="3" t="s">
        <v>166</v>
      </c>
      <c r="G4" s="3" t="s">
        <v>166</v>
      </c>
      <c r="H4" s="3" t="s">
        <v>169</v>
      </c>
    </row>
    <row r="5" customFormat="false" ht="15" hidden="false" customHeight="false" outlineLevel="0" collapsed="false">
      <c r="A5" s="3" t="s">
        <v>163</v>
      </c>
      <c r="B5" s="3" t="n">
        <v>4</v>
      </c>
      <c r="C5" s="3" t="s">
        <v>164</v>
      </c>
      <c r="D5" s="3" t="n">
        <v>21</v>
      </c>
      <c r="E5" s="3" t="s">
        <v>165</v>
      </c>
      <c r="F5" s="3" t="s">
        <v>166</v>
      </c>
      <c r="G5" s="3" t="s">
        <v>166</v>
      </c>
      <c r="H5" s="3" t="s">
        <v>170</v>
      </c>
    </row>
    <row r="6" customFormat="false" ht="15" hidden="false" customHeight="false" outlineLevel="0" collapsed="false">
      <c r="A6" s="3" t="s">
        <v>163</v>
      </c>
      <c r="B6" s="3" t="n">
        <v>5</v>
      </c>
      <c r="C6" s="3" t="s">
        <v>164</v>
      </c>
      <c r="D6" s="3" t="n">
        <v>18</v>
      </c>
      <c r="E6" s="3" t="s">
        <v>165</v>
      </c>
      <c r="F6" s="3" t="s">
        <v>166</v>
      </c>
      <c r="G6" s="3" t="s">
        <v>166</v>
      </c>
      <c r="H6" s="3" t="s">
        <v>171</v>
      </c>
    </row>
    <row r="7" customFormat="false" ht="15" hidden="false" customHeight="false" outlineLevel="0" collapsed="false">
      <c r="A7" s="3" t="s">
        <v>163</v>
      </c>
      <c r="B7" s="3" t="n">
        <v>5</v>
      </c>
      <c r="C7" s="3" t="s">
        <v>164</v>
      </c>
      <c r="D7" s="3" t="n">
        <v>19</v>
      </c>
      <c r="E7" s="3" t="s">
        <v>172</v>
      </c>
      <c r="F7" s="3" t="s">
        <v>166</v>
      </c>
      <c r="G7" s="3" t="s">
        <v>166</v>
      </c>
      <c r="H7" s="3" t="s">
        <v>171</v>
      </c>
    </row>
    <row r="8" customFormat="false" ht="15" hidden="false" customHeight="false" outlineLevel="0" collapsed="false">
      <c r="A8" s="3" t="s">
        <v>163</v>
      </c>
      <c r="B8" s="3" t="n">
        <v>6</v>
      </c>
      <c r="C8" s="3" t="s">
        <v>164</v>
      </c>
      <c r="D8" s="3" t="n">
        <v>2</v>
      </c>
      <c r="E8" s="3" t="s">
        <v>165</v>
      </c>
      <c r="F8" s="3" t="s">
        <v>166</v>
      </c>
      <c r="G8" s="3" t="s">
        <v>166</v>
      </c>
      <c r="H8" s="3" t="s">
        <v>173</v>
      </c>
    </row>
    <row r="9" customFormat="false" ht="15" hidden="false" customHeight="false" outlineLevel="0" collapsed="false">
      <c r="A9" s="3" t="s">
        <v>163</v>
      </c>
      <c r="B9" s="3" t="n">
        <v>6</v>
      </c>
      <c r="C9" s="3" t="s">
        <v>164</v>
      </c>
      <c r="D9" s="3" t="n">
        <v>3</v>
      </c>
      <c r="E9" s="3" t="s">
        <v>172</v>
      </c>
      <c r="F9" s="3" t="s">
        <v>166</v>
      </c>
      <c r="G9" s="3" t="s">
        <v>166</v>
      </c>
      <c r="H9" s="3" t="s">
        <v>173</v>
      </c>
    </row>
    <row r="10" customFormat="false" ht="15" hidden="false" customHeight="false" outlineLevel="0" collapsed="false">
      <c r="A10" s="3" t="s">
        <v>163</v>
      </c>
      <c r="B10" s="3" t="n">
        <v>7</v>
      </c>
      <c r="C10" s="3" t="s">
        <v>164</v>
      </c>
      <c r="D10" s="3" t="n">
        <v>5</v>
      </c>
      <c r="E10" s="3" t="s">
        <v>165</v>
      </c>
      <c r="F10" s="3" t="s">
        <v>166</v>
      </c>
      <c r="G10" s="3" t="s">
        <v>166</v>
      </c>
      <c r="H10" s="3" t="s">
        <v>174</v>
      </c>
    </row>
    <row r="11" customFormat="false" ht="15" hidden="false" customHeight="false" outlineLevel="0" collapsed="false">
      <c r="A11" s="3" t="s">
        <v>163</v>
      </c>
      <c r="B11" s="3" t="n">
        <v>8</v>
      </c>
      <c r="C11" s="3" t="s">
        <v>164</v>
      </c>
      <c r="D11" s="3" t="n">
        <v>26</v>
      </c>
      <c r="E11" s="3" t="s">
        <v>165</v>
      </c>
      <c r="F11" s="3" t="s">
        <v>166</v>
      </c>
      <c r="G11" s="3" t="s">
        <v>166</v>
      </c>
      <c r="H11" s="3" t="s">
        <v>175</v>
      </c>
    </row>
    <row r="12" customFormat="false" ht="15" hidden="false" customHeight="false" outlineLevel="0" collapsed="false">
      <c r="A12" s="3" t="s">
        <v>163</v>
      </c>
      <c r="B12" s="3" t="n">
        <v>9</v>
      </c>
      <c r="C12" s="3" t="s">
        <v>164</v>
      </c>
      <c r="D12" s="3" t="n">
        <v>28</v>
      </c>
      <c r="E12" s="3" t="s">
        <v>165</v>
      </c>
      <c r="F12" s="3" t="s">
        <v>166</v>
      </c>
      <c r="G12" s="3" t="s">
        <v>166</v>
      </c>
      <c r="H12" s="3" t="s">
        <v>176</v>
      </c>
    </row>
    <row r="13" customFormat="false" ht="15" hidden="false" customHeight="false" outlineLevel="0" collapsed="false">
      <c r="A13" s="3" t="s">
        <v>163</v>
      </c>
      <c r="B13" s="3" t="n">
        <v>9</v>
      </c>
      <c r="C13" s="3" t="s">
        <v>164</v>
      </c>
      <c r="D13" s="3" t="n">
        <v>19</v>
      </c>
      <c r="E13" s="3" t="s">
        <v>172</v>
      </c>
      <c r="F13" s="3" t="s">
        <v>166</v>
      </c>
      <c r="G13" s="3" t="s">
        <v>166</v>
      </c>
      <c r="H13" s="3" t="s">
        <v>176</v>
      </c>
    </row>
    <row r="14" customFormat="false" ht="15" hidden="false" customHeight="false" outlineLevel="0" collapsed="false">
      <c r="A14" s="3" t="s">
        <v>163</v>
      </c>
      <c r="B14" s="3" t="n">
        <v>10</v>
      </c>
      <c r="C14" s="3" t="s">
        <v>164</v>
      </c>
      <c r="D14" s="3" t="n">
        <v>29</v>
      </c>
      <c r="E14" s="3" t="s">
        <v>165</v>
      </c>
      <c r="F14" s="3" t="s">
        <v>166</v>
      </c>
      <c r="G14" s="3" t="s">
        <v>166</v>
      </c>
      <c r="H14" s="3" t="s">
        <v>177</v>
      </c>
    </row>
    <row r="15" customFormat="false" ht="15" hidden="false" customHeight="false" outlineLevel="0" collapsed="false">
      <c r="A15" s="3" t="s">
        <v>163</v>
      </c>
      <c r="B15" s="3" t="n">
        <v>10</v>
      </c>
      <c r="C15" s="3" t="s">
        <v>164</v>
      </c>
      <c r="D15" s="3" t="n">
        <v>2</v>
      </c>
      <c r="E15" s="3" t="s">
        <v>172</v>
      </c>
      <c r="F15" s="3" t="s">
        <v>166</v>
      </c>
      <c r="G15" s="3" t="s">
        <v>166</v>
      </c>
      <c r="H15" s="3" t="s">
        <v>177</v>
      </c>
    </row>
    <row r="16" customFormat="false" ht="15" hidden="false" customHeight="false" outlineLevel="0" collapsed="false">
      <c r="A16" s="3" t="s">
        <v>163</v>
      </c>
      <c r="B16" s="3" t="n">
        <v>11</v>
      </c>
      <c r="C16" s="3" t="s">
        <v>164</v>
      </c>
      <c r="D16" s="3" t="n">
        <v>49</v>
      </c>
      <c r="E16" s="3" t="s">
        <v>165</v>
      </c>
      <c r="F16" s="3" t="s">
        <v>166</v>
      </c>
      <c r="G16" s="3" t="s">
        <v>166</v>
      </c>
      <c r="H16" s="3" t="s">
        <v>178</v>
      </c>
    </row>
    <row r="17" customFormat="false" ht="15" hidden="false" customHeight="false" outlineLevel="0" collapsed="false">
      <c r="A17" s="3" t="s">
        <v>163</v>
      </c>
      <c r="B17" s="3" t="n">
        <v>11</v>
      </c>
      <c r="C17" s="3" t="s">
        <v>164</v>
      </c>
      <c r="D17" s="3" t="n">
        <v>47</v>
      </c>
      <c r="E17" s="3" t="s">
        <v>172</v>
      </c>
      <c r="F17" s="3" t="s">
        <v>166</v>
      </c>
      <c r="G17" s="3" t="s">
        <v>166</v>
      </c>
      <c r="H17" s="3" t="s">
        <v>178</v>
      </c>
    </row>
    <row r="18" customFormat="false" ht="15" hidden="false" customHeight="false" outlineLevel="0" collapsed="false">
      <c r="A18" s="3" t="s">
        <v>163</v>
      </c>
      <c r="B18" s="3" t="n">
        <v>12</v>
      </c>
      <c r="C18" s="3" t="s">
        <v>164</v>
      </c>
      <c r="D18" s="3" t="n">
        <v>35</v>
      </c>
      <c r="E18" s="3" t="s">
        <v>165</v>
      </c>
      <c r="F18" s="3" t="s">
        <v>166</v>
      </c>
      <c r="G18" s="3" t="s">
        <v>166</v>
      </c>
      <c r="H18" s="3" t="s">
        <v>179</v>
      </c>
    </row>
    <row r="19" customFormat="false" ht="15" hidden="false" customHeight="false" outlineLevel="0" collapsed="false">
      <c r="A19" s="3" t="s">
        <v>163</v>
      </c>
      <c r="B19" s="3" t="n">
        <v>12</v>
      </c>
      <c r="C19" s="3" t="s">
        <v>164</v>
      </c>
      <c r="D19" s="3" t="n">
        <v>36</v>
      </c>
      <c r="E19" s="3" t="s">
        <v>172</v>
      </c>
      <c r="F19" s="3" t="s">
        <v>166</v>
      </c>
      <c r="G19" s="3" t="s">
        <v>166</v>
      </c>
      <c r="H19" s="3" t="s">
        <v>179</v>
      </c>
    </row>
    <row r="20" customFormat="false" ht="15" hidden="false" customHeight="false" outlineLevel="0" collapsed="false">
      <c r="A20" s="3" t="s">
        <v>163</v>
      </c>
      <c r="B20" s="3" t="n">
        <v>13</v>
      </c>
      <c r="C20" s="3" t="s">
        <v>164</v>
      </c>
      <c r="D20" s="3" t="n">
        <v>35</v>
      </c>
      <c r="E20" s="3" t="s">
        <v>165</v>
      </c>
      <c r="F20" s="3" t="s">
        <v>166</v>
      </c>
      <c r="G20" s="3" t="s">
        <v>166</v>
      </c>
      <c r="H20" s="3" t="s">
        <v>180</v>
      </c>
    </row>
    <row r="21" customFormat="false" ht="15" hidden="false" customHeight="false" outlineLevel="0" collapsed="false">
      <c r="A21" s="3" t="s">
        <v>163</v>
      </c>
      <c r="B21" s="3" t="n">
        <v>14</v>
      </c>
      <c r="C21" s="3" t="s">
        <v>164</v>
      </c>
      <c r="D21" s="3" t="n">
        <v>38</v>
      </c>
      <c r="E21" s="3" t="s">
        <v>165</v>
      </c>
      <c r="F21" s="3" t="s">
        <v>166</v>
      </c>
      <c r="G21" s="3" t="s">
        <v>166</v>
      </c>
      <c r="H21" s="3" t="s">
        <v>181</v>
      </c>
    </row>
    <row r="22" customFormat="false" ht="15" hidden="false" customHeight="false" outlineLevel="0" collapsed="false">
      <c r="A22" s="3" t="s">
        <v>163</v>
      </c>
      <c r="B22" s="3" t="n">
        <v>15</v>
      </c>
      <c r="C22" s="3" t="s">
        <v>164</v>
      </c>
      <c r="D22" s="3" t="n">
        <v>38</v>
      </c>
      <c r="E22" s="3" t="s">
        <v>165</v>
      </c>
      <c r="F22" s="3" t="s">
        <v>166</v>
      </c>
      <c r="G22" s="3" t="s">
        <v>166</v>
      </c>
      <c r="H22" s="3" t="s">
        <v>182</v>
      </c>
    </row>
    <row r="23" customFormat="false" ht="15" hidden="false" customHeight="false" outlineLevel="0" collapsed="false">
      <c r="A23" s="3" t="s">
        <v>163</v>
      </c>
      <c r="B23" s="3" t="n">
        <v>15</v>
      </c>
      <c r="C23" s="3" t="s">
        <v>164</v>
      </c>
      <c r="D23" s="3" t="n">
        <v>28</v>
      </c>
      <c r="E23" s="3" t="s">
        <v>172</v>
      </c>
      <c r="F23" s="3" t="s">
        <v>166</v>
      </c>
      <c r="G23" s="3" t="s">
        <v>166</v>
      </c>
      <c r="H23" s="3" t="s">
        <v>182</v>
      </c>
    </row>
    <row r="24" customFormat="false" ht="15" hidden="false" customHeight="false" outlineLevel="0" collapsed="false">
      <c r="A24" s="3" t="s">
        <v>163</v>
      </c>
      <c r="B24" s="3" t="n">
        <v>16</v>
      </c>
      <c r="C24" s="3" t="s">
        <v>164</v>
      </c>
      <c r="D24" s="3" t="n">
        <v>40</v>
      </c>
      <c r="E24" s="3" t="s">
        <v>165</v>
      </c>
      <c r="F24" s="3" t="s">
        <v>166</v>
      </c>
      <c r="G24" s="3" t="s">
        <v>166</v>
      </c>
      <c r="H24" s="3" t="s">
        <v>183</v>
      </c>
    </row>
    <row r="25" customFormat="false" ht="15" hidden="false" customHeight="false" outlineLevel="0" collapsed="false">
      <c r="A25" s="3" t="s">
        <v>163</v>
      </c>
      <c r="B25" s="3" t="n">
        <v>17</v>
      </c>
      <c r="C25" s="3" t="s">
        <v>164</v>
      </c>
      <c r="D25" s="3" t="n">
        <v>43</v>
      </c>
      <c r="E25" s="3" t="s">
        <v>165</v>
      </c>
      <c r="F25" s="3" t="s">
        <v>166</v>
      </c>
      <c r="G25" s="3" t="s">
        <v>166</v>
      </c>
      <c r="H25" s="3" t="s">
        <v>184</v>
      </c>
    </row>
    <row r="26" customFormat="false" ht="15" hidden="false" customHeight="false" outlineLevel="0" collapsed="false">
      <c r="A26" s="3" t="s">
        <v>163</v>
      </c>
      <c r="B26" s="3" t="n">
        <v>18</v>
      </c>
      <c r="C26" s="3" t="s">
        <v>164</v>
      </c>
      <c r="D26" s="3" t="n">
        <v>86</v>
      </c>
      <c r="E26" s="3" t="s">
        <v>165</v>
      </c>
      <c r="F26" s="3" t="s">
        <v>166</v>
      </c>
      <c r="G26" s="3" t="s">
        <v>166</v>
      </c>
      <c r="H26" s="3" t="s">
        <v>185</v>
      </c>
    </row>
    <row r="27" customFormat="false" ht="15" hidden="false" customHeight="false" outlineLevel="0" collapsed="false">
      <c r="A27" s="3" t="s">
        <v>163</v>
      </c>
      <c r="B27" s="3" t="n">
        <v>18</v>
      </c>
      <c r="C27" s="3" t="s">
        <v>164</v>
      </c>
      <c r="D27" s="3" t="n">
        <v>80</v>
      </c>
      <c r="E27" s="3" t="s">
        <v>172</v>
      </c>
      <c r="F27" s="3" t="s">
        <v>166</v>
      </c>
      <c r="G27" s="3" t="s">
        <v>166</v>
      </c>
      <c r="H27" s="3" t="s">
        <v>185</v>
      </c>
    </row>
    <row r="28" customFormat="false" ht="15" hidden="false" customHeight="false" outlineLevel="0" collapsed="false">
      <c r="A28" s="3" t="s">
        <v>163</v>
      </c>
      <c r="B28" s="3" t="n">
        <v>19</v>
      </c>
      <c r="C28" s="3" t="s">
        <v>164</v>
      </c>
      <c r="D28" s="3" t="n">
        <v>4</v>
      </c>
      <c r="E28" s="3" t="s">
        <v>165</v>
      </c>
      <c r="F28" s="3" t="s">
        <v>166</v>
      </c>
      <c r="G28" s="3" t="s">
        <v>166</v>
      </c>
      <c r="H28" s="3" t="s">
        <v>186</v>
      </c>
    </row>
    <row r="29" customFormat="false" ht="15" hidden="false" customHeight="false" outlineLevel="0" collapsed="false">
      <c r="A29" s="3" t="s">
        <v>163</v>
      </c>
      <c r="B29" s="3" t="n">
        <v>19</v>
      </c>
      <c r="C29" s="3" t="s">
        <v>164</v>
      </c>
      <c r="D29" s="3" t="n">
        <v>2</v>
      </c>
      <c r="E29" s="3" t="s">
        <v>172</v>
      </c>
      <c r="F29" s="3" t="s">
        <v>166</v>
      </c>
      <c r="G29" s="3" t="s">
        <v>166</v>
      </c>
      <c r="H29" s="3" t="s">
        <v>186</v>
      </c>
    </row>
    <row r="30" customFormat="false" ht="15" hidden="false" customHeight="false" outlineLevel="0" collapsed="false">
      <c r="A30" s="3" t="s">
        <v>163</v>
      </c>
      <c r="B30" s="3" t="n">
        <v>20</v>
      </c>
      <c r="C30" s="3" t="s">
        <v>164</v>
      </c>
      <c r="D30" s="3" t="n">
        <v>4</v>
      </c>
      <c r="E30" s="3" t="s">
        <v>165</v>
      </c>
      <c r="F30" s="3" t="s">
        <v>166</v>
      </c>
      <c r="G30" s="3" t="s">
        <v>166</v>
      </c>
      <c r="H30" s="3" t="s">
        <v>187</v>
      </c>
    </row>
    <row r="31" customFormat="false" ht="15" hidden="false" customHeight="false" outlineLevel="0" collapsed="false">
      <c r="A31" s="3" t="s">
        <v>163</v>
      </c>
      <c r="B31" s="3" t="n">
        <v>21</v>
      </c>
      <c r="C31" s="3" t="s">
        <v>164</v>
      </c>
      <c r="D31" s="3" t="n">
        <v>48</v>
      </c>
      <c r="E31" s="3" t="s">
        <v>165</v>
      </c>
      <c r="F31" s="3" t="s">
        <v>166</v>
      </c>
      <c r="G31" s="3" t="s">
        <v>166</v>
      </c>
      <c r="H31" s="3" t="s">
        <v>188</v>
      </c>
    </row>
    <row r="32" customFormat="false" ht="15" hidden="false" customHeight="false" outlineLevel="0" collapsed="false">
      <c r="A32" s="3" t="s">
        <v>163</v>
      </c>
      <c r="B32" s="3" t="n">
        <v>21</v>
      </c>
      <c r="C32" s="3" t="s">
        <v>164</v>
      </c>
      <c r="D32" s="3" t="n">
        <v>50</v>
      </c>
      <c r="E32" s="3" t="s">
        <v>172</v>
      </c>
      <c r="F32" s="3" t="s">
        <v>166</v>
      </c>
      <c r="G32" s="3" t="s">
        <v>166</v>
      </c>
      <c r="H32" s="3" t="s">
        <v>188</v>
      </c>
    </row>
    <row r="33" customFormat="false" ht="15" hidden="false" customHeight="false" outlineLevel="0" collapsed="false">
      <c r="A33" s="3" t="s">
        <v>163</v>
      </c>
      <c r="B33" s="3" t="n">
        <v>22</v>
      </c>
      <c r="C33" s="3" t="s">
        <v>164</v>
      </c>
      <c r="D33" s="3" t="n">
        <v>48</v>
      </c>
      <c r="E33" s="3" t="s">
        <v>165</v>
      </c>
      <c r="F33" s="3" t="s">
        <v>166</v>
      </c>
      <c r="G33" s="3" t="s">
        <v>166</v>
      </c>
      <c r="H33" s="3" t="s">
        <v>189</v>
      </c>
    </row>
    <row r="34" customFormat="false" ht="15" hidden="false" customHeight="false" outlineLevel="0" collapsed="false">
      <c r="A34" s="3" t="s">
        <v>163</v>
      </c>
      <c r="B34" s="3" t="n">
        <v>22</v>
      </c>
      <c r="C34" s="3" t="s">
        <v>164</v>
      </c>
      <c r="D34" s="3" t="n">
        <v>50</v>
      </c>
      <c r="E34" s="3" t="s">
        <v>172</v>
      </c>
      <c r="F34" s="3" t="s">
        <v>166</v>
      </c>
      <c r="G34" s="3" t="s">
        <v>166</v>
      </c>
      <c r="H34" s="3" t="s">
        <v>189</v>
      </c>
    </row>
    <row r="35" customFormat="false" ht="15" hidden="false" customHeight="false" outlineLevel="0" collapsed="false">
      <c r="A35" s="3" t="s">
        <v>163</v>
      </c>
      <c r="B35" s="3" t="n">
        <v>23</v>
      </c>
      <c r="C35" s="3" t="s">
        <v>164</v>
      </c>
      <c r="D35" s="3" t="n">
        <v>3</v>
      </c>
      <c r="E35" s="3" t="s">
        <v>165</v>
      </c>
      <c r="F35" s="3" t="s">
        <v>166</v>
      </c>
      <c r="G35" s="3" t="s">
        <v>166</v>
      </c>
      <c r="H35" s="3" t="s">
        <v>190</v>
      </c>
    </row>
    <row r="36" customFormat="false" ht="15" hidden="false" customHeight="false" outlineLevel="0" collapsed="false">
      <c r="A36" s="3" t="s">
        <v>163</v>
      </c>
      <c r="B36" s="3" t="n">
        <v>24</v>
      </c>
      <c r="C36" s="3" t="s">
        <v>164</v>
      </c>
      <c r="D36" s="3" t="n">
        <v>56</v>
      </c>
      <c r="E36" s="3" t="s">
        <v>165</v>
      </c>
      <c r="F36" s="3" t="s">
        <v>166</v>
      </c>
      <c r="G36" s="3" t="s">
        <v>166</v>
      </c>
      <c r="H36" s="3" t="s">
        <v>191</v>
      </c>
    </row>
    <row r="37" customFormat="false" ht="15" hidden="false" customHeight="false" outlineLevel="0" collapsed="false">
      <c r="A37" s="3" t="s">
        <v>163</v>
      </c>
      <c r="B37" s="3" t="n">
        <v>24</v>
      </c>
      <c r="C37" s="3" t="s">
        <v>164</v>
      </c>
      <c r="D37" s="3" t="n">
        <v>57</v>
      </c>
      <c r="E37" s="3" t="s">
        <v>172</v>
      </c>
      <c r="F37" s="3" t="s">
        <v>166</v>
      </c>
      <c r="G37" s="3" t="s">
        <v>166</v>
      </c>
      <c r="H37" s="3" t="s">
        <v>191</v>
      </c>
    </row>
    <row r="38" customFormat="false" ht="15" hidden="false" customHeight="false" outlineLevel="0" collapsed="false">
      <c r="A38" s="3" t="s">
        <v>163</v>
      </c>
      <c r="B38" s="3" t="n">
        <v>25</v>
      </c>
      <c r="C38" s="3" t="s">
        <v>164</v>
      </c>
      <c r="D38" s="3" t="n">
        <v>61</v>
      </c>
      <c r="E38" s="3" t="s">
        <v>165</v>
      </c>
      <c r="F38" s="3" t="s">
        <v>166</v>
      </c>
      <c r="G38" s="3" t="s">
        <v>166</v>
      </c>
      <c r="H38" s="3" t="s">
        <v>192</v>
      </c>
    </row>
    <row r="39" customFormat="false" ht="15" hidden="false" customHeight="false" outlineLevel="0" collapsed="false">
      <c r="A39" s="3" t="s">
        <v>163</v>
      </c>
      <c r="B39" s="3" t="n">
        <v>25</v>
      </c>
      <c r="C39" s="3" t="s">
        <v>164</v>
      </c>
      <c r="D39" s="3" t="n">
        <v>58</v>
      </c>
      <c r="E39" s="3" t="s">
        <v>172</v>
      </c>
      <c r="F39" s="3" t="s">
        <v>166</v>
      </c>
      <c r="G39" s="3" t="s">
        <v>166</v>
      </c>
      <c r="H39" s="3" t="s">
        <v>192</v>
      </c>
    </row>
    <row r="40" customFormat="false" ht="15" hidden="false" customHeight="false" outlineLevel="0" collapsed="false">
      <c r="A40" s="3" t="s">
        <v>163</v>
      </c>
      <c r="B40" s="3" t="n">
        <v>26</v>
      </c>
      <c r="C40" s="3" t="s">
        <v>164</v>
      </c>
      <c r="D40" s="3" t="n">
        <v>62</v>
      </c>
      <c r="E40" s="3" t="s">
        <v>165</v>
      </c>
      <c r="F40" s="3" t="s">
        <v>166</v>
      </c>
      <c r="G40" s="3" t="s">
        <v>166</v>
      </c>
      <c r="H40" s="3" t="s">
        <v>193</v>
      </c>
    </row>
    <row r="41" customFormat="false" ht="15" hidden="false" customHeight="false" outlineLevel="0" collapsed="false">
      <c r="A41" s="3" t="s">
        <v>163</v>
      </c>
      <c r="B41" s="3" t="n">
        <v>27</v>
      </c>
      <c r="C41" s="3" t="s">
        <v>164</v>
      </c>
      <c r="D41" s="3" t="n">
        <v>66</v>
      </c>
      <c r="E41" s="3" t="s">
        <v>165</v>
      </c>
      <c r="F41" s="3" t="s">
        <v>166</v>
      </c>
      <c r="G41" s="3" t="s">
        <v>166</v>
      </c>
      <c r="H41" s="3" t="s">
        <v>194</v>
      </c>
    </row>
    <row r="42" customFormat="false" ht="15" hidden="false" customHeight="false" outlineLevel="0" collapsed="false">
      <c r="A42" s="3" t="s">
        <v>163</v>
      </c>
      <c r="B42" s="3" t="n">
        <v>28</v>
      </c>
      <c r="C42" s="3" t="s">
        <v>164</v>
      </c>
      <c r="D42" s="3" t="n">
        <v>70</v>
      </c>
      <c r="E42" s="3" t="s">
        <v>165</v>
      </c>
      <c r="F42" s="3" t="s">
        <v>166</v>
      </c>
      <c r="G42" s="3" t="s">
        <v>166</v>
      </c>
      <c r="H42" s="3" t="s">
        <v>195</v>
      </c>
    </row>
    <row r="43" customFormat="false" ht="15" hidden="false" customHeight="false" outlineLevel="0" collapsed="false">
      <c r="A43" s="3" t="s">
        <v>163</v>
      </c>
      <c r="B43" s="3" t="n">
        <v>29</v>
      </c>
      <c r="C43" s="3" t="s">
        <v>164</v>
      </c>
      <c r="D43" s="3" t="n">
        <v>9</v>
      </c>
      <c r="E43" s="3" t="s">
        <v>165</v>
      </c>
      <c r="F43" s="3" t="s">
        <v>166</v>
      </c>
      <c r="G43" s="3" t="s">
        <v>166</v>
      </c>
      <c r="H43" s="3" t="s">
        <v>196</v>
      </c>
    </row>
    <row r="44" customFormat="false" ht="15" hidden="false" customHeight="false" outlineLevel="0" collapsed="false">
      <c r="A44" s="3" t="s">
        <v>163</v>
      </c>
      <c r="B44" s="3" t="n">
        <v>30</v>
      </c>
      <c r="C44" s="3" t="s">
        <v>164</v>
      </c>
      <c r="D44" s="3" t="n">
        <v>75</v>
      </c>
      <c r="E44" s="3" t="s">
        <v>165</v>
      </c>
      <c r="F44" s="3" t="s">
        <v>166</v>
      </c>
      <c r="G44" s="3" t="s">
        <v>166</v>
      </c>
      <c r="H44" s="3" t="s">
        <v>197</v>
      </c>
    </row>
    <row r="45" customFormat="false" ht="15" hidden="false" customHeight="false" outlineLevel="0" collapsed="false">
      <c r="A45" s="3" t="s">
        <v>163</v>
      </c>
      <c r="B45" s="3" t="n">
        <v>31</v>
      </c>
      <c r="C45" s="3" t="s">
        <v>164</v>
      </c>
      <c r="D45" s="3" t="n">
        <v>75</v>
      </c>
      <c r="E45" s="3" t="s">
        <v>165</v>
      </c>
      <c r="F45" s="3" t="s">
        <v>166</v>
      </c>
      <c r="G45" s="3" t="s">
        <v>166</v>
      </c>
      <c r="H45" s="3" t="s">
        <v>198</v>
      </c>
    </row>
    <row r="46" customFormat="false" ht="15" hidden="false" customHeight="false" outlineLevel="0" collapsed="false">
      <c r="A46" s="3" t="s">
        <v>163</v>
      </c>
      <c r="B46" s="3" t="n">
        <v>32</v>
      </c>
      <c r="C46" s="3" t="s">
        <v>164</v>
      </c>
      <c r="D46" s="3" t="n">
        <v>78</v>
      </c>
      <c r="E46" s="3" t="s">
        <v>165</v>
      </c>
      <c r="F46" s="3" t="s">
        <v>166</v>
      </c>
      <c r="G46" s="3" t="s">
        <v>166</v>
      </c>
      <c r="H46" s="3" t="s">
        <v>199</v>
      </c>
    </row>
    <row r="47" customFormat="false" ht="15" hidden="false" customHeight="false" outlineLevel="0" collapsed="false">
      <c r="A47" s="3" t="s">
        <v>163</v>
      </c>
      <c r="B47" s="3" t="n">
        <v>33</v>
      </c>
      <c r="C47" s="3" t="s">
        <v>164</v>
      </c>
      <c r="D47" s="3" t="n">
        <v>84</v>
      </c>
      <c r="E47" s="3" t="s">
        <v>165</v>
      </c>
      <c r="F47" s="3" t="s">
        <v>166</v>
      </c>
      <c r="G47" s="3" t="s">
        <v>166</v>
      </c>
      <c r="H47" s="3" t="s">
        <v>200</v>
      </c>
    </row>
    <row r="48" customFormat="false" ht="15" hidden="false" customHeight="false" outlineLevel="0" collapsed="false">
      <c r="A48" s="3" t="s">
        <v>163</v>
      </c>
      <c r="B48" s="3" t="n">
        <v>34</v>
      </c>
      <c r="C48" s="3" t="s">
        <v>164</v>
      </c>
      <c r="D48" s="3" t="n">
        <v>79</v>
      </c>
      <c r="E48" s="3" t="s">
        <v>165</v>
      </c>
      <c r="F48" s="3" t="s">
        <v>166</v>
      </c>
      <c r="G48" s="3" t="s">
        <v>166</v>
      </c>
      <c r="H48" s="3" t="s">
        <v>201</v>
      </c>
    </row>
    <row r="49" customFormat="false" ht="15" hidden="false" customHeight="false" outlineLevel="0" collapsed="false">
      <c r="A49" s="3" t="s">
        <v>163</v>
      </c>
      <c r="B49" s="3" t="n">
        <v>34</v>
      </c>
      <c r="C49" s="3" t="s">
        <v>164</v>
      </c>
      <c r="D49" s="3" t="n">
        <v>78</v>
      </c>
      <c r="E49" s="3" t="s">
        <v>172</v>
      </c>
      <c r="F49" s="3" t="s">
        <v>166</v>
      </c>
      <c r="G49" s="3" t="s">
        <v>166</v>
      </c>
      <c r="H49" s="3" t="s">
        <v>201</v>
      </c>
    </row>
    <row r="50" customFormat="false" ht="15" hidden="false" customHeight="false" outlineLevel="0" collapsed="false">
      <c r="A50" s="3" t="s">
        <v>163</v>
      </c>
      <c r="B50" s="3" t="n">
        <v>35</v>
      </c>
      <c r="C50" s="3" t="s">
        <v>164</v>
      </c>
      <c r="D50" s="3" t="n">
        <v>83</v>
      </c>
      <c r="E50" s="3" t="s">
        <v>165</v>
      </c>
      <c r="F50" s="3" t="s">
        <v>166</v>
      </c>
      <c r="G50" s="3" t="s">
        <v>166</v>
      </c>
      <c r="H50" s="3" t="s">
        <v>202</v>
      </c>
    </row>
    <row r="51" customFormat="false" ht="15" hidden="false" customHeight="false" outlineLevel="0" collapsed="false">
      <c r="A51" s="3" t="s">
        <v>163</v>
      </c>
      <c r="B51" s="3" t="n">
        <v>36</v>
      </c>
      <c r="C51" s="3" t="s">
        <v>164</v>
      </c>
      <c r="D51" s="3" t="n">
        <v>86</v>
      </c>
      <c r="E51" s="3" t="s">
        <v>165</v>
      </c>
      <c r="F51" s="3" t="s">
        <v>166</v>
      </c>
      <c r="G51" s="3" t="s">
        <v>166</v>
      </c>
      <c r="H51" s="3" t="s">
        <v>203</v>
      </c>
    </row>
    <row r="52" customFormat="false" ht="15" hidden="false" customHeight="false" outlineLevel="0" collapsed="false">
      <c r="A52" s="3" t="s">
        <v>163</v>
      </c>
      <c r="B52" s="3" t="n">
        <v>36</v>
      </c>
      <c r="C52" s="3" t="s">
        <v>164</v>
      </c>
      <c r="D52" s="3" t="n">
        <v>83</v>
      </c>
      <c r="E52" s="3" t="s">
        <v>172</v>
      </c>
      <c r="F52" s="3" t="s">
        <v>166</v>
      </c>
      <c r="G52" s="3" t="s">
        <v>166</v>
      </c>
      <c r="H52" s="3" t="s">
        <v>203</v>
      </c>
    </row>
    <row r="53" customFormat="false" ht="15" hidden="false" customHeight="false" outlineLevel="0" collapsed="false">
      <c r="A53" s="3" t="s">
        <v>204</v>
      </c>
      <c r="B53" s="3" t="n">
        <v>1</v>
      </c>
      <c r="C53" s="3" t="s">
        <v>164</v>
      </c>
      <c r="D53" s="3" t="n">
        <v>19</v>
      </c>
      <c r="E53" s="3" t="s">
        <v>165</v>
      </c>
      <c r="F53" s="3" t="s">
        <v>166</v>
      </c>
      <c r="G53" s="3" t="s">
        <v>166</v>
      </c>
      <c r="H53" s="3" t="s">
        <v>205</v>
      </c>
    </row>
    <row r="54" customFormat="false" ht="15" hidden="false" customHeight="false" outlineLevel="0" collapsed="false">
      <c r="A54" s="3" t="s">
        <v>204</v>
      </c>
      <c r="B54" s="3" t="n">
        <v>2</v>
      </c>
      <c r="C54" s="3" t="s">
        <v>164</v>
      </c>
      <c r="D54" s="3" t="n">
        <v>26</v>
      </c>
      <c r="E54" s="3" t="s">
        <v>165</v>
      </c>
      <c r="F54" s="3" t="s">
        <v>166</v>
      </c>
      <c r="G54" s="3" t="s">
        <v>166</v>
      </c>
      <c r="H54" s="3" t="s">
        <v>206</v>
      </c>
    </row>
    <row r="55" customFormat="false" ht="15" hidden="false" customHeight="false" outlineLevel="0" collapsed="false">
      <c r="A55" s="3" t="s">
        <v>204</v>
      </c>
      <c r="B55" s="3" t="n">
        <v>2</v>
      </c>
      <c r="C55" s="3" t="s">
        <v>164</v>
      </c>
      <c r="D55" s="3" t="n">
        <v>3</v>
      </c>
      <c r="E55" s="3" t="s">
        <v>172</v>
      </c>
      <c r="F55" s="3" t="s">
        <v>166</v>
      </c>
      <c r="G55" s="3" t="s">
        <v>166</v>
      </c>
      <c r="H55" s="3" t="s">
        <v>206</v>
      </c>
    </row>
    <row r="56" customFormat="false" ht="15" hidden="false" customHeight="false" outlineLevel="0" collapsed="false">
      <c r="A56" s="3" t="s">
        <v>204</v>
      </c>
      <c r="B56" s="3" t="n">
        <v>3</v>
      </c>
      <c r="C56" s="3" t="s">
        <v>164</v>
      </c>
      <c r="D56" s="3" t="n">
        <v>26</v>
      </c>
      <c r="E56" s="3" t="s">
        <v>165</v>
      </c>
      <c r="F56" s="3" t="s">
        <v>166</v>
      </c>
      <c r="G56" s="3" t="s">
        <v>166</v>
      </c>
      <c r="H56" s="3" t="s">
        <v>207</v>
      </c>
    </row>
    <row r="57" customFormat="false" ht="15" hidden="false" customHeight="false" outlineLevel="0" collapsed="false">
      <c r="A57" s="3" t="s">
        <v>204</v>
      </c>
      <c r="B57" s="3" t="n">
        <v>3</v>
      </c>
      <c r="C57" s="3" t="s">
        <v>164</v>
      </c>
      <c r="D57" s="3" t="n">
        <v>3</v>
      </c>
      <c r="E57" s="3" t="s">
        <v>172</v>
      </c>
      <c r="F57" s="3" t="s">
        <v>166</v>
      </c>
      <c r="G57" s="3" t="s">
        <v>166</v>
      </c>
      <c r="H57" s="3" t="s">
        <v>207</v>
      </c>
    </row>
    <row r="58" customFormat="false" ht="15" hidden="false" customHeight="false" outlineLevel="0" collapsed="false">
      <c r="A58" s="3" t="s">
        <v>204</v>
      </c>
      <c r="B58" s="3" t="n">
        <v>4</v>
      </c>
      <c r="C58" s="3" t="s">
        <v>164</v>
      </c>
      <c r="D58" s="3" t="n">
        <v>26</v>
      </c>
      <c r="E58" s="3" t="s">
        <v>165</v>
      </c>
      <c r="F58" s="3" t="s">
        <v>166</v>
      </c>
      <c r="G58" s="3" t="s">
        <v>166</v>
      </c>
      <c r="H58" s="3" t="s">
        <v>208</v>
      </c>
    </row>
    <row r="59" customFormat="false" ht="15" hidden="false" customHeight="false" outlineLevel="0" collapsed="false">
      <c r="A59" s="3" t="s">
        <v>204</v>
      </c>
      <c r="B59" s="3" t="n">
        <v>4</v>
      </c>
      <c r="C59" s="3" t="s">
        <v>164</v>
      </c>
      <c r="D59" s="3" t="n">
        <v>3</v>
      </c>
      <c r="E59" s="3" t="s">
        <v>172</v>
      </c>
      <c r="F59" s="3" t="s">
        <v>166</v>
      </c>
      <c r="G59" s="3" t="s">
        <v>166</v>
      </c>
      <c r="H59" s="3" t="s">
        <v>208</v>
      </c>
    </row>
    <row r="60" customFormat="false" ht="15" hidden="false" customHeight="false" outlineLevel="0" collapsed="false">
      <c r="A60" s="3" t="s">
        <v>204</v>
      </c>
      <c r="B60" s="3" t="n">
        <v>5</v>
      </c>
      <c r="C60" s="3" t="s">
        <v>164</v>
      </c>
      <c r="D60" s="3" t="n">
        <v>5</v>
      </c>
      <c r="E60" s="3" t="s">
        <v>165</v>
      </c>
      <c r="F60" s="3" t="s">
        <v>166</v>
      </c>
      <c r="G60" s="3" t="s">
        <v>166</v>
      </c>
      <c r="H60" s="3" t="s">
        <v>209</v>
      </c>
    </row>
    <row r="61" customFormat="false" ht="15" hidden="false" customHeight="false" outlineLevel="0" collapsed="false">
      <c r="A61" s="3" t="s">
        <v>204</v>
      </c>
      <c r="B61" s="3" t="n">
        <v>6</v>
      </c>
      <c r="C61" s="3" t="s">
        <v>164</v>
      </c>
      <c r="D61" s="3" t="n">
        <v>26</v>
      </c>
      <c r="E61" s="3" t="s">
        <v>165</v>
      </c>
      <c r="F61" s="3" t="s">
        <v>166</v>
      </c>
      <c r="G61" s="3" t="s">
        <v>166</v>
      </c>
      <c r="H61" s="3" t="s">
        <v>210</v>
      </c>
    </row>
    <row r="62" customFormat="false" ht="15" hidden="false" customHeight="false" outlineLevel="0" collapsed="false">
      <c r="A62" s="3" t="s">
        <v>204</v>
      </c>
      <c r="B62" s="3" t="n">
        <v>7</v>
      </c>
      <c r="C62" s="3" t="s">
        <v>164</v>
      </c>
      <c r="D62" s="3" t="n">
        <v>26</v>
      </c>
      <c r="E62" s="3" t="s">
        <v>165</v>
      </c>
      <c r="F62" s="3" t="s">
        <v>166</v>
      </c>
      <c r="G62" s="3" t="s">
        <v>166</v>
      </c>
      <c r="H62" s="3" t="s">
        <v>211</v>
      </c>
    </row>
    <row r="63" customFormat="false" ht="15" hidden="false" customHeight="false" outlineLevel="0" collapsed="false">
      <c r="A63" s="3" t="s">
        <v>204</v>
      </c>
      <c r="B63" s="3" t="n">
        <v>7</v>
      </c>
      <c r="C63" s="3" t="s">
        <v>164</v>
      </c>
      <c r="D63" s="3" t="n">
        <v>3</v>
      </c>
      <c r="E63" s="3" t="s">
        <v>172</v>
      </c>
      <c r="F63" s="3" t="s">
        <v>166</v>
      </c>
      <c r="G63" s="3" t="s">
        <v>166</v>
      </c>
      <c r="H63" s="3" t="s">
        <v>211</v>
      </c>
    </row>
    <row r="64" customFormat="false" ht="15" hidden="false" customHeight="false" outlineLevel="0" collapsed="false">
      <c r="A64" s="3" t="s">
        <v>204</v>
      </c>
      <c r="B64" s="3" t="n">
        <v>8</v>
      </c>
      <c r="C64" s="3" t="s">
        <v>164</v>
      </c>
      <c r="D64" s="3" t="n">
        <v>6</v>
      </c>
      <c r="E64" s="3" t="s">
        <v>165</v>
      </c>
      <c r="F64" s="3" t="s">
        <v>166</v>
      </c>
      <c r="G64" s="3" t="s">
        <v>166</v>
      </c>
      <c r="H64" s="3" t="s">
        <v>212</v>
      </c>
    </row>
    <row r="65" customFormat="false" ht="15" hidden="false" customHeight="false" outlineLevel="0" collapsed="false">
      <c r="A65" s="3" t="s">
        <v>204</v>
      </c>
      <c r="B65" s="3" t="n">
        <v>8</v>
      </c>
      <c r="C65" s="3" t="s">
        <v>164</v>
      </c>
      <c r="D65" s="3" t="n">
        <v>2</v>
      </c>
      <c r="E65" s="3" t="s">
        <v>172</v>
      </c>
      <c r="F65" s="3" t="s">
        <v>166</v>
      </c>
      <c r="G65" s="3" t="s">
        <v>166</v>
      </c>
      <c r="H65" s="3" t="s">
        <v>212</v>
      </c>
    </row>
    <row r="66" customFormat="false" ht="15" hidden="false" customHeight="false" outlineLevel="0" collapsed="false">
      <c r="A66" s="3" t="s">
        <v>204</v>
      </c>
      <c r="B66" s="3" t="n">
        <v>9</v>
      </c>
      <c r="C66" s="3" t="s">
        <v>164</v>
      </c>
      <c r="D66" s="3" t="n">
        <v>19</v>
      </c>
      <c r="E66" s="3" t="s">
        <v>165</v>
      </c>
      <c r="F66" s="3" t="s">
        <v>166</v>
      </c>
      <c r="G66" s="3" t="s">
        <v>166</v>
      </c>
      <c r="H66" s="3" t="s">
        <v>213</v>
      </c>
    </row>
    <row r="67" customFormat="false" ht="15" hidden="false" customHeight="false" outlineLevel="0" collapsed="false">
      <c r="A67" s="3" t="s">
        <v>204</v>
      </c>
      <c r="B67" s="3" t="n">
        <v>10</v>
      </c>
      <c r="C67" s="3" t="s">
        <v>164</v>
      </c>
      <c r="D67" s="3" t="n">
        <v>13</v>
      </c>
      <c r="E67" s="3" t="s">
        <v>165</v>
      </c>
      <c r="F67" s="3" t="s">
        <v>166</v>
      </c>
      <c r="G67" s="3" t="s">
        <v>166</v>
      </c>
      <c r="H67" s="3" t="s">
        <v>214</v>
      </c>
    </row>
    <row r="68" customFormat="false" ht="15" hidden="false" customHeight="false" outlineLevel="0" collapsed="false">
      <c r="A68" s="3" t="s">
        <v>204</v>
      </c>
      <c r="B68" s="3" t="n">
        <v>11</v>
      </c>
      <c r="C68" s="3" t="s">
        <v>164</v>
      </c>
      <c r="D68" s="3" t="n">
        <v>26</v>
      </c>
      <c r="E68" s="3" t="s">
        <v>165</v>
      </c>
      <c r="F68" s="3" t="s">
        <v>166</v>
      </c>
      <c r="G68" s="3" t="s">
        <v>166</v>
      </c>
      <c r="H68" s="3" t="s">
        <v>215</v>
      </c>
    </row>
    <row r="69" customFormat="false" ht="15" hidden="false" customHeight="false" outlineLevel="0" collapsed="false">
      <c r="A69" s="3" t="s">
        <v>204</v>
      </c>
      <c r="B69" s="3" t="n">
        <v>11</v>
      </c>
      <c r="C69" s="3" t="s">
        <v>164</v>
      </c>
      <c r="D69" s="3" t="n">
        <v>3</v>
      </c>
      <c r="E69" s="3" t="s">
        <v>172</v>
      </c>
      <c r="F69" s="3" t="s">
        <v>166</v>
      </c>
      <c r="G69" s="3" t="s">
        <v>166</v>
      </c>
      <c r="H69" s="3" t="s">
        <v>215</v>
      </c>
    </row>
    <row r="70" customFormat="false" ht="15" hidden="false" customHeight="false" outlineLevel="0" collapsed="false">
      <c r="A70" s="3" t="s">
        <v>204</v>
      </c>
      <c r="B70" s="3" t="n">
        <v>12</v>
      </c>
      <c r="C70" s="3" t="s">
        <v>164</v>
      </c>
      <c r="D70" s="3" t="n">
        <v>26</v>
      </c>
      <c r="E70" s="3" t="s">
        <v>165</v>
      </c>
      <c r="F70" s="3" t="s">
        <v>166</v>
      </c>
      <c r="G70" s="3" t="s">
        <v>166</v>
      </c>
      <c r="H70" s="3" t="s">
        <v>216</v>
      </c>
    </row>
    <row r="71" customFormat="false" ht="15" hidden="false" customHeight="false" outlineLevel="0" collapsed="false">
      <c r="A71" s="3" t="s">
        <v>204</v>
      </c>
      <c r="B71" s="3" t="n">
        <v>13</v>
      </c>
      <c r="C71" s="3" t="s">
        <v>164</v>
      </c>
      <c r="D71" s="3" t="n">
        <v>10</v>
      </c>
      <c r="E71" s="3" t="s">
        <v>165</v>
      </c>
      <c r="F71" s="3" t="s">
        <v>166</v>
      </c>
      <c r="G71" s="3" t="s">
        <v>166</v>
      </c>
      <c r="H71" s="3" t="s">
        <v>217</v>
      </c>
    </row>
    <row r="72" customFormat="false" ht="15" hidden="false" customHeight="false" outlineLevel="0" collapsed="false">
      <c r="A72" s="3" t="s">
        <v>204</v>
      </c>
      <c r="B72" s="3" t="n">
        <v>13</v>
      </c>
      <c r="C72" s="3" t="s">
        <v>164</v>
      </c>
      <c r="D72" s="3" t="n">
        <v>19</v>
      </c>
      <c r="E72" s="3" t="s">
        <v>172</v>
      </c>
      <c r="F72" s="3" t="s">
        <v>166</v>
      </c>
      <c r="G72" s="3" t="s">
        <v>166</v>
      </c>
      <c r="H72" s="3" t="s">
        <v>217</v>
      </c>
    </row>
    <row r="73" customFormat="false" ht="15" hidden="false" customHeight="false" outlineLevel="0" collapsed="false">
      <c r="A73" s="3" t="s">
        <v>204</v>
      </c>
      <c r="B73" s="3" t="n">
        <v>14</v>
      </c>
      <c r="C73" s="3" t="s">
        <v>164</v>
      </c>
      <c r="D73" s="3" t="n">
        <v>28</v>
      </c>
      <c r="E73" s="3" t="s">
        <v>165</v>
      </c>
      <c r="F73" s="3" t="s">
        <v>166</v>
      </c>
      <c r="G73" s="3" t="s">
        <v>166</v>
      </c>
      <c r="H73" s="3" t="s">
        <v>218</v>
      </c>
    </row>
    <row r="74" customFormat="false" ht="15" hidden="false" customHeight="false" outlineLevel="0" collapsed="false">
      <c r="A74" s="3" t="s">
        <v>204</v>
      </c>
      <c r="B74" s="3" t="n">
        <v>15</v>
      </c>
      <c r="C74" s="3" t="s">
        <v>164</v>
      </c>
      <c r="D74" s="3" t="n">
        <v>14</v>
      </c>
      <c r="E74" s="3" t="s">
        <v>165</v>
      </c>
      <c r="F74" s="3" t="s">
        <v>166</v>
      </c>
      <c r="G74" s="3" t="s">
        <v>166</v>
      </c>
      <c r="H74" s="3" t="s">
        <v>219</v>
      </c>
    </row>
    <row r="75" customFormat="false" ht="15" hidden="false" customHeight="false" outlineLevel="0" collapsed="false">
      <c r="A75" s="3" t="s">
        <v>204</v>
      </c>
      <c r="B75" s="3" t="n">
        <v>16</v>
      </c>
      <c r="C75" s="3" t="s">
        <v>164</v>
      </c>
      <c r="D75" s="3" t="n">
        <v>18</v>
      </c>
      <c r="E75" s="3" t="s">
        <v>165</v>
      </c>
      <c r="F75" s="3" t="s">
        <v>166</v>
      </c>
      <c r="G75" s="3" t="s">
        <v>166</v>
      </c>
      <c r="H75" s="3" t="s">
        <v>220</v>
      </c>
    </row>
    <row r="76" customFormat="false" ht="15" hidden="false" customHeight="false" outlineLevel="0" collapsed="false">
      <c r="A76" s="3" t="s">
        <v>204</v>
      </c>
      <c r="B76" s="3" t="n">
        <v>17</v>
      </c>
      <c r="C76" s="3" t="s">
        <v>164</v>
      </c>
      <c r="D76" s="3" t="n">
        <v>15</v>
      </c>
      <c r="E76" s="3" t="s">
        <v>165</v>
      </c>
      <c r="F76" s="3" t="s">
        <v>166</v>
      </c>
      <c r="G76" s="3" t="s">
        <v>166</v>
      </c>
      <c r="H76" s="3" t="s">
        <v>221</v>
      </c>
    </row>
    <row r="77" customFormat="false" ht="15" hidden="false" customHeight="false" outlineLevel="0" collapsed="false">
      <c r="A77" s="3" t="s">
        <v>204</v>
      </c>
      <c r="B77" s="3" t="n">
        <v>18</v>
      </c>
      <c r="C77" s="3" t="s">
        <v>164</v>
      </c>
      <c r="D77" s="3" t="n">
        <v>17</v>
      </c>
      <c r="E77" s="3" t="s">
        <v>165</v>
      </c>
      <c r="F77" s="3" t="s">
        <v>166</v>
      </c>
      <c r="G77" s="3" t="s">
        <v>166</v>
      </c>
      <c r="H77" s="3" t="s">
        <v>222</v>
      </c>
    </row>
    <row r="78" customFormat="false" ht="15" hidden="false" customHeight="false" outlineLevel="0" collapsed="false">
      <c r="A78" s="3" t="s">
        <v>204</v>
      </c>
      <c r="B78" s="3" t="n">
        <v>19</v>
      </c>
      <c r="C78" s="3" t="s">
        <v>164</v>
      </c>
      <c r="D78" s="3" t="n">
        <v>30</v>
      </c>
      <c r="E78" s="3" t="s">
        <v>165</v>
      </c>
      <c r="F78" s="3" t="s">
        <v>166</v>
      </c>
      <c r="G78" s="3" t="s">
        <v>166</v>
      </c>
      <c r="H78" s="3" t="s">
        <v>223</v>
      </c>
    </row>
    <row r="79" customFormat="false" ht="15" hidden="false" customHeight="false" outlineLevel="0" collapsed="false">
      <c r="A79" s="3" t="s">
        <v>204</v>
      </c>
      <c r="B79" s="3" t="n">
        <v>19</v>
      </c>
      <c r="C79" s="3" t="s">
        <v>164</v>
      </c>
      <c r="D79" s="3" t="n">
        <v>29</v>
      </c>
      <c r="E79" s="3" t="s">
        <v>172</v>
      </c>
      <c r="F79" s="3" t="s">
        <v>166</v>
      </c>
      <c r="G79" s="3" t="s">
        <v>166</v>
      </c>
      <c r="H79" s="3" t="s">
        <v>223</v>
      </c>
    </row>
    <row r="80" customFormat="false" ht="15" hidden="false" customHeight="false" outlineLevel="0" collapsed="false">
      <c r="A80" s="3" t="s">
        <v>204</v>
      </c>
      <c r="B80" s="3" t="n">
        <v>20</v>
      </c>
      <c r="C80" s="3" t="s">
        <v>164</v>
      </c>
      <c r="D80" s="3" t="n">
        <v>35</v>
      </c>
      <c r="E80" s="3" t="s">
        <v>165</v>
      </c>
      <c r="F80" s="3" t="s">
        <v>166</v>
      </c>
      <c r="G80" s="3" t="s">
        <v>166</v>
      </c>
      <c r="H80" s="3" t="s">
        <v>224</v>
      </c>
    </row>
    <row r="81" customFormat="false" ht="15" hidden="false" customHeight="false" outlineLevel="0" collapsed="false">
      <c r="A81" s="3" t="s">
        <v>204</v>
      </c>
      <c r="B81" s="3" t="n">
        <v>21</v>
      </c>
      <c r="C81" s="3" t="s">
        <v>164</v>
      </c>
      <c r="D81" s="3" t="n">
        <v>35</v>
      </c>
      <c r="E81" s="3" t="s">
        <v>165</v>
      </c>
      <c r="F81" s="3" t="s">
        <v>166</v>
      </c>
      <c r="G81" s="3" t="s">
        <v>166</v>
      </c>
      <c r="H81" s="3" t="s">
        <v>225</v>
      </c>
    </row>
    <row r="82" customFormat="false" ht="15" hidden="false" customHeight="false" outlineLevel="0" collapsed="false">
      <c r="A82" s="3" t="s">
        <v>204</v>
      </c>
      <c r="B82" s="3" t="n">
        <v>21</v>
      </c>
      <c r="C82" s="3" t="s">
        <v>164</v>
      </c>
      <c r="D82" s="3" t="n">
        <v>36</v>
      </c>
      <c r="E82" s="3" t="s">
        <v>172</v>
      </c>
      <c r="F82" s="3" t="s">
        <v>166</v>
      </c>
      <c r="G82" s="3" t="s">
        <v>166</v>
      </c>
      <c r="H82" s="3" t="s">
        <v>225</v>
      </c>
    </row>
    <row r="83" customFormat="false" ht="15" hidden="false" customHeight="false" outlineLevel="0" collapsed="false">
      <c r="A83" s="3" t="s">
        <v>204</v>
      </c>
      <c r="B83" s="3" t="n">
        <v>22</v>
      </c>
      <c r="C83" s="3" t="s">
        <v>164</v>
      </c>
      <c r="D83" s="3" t="n">
        <v>36</v>
      </c>
      <c r="E83" s="3" t="s">
        <v>165</v>
      </c>
      <c r="F83" s="3" t="s">
        <v>166</v>
      </c>
      <c r="G83" s="3" t="s">
        <v>166</v>
      </c>
      <c r="H83" s="3" t="s">
        <v>226</v>
      </c>
    </row>
    <row r="84" customFormat="false" ht="15" hidden="false" customHeight="false" outlineLevel="0" collapsed="false">
      <c r="A84" s="3" t="s">
        <v>204</v>
      </c>
      <c r="B84" s="3" t="n">
        <v>22</v>
      </c>
      <c r="C84" s="3" t="s">
        <v>164</v>
      </c>
      <c r="D84" s="3" t="n">
        <v>38</v>
      </c>
      <c r="E84" s="3" t="s">
        <v>172</v>
      </c>
      <c r="F84" s="3" t="s">
        <v>166</v>
      </c>
      <c r="G84" s="3" t="s">
        <v>166</v>
      </c>
      <c r="H84" s="3" t="s">
        <v>226</v>
      </c>
    </row>
    <row r="85" customFormat="false" ht="15" hidden="false" customHeight="false" outlineLevel="0" collapsed="false">
      <c r="A85" s="3" t="s">
        <v>204</v>
      </c>
      <c r="B85" s="3" t="n">
        <v>23</v>
      </c>
      <c r="C85" s="3" t="s">
        <v>164</v>
      </c>
      <c r="D85" s="3" t="n">
        <v>35</v>
      </c>
      <c r="E85" s="3" t="s">
        <v>165</v>
      </c>
      <c r="F85" s="3" t="s">
        <v>166</v>
      </c>
      <c r="G85" s="3" t="s">
        <v>166</v>
      </c>
      <c r="H85" s="3" t="s">
        <v>227</v>
      </c>
    </row>
    <row r="86" customFormat="false" ht="15" hidden="false" customHeight="false" outlineLevel="0" collapsed="false">
      <c r="A86" s="3" t="s">
        <v>204</v>
      </c>
      <c r="B86" s="3" t="n">
        <v>24</v>
      </c>
      <c r="C86" s="3" t="s">
        <v>164</v>
      </c>
      <c r="D86" s="3" t="n">
        <v>36</v>
      </c>
      <c r="E86" s="3" t="s">
        <v>165</v>
      </c>
      <c r="F86" s="3" t="s">
        <v>166</v>
      </c>
      <c r="G86" s="3" t="s">
        <v>166</v>
      </c>
      <c r="H86" s="3" t="s">
        <v>228</v>
      </c>
    </row>
    <row r="87" customFormat="false" ht="15" hidden="false" customHeight="false" outlineLevel="0" collapsed="false">
      <c r="A87" s="3" t="s">
        <v>204</v>
      </c>
      <c r="B87" s="3" t="n">
        <v>24</v>
      </c>
      <c r="C87" s="3" t="s">
        <v>164</v>
      </c>
      <c r="D87" s="3" t="n">
        <v>35</v>
      </c>
      <c r="E87" s="3" t="s">
        <v>172</v>
      </c>
      <c r="F87" s="3" t="s">
        <v>166</v>
      </c>
      <c r="G87" s="3" t="s">
        <v>166</v>
      </c>
      <c r="H87" s="3" t="s">
        <v>228</v>
      </c>
    </row>
    <row r="88" customFormat="false" ht="15" hidden="false" customHeight="false" outlineLevel="0" collapsed="false">
      <c r="A88" s="3" t="s">
        <v>204</v>
      </c>
      <c r="B88" s="3" t="n">
        <v>25</v>
      </c>
      <c r="C88" s="3" t="s">
        <v>164</v>
      </c>
      <c r="D88" s="3" t="n">
        <v>13</v>
      </c>
      <c r="E88" s="3" t="s">
        <v>165</v>
      </c>
      <c r="F88" s="3" t="s">
        <v>166</v>
      </c>
      <c r="G88" s="3" t="s">
        <v>166</v>
      </c>
      <c r="H88" s="3" t="s">
        <v>229</v>
      </c>
    </row>
    <row r="89" customFormat="false" ht="15" hidden="false" customHeight="false" outlineLevel="0" collapsed="false">
      <c r="A89" s="3" t="s">
        <v>204</v>
      </c>
      <c r="B89" s="3" t="n">
        <v>25</v>
      </c>
      <c r="C89" s="3" t="s">
        <v>164</v>
      </c>
      <c r="D89" s="3" t="n">
        <v>43</v>
      </c>
      <c r="E89" s="3" t="s">
        <v>172</v>
      </c>
      <c r="F89" s="3" t="s">
        <v>166</v>
      </c>
      <c r="G89" s="3" t="s">
        <v>166</v>
      </c>
      <c r="H89" s="3" t="s">
        <v>229</v>
      </c>
    </row>
    <row r="90" customFormat="false" ht="15" hidden="false" customHeight="false" outlineLevel="0" collapsed="false">
      <c r="A90" s="3" t="s">
        <v>204</v>
      </c>
      <c r="B90" s="3" t="n">
        <v>26</v>
      </c>
      <c r="C90" s="3" t="s">
        <v>164</v>
      </c>
      <c r="D90" s="3" t="n">
        <v>38</v>
      </c>
      <c r="E90" s="3" t="s">
        <v>165</v>
      </c>
      <c r="F90" s="3" t="s">
        <v>166</v>
      </c>
      <c r="G90" s="3" t="s">
        <v>166</v>
      </c>
      <c r="H90" s="3" t="s">
        <v>230</v>
      </c>
    </row>
    <row r="91" customFormat="false" ht="15" hidden="false" customHeight="false" outlineLevel="0" collapsed="false">
      <c r="A91" s="3" t="s">
        <v>204</v>
      </c>
      <c r="B91" s="3" t="n">
        <v>27</v>
      </c>
      <c r="C91" s="3" t="s">
        <v>164</v>
      </c>
      <c r="D91" s="3" t="n">
        <v>40</v>
      </c>
      <c r="E91" s="3" t="s">
        <v>165</v>
      </c>
      <c r="F91" s="3" t="s">
        <v>166</v>
      </c>
      <c r="G91" s="3" t="s">
        <v>166</v>
      </c>
      <c r="H91" s="3" t="s">
        <v>231</v>
      </c>
    </row>
    <row r="92" customFormat="false" ht="15" hidden="false" customHeight="false" outlineLevel="0" collapsed="false">
      <c r="A92" s="3" t="s">
        <v>204</v>
      </c>
      <c r="B92" s="3" t="n">
        <v>28</v>
      </c>
      <c r="C92" s="3" t="s">
        <v>164</v>
      </c>
      <c r="D92" s="3" t="n">
        <v>41</v>
      </c>
      <c r="E92" s="3" t="s">
        <v>165</v>
      </c>
      <c r="F92" s="3" t="s">
        <v>166</v>
      </c>
      <c r="G92" s="3" t="s">
        <v>166</v>
      </c>
      <c r="H92" s="3" t="s">
        <v>232</v>
      </c>
    </row>
    <row r="93" customFormat="false" ht="15" hidden="false" customHeight="false" outlineLevel="0" collapsed="false">
      <c r="A93" s="3" t="s">
        <v>204</v>
      </c>
      <c r="B93" s="3" t="n">
        <v>29</v>
      </c>
      <c r="C93" s="3" t="s">
        <v>164</v>
      </c>
      <c r="D93" s="3" t="n">
        <v>45</v>
      </c>
      <c r="E93" s="3" t="s">
        <v>165</v>
      </c>
      <c r="F93" s="3" t="s">
        <v>166</v>
      </c>
      <c r="G93" s="3" t="s">
        <v>166</v>
      </c>
      <c r="H93" s="3" t="s">
        <v>233</v>
      </c>
    </row>
    <row r="94" customFormat="false" ht="15" hidden="false" customHeight="false" outlineLevel="0" collapsed="false">
      <c r="A94" s="3" t="s">
        <v>204</v>
      </c>
      <c r="B94" s="3" t="n">
        <v>30</v>
      </c>
      <c r="C94" s="3" t="s">
        <v>164</v>
      </c>
      <c r="D94" s="3" t="n">
        <v>45</v>
      </c>
      <c r="E94" s="3" t="s">
        <v>165</v>
      </c>
      <c r="F94" s="3" t="s">
        <v>166</v>
      </c>
      <c r="G94" s="3" t="s">
        <v>166</v>
      </c>
      <c r="H94" s="3" t="s">
        <v>234</v>
      </c>
    </row>
    <row r="95" customFormat="false" ht="15" hidden="false" customHeight="false" outlineLevel="0" collapsed="false">
      <c r="A95" s="3" t="s">
        <v>204</v>
      </c>
      <c r="B95" s="3" t="n">
        <v>30</v>
      </c>
      <c r="C95" s="3" t="s">
        <v>164</v>
      </c>
      <c r="D95" s="3" t="n">
        <v>44</v>
      </c>
      <c r="E95" s="3" t="s">
        <v>172</v>
      </c>
      <c r="F95" s="3" t="s">
        <v>166</v>
      </c>
      <c r="G95" s="3" t="s">
        <v>166</v>
      </c>
      <c r="H95" s="3" t="s">
        <v>234</v>
      </c>
    </row>
    <row r="96" customFormat="false" ht="15" hidden="false" customHeight="false" outlineLevel="0" collapsed="false">
      <c r="A96" s="3" t="s">
        <v>204</v>
      </c>
      <c r="B96" s="3" t="n">
        <v>31</v>
      </c>
      <c r="C96" s="3" t="s">
        <v>164</v>
      </c>
      <c r="D96" s="3" t="n">
        <v>4</v>
      </c>
      <c r="E96" s="3" t="s">
        <v>165</v>
      </c>
      <c r="F96" s="3" t="s">
        <v>166</v>
      </c>
      <c r="G96" s="3" t="s">
        <v>166</v>
      </c>
      <c r="H96" s="3" t="s">
        <v>235</v>
      </c>
    </row>
    <row r="97" customFormat="false" ht="15" hidden="false" customHeight="false" outlineLevel="0" collapsed="false">
      <c r="A97" s="3" t="s">
        <v>204</v>
      </c>
      <c r="B97" s="3" t="n">
        <v>31</v>
      </c>
      <c r="C97" s="3" t="s">
        <v>164</v>
      </c>
      <c r="D97" s="3" t="n">
        <v>38</v>
      </c>
      <c r="E97" s="3" t="s">
        <v>172</v>
      </c>
      <c r="F97" s="3" t="s">
        <v>166</v>
      </c>
      <c r="G97" s="3" t="s">
        <v>166</v>
      </c>
      <c r="H97" s="3" t="s">
        <v>235</v>
      </c>
    </row>
    <row r="98" customFormat="false" ht="15" hidden="false" customHeight="false" outlineLevel="0" collapsed="false">
      <c r="A98" s="3" t="s">
        <v>204</v>
      </c>
      <c r="B98" s="3" t="n">
        <v>32</v>
      </c>
      <c r="C98" s="3" t="s">
        <v>164</v>
      </c>
      <c r="D98" s="3" t="n">
        <v>3</v>
      </c>
      <c r="E98" s="3" t="s">
        <v>165</v>
      </c>
      <c r="F98" s="3" t="s">
        <v>166</v>
      </c>
      <c r="G98" s="3" t="s">
        <v>166</v>
      </c>
      <c r="H98" s="3" t="s">
        <v>236</v>
      </c>
    </row>
    <row r="99" customFormat="false" ht="15" hidden="false" customHeight="false" outlineLevel="0" collapsed="false">
      <c r="A99" s="3" t="s">
        <v>204</v>
      </c>
      <c r="B99" s="3" t="n">
        <v>32</v>
      </c>
      <c r="C99" s="3" t="s">
        <v>164</v>
      </c>
      <c r="D99" s="3" t="n">
        <v>2</v>
      </c>
      <c r="E99" s="3" t="s">
        <v>172</v>
      </c>
      <c r="F99" s="3" t="s">
        <v>166</v>
      </c>
      <c r="G99" s="3" t="s">
        <v>166</v>
      </c>
      <c r="H99" s="3" t="s">
        <v>236</v>
      </c>
    </row>
    <row r="100" customFormat="false" ht="15" hidden="false" customHeight="false" outlineLevel="0" collapsed="false">
      <c r="A100" s="3" t="s">
        <v>204</v>
      </c>
      <c r="B100" s="3" t="n">
        <v>33</v>
      </c>
      <c r="C100" s="3" t="s">
        <v>164</v>
      </c>
      <c r="D100" s="3" t="n">
        <v>48</v>
      </c>
      <c r="E100" s="3" t="s">
        <v>165</v>
      </c>
      <c r="F100" s="3" t="s">
        <v>166</v>
      </c>
      <c r="G100" s="3" t="s">
        <v>166</v>
      </c>
      <c r="H100" s="3" t="s">
        <v>237</v>
      </c>
    </row>
    <row r="101" customFormat="false" ht="15" hidden="false" customHeight="false" outlineLevel="0" collapsed="false">
      <c r="A101" s="3" t="s">
        <v>204</v>
      </c>
      <c r="B101" s="3" t="n">
        <v>34</v>
      </c>
      <c r="C101" s="3" t="s">
        <v>164</v>
      </c>
      <c r="D101" s="3" t="n">
        <v>61</v>
      </c>
      <c r="E101" s="3" t="s">
        <v>165</v>
      </c>
      <c r="F101" s="3" t="s">
        <v>166</v>
      </c>
      <c r="G101" s="3" t="s">
        <v>166</v>
      </c>
      <c r="H101" s="3" t="s">
        <v>238</v>
      </c>
    </row>
    <row r="102" customFormat="false" ht="15" hidden="false" customHeight="false" outlineLevel="0" collapsed="false">
      <c r="A102" s="3" t="s">
        <v>204</v>
      </c>
      <c r="B102" s="3" t="n">
        <v>34</v>
      </c>
      <c r="C102" s="3" t="s">
        <v>164</v>
      </c>
      <c r="D102" s="3" t="n">
        <v>58</v>
      </c>
      <c r="E102" s="3" t="s">
        <v>172</v>
      </c>
      <c r="F102" s="3" t="s">
        <v>166</v>
      </c>
      <c r="G102" s="3" t="s">
        <v>166</v>
      </c>
      <c r="H102" s="3" t="s">
        <v>238</v>
      </c>
    </row>
    <row r="103" customFormat="false" ht="15" hidden="false" customHeight="false" outlineLevel="0" collapsed="false">
      <c r="A103" s="3" t="s">
        <v>204</v>
      </c>
      <c r="B103" s="3" t="n">
        <v>35</v>
      </c>
      <c r="C103" s="3" t="s">
        <v>164</v>
      </c>
      <c r="D103" s="3" t="n">
        <v>58</v>
      </c>
      <c r="E103" s="3" t="s">
        <v>165</v>
      </c>
      <c r="F103" s="3" t="s">
        <v>166</v>
      </c>
      <c r="G103" s="3" t="s">
        <v>166</v>
      </c>
      <c r="H103" s="3" t="s">
        <v>239</v>
      </c>
    </row>
    <row r="104" customFormat="false" ht="15" hidden="false" customHeight="false" outlineLevel="0" collapsed="false">
      <c r="A104" s="3" t="s">
        <v>204</v>
      </c>
      <c r="B104" s="3" t="n">
        <v>35</v>
      </c>
      <c r="C104" s="3" t="s">
        <v>164</v>
      </c>
      <c r="D104" s="3" t="n">
        <v>62</v>
      </c>
      <c r="E104" s="3" t="s">
        <v>172</v>
      </c>
      <c r="F104" s="3" t="s">
        <v>166</v>
      </c>
      <c r="G104" s="3" t="s">
        <v>166</v>
      </c>
      <c r="H104" s="3" t="s">
        <v>239</v>
      </c>
    </row>
    <row r="105" customFormat="false" ht="15" hidden="false" customHeight="false" outlineLevel="0" collapsed="false">
      <c r="A105" s="3" t="s">
        <v>204</v>
      </c>
      <c r="B105" s="3" t="n">
        <v>35</v>
      </c>
      <c r="C105" s="3" t="s">
        <v>164</v>
      </c>
      <c r="D105" s="3" t="n">
        <v>65</v>
      </c>
      <c r="E105" s="3" t="s">
        <v>172</v>
      </c>
      <c r="F105" s="3" t="s">
        <v>166</v>
      </c>
      <c r="G105" s="3" t="s">
        <v>166</v>
      </c>
      <c r="H105" s="3" t="s">
        <v>239</v>
      </c>
    </row>
    <row r="106" customFormat="false" ht="15" hidden="false" customHeight="false" outlineLevel="0" collapsed="false">
      <c r="A106" s="3" t="s">
        <v>204</v>
      </c>
      <c r="B106" s="3" t="n">
        <v>35</v>
      </c>
      <c r="C106" s="3" t="s">
        <v>164</v>
      </c>
      <c r="D106" s="3" t="n">
        <v>66</v>
      </c>
      <c r="E106" s="3" t="s">
        <v>172</v>
      </c>
      <c r="F106" s="3" t="s">
        <v>166</v>
      </c>
      <c r="G106" s="3" t="s">
        <v>166</v>
      </c>
      <c r="H106" s="3" t="s">
        <v>239</v>
      </c>
    </row>
    <row r="107" customFormat="false" ht="15" hidden="false" customHeight="false" outlineLevel="0" collapsed="false">
      <c r="A107" s="3" t="s">
        <v>204</v>
      </c>
      <c r="B107" s="3" t="n">
        <v>36</v>
      </c>
      <c r="C107" s="3" t="s">
        <v>164</v>
      </c>
      <c r="D107" s="3" t="n">
        <v>65</v>
      </c>
      <c r="E107" s="3" t="s">
        <v>165</v>
      </c>
      <c r="F107" s="3" t="s">
        <v>166</v>
      </c>
      <c r="G107" s="3" t="s">
        <v>166</v>
      </c>
      <c r="H107" s="3" t="s">
        <v>240</v>
      </c>
    </row>
    <row r="108" customFormat="false" ht="15" hidden="false" customHeight="false" outlineLevel="0" collapsed="false">
      <c r="A108" s="3" t="s">
        <v>204</v>
      </c>
      <c r="B108" s="3" t="n">
        <v>37</v>
      </c>
      <c r="C108" s="3" t="s">
        <v>164</v>
      </c>
      <c r="D108" s="3" t="n">
        <v>71</v>
      </c>
      <c r="E108" s="3" t="s">
        <v>165</v>
      </c>
      <c r="F108" s="3" t="s">
        <v>166</v>
      </c>
      <c r="G108" s="3" t="s">
        <v>166</v>
      </c>
      <c r="H108" s="3" t="s">
        <v>241</v>
      </c>
    </row>
    <row r="109" customFormat="false" ht="15" hidden="false" customHeight="false" outlineLevel="0" collapsed="false">
      <c r="A109" s="3" t="s">
        <v>204</v>
      </c>
      <c r="B109" s="3" t="n">
        <v>38</v>
      </c>
      <c r="C109" s="3" t="s">
        <v>164</v>
      </c>
      <c r="D109" s="3" t="n">
        <v>81</v>
      </c>
      <c r="E109" s="3" t="s">
        <v>165</v>
      </c>
      <c r="F109" s="3" t="s">
        <v>166</v>
      </c>
      <c r="G109" s="3" t="s">
        <v>166</v>
      </c>
      <c r="H109" s="3" t="s">
        <v>242</v>
      </c>
    </row>
    <row r="110" customFormat="false" ht="15" hidden="false" customHeight="false" outlineLevel="0" collapsed="false">
      <c r="A110" s="3" t="s">
        <v>204</v>
      </c>
      <c r="B110" s="3" t="n">
        <v>38</v>
      </c>
      <c r="C110" s="3" t="s">
        <v>164</v>
      </c>
      <c r="D110" s="3" t="n">
        <v>80</v>
      </c>
      <c r="E110" s="3" t="s">
        <v>172</v>
      </c>
      <c r="F110" s="3" t="s">
        <v>166</v>
      </c>
      <c r="G110" s="3" t="s">
        <v>166</v>
      </c>
      <c r="H110" s="3" t="s">
        <v>242</v>
      </c>
    </row>
    <row r="111" customFormat="false" ht="15" hidden="false" customHeight="false" outlineLevel="0" collapsed="false">
      <c r="A111" s="3" t="s">
        <v>204</v>
      </c>
      <c r="B111" s="3" t="n">
        <v>39</v>
      </c>
      <c r="C111" s="3" t="s">
        <v>164</v>
      </c>
      <c r="D111" s="3" t="n">
        <v>84</v>
      </c>
      <c r="E111" s="3" t="s">
        <v>165</v>
      </c>
      <c r="F111" s="3" t="s">
        <v>166</v>
      </c>
      <c r="G111" s="3" t="s">
        <v>166</v>
      </c>
      <c r="H111" s="3" t="s">
        <v>243</v>
      </c>
    </row>
    <row r="112" customFormat="false" ht="15" hidden="false" customHeight="false" outlineLevel="0" collapsed="false">
      <c r="A112" s="3" t="s">
        <v>204</v>
      </c>
      <c r="B112" s="3" t="n">
        <v>40</v>
      </c>
      <c r="C112" s="3" t="s">
        <v>164</v>
      </c>
      <c r="D112" s="3" t="n">
        <v>74</v>
      </c>
      <c r="E112" s="3" t="s">
        <v>165</v>
      </c>
      <c r="F112" s="3" t="s">
        <v>166</v>
      </c>
      <c r="G112" s="3" t="s">
        <v>166</v>
      </c>
      <c r="H112" s="3" t="s">
        <v>244</v>
      </c>
    </row>
    <row r="113" customFormat="false" ht="15" hidden="false" customHeight="false" outlineLevel="0" collapsed="false">
      <c r="A113" s="3" t="s">
        <v>204</v>
      </c>
      <c r="B113" s="3" t="n">
        <v>41</v>
      </c>
      <c r="C113" s="3" t="s">
        <v>164</v>
      </c>
      <c r="D113" s="3" t="n">
        <v>86</v>
      </c>
      <c r="E113" s="3" t="s">
        <v>165</v>
      </c>
      <c r="F113" s="3" t="s">
        <v>166</v>
      </c>
      <c r="G113" s="3" t="s">
        <v>166</v>
      </c>
      <c r="H113" s="3" t="s">
        <v>245</v>
      </c>
    </row>
    <row r="114" customFormat="false" ht="15" hidden="false" customHeight="false" outlineLevel="0" collapsed="false">
      <c r="A114" s="3" t="s">
        <v>204</v>
      </c>
      <c r="B114" s="3" t="n">
        <v>42</v>
      </c>
      <c r="C114" s="3" t="s">
        <v>164</v>
      </c>
      <c r="D114" s="3" t="n">
        <v>26</v>
      </c>
      <c r="E114" s="3" t="s">
        <v>165</v>
      </c>
      <c r="F114" s="3" t="s">
        <v>166</v>
      </c>
      <c r="G114" s="3" t="s">
        <v>166</v>
      </c>
      <c r="H114" s="3" t="s">
        <v>246</v>
      </c>
    </row>
    <row r="115" customFormat="false" ht="15" hidden="false" customHeight="false" outlineLevel="0" collapsed="false">
      <c r="A115" s="3" t="s">
        <v>204</v>
      </c>
      <c r="B115" s="3" t="n">
        <v>43</v>
      </c>
      <c r="C115" s="3" t="s">
        <v>164</v>
      </c>
      <c r="D115" s="3" t="n">
        <v>26</v>
      </c>
      <c r="E115" s="3" t="s">
        <v>165</v>
      </c>
      <c r="F115" s="3" t="s">
        <v>166</v>
      </c>
      <c r="G115" s="3" t="s">
        <v>166</v>
      </c>
      <c r="H115" s="3" t="s">
        <v>247</v>
      </c>
    </row>
    <row r="116" customFormat="false" ht="15" hidden="false" customHeight="false" outlineLevel="0" collapsed="false">
      <c r="A116" s="3" t="s">
        <v>204</v>
      </c>
      <c r="B116" s="3" t="n">
        <v>43</v>
      </c>
      <c r="C116" s="3" t="s">
        <v>164</v>
      </c>
      <c r="D116" s="3" t="n">
        <v>3</v>
      </c>
      <c r="E116" s="3" t="s">
        <v>172</v>
      </c>
      <c r="F116" s="3" t="s">
        <v>166</v>
      </c>
      <c r="G116" s="3" t="s">
        <v>166</v>
      </c>
      <c r="H116" s="3" t="s">
        <v>247</v>
      </c>
    </row>
    <row r="117" customFormat="false" ht="15" hidden="false" customHeight="false" outlineLevel="0" collapsed="false">
      <c r="A117" s="3" t="s">
        <v>204</v>
      </c>
      <c r="B117" s="3" t="n">
        <v>44</v>
      </c>
      <c r="C117" s="3" t="s">
        <v>164</v>
      </c>
      <c r="D117" s="3" t="n">
        <v>26</v>
      </c>
      <c r="E117" s="3" t="s">
        <v>165</v>
      </c>
      <c r="F117" s="3" t="s">
        <v>166</v>
      </c>
      <c r="G117" s="3" t="s">
        <v>166</v>
      </c>
      <c r="H117" s="3" t="s">
        <v>248</v>
      </c>
    </row>
    <row r="118" customFormat="false" ht="15" hidden="false" customHeight="false" outlineLevel="0" collapsed="false">
      <c r="A118" s="3" t="s">
        <v>204</v>
      </c>
      <c r="B118" s="3" t="n">
        <v>45</v>
      </c>
      <c r="C118" s="3" t="s">
        <v>164</v>
      </c>
      <c r="D118" s="3" t="n">
        <v>87</v>
      </c>
      <c r="E118" s="3" t="s">
        <v>165</v>
      </c>
      <c r="F118" s="3" t="s">
        <v>166</v>
      </c>
      <c r="G118" s="3" t="s">
        <v>166</v>
      </c>
      <c r="H118" s="3" t="s">
        <v>249</v>
      </c>
    </row>
    <row r="119" customFormat="false" ht="15" hidden="false" customHeight="false" outlineLevel="0" collapsed="false">
      <c r="A119" s="3" t="s">
        <v>204</v>
      </c>
      <c r="B119" s="3" t="n">
        <v>45</v>
      </c>
      <c r="C119" s="3" t="s">
        <v>164</v>
      </c>
      <c r="D119" s="3" t="n">
        <v>44</v>
      </c>
      <c r="E119" s="3" t="s">
        <v>172</v>
      </c>
      <c r="F119" s="3" t="s">
        <v>166</v>
      </c>
      <c r="G119" s="3" t="s">
        <v>166</v>
      </c>
      <c r="H119" s="3" t="s">
        <v>249</v>
      </c>
    </row>
    <row r="120" customFormat="false" ht="15" hidden="false" customHeight="false" outlineLevel="0" collapsed="false">
      <c r="A120" s="3" t="s">
        <v>204</v>
      </c>
      <c r="B120" s="3" t="n">
        <v>46</v>
      </c>
      <c r="C120" s="3" t="s">
        <v>164</v>
      </c>
      <c r="D120" s="3" t="n">
        <v>42</v>
      </c>
      <c r="E120" s="3" t="s">
        <v>165</v>
      </c>
      <c r="F120" s="3" t="s">
        <v>166</v>
      </c>
      <c r="G120" s="3" t="s">
        <v>166</v>
      </c>
      <c r="H120" s="3" t="s">
        <v>250</v>
      </c>
    </row>
    <row r="121" customFormat="false" ht="15" hidden="false" customHeight="false" outlineLevel="0" collapsed="false">
      <c r="A121" s="3" t="s">
        <v>204</v>
      </c>
      <c r="B121" s="3" t="n">
        <v>47</v>
      </c>
      <c r="C121" s="3" t="s">
        <v>164</v>
      </c>
      <c r="D121" s="3" t="n">
        <v>42</v>
      </c>
      <c r="E121" s="3" t="s">
        <v>165</v>
      </c>
      <c r="F121" s="3" t="s">
        <v>166</v>
      </c>
      <c r="G121" s="3" t="s">
        <v>166</v>
      </c>
      <c r="H121" s="3" t="s">
        <v>251</v>
      </c>
    </row>
    <row r="122" customFormat="false" ht="15" hidden="false" customHeight="false" outlineLevel="0" collapsed="false">
      <c r="A122" s="3" t="s">
        <v>204</v>
      </c>
      <c r="B122" s="3" t="n">
        <v>48</v>
      </c>
      <c r="C122" s="3" t="s">
        <v>164</v>
      </c>
      <c r="D122" s="3" t="n">
        <v>26</v>
      </c>
      <c r="E122" s="3" t="s">
        <v>165</v>
      </c>
      <c r="F122" s="3" t="s">
        <v>166</v>
      </c>
      <c r="G122" s="3" t="s">
        <v>166</v>
      </c>
      <c r="H122" s="3" t="s">
        <v>252</v>
      </c>
    </row>
    <row r="123" customFormat="false" ht="15" hidden="false" customHeight="false" outlineLevel="0" collapsed="false">
      <c r="A123" s="3" t="s">
        <v>204</v>
      </c>
      <c r="B123" s="3" t="n">
        <v>48</v>
      </c>
      <c r="C123" s="3" t="s">
        <v>164</v>
      </c>
      <c r="D123" s="3" t="n">
        <v>3</v>
      </c>
      <c r="E123" s="3" t="s">
        <v>172</v>
      </c>
      <c r="F123" s="3" t="s">
        <v>166</v>
      </c>
      <c r="G123" s="3" t="s">
        <v>166</v>
      </c>
      <c r="H123" s="3" t="s">
        <v>252</v>
      </c>
    </row>
    <row r="124" customFormat="false" ht="15" hidden="false" customHeight="false" outlineLevel="0" collapsed="false">
      <c r="A124" s="3" t="s">
        <v>204</v>
      </c>
      <c r="B124" s="3" t="n">
        <v>49</v>
      </c>
      <c r="C124" s="3" t="s">
        <v>164</v>
      </c>
      <c r="D124" s="3" t="n">
        <v>35</v>
      </c>
      <c r="E124" s="3" t="s">
        <v>165</v>
      </c>
      <c r="F124" s="3" t="s">
        <v>166</v>
      </c>
      <c r="G124" s="3" t="s">
        <v>166</v>
      </c>
      <c r="H124" s="3" t="s">
        <v>253</v>
      </c>
    </row>
    <row r="125" customFormat="false" ht="15" hidden="false" customHeight="false" outlineLevel="0" collapsed="false">
      <c r="A125" s="3" t="s">
        <v>204</v>
      </c>
      <c r="B125" s="3" t="n">
        <v>50</v>
      </c>
      <c r="C125" s="3" t="s">
        <v>164</v>
      </c>
      <c r="D125" s="3" t="n">
        <v>14</v>
      </c>
      <c r="E125" s="3" t="s">
        <v>165</v>
      </c>
      <c r="F125" s="3" t="s">
        <v>166</v>
      </c>
      <c r="G125" s="3" t="s">
        <v>166</v>
      </c>
      <c r="H125" s="3" t="s">
        <v>254</v>
      </c>
    </row>
    <row r="126" customFormat="false" ht="15" hidden="false" customHeight="false" outlineLevel="0" collapsed="false">
      <c r="A126" s="3" t="s">
        <v>204</v>
      </c>
      <c r="B126" s="3" t="n">
        <v>51</v>
      </c>
      <c r="C126" s="3" t="s">
        <v>164</v>
      </c>
      <c r="D126" s="3" t="n">
        <v>91</v>
      </c>
      <c r="E126" s="3" t="s">
        <v>165</v>
      </c>
      <c r="F126" s="3" t="s">
        <v>166</v>
      </c>
      <c r="G126" s="3" t="s">
        <v>166</v>
      </c>
      <c r="H126" s="3" t="s">
        <v>255</v>
      </c>
    </row>
    <row r="127" customFormat="false" ht="15" hidden="false" customHeight="false" outlineLevel="0" collapsed="false">
      <c r="A127" s="3" t="s">
        <v>204</v>
      </c>
      <c r="B127" s="3" t="n">
        <v>51</v>
      </c>
      <c r="C127" s="3" t="s">
        <v>164</v>
      </c>
      <c r="D127" s="3" t="n">
        <v>37</v>
      </c>
      <c r="E127" s="3" t="s">
        <v>172</v>
      </c>
      <c r="F127" s="3" t="s">
        <v>166</v>
      </c>
      <c r="G127" s="3" t="s">
        <v>166</v>
      </c>
      <c r="H127" s="3" t="s">
        <v>255</v>
      </c>
    </row>
    <row r="128" customFormat="false" ht="15" hidden="false" customHeight="false" outlineLevel="0" collapsed="false">
      <c r="A128" s="3" t="s">
        <v>204</v>
      </c>
      <c r="B128" s="3" t="n">
        <v>52</v>
      </c>
      <c r="C128" s="3" t="s">
        <v>164</v>
      </c>
      <c r="D128" s="3" t="n">
        <v>69</v>
      </c>
      <c r="E128" s="3" t="s">
        <v>165</v>
      </c>
      <c r="F128" s="3" t="s">
        <v>166</v>
      </c>
      <c r="G128" s="3" t="s">
        <v>166</v>
      </c>
      <c r="H128" s="3" t="s">
        <v>256</v>
      </c>
    </row>
    <row r="129" customFormat="false" ht="15" hidden="false" customHeight="false" outlineLevel="0" collapsed="false">
      <c r="A129" s="3" t="s">
        <v>204</v>
      </c>
      <c r="B129" s="3" t="n">
        <v>52</v>
      </c>
      <c r="C129" s="3" t="s">
        <v>164</v>
      </c>
      <c r="D129" s="3" t="n">
        <v>38</v>
      </c>
      <c r="E129" s="3" t="s">
        <v>172</v>
      </c>
      <c r="F129" s="3" t="s">
        <v>166</v>
      </c>
      <c r="G129" s="3" t="s">
        <v>166</v>
      </c>
      <c r="H129" s="3" t="s">
        <v>256</v>
      </c>
    </row>
    <row r="130" customFormat="false" ht="15" hidden="false" customHeight="false" outlineLevel="0" collapsed="false">
      <c r="A130" s="3" t="s">
        <v>204</v>
      </c>
      <c r="B130" s="3" t="n">
        <v>53</v>
      </c>
      <c r="C130" s="3" t="s">
        <v>164</v>
      </c>
      <c r="D130" s="3" t="n">
        <v>18</v>
      </c>
      <c r="E130" s="3" t="s">
        <v>165</v>
      </c>
      <c r="F130" s="3" t="s">
        <v>166</v>
      </c>
      <c r="G130" s="3" t="s">
        <v>166</v>
      </c>
      <c r="H130" s="3" t="s">
        <v>257</v>
      </c>
    </row>
    <row r="131" customFormat="false" ht="15" hidden="false" customHeight="false" outlineLevel="0" collapsed="false">
      <c r="A131" s="3" t="s">
        <v>204</v>
      </c>
      <c r="B131" s="3" t="n">
        <v>53</v>
      </c>
      <c r="C131" s="3" t="s">
        <v>164</v>
      </c>
      <c r="D131" s="3" t="n">
        <v>52</v>
      </c>
      <c r="E131" s="3" t="s">
        <v>172</v>
      </c>
      <c r="F131" s="3" t="s">
        <v>166</v>
      </c>
      <c r="G131" s="3" t="s">
        <v>166</v>
      </c>
      <c r="H131" s="3" t="s">
        <v>257</v>
      </c>
    </row>
    <row r="132" customFormat="false" ht="15" hidden="false" customHeight="false" outlineLevel="0" collapsed="false">
      <c r="A132" s="3" t="s">
        <v>204</v>
      </c>
      <c r="B132" s="3" t="n">
        <v>53</v>
      </c>
      <c r="C132" s="3" t="s">
        <v>164</v>
      </c>
      <c r="D132" s="3" t="n">
        <v>79</v>
      </c>
      <c r="E132" s="3" t="s">
        <v>172</v>
      </c>
      <c r="F132" s="3" t="s">
        <v>166</v>
      </c>
      <c r="G132" s="3" t="s">
        <v>166</v>
      </c>
      <c r="H132" s="3" t="s">
        <v>257</v>
      </c>
    </row>
    <row r="133" customFormat="false" ht="15" hidden="false" customHeight="false" outlineLevel="0" collapsed="false">
      <c r="A133" s="3" t="s">
        <v>204</v>
      </c>
      <c r="B133" s="3" t="n">
        <v>53</v>
      </c>
      <c r="C133" s="3" t="s">
        <v>164</v>
      </c>
      <c r="D133" s="3" t="n">
        <v>40</v>
      </c>
      <c r="E133" s="3" t="s">
        <v>172</v>
      </c>
      <c r="F133" s="3" t="s">
        <v>166</v>
      </c>
      <c r="G133" s="3" t="s">
        <v>166</v>
      </c>
      <c r="H133" s="3" t="s">
        <v>257</v>
      </c>
    </row>
    <row r="134" customFormat="false" ht="15" hidden="false" customHeight="false" outlineLevel="0" collapsed="false">
      <c r="A134" s="3" t="s">
        <v>204</v>
      </c>
      <c r="B134" s="3" t="n">
        <v>54</v>
      </c>
      <c r="C134" s="3" t="s">
        <v>164</v>
      </c>
      <c r="D134" s="3" t="n">
        <v>56</v>
      </c>
      <c r="E134" s="3" t="s">
        <v>165</v>
      </c>
      <c r="F134" s="3" t="s">
        <v>166</v>
      </c>
      <c r="G134" s="3" t="s">
        <v>166</v>
      </c>
      <c r="H134" s="3" t="s">
        <v>258</v>
      </c>
    </row>
    <row r="135" customFormat="false" ht="15" hidden="false" customHeight="false" outlineLevel="0" collapsed="false">
      <c r="A135" s="3" t="s">
        <v>204</v>
      </c>
      <c r="B135" s="3" t="n">
        <v>54</v>
      </c>
      <c r="C135" s="3" t="s">
        <v>164</v>
      </c>
      <c r="D135" s="3" t="n">
        <v>69</v>
      </c>
      <c r="E135" s="3" t="s">
        <v>172</v>
      </c>
      <c r="F135" s="3" t="s">
        <v>166</v>
      </c>
      <c r="G135" s="3" t="s">
        <v>166</v>
      </c>
      <c r="H135" s="3" t="s">
        <v>258</v>
      </c>
    </row>
    <row r="136" customFormat="false" ht="15" hidden="false" customHeight="false" outlineLevel="0" collapsed="false">
      <c r="A136" s="3" t="s">
        <v>204</v>
      </c>
      <c r="B136" s="3" t="n">
        <v>54</v>
      </c>
      <c r="C136" s="3" t="s">
        <v>164</v>
      </c>
      <c r="D136" s="3" t="n">
        <v>44</v>
      </c>
      <c r="E136" s="3" t="s">
        <v>172</v>
      </c>
      <c r="F136" s="3" t="s">
        <v>166</v>
      </c>
      <c r="G136" s="3" t="s">
        <v>166</v>
      </c>
      <c r="H136" s="3" t="s">
        <v>258</v>
      </c>
    </row>
    <row r="137" customFormat="false" ht="15" hidden="false" customHeight="false" outlineLevel="0" collapsed="false">
      <c r="A137" s="3" t="s">
        <v>204</v>
      </c>
      <c r="B137" s="3" t="n">
        <v>55</v>
      </c>
      <c r="C137" s="3" t="s">
        <v>164</v>
      </c>
      <c r="D137" s="3" t="n">
        <v>38</v>
      </c>
      <c r="E137" s="3" t="s">
        <v>165</v>
      </c>
      <c r="F137" s="3" t="s">
        <v>166</v>
      </c>
      <c r="G137" s="3" t="s">
        <v>166</v>
      </c>
      <c r="H137" s="3" t="s">
        <v>259</v>
      </c>
    </row>
    <row r="138" customFormat="false" ht="15" hidden="false" customHeight="false" outlineLevel="0" collapsed="false">
      <c r="A138" s="3" t="s">
        <v>204</v>
      </c>
      <c r="B138" s="3" t="n">
        <v>55</v>
      </c>
      <c r="C138" s="3" t="s">
        <v>164</v>
      </c>
      <c r="D138" s="3" t="n">
        <v>39</v>
      </c>
      <c r="E138" s="3" t="s">
        <v>172</v>
      </c>
      <c r="F138" s="3" t="s">
        <v>166</v>
      </c>
      <c r="G138" s="3" t="s">
        <v>166</v>
      </c>
      <c r="H138" s="3" t="s">
        <v>259</v>
      </c>
    </row>
    <row r="139" customFormat="false" ht="15" hidden="false" customHeight="false" outlineLevel="0" collapsed="false">
      <c r="A139" s="3" t="s">
        <v>204</v>
      </c>
      <c r="B139" s="3" t="n">
        <v>55</v>
      </c>
      <c r="C139" s="3" t="s">
        <v>164</v>
      </c>
      <c r="D139" s="3" t="n">
        <v>28</v>
      </c>
      <c r="E139" s="3" t="s">
        <v>172</v>
      </c>
      <c r="F139" s="3" t="s">
        <v>166</v>
      </c>
      <c r="G139" s="3" t="s">
        <v>166</v>
      </c>
      <c r="H139" s="3" t="s">
        <v>259</v>
      </c>
    </row>
    <row r="140" customFormat="false" ht="15" hidden="false" customHeight="false" outlineLevel="0" collapsed="false">
      <c r="A140" s="3" t="s">
        <v>204</v>
      </c>
      <c r="B140" s="3" t="n">
        <v>56</v>
      </c>
      <c r="C140" s="3" t="s">
        <v>164</v>
      </c>
      <c r="D140" s="3" t="n">
        <v>56</v>
      </c>
      <c r="E140" s="3" t="s">
        <v>165</v>
      </c>
      <c r="F140" s="3" t="s">
        <v>166</v>
      </c>
      <c r="G140" s="3" t="s">
        <v>166</v>
      </c>
      <c r="H140" s="3" t="s">
        <v>260</v>
      </c>
    </row>
    <row r="141" customFormat="false" ht="15" hidden="false" customHeight="false" outlineLevel="0" collapsed="false">
      <c r="A141" s="3" t="s">
        <v>204</v>
      </c>
      <c r="B141" s="3" t="n">
        <v>56</v>
      </c>
      <c r="C141" s="3" t="s">
        <v>164</v>
      </c>
      <c r="D141" s="3" t="n">
        <v>21</v>
      </c>
      <c r="E141" s="3" t="s">
        <v>172</v>
      </c>
      <c r="F141" s="3" t="s">
        <v>166</v>
      </c>
      <c r="G141" s="3" t="s">
        <v>166</v>
      </c>
      <c r="H141" s="3" t="s">
        <v>260</v>
      </c>
    </row>
    <row r="142" customFormat="false" ht="15" hidden="false" customHeight="false" outlineLevel="0" collapsed="false">
      <c r="A142" s="3" t="s">
        <v>204</v>
      </c>
      <c r="B142" s="3" t="n">
        <v>57</v>
      </c>
      <c r="C142" s="3" t="s">
        <v>164</v>
      </c>
      <c r="D142" s="3" t="n">
        <v>11</v>
      </c>
      <c r="E142" s="3" t="s">
        <v>165</v>
      </c>
      <c r="F142" s="3" t="s">
        <v>166</v>
      </c>
      <c r="G142" s="3" t="s">
        <v>166</v>
      </c>
      <c r="H142" s="3" t="s">
        <v>261</v>
      </c>
    </row>
    <row r="143" customFormat="false" ht="15" hidden="false" customHeight="false" outlineLevel="0" collapsed="false">
      <c r="A143" s="3" t="s">
        <v>204</v>
      </c>
      <c r="B143" s="3" t="n">
        <v>57</v>
      </c>
      <c r="C143" s="3" t="s">
        <v>164</v>
      </c>
      <c r="D143" s="3" t="n">
        <v>10</v>
      </c>
      <c r="E143" s="3" t="s">
        <v>172</v>
      </c>
      <c r="F143" s="3" t="s">
        <v>166</v>
      </c>
      <c r="G143" s="3" t="s">
        <v>166</v>
      </c>
      <c r="H143" s="3" t="s">
        <v>261</v>
      </c>
    </row>
    <row r="144" customFormat="false" ht="15" hidden="false" customHeight="false" outlineLevel="0" collapsed="false">
      <c r="A144" s="3" t="s">
        <v>204</v>
      </c>
      <c r="B144" s="3" t="n">
        <v>57</v>
      </c>
      <c r="C144" s="3" t="s">
        <v>164</v>
      </c>
      <c r="D144" s="3" t="n">
        <v>40</v>
      </c>
      <c r="E144" s="3" t="s">
        <v>172</v>
      </c>
      <c r="F144" s="3" t="s">
        <v>166</v>
      </c>
      <c r="G144" s="3" t="s">
        <v>166</v>
      </c>
      <c r="H144" s="3" t="s">
        <v>261</v>
      </c>
    </row>
    <row r="145" customFormat="false" ht="15" hidden="false" customHeight="false" outlineLevel="0" collapsed="false">
      <c r="A145" s="3" t="s">
        <v>262</v>
      </c>
      <c r="B145" s="3" t="n">
        <v>1</v>
      </c>
      <c r="C145" s="3" t="s">
        <v>164</v>
      </c>
      <c r="D145" s="3" t="n">
        <v>37</v>
      </c>
      <c r="E145" s="3" t="s">
        <v>165</v>
      </c>
      <c r="F145" s="3" t="s">
        <v>263</v>
      </c>
      <c r="G145" s="3" t="s">
        <v>263</v>
      </c>
      <c r="H145" s="3" t="s">
        <v>264</v>
      </c>
    </row>
    <row r="146" customFormat="false" ht="15" hidden="false" customHeight="false" outlineLevel="0" collapsed="false">
      <c r="A146" s="3" t="s">
        <v>262</v>
      </c>
      <c r="B146" s="3" t="n">
        <v>1</v>
      </c>
      <c r="C146" s="3" t="s">
        <v>164</v>
      </c>
      <c r="D146" s="3" t="n">
        <v>91</v>
      </c>
      <c r="E146" s="3" t="s">
        <v>172</v>
      </c>
      <c r="F146" s="3" t="s">
        <v>263</v>
      </c>
      <c r="G146" s="3" t="s">
        <v>263</v>
      </c>
      <c r="H146" s="3" t="s">
        <v>264</v>
      </c>
    </row>
    <row r="147" customFormat="false" ht="15" hidden="false" customHeight="false" outlineLevel="0" collapsed="false">
      <c r="A147" s="3" t="s">
        <v>262</v>
      </c>
      <c r="B147" s="3" t="n">
        <v>2</v>
      </c>
      <c r="C147" s="3" t="s">
        <v>164</v>
      </c>
      <c r="D147" s="3" t="n">
        <v>92</v>
      </c>
      <c r="E147" s="3" t="s">
        <v>165</v>
      </c>
      <c r="F147" s="3" t="s">
        <v>263</v>
      </c>
      <c r="G147" s="3" t="s">
        <v>263</v>
      </c>
      <c r="H147" s="3" t="s">
        <v>265</v>
      </c>
    </row>
    <row r="148" customFormat="false" ht="15" hidden="false" customHeight="false" outlineLevel="0" collapsed="false">
      <c r="A148" s="3" t="s">
        <v>262</v>
      </c>
      <c r="B148" s="3" t="n">
        <v>3</v>
      </c>
      <c r="C148" s="3" t="s">
        <v>164</v>
      </c>
      <c r="D148" s="3" t="n">
        <v>92</v>
      </c>
      <c r="E148" s="3" t="s">
        <v>165</v>
      </c>
      <c r="F148" s="3" t="s">
        <v>263</v>
      </c>
      <c r="G148" s="3" t="s">
        <v>263</v>
      </c>
      <c r="H148" s="3" t="s">
        <v>266</v>
      </c>
    </row>
    <row r="149" customFormat="false" ht="15" hidden="false" customHeight="false" outlineLevel="0" collapsed="false">
      <c r="A149" s="3" t="s">
        <v>262</v>
      </c>
      <c r="B149" s="3" t="n">
        <v>4</v>
      </c>
      <c r="C149" s="3" t="s">
        <v>164</v>
      </c>
      <c r="D149" s="3" t="n">
        <v>73</v>
      </c>
      <c r="E149" s="3" t="s">
        <v>165</v>
      </c>
      <c r="F149" s="3" t="s">
        <v>263</v>
      </c>
      <c r="G149" s="3" t="s">
        <v>263</v>
      </c>
      <c r="H149" s="3" t="s">
        <v>267</v>
      </c>
    </row>
    <row r="150" customFormat="false" ht="15" hidden="false" customHeight="false" outlineLevel="0" collapsed="false">
      <c r="A150" s="3" t="s">
        <v>262</v>
      </c>
      <c r="B150" s="3" t="n">
        <v>4</v>
      </c>
      <c r="C150" s="3" t="s">
        <v>164</v>
      </c>
      <c r="D150" s="3" t="n">
        <v>74</v>
      </c>
      <c r="E150" s="3" t="s">
        <v>172</v>
      </c>
      <c r="F150" s="3" t="s">
        <v>263</v>
      </c>
      <c r="G150" s="3" t="s">
        <v>263</v>
      </c>
      <c r="H150" s="3" t="s">
        <v>267</v>
      </c>
    </row>
    <row r="151" customFormat="false" ht="15" hidden="false" customHeight="false" outlineLevel="0" collapsed="false">
      <c r="A151" s="3" t="s">
        <v>262</v>
      </c>
      <c r="B151" s="3" t="n">
        <v>5</v>
      </c>
      <c r="C151" s="3" t="s">
        <v>164</v>
      </c>
      <c r="D151" s="3" t="n">
        <v>97</v>
      </c>
      <c r="E151" s="3" t="s">
        <v>165</v>
      </c>
      <c r="F151" s="3" t="s">
        <v>263</v>
      </c>
      <c r="G151" s="3" t="s">
        <v>263</v>
      </c>
      <c r="H151" s="3" t="s">
        <v>268</v>
      </c>
    </row>
    <row r="152" customFormat="false" ht="15" hidden="false" customHeight="false" outlineLevel="0" collapsed="false">
      <c r="A152" s="3" t="s">
        <v>262</v>
      </c>
      <c r="B152" s="3" t="n">
        <v>5</v>
      </c>
      <c r="C152" s="3" t="s">
        <v>164</v>
      </c>
      <c r="D152" s="3" t="n">
        <v>95</v>
      </c>
      <c r="E152" s="3" t="s">
        <v>172</v>
      </c>
      <c r="F152" s="3" t="s">
        <v>263</v>
      </c>
      <c r="G152" s="3" t="s">
        <v>263</v>
      </c>
      <c r="H152" s="3" t="s">
        <v>268</v>
      </c>
    </row>
    <row r="153" customFormat="false" ht="15" hidden="false" customHeight="false" outlineLevel="0" collapsed="false">
      <c r="A153" s="3" t="s">
        <v>262</v>
      </c>
      <c r="B153" s="3" t="n">
        <v>6</v>
      </c>
      <c r="C153" s="3" t="s">
        <v>164</v>
      </c>
      <c r="D153" s="3" t="n">
        <v>23</v>
      </c>
      <c r="E153" s="3" t="s">
        <v>165</v>
      </c>
      <c r="F153" s="3" t="s">
        <v>263</v>
      </c>
      <c r="G153" s="3" t="s">
        <v>263</v>
      </c>
      <c r="H153" s="3" t="s">
        <v>269</v>
      </c>
    </row>
    <row r="154" customFormat="false" ht="15" hidden="false" customHeight="false" outlineLevel="0" collapsed="false">
      <c r="A154" s="3" t="s">
        <v>262</v>
      </c>
      <c r="B154" s="3" t="n">
        <v>7</v>
      </c>
      <c r="C154" s="3" t="s">
        <v>164</v>
      </c>
      <c r="D154" s="3" t="n">
        <v>29</v>
      </c>
      <c r="E154" s="3" t="s">
        <v>165</v>
      </c>
      <c r="F154" s="3" t="s">
        <v>263</v>
      </c>
      <c r="G154" s="3" t="s">
        <v>263</v>
      </c>
      <c r="H154" s="3" t="s">
        <v>270</v>
      </c>
    </row>
    <row r="155" customFormat="false" ht="15" hidden="false" customHeight="false" outlineLevel="0" collapsed="false">
      <c r="A155" s="3" t="s">
        <v>262</v>
      </c>
      <c r="B155" s="3" t="n">
        <v>7</v>
      </c>
      <c r="C155" s="3" t="s">
        <v>164</v>
      </c>
      <c r="D155" s="3" t="n">
        <v>30</v>
      </c>
      <c r="E155" s="3" t="s">
        <v>172</v>
      </c>
      <c r="F155" s="3" t="s">
        <v>263</v>
      </c>
      <c r="G155" s="3" t="s">
        <v>263</v>
      </c>
      <c r="H155" s="3" t="s">
        <v>270</v>
      </c>
    </row>
    <row r="156" customFormat="false" ht="15" hidden="false" customHeight="false" outlineLevel="0" collapsed="false">
      <c r="A156" s="3" t="s">
        <v>262</v>
      </c>
      <c r="B156" s="3" t="n">
        <v>8</v>
      </c>
      <c r="C156" s="3" t="s">
        <v>164</v>
      </c>
      <c r="D156" s="3" t="n">
        <v>26</v>
      </c>
      <c r="E156" s="3" t="s">
        <v>165</v>
      </c>
      <c r="F156" s="3" t="s">
        <v>263</v>
      </c>
      <c r="G156" s="3" t="s">
        <v>263</v>
      </c>
      <c r="H156" s="3" t="s">
        <v>271</v>
      </c>
    </row>
    <row r="157" customFormat="false" ht="15" hidden="false" customHeight="false" outlineLevel="0" collapsed="false">
      <c r="A157" s="3" t="s">
        <v>262</v>
      </c>
      <c r="B157" s="3" t="n">
        <v>8</v>
      </c>
      <c r="C157" s="3" t="s">
        <v>164</v>
      </c>
      <c r="D157" s="3" t="n">
        <v>3</v>
      </c>
      <c r="E157" s="3" t="s">
        <v>172</v>
      </c>
      <c r="F157" s="3" t="s">
        <v>263</v>
      </c>
      <c r="G157" s="3" t="s">
        <v>263</v>
      </c>
      <c r="H157" s="3" t="s">
        <v>271</v>
      </c>
    </row>
    <row r="158" customFormat="false" ht="15" hidden="false" customHeight="false" outlineLevel="0" collapsed="false">
      <c r="A158" s="3" t="s">
        <v>262</v>
      </c>
      <c r="B158" s="3" t="n">
        <v>9</v>
      </c>
      <c r="C158" s="3" t="s">
        <v>164</v>
      </c>
      <c r="D158" s="3" t="n">
        <v>26</v>
      </c>
      <c r="E158" s="3" t="s">
        <v>165</v>
      </c>
      <c r="F158" s="3" t="s">
        <v>263</v>
      </c>
      <c r="G158" s="3" t="s">
        <v>263</v>
      </c>
      <c r="H158" s="3" t="s">
        <v>272</v>
      </c>
    </row>
    <row r="159" customFormat="false" ht="15" hidden="false" customHeight="false" outlineLevel="0" collapsed="false">
      <c r="A159" s="3" t="s">
        <v>262</v>
      </c>
      <c r="B159" s="3" t="n">
        <v>9</v>
      </c>
      <c r="C159" s="3" t="s">
        <v>164</v>
      </c>
      <c r="D159" s="3" t="n">
        <v>18</v>
      </c>
      <c r="E159" s="3" t="s">
        <v>172</v>
      </c>
      <c r="F159" s="3" t="s">
        <v>263</v>
      </c>
      <c r="G159" s="3" t="s">
        <v>263</v>
      </c>
      <c r="H159" s="3" t="s">
        <v>272</v>
      </c>
    </row>
    <row r="160" customFormat="false" ht="15" hidden="false" customHeight="false" outlineLevel="0" collapsed="false">
      <c r="A160" s="3" t="s">
        <v>262</v>
      </c>
      <c r="B160" s="3" t="n">
        <v>10</v>
      </c>
      <c r="C160" s="3" t="s">
        <v>164</v>
      </c>
      <c r="D160" s="3" t="n">
        <v>38</v>
      </c>
      <c r="E160" s="3" t="s">
        <v>165</v>
      </c>
      <c r="F160" s="3" t="s">
        <v>263</v>
      </c>
      <c r="G160" s="3" t="s">
        <v>263</v>
      </c>
      <c r="H160" s="3" t="s">
        <v>273</v>
      </c>
    </row>
    <row r="161" customFormat="false" ht="15" hidden="false" customHeight="false" outlineLevel="0" collapsed="false">
      <c r="A161" s="3" t="s">
        <v>262</v>
      </c>
      <c r="B161" s="3" t="n">
        <v>10</v>
      </c>
      <c r="C161" s="3" t="s">
        <v>164</v>
      </c>
      <c r="D161" s="3" t="n">
        <v>45</v>
      </c>
      <c r="E161" s="3" t="s">
        <v>172</v>
      </c>
      <c r="F161" s="3" t="s">
        <v>263</v>
      </c>
      <c r="G161" s="3" t="s">
        <v>263</v>
      </c>
      <c r="H161" s="3" t="s">
        <v>273</v>
      </c>
    </row>
    <row r="162" customFormat="false" ht="15" hidden="false" customHeight="false" outlineLevel="0" collapsed="false">
      <c r="A162" s="3" t="s">
        <v>262</v>
      </c>
      <c r="B162" s="3" t="n">
        <v>11</v>
      </c>
      <c r="C162" s="3" t="s">
        <v>164</v>
      </c>
      <c r="D162" s="3" t="n">
        <v>7</v>
      </c>
      <c r="E162" s="3" t="s">
        <v>165</v>
      </c>
      <c r="F162" s="3" t="s">
        <v>263</v>
      </c>
      <c r="G162" s="3" t="s">
        <v>263</v>
      </c>
      <c r="H162" s="3" t="s">
        <v>274</v>
      </c>
    </row>
    <row r="163" customFormat="false" ht="15" hidden="false" customHeight="false" outlineLevel="0" collapsed="false">
      <c r="A163" s="3" t="s">
        <v>262</v>
      </c>
      <c r="B163" s="3" t="n">
        <v>11</v>
      </c>
      <c r="C163" s="3" t="s">
        <v>164</v>
      </c>
      <c r="D163" s="3" t="n">
        <v>5</v>
      </c>
      <c r="E163" s="3" t="s">
        <v>172</v>
      </c>
      <c r="F163" s="3" t="s">
        <v>263</v>
      </c>
      <c r="G163" s="3" t="s">
        <v>263</v>
      </c>
      <c r="H163" s="3" t="s">
        <v>274</v>
      </c>
    </row>
    <row r="164" customFormat="false" ht="15" hidden="false" customHeight="false" outlineLevel="0" collapsed="false">
      <c r="A164" s="3" t="s">
        <v>262</v>
      </c>
      <c r="B164" s="3" t="n">
        <v>12</v>
      </c>
      <c r="C164" s="3" t="s">
        <v>164</v>
      </c>
      <c r="D164" s="3" t="n">
        <v>26</v>
      </c>
      <c r="E164" s="3" t="s">
        <v>165</v>
      </c>
      <c r="F164" s="3" t="s">
        <v>263</v>
      </c>
      <c r="G164" s="3" t="s">
        <v>263</v>
      </c>
      <c r="H164" s="3" t="s">
        <v>275</v>
      </c>
    </row>
    <row r="165" customFormat="false" ht="15" hidden="false" customHeight="false" outlineLevel="0" collapsed="false">
      <c r="A165" s="3" t="s">
        <v>262</v>
      </c>
      <c r="B165" s="3" t="n">
        <v>12</v>
      </c>
      <c r="C165" s="3" t="s">
        <v>164</v>
      </c>
      <c r="D165" s="3" t="n">
        <v>3</v>
      </c>
      <c r="E165" s="3" t="s">
        <v>172</v>
      </c>
      <c r="F165" s="3" t="s">
        <v>263</v>
      </c>
      <c r="G165" s="3" t="s">
        <v>263</v>
      </c>
      <c r="H165" s="3" t="s">
        <v>275</v>
      </c>
    </row>
    <row r="166" customFormat="false" ht="15" hidden="false" customHeight="false" outlineLevel="0" collapsed="false">
      <c r="A166" s="3" t="s">
        <v>262</v>
      </c>
      <c r="B166" s="3" t="n">
        <v>13</v>
      </c>
      <c r="C166" s="3" t="s">
        <v>164</v>
      </c>
      <c r="D166" s="3" t="n">
        <v>90</v>
      </c>
      <c r="E166" s="3" t="s">
        <v>165</v>
      </c>
      <c r="F166" s="3" t="s">
        <v>263</v>
      </c>
      <c r="G166" s="3" t="s">
        <v>263</v>
      </c>
      <c r="H166" s="3" t="s">
        <v>276</v>
      </c>
    </row>
    <row r="167" customFormat="false" ht="15" hidden="false" customHeight="false" outlineLevel="0" collapsed="false">
      <c r="A167" s="3" t="s">
        <v>262</v>
      </c>
      <c r="B167" s="3" t="n">
        <v>13</v>
      </c>
      <c r="C167" s="3" t="s">
        <v>164</v>
      </c>
      <c r="D167" s="3" t="n">
        <v>47</v>
      </c>
      <c r="E167" s="3" t="s">
        <v>172</v>
      </c>
      <c r="F167" s="3" t="s">
        <v>263</v>
      </c>
      <c r="G167" s="3" t="s">
        <v>263</v>
      </c>
      <c r="H167" s="3" t="s">
        <v>276</v>
      </c>
    </row>
    <row r="168" customFormat="false" ht="15" hidden="false" customHeight="false" outlineLevel="0" collapsed="false">
      <c r="A168" s="3" t="s">
        <v>262</v>
      </c>
      <c r="B168" s="3" t="n">
        <v>14</v>
      </c>
      <c r="C168" s="3" t="s">
        <v>164</v>
      </c>
      <c r="D168" s="3" t="n">
        <v>34</v>
      </c>
      <c r="E168" s="3" t="s">
        <v>165</v>
      </c>
      <c r="F168" s="3" t="s">
        <v>263</v>
      </c>
      <c r="G168" s="3" t="s">
        <v>263</v>
      </c>
      <c r="H168" s="3" t="s">
        <v>277</v>
      </c>
    </row>
    <row r="169" customFormat="false" ht="15" hidden="false" customHeight="false" outlineLevel="0" collapsed="false">
      <c r="A169" s="3" t="s">
        <v>262</v>
      </c>
      <c r="B169" s="3" t="n">
        <v>15</v>
      </c>
      <c r="C169" s="3" t="s">
        <v>164</v>
      </c>
      <c r="D169" s="3" t="n">
        <v>36</v>
      </c>
      <c r="E169" s="3" t="s">
        <v>165</v>
      </c>
      <c r="F169" s="3" t="s">
        <v>263</v>
      </c>
      <c r="G169" s="3" t="s">
        <v>263</v>
      </c>
      <c r="H169" s="3" t="s">
        <v>278</v>
      </c>
    </row>
    <row r="170" customFormat="false" ht="15" hidden="false" customHeight="false" outlineLevel="0" collapsed="false">
      <c r="A170" s="3" t="s">
        <v>262</v>
      </c>
      <c r="B170" s="3" t="n">
        <v>15</v>
      </c>
      <c r="C170" s="3" t="s">
        <v>164</v>
      </c>
      <c r="D170" s="3" t="n">
        <v>35</v>
      </c>
      <c r="E170" s="3" t="s">
        <v>172</v>
      </c>
      <c r="F170" s="3" t="s">
        <v>263</v>
      </c>
      <c r="G170" s="3" t="s">
        <v>263</v>
      </c>
      <c r="H170" s="3" t="s">
        <v>278</v>
      </c>
    </row>
    <row r="171" customFormat="false" ht="15" hidden="false" customHeight="false" outlineLevel="0" collapsed="false">
      <c r="A171" s="3" t="s">
        <v>262</v>
      </c>
      <c r="B171" s="3" t="n">
        <v>16</v>
      </c>
      <c r="C171" s="3" t="s">
        <v>164</v>
      </c>
      <c r="D171" s="3" t="n">
        <v>19</v>
      </c>
      <c r="E171" s="3" t="s">
        <v>165</v>
      </c>
      <c r="F171" s="3" t="s">
        <v>263</v>
      </c>
      <c r="G171" s="3" t="s">
        <v>263</v>
      </c>
      <c r="H171" s="3" t="s">
        <v>279</v>
      </c>
    </row>
    <row r="172" customFormat="false" ht="15" hidden="false" customHeight="false" outlineLevel="0" collapsed="false">
      <c r="A172" s="3" t="s">
        <v>262</v>
      </c>
      <c r="B172" s="3" t="n">
        <v>16</v>
      </c>
      <c r="C172" s="3" t="s">
        <v>164</v>
      </c>
      <c r="D172" s="3" t="n">
        <v>10</v>
      </c>
      <c r="E172" s="3" t="s">
        <v>172</v>
      </c>
      <c r="F172" s="3" t="s">
        <v>263</v>
      </c>
      <c r="G172" s="3" t="s">
        <v>263</v>
      </c>
      <c r="H172" s="3" t="s">
        <v>279</v>
      </c>
    </row>
    <row r="173" customFormat="false" ht="15" hidden="false" customHeight="false" outlineLevel="0" collapsed="false">
      <c r="A173" s="3" t="s">
        <v>262</v>
      </c>
      <c r="B173" s="3" t="n">
        <v>17</v>
      </c>
      <c r="C173" s="3" t="s">
        <v>164</v>
      </c>
      <c r="D173" s="3" t="n">
        <v>5</v>
      </c>
      <c r="E173" s="3" t="s">
        <v>165</v>
      </c>
      <c r="F173" s="3" t="s">
        <v>263</v>
      </c>
      <c r="G173" s="3" t="s">
        <v>263</v>
      </c>
      <c r="H173" s="3" t="s">
        <v>280</v>
      </c>
    </row>
    <row r="174" customFormat="false" ht="15" hidden="false" customHeight="false" outlineLevel="0" collapsed="false">
      <c r="A174" s="3" t="s">
        <v>262</v>
      </c>
      <c r="B174" s="3" t="n">
        <v>18</v>
      </c>
      <c r="C174" s="3" t="s">
        <v>164</v>
      </c>
      <c r="D174" s="3" t="n">
        <v>26</v>
      </c>
      <c r="E174" s="3" t="s">
        <v>165</v>
      </c>
      <c r="F174" s="3" t="s">
        <v>263</v>
      </c>
      <c r="G174" s="3" t="s">
        <v>263</v>
      </c>
      <c r="H174" s="3" t="s">
        <v>281</v>
      </c>
    </row>
    <row r="175" customFormat="false" ht="15" hidden="false" customHeight="false" outlineLevel="0" collapsed="false">
      <c r="A175" s="3" t="s">
        <v>262</v>
      </c>
      <c r="B175" s="3" t="n">
        <v>18</v>
      </c>
      <c r="C175" s="3" t="s">
        <v>164</v>
      </c>
      <c r="D175" s="3" t="n">
        <v>86</v>
      </c>
      <c r="E175" s="3" t="s">
        <v>172</v>
      </c>
      <c r="F175" s="3" t="s">
        <v>263</v>
      </c>
      <c r="G175" s="3" t="s">
        <v>263</v>
      </c>
      <c r="H175" s="3" t="s">
        <v>281</v>
      </c>
    </row>
    <row r="176" customFormat="false" ht="15" hidden="false" customHeight="false" outlineLevel="0" collapsed="false">
      <c r="A176" s="3" t="s">
        <v>262</v>
      </c>
      <c r="B176" s="3" t="n">
        <v>19</v>
      </c>
      <c r="C176" s="3" t="s">
        <v>164</v>
      </c>
      <c r="D176" s="3" t="n">
        <v>35</v>
      </c>
      <c r="E176" s="3" t="s">
        <v>165</v>
      </c>
      <c r="F176" s="3" t="s">
        <v>263</v>
      </c>
      <c r="G176" s="3" t="s">
        <v>263</v>
      </c>
      <c r="H176" s="3" t="s">
        <v>282</v>
      </c>
    </row>
    <row r="177" customFormat="false" ht="15" hidden="false" customHeight="false" outlineLevel="0" collapsed="false">
      <c r="A177" s="3" t="s">
        <v>262</v>
      </c>
      <c r="B177" s="3" t="n">
        <v>19</v>
      </c>
      <c r="C177" s="3" t="s">
        <v>164</v>
      </c>
      <c r="D177" s="3" t="n">
        <v>26</v>
      </c>
      <c r="E177" s="3" t="s">
        <v>172</v>
      </c>
      <c r="F177" s="3" t="s">
        <v>263</v>
      </c>
      <c r="G177" s="3" t="s">
        <v>263</v>
      </c>
      <c r="H177" s="3" t="s">
        <v>282</v>
      </c>
    </row>
    <row r="178" customFormat="false" ht="15" hidden="false" customHeight="false" outlineLevel="0" collapsed="false">
      <c r="A178" s="3" t="s">
        <v>283</v>
      </c>
      <c r="B178" s="3" t="n">
        <v>1</v>
      </c>
      <c r="C178" s="3" t="s">
        <v>164</v>
      </c>
      <c r="D178" s="3" t="n">
        <v>35</v>
      </c>
      <c r="E178" s="3" t="s">
        <v>165</v>
      </c>
      <c r="F178" s="3" t="s">
        <v>166</v>
      </c>
      <c r="G178" s="3" t="s">
        <v>166</v>
      </c>
      <c r="H178" s="3" t="s">
        <v>284</v>
      </c>
    </row>
    <row r="179" customFormat="false" ht="15" hidden="false" customHeight="false" outlineLevel="0" collapsed="false">
      <c r="A179" s="3" t="s">
        <v>283</v>
      </c>
      <c r="B179" s="3" t="n">
        <v>2</v>
      </c>
      <c r="C179" s="3" t="s">
        <v>164</v>
      </c>
      <c r="D179" s="3" t="n">
        <v>26</v>
      </c>
      <c r="E179" s="3" t="s">
        <v>165</v>
      </c>
      <c r="F179" s="3" t="s">
        <v>166</v>
      </c>
      <c r="G179" s="3" t="s">
        <v>166</v>
      </c>
      <c r="H179" s="3" t="s">
        <v>285</v>
      </c>
    </row>
    <row r="180" customFormat="false" ht="15" hidden="false" customHeight="false" outlineLevel="0" collapsed="false">
      <c r="A180" s="3" t="s">
        <v>283</v>
      </c>
      <c r="B180" s="3" t="n">
        <v>3</v>
      </c>
      <c r="C180" s="3" t="s">
        <v>164</v>
      </c>
      <c r="D180" s="3" t="n">
        <v>3</v>
      </c>
      <c r="E180" s="3" t="s">
        <v>165</v>
      </c>
      <c r="F180" s="3" t="s">
        <v>166</v>
      </c>
      <c r="G180" s="3" t="s">
        <v>166</v>
      </c>
      <c r="H180" s="3" t="s">
        <v>286</v>
      </c>
    </row>
    <row r="181" customFormat="false" ht="15" hidden="false" customHeight="false" outlineLevel="0" collapsed="false">
      <c r="A181" s="3" t="s">
        <v>283</v>
      </c>
      <c r="B181" s="3" t="n">
        <v>3</v>
      </c>
      <c r="C181" s="3" t="s">
        <v>164</v>
      </c>
      <c r="D181" s="3" t="n">
        <v>19</v>
      </c>
      <c r="E181" s="3" t="s">
        <v>172</v>
      </c>
      <c r="F181" s="3" t="s">
        <v>166</v>
      </c>
      <c r="G181" s="3" t="s">
        <v>166</v>
      </c>
      <c r="H181" s="3" t="s">
        <v>286</v>
      </c>
    </row>
    <row r="182" customFormat="false" ht="15" hidden="false" customHeight="false" outlineLevel="0" collapsed="false">
      <c r="A182" s="3" t="s">
        <v>283</v>
      </c>
      <c r="B182" s="3" t="n">
        <v>4</v>
      </c>
      <c r="C182" s="3" t="s">
        <v>164</v>
      </c>
      <c r="D182" s="3" t="n">
        <v>43</v>
      </c>
      <c r="E182" s="3" t="s">
        <v>165</v>
      </c>
      <c r="F182" s="3" t="s">
        <v>166</v>
      </c>
      <c r="G182" s="3" t="s">
        <v>166</v>
      </c>
      <c r="H182" s="3" t="s">
        <v>287</v>
      </c>
    </row>
    <row r="183" customFormat="false" ht="15" hidden="false" customHeight="false" outlineLevel="0" collapsed="false">
      <c r="A183" s="3" t="s">
        <v>283</v>
      </c>
      <c r="B183" s="3" t="n">
        <v>5</v>
      </c>
      <c r="C183" s="3" t="s">
        <v>164</v>
      </c>
      <c r="D183" s="3" t="n">
        <v>86</v>
      </c>
      <c r="E183" s="3" t="s">
        <v>165</v>
      </c>
      <c r="F183" s="3" t="s">
        <v>166</v>
      </c>
      <c r="G183" s="3" t="s">
        <v>166</v>
      </c>
      <c r="H183" s="3" t="s">
        <v>288</v>
      </c>
    </row>
    <row r="184" customFormat="false" ht="15" hidden="false" customHeight="false" outlineLevel="0" collapsed="false">
      <c r="A184" s="3" t="s">
        <v>283</v>
      </c>
      <c r="B184" s="3" t="n">
        <v>5</v>
      </c>
      <c r="C184" s="3" t="s">
        <v>164</v>
      </c>
      <c r="D184" s="3" t="n">
        <v>81</v>
      </c>
      <c r="E184" s="3" t="s">
        <v>172</v>
      </c>
      <c r="F184" s="3" t="s">
        <v>166</v>
      </c>
      <c r="G184" s="3" t="s">
        <v>166</v>
      </c>
      <c r="H184" s="3" t="s">
        <v>288</v>
      </c>
    </row>
    <row r="185" customFormat="false" ht="15" hidden="false" customHeight="false" outlineLevel="0" collapsed="false">
      <c r="A185" s="3" t="s">
        <v>283</v>
      </c>
      <c r="B185" s="3" t="n">
        <v>6</v>
      </c>
      <c r="C185" s="3" t="s">
        <v>164</v>
      </c>
      <c r="D185" s="3" t="n">
        <v>35</v>
      </c>
      <c r="E185" s="3" t="s">
        <v>165</v>
      </c>
      <c r="F185" s="3" t="s">
        <v>166</v>
      </c>
      <c r="G185" s="3" t="s">
        <v>166</v>
      </c>
      <c r="H185" s="3" t="s">
        <v>289</v>
      </c>
    </row>
    <row r="186" customFormat="false" ht="15" hidden="false" customHeight="false" outlineLevel="0" collapsed="false">
      <c r="A186" s="3" t="s">
        <v>283</v>
      </c>
      <c r="B186" s="3" t="n">
        <v>6</v>
      </c>
      <c r="C186" s="3" t="s">
        <v>164</v>
      </c>
      <c r="D186" s="3" t="n">
        <v>20</v>
      </c>
      <c r="E186" s="3" t="s">
        <v>172</v>
      </c>
      <c r="F186" s="3" t="s">
        <v>166</v>
      </c>
      <c r="G186" s="3" t="s">
        <v>166</v>
      </c>
      <c r="H186" s="3" t="s">
        <v>289</v>
      </c>
    </row>
    <row r="187" customFormat="false" ht="15" hidden="false" customHeight="false" outlineLevel="0" collapsed="false">
      <c r="A187" s="3" t="s">
        <v>283</v>
      </c>
      <c r="B187" s="3" t="n">
        <v>7</v>
      </c>
      <c r="C187" s="3" t="s">
        <v>164</v>
      </c>
      <c r="D187" s="3" t="n">
        <v>59</v>
      </c>
      <c r="E187" s="3" t="s">
        <v>165</v>
      </c>
      <c r="F187" s="3" t="s">
        <v>166</v>
      </c>
      <c r="G187" s="3" t="s">
        <v>166</v>
      </c>
      <c r="H187" s="3" t="s">
        <v>290</v>
      </c>
    </row>
    <row r="188" customFormat="false" ht="15" hidden="false" customHeight="false" outlineLevel="0" collapsed="false">
      <c r="A188" s="3" t="s">
        <v>283</v>
      </c>
      <c r="B188" s="3" t="n">
        <v>7</v>
      </c>
      <c r="C188" s="3" t="s">
        <v>164</v>
      </c>
      <c r="D188" s="3" t="n">
        <v>58</v>
      </c>
      <c r="E188" s="3" t="s">
        <v>172</v>
      </c>
      <c r="F188" s="3" t="s">
        <v>166</v>
      </c>
      <c r="G188" s="3" t="s">
        <v>166</v>
      </c>
      <c r="H188" s="3" t="s">
        <v>290</v>
      </c>
    </row>
    <row r="189" customFormat="false" ht="15" hidden="false" customHeight="false" outlineLevel="0" collapsed="false">
      <c r="A189" s="3" t="s">
        <v>283</v>
      </c>
      <c r="B189" s="3" t="n">
        <v>8</v>
      </c>
      <c r="C189" s="3" t="s">
        <v>164</v>
      </c>
      <c r="D189" s="3" t="n">
        <v>25</v>
      </c>
      <c r="E189" s="3" t="s">
        <v>165</v>
      </c>
      <c r="F189" s="3" t="s">
        <v>166</v>
      </c>
      <c r="G189" s="3" t="s">
        <v>166</v>
      </c>
      <c r="H189" s="3" t="s">
        <v>291</v>
      </c>
    </row>
    <row r="190" customFormat="false" ht="15" hidden="false" customHeight="false" outlineLevel="0" collapsed="false">
      <c r="A190" s="3" t="s">
        <v>283</v>
      </c>
      <c r="B190" s="3" t="n">
        <v>9</v>
      </c>
      <c r="C190" s="3" t="s">
        <v>164</v>
      </c>
      <c r="D190" s="3" t="n">
        <v>68</v>
      </c>
      <c r="E190" s="3" t="s">
        <v>165</v>
      </c>
      <c r="F190" s="3" t="s">
        <v>166</v>
      </c>
      <c r="G190" s="3" t="s">
        <v>166</v>
      </c>
      <c r="H190" s="3" t="s">
        <v>292</v>
      </c>
    </row>
    <row r="191" customFormat="false" ht="15" hidden="false" customHeight="false" outlineLevel="0" collapsed="false">
      <c r="A191" s="3" t="s">
        <v>283</v>
      </c>
      <c r="B191" s="3" t="n">
        <v>10</v>
      </c>
      <c r="C191" s="3" t="s">
        <v>164</v>
      </c>
      <c r="D191" s="3" t="n">
        <v>45</v>
      </c>
      <c r="E191" s="3" t="s">
        <v>165</v>
      </c>
      <c r="F191" s="3" t="s">
        <v>166</v>
      </c>
      <c r="G191" s="3" t="s">
        <v>166</v>
      </c>
      <c r="H191" s="3" t="s">
        <v>293</v>
      </c>
    </row>
    <row r="192" customFormat="false" ht="15" hidden="false" customHeight="false" outlineLevel="0" collapsed="false">
      <c r="A192" s="3" t="s">
        <v>283</v>
      </c>
      <c r="B192" s="3" t="n">
        <v>11</v>
      </c>
      <c r="C192" s="3" t="s">
        <v>164</v>
      </c>
      <c r="D192" s="3" t="n">
        <v>27</v>
      </c>
      <c r="E192" s="3" t="s">
        <v>165</v>
      </c>
      <c r="F192" s="3" t="s">
        <v>166</v>
      </c>
      <c r="G192" s="3" t="s">
        <v>166</v>
      </c>
      <c r="H192" s="3" t="s">
        <v>294</v>
      </c>
    </row>
    <row r="193" customFormat="false" ht="15" hidden="false" customHeight="false" outlineLevel="0" collapsed="false">
      <c r="A193" s="3" t="s">
        <v>283</v>
      </c>
      <c r="B193" s="3" t="n">
        <v>12</v>
      </c>
      <c r="C193" s="3" t="s">
        <v>164</v>
      </c>
      <c r="D193" s="3" t="n">
        <v>10</v>
      </c>
      <c r="E193" s="3" t="s">
        <v>165</v>
      </c>
      <c r="F193" s="3" t="s">
        <v>166</v>
      </c>
      <c r="G193" s="3" t="s">
        <v>166</v>
      </c>
      <c r="H193" s="3" t="s">
        <v>295</v>
      </c>
    </row>
    <row r="194" customFormat="false" ht="15" hidden="false" customHeight="false" outlineLevel="0" collapsed="false">
      <c r="A194" s="3" t="s">
        <v>283</v>
      </c>
      <c r="B194" s="3" t="n">
        <v>12</v>
      </c>
      <c r="C194" s="3" t="s">
        <v>164</v>
      </c>
      <c r="D194" s="3" t="n">
        <v>13</v>
      </c>
      <c r="E194" s="3" t="s">
        <v>172</v>
      </c>
      <c r="F194" s="3" t="s">
        <v>166</v>
      </c>
      <c r="G194" s="3" t="s">
        <v>166</v>
      </c>
      <c r="H194" s="3" t="s">
        <v>295</v>
      </c>
    </row>
    <row r="195" customFormat="false" ht="15" hidden="false" customHeight="false" outlineLevel="0" collapsed="false">
      <c r="A195" s="3" t="s">
        <v>283</v>
      </c>
      <c r="B195" s="3" t="n">
        <v>13</v>
      </c>
      <c r="C195" s="3" t="s">
        <v>164</v>
      </c>
      <c r="D195" s="3" t="n">
        <v>5</v>
      </c>
      <c r="E195" s="3" t="s">
        <v>165</v>
      </c>
      <c r="F195" s="3" t="s">
        <v>166</v>
      </c>
      <c r="G195" s="3" t="s">
        <v>166</v>
      </c>
      <c r="H195" s="3" t="s">
        <v>296</v>
      </c>
    </row>
    <row r="196" customFormat="false" ht="15" hidden="false" customHeight="false" outlineLevel="0" collapsed="false">
      <c r="A196" s="3" t="s">
        <v>283</v>
      </c>
      <c r="B196" s="3" t="n">
        <v>14</v>
      </c>
      <c r="C196" s="3" t="s">
        <v>164</v>
      </c>
      <c r="D196" s="3" t="n">
        <v>75</v>
      </c>
      <c r="E196" s="3" t="s">
        <v>165</v>
      </c>
      <c r="F196" s="3" t="s">
        <v>166</v>
      </c>
      <c r="G196" s="3" t="s">
        <v>166</v>
      </c>
      <c r="H196" s="3" t="s">
        <v>297</v>
      </c>
    </row>
    <row r="197" customFormat="false" ht="15" hidden="false" customHeight="false" outlineLevel="0" collapsed="false">
      <c r="A197" s="3" t="s">
        <v>283</v>
      </c>
      <c r="B197" s="3" t="n">
        <v>15</v>
      </c>
      <c r="C197" s="3" t="s">
        <v>164</v>
      </c>
      <c r="D197" s="3" t="n">
        <v>11</v>
      </c>
      <c r="E197" s="3" t="s">
        <v>165</v>
      </c>
      <c r="F197" s="3" t="s">
        <v>166</v>
      </c>
      <c r="G197" s="3" t="s">
        <v>166</v>
      </c>
      <c r="H197" s="3" t="s">
        <v>298</v>
      </c>
    </row>
    <row r="198" customFormat="false" ht="15" hidden="false" customHeight="false" outlineLevel="0" collapsed="false">
      <c r="A198" s="3" t="s">
        <v>283</v>
      </c>
      <c r="B198" s="3" t="n">
        <v>16</v>
      </c>
      <c r="C198" s="3" t="s">
        <v>164</v>
      </c>
      <c r="D198" s="3" t="n">
        <v>14</v>
      </c>
      <c r="E198" s="3" t="s">
        <v>165</v>
      </c>
      <c r="F198" s="3" t="s">
        <v>166</v>
      </c>
      <c r="G198" s="3" t="s">
        <v>166</v>
      </c>
      <c r="H198" s="3" t="s">
        <v>299</v>
      </c>
    </row>
    <row r="199" customFormat="false" ht="15" hidden="false" customHeight="false" outlineLevel="0" collapsed="false">
      <c r="A199" s="3" t="s">
        <v>283</v>
      </c>
      <c r="B199" s="3" t="n">
        <v>17</v>
      </c>
      <c r="C199" s="3" t="s">
        <v>164</v>
      </c>
      <c r="D199" s="3" t="n">
        <v>2</v>
      </c>
      <c r="E199" s="3" t="s">
        <v>165</v>
      </c>
      <c r="F199" s="3" t="s">
        <v>166</v>
      </c>
      <c r="G199" s="3" t="s">
        <v>166</v>
      </c>
      <c r="H199" s="3" t="s">
        <v>300</v>
      </c>
    </row>
    <row r="200" customFormat="false" ht="15" hidden="false" customHeight="false" outlineLevel="0" collapsed="false">
      <c r="A200" s="3" t="s">
        <v>283</v>
      </c>
      <c r="B200" s="3" t="n">
        <v>17</v>
      </c>
      <c r="C200" s="3" t="s">
        <v>164</v>
      </c>
      <c r="D200" s="3" t="n">
        <v>11</v>
      </c>
      <c r="E200" s="3" t="s">
        <v>172</v>
      </c>
      <c r="F200" s="3" t="s">
        <v>166</v>
      </c>
      <c r="G200" s="3" t="s">
        <v>166</v>
      </c>
      <c r="H200" s="3" t="s">
        <v>300</v>
      </c>
    </row>
    <row r="201" customFormat="false" ht="15" hidden="false" customHeight="false" outlineLevel="0" collapsed="false">
      <c r="A201" s="3" t="s">
        <v>283</v>
      </c>
      <c r="B201" s="3" t="n">
        <v>18</v>
      </c>
      <c r="C201" s="3" t="s">
        <v>164</v>
      </c>
      <c r="D201" s="3" t="n">
        <v>22</v>
      </c>
      <c r="E201" s="3" t="s">
        <v>165</v>
      </c>
      <c r="F201" s="3" t="s">
        <v>166</v>
      </c>
      <c r="G201" s="3" t="s">
        <v>166</v>
      </c>
      <c r="H201" s="3" t="s">
        <v>301</v>
      </c>
    </row>
    <row r="202" customFormat="false" ht="15" hidden="false" customHeight="false" outlineLevel="0" collapsed="false">
      <c r="A202" s="3" t="s">
        <v>283</v>
      </c>
      <c r="B202" s="3" t="n">
        <v>19</v>
      </c>
      <c r="C202" s="3" t="s">
        <v>164</v>
      </c>
      <c r="D202" s="3" t="n">
        <v>35</v>
      </c>
      <c r="E202" s="3" t="s">
        <v>165</v>
      </c>
      <c r="F202" s="3" t="s">
        <v>166</v>
      </c>
      <c r="G202" s="3" t="s">
        <v>166</v>
      </c>
      <c r="H202" s="3" t="s">
        <v>302</v>
      </c>
    </row>
    <row r="203" customFormat="false" ht="15" hidden="false" customHeight="false" outlineLevel="0" collapsed="false">
      <c r="A203" s="3" t="s">
        <v>283</v>
      </c>
      <c r="B203" s="3" t="n">
        <v>20</v>
      </c>
      <c r="C203" s="3" t="s">
        <v>164</v>
      </c>
      <c r="D203" s="3" t="n">
        <v>24</v>
      </c>
      <c r="E203" s="3" t="s">
        <v>165</v>
      </c>
      <c r="F203" s="3" t="s">
        <v>166</v>
      </c>
      <c r="G203" s="3" t="s">
        <v>166</v>
      </c>
      <c r="H203" s="3" t="s">
        <v>303</v>
      </c>
    </row>
    <row r="204" customFormat="false" ht="15" hidden="false" customHeight="false" outlineLevel="0" collapsed="false">
      <c r="A204" s="3" t="s">
        <v>304</v>
      </c>
      <c r="B204" s="3" t="n">
        <v>1</v>
      </c>
      <c r="C204" s="3" t="s">
        <v>164</v>
      </c>
      <c r="D204" s="3" t="n">
        <v>6</v>
      </c>
      <c r="E204" s="3" t="s">
        <v>165</v>
      </c>
      <c r="F204" s="3" t="s">
        <v>166</v>
      </c>
      <c r="G204" s="3" t="s">
        <v>166</v>
      </c>
      <c r="H204" s="3" t="s">
        <v>305</v>
      </c>
    </row>
    <row r="205" customFormat="false" ht="15" hidden="false" customHeight="false" outlineLevel="0" collapsed="false">
      <c r="A205" s="3" t="s">
        <v>304</v>
      </c>
      <c r="B205" s="3" t="n">
        <v>2</v>
      </c>
      <c r="C205" s="3" t="s">
        <v>164</v>
      </c>
      <c r="D205" s="3" t="n">
        <v>4</v>
      </c>
      <c r="E205" s="3" t="s">
        <v>165</v>
      </c>
      <c r="F205" s="3" t="s">
        <v>166</v>
      </c>
      <c r="G205" s="3" t="s">
        <v>166</v>
      </c>
      <c r="H205" s="3" t="s">
        <v>306</v>
      </c>
    </row>
    <row r="206" customFormat="false" ht="15" hidden="false" customHeight="false" outlineLevel="0" collapsed="false">
      <c r="A206" s="3" t="s">
        <v>304</v>
      </c>
      <c r="B206" s="3" t="n">
        <v>2</v>
      </c>
      <c r="C206" s="3" t="s">
        <v>164</v>
      </c>
      <c r="D206" s="3" t="n">
        <v>91</v>
      </c>
      <c r="E206" s="3" t="s">
        <v>172</v>
      </c>
      <c r="F206" s="3" t="s">
        <v>166</v>
      </c>
      <c r="G206" s="3" t="s">
        <v>166</v>
      </c>
      <c r="H206" s="3" t="s">
        <v>306</v>
      </c>
    </row>
    <row r="207" customFormat="false" ht="15" hidden="false" customHeight="false" outlineLevel="0" collapsed="false">
      <c r="A207" s="3" t="s">
        <v>304</v>
      </c>
      <c r="B207" s="3" t="n">
        <v>3</v>
      </c>
      <c r="C207" s="3" t="s">
        <v>164</v>
      </c>
      <c r="D207" s="3" t="n">
        <v>84</v>
      </c>
      <c r="E207" s="3" t="s">
        <v>165</v>
      </c>
      <c r="F207" s="3" t="s">
        <v>166</v>
      </c>
      <c r="G207" s="3" t="s">
        <v>166</v>
      </c>
      <c r="H207" s="3" t="s">
        <v>307</v>
      </c>
    </row>
    <row r="208" customFormat="false" ht="15" hidden="false" customHeight="false" outlineLevel="0" collapsed="false">
      <c r="A208" s="3" t="s">
        <v>304</v>
      </c>
      <c r="B208" s="3" t="n">
        <v>4</v>
      </c>
      <c r="C208" s="3" t="s">
        <v>164</v>
      </c>
      <c r="D208" s="3" t="n">
        <v>15</v>
      </c>
      <c r="E208" s="3" t="s">
        <v>165</v>
      </c>
      <c r="F208" s="3" t="s">
        <v>166</v>
      </c>
      <c r="G208" s="3" t="s">
        <v>166</v>
      </c>
      <c r="H208" s="3" t="s">
        <v>308</v>
      </c>
    </row>
    <row r="209" customFormat="false" ht="15" hidden="false" customHeight="false" outlineLevel="0" collapsed="false">
      <c r="A209" s="3" t="s">
        <v>304</v>
      </c>
      <c r="B209" s="3" t="n">
        <v>5</v>
      </c>
      <c r="C209" s="3" t="s">
        <v>164</v>
      </c>
      <c r="D209" s="3" t="n">
        <v>84</v>
      </c>
      <c r="E209" s="3" t="s">
        <v>165</v>
      </c>
      <c r="F209" s="3" t="s">
        <v>166</v>
      </c>
      <c r="G209" s="3" t="s">
        <v>166</v>
      </c>
      <c r="H209" s="3" t="s">
        <v>309</v>
      </c>
    </row>
    <row r="210" customFormat="false" ht="15" hidden="false" customHeight="false" outlineLevel="0" collapsed="false">
      <c r="A210" s="3" t="s">
        <v>304</v>
      </c>
      <c r="B210" s="3" t="n">
        <v>5</v>
      </c>
      <c r="C210" s="3" t="s">
        <v>164</v>
      </c>
      <c r="D210" s="3" t="n">
        <v>65</v>
      </c>
      <c r="E210" s="3" t="s">
        <v>172</v>
      </c>
      <c r="F210" s="3" t="s">
        <v>166</v>
      </c>
      <c r="G210" s="3" t="s">
        <v>166</v>
      </c>
      <c r="H210" s="3" t="s">
        <v>309</v>
      </c>
    </row>
    <row r="211" customFormat="false" ht="15" hidden="false" customHeight="false" outlineLevel="0" collapsed="false">
      <c r="A211" s="3" t="s">
        <v>304</v>
      </c>
      <c r="B211" s="3" t="n">
        <v>6</v>
      </c>
      <c r="C211" s="3" t="s">
        <v>164</v>
      </c>
      <c r="D211" s="3" t="n">
        <v>87</v>
      </c>
      <c r="E211" s="3" t="s">
        <v>165</v>
      </c>
      <c r="F211" s="3" t="s">
        <v>166</v>
      </c>
      <c r="G211" s="3" t="s">
        <v>166</v>
      </c>
      <c r="H211" s="3" t="s">
        <v>310</v>
      </c>
    </row>
    <row r="212" customFormat="false" ht="15" hidden="false" customHeight="false" outlineLevel="0" collapsed="false">
      <c r="A212" s="3" t="s">
        <v>304</v>
      </c>
      <c r="B212" s="3" t="n">
        <v>6</v>
      </c>
      <c r="C212" s="3" t="s">
        <v>164</v>
      </c>
      <c r="D212" s="3" t="n">
        <v>44</v>
      </c>
      <c r="E212" s="3" t="s">
        <v>172</v>
      </c>
      <c r="F212" s="3" t="s">
        <v>166</v>
      </c>
      <c r="G212" s="3" t="s">
        <v>166</v>
      </c>
      <c r="H212" s="3" t="s">
        <v>310</v>
      </c>
    </row>
    <row r="213" customFormat="false" ht="15" hidden="false" customHeight="false" outlineLevel="0" collapsed="false">
      <c r="A213" s="3" t="s">
        <v>304</v>
      </c>
      <c r="B213" s="3" t="n">
        <v>7</v>
      </c>
      <c r="C213" s="3" t="s">
        <v>164</v>
      </c>
      <c r="D213" s="3" t="n">
        <v>26</v>
      </c>
      <c r="E213" s="3" t="s">
        <v>165</v>
      </c>
      <c r="F213" s="3" t="s">
        <v>166</v>
      </c>
      <c r="G213" s="3" t="s">
        <v>166</v>
      </c>
      <c r="H213" s="3" t="s">
        <v>311</v>
      </c>
    </row>
    <row r="214" customFormat="false" ht="15" hidden="false" customHeight="false" outlineLevel="0" collapsed="false">
      <c r="A214" s="3" t="s">
        <v>304</v>
      </c>
      <c r="B214" s="3" t="n">
        <v>7</v>
      </c>
      <c r="C214" s="3" t="s">
        <v>164</v>
      </c>
      <c r="D214" s="3" t="n">
        <v>3</v>
      </c>
      <c r="E214" s="3" t="s">
        <v>172</v>
      </c>
      <c r="F214" s="3" t="s">
        <v>166</v>
      </c>
      <c r="G214" s="3" t="s">
        <v>166</v>
      </c>
      <c r="H214" s="3" t="s">
        <v>311</v>
      </c>
    </row>
    <row r="215" customFormat="false" ht="15" hidden="false" customHeight="false" outlineLevel="0" collapsed="false">
      <c r="A215" s="3" t="s">
        <v>304</v>
      </c>
      <c r="B215" s="3" t="n">
        <v>8</v>
      </c>
      <c r="C215" s="3" t="s">
        <v>164</v>
      </c>
      <c r="D215" s="3" t="n">
        <v>45</v>
      </c>
      <c r="E215" s="3" t="s">
        <v>165</v>
      </c>
      <c r="F215" s="3" t="s">
        <v>166</v>
      </c>
      <c r="G215" s="3" t="s">
        <v>166</v>
      </c>
      <c r="H215" s="3" t="s">
        <v>312</v>
      </c>
    </row>
    <row r="216" customFormat="false" ht="15" hidden="false" customHeight="false" outlineLevel="0" collapsed="false">
      <c r="A216" s="3" t="s">
        <v>304</v>
      </c>
      <c r="B216" s="3" t="n">
        <v>8</v>
      </c>
      <c r="C216" s="3" t="s">
        <v>164</v>
      </c>
      <c r="D216" s="3" t="n">
        <v>38</v>
      </c>
      <c r="E216" s="3" t="s">
        <v>172</v>
      </c>
      <c r="F216" s="3" t="s">
        <v>166</v>
      </c>
      <c r="G216" s="3" t="s">
        <v>166</v>
      </c>
      <c r="H216" s="3" t="s">
        <v>312</v>
      </c>
    </row>
    <row r="217" customFormat="false" ht="15" hidden="false" customHeight="false" outlineLevel="0" collapsed="false">
      <c r="A217" s="3" t="s">
        <v>304</v>
      </c>
      <c r="B217" s="3" t="n">
        <v>9</v>
      </c>
      <c r="C217" s="3" t="s">
        <v>164</v>
      </c>
      <c r="D217" s="3" t="n">
        <v>24</v>
      </c>
      <c r="E217" s="3" t="s">
        <v>165</v>
      </c>
      <c r="F217" s="3" t="s">
        <v>166</v>
      </c>
      <c r="G217" s="3" t="s">
        <v>166</v>
      </c>
      <c r="H217" s="3" t="s">
        <v>313</v>
      </c>
    </row>
    <row r="218" customFormat="false" ht="15" hidden="false" customHeight="false" outlineLevel="0" collapsed="false">
      <c r="A218" s="3" t="s">
        <v>304</v>
      </c>
      <c r="B218" s="3" t="n">
        <v>10</v>
      </c>
      <c r="C218" s="3" t="s">
        <v>164</v>
      </c>
      <c r="D218" s="3" t="n">
        <v>58</v>
      </c>
      <c r="E218" s="3" t="s">
        <v>165</v>
      </c>
      <c r="F218" s="3" t="s">
        <v>166</v>
      </c>
      <c r="G218" s="3" t="s">
        <v>166</v>
      </c>
      <c r="H218" s="3" t="s">
        <v>314</v>
      </c>
    </row>
    <row r="219" customFormat="false" ht="15" hidden="false" customHeight="false" outlineLevel="0" collapsed="false">
      <c r="A219" s="3" t="s">
        <v>304</v>
      </c>
      <c r="B219" s="3" t="n">
        <v>11</v>
      </c>
      <c r="C219" s="3" t="s">
        <v>164</v>
      </c>
      <c r="D219" s="3" t="n">
        <v>78</v>
      </c>
      <c r="E219" s="3" t="s">
        <v>165</v>
      </c>
      <c r="F219" s="3" t="s">
        <v>166</v>
      </c>
      <c r="G219" s="3" t="s">
        <v>166</v>
      </c>
      <c r="H219" s="3" t="s">
        <v>315</v>
      </c>
    </row>
    <row r="220" customFormat="false" ht="15" hidden="false" customHeight="false" outlineLevel="0" collapsed="false">
      <c r="A220" s="3" t="s">
        <v>304</v>
      </c>
      <c r="B220" s="3" t="n">
        <v>11</v>
      </c>
      <c r="C220" s="3" t="s">
        <v>164</v>
      </c>
      <c r="D220" s="3" t="n">
        <v>19</v>
      </c>
      <c r="E220" s="3" t="s">
        <v>172</v>
      </c>
      <c r="F220" s="3" t="s">
        <v>166</v>
      </c>
      <c r="G220" s="3" t="s">
        <v>166</v>
      </c>
      <c r="H220" s="3" t="s">
        <v>315</v>
      </c>
    </row>
    <row r="221" customFormat="false" ht="15" hidden="false" customHeight="false" outlineLevel="0" collapsed="false">
      <c r="A221" s="3" t="s">
        <v>304</v>
      </c>
      <c r="B221" s="3" t="n">
        <v>12</v>
      </c>
      <c r="C221" s="3" t="s">
        <v>164</v>
      </c>
      <c r="D221" s="3" t="n">
        <v>5</v>
      </c>
      <c r="E221" s="3" t="s">
        <v>165</v>
      </c>
      <c r="F221" s="3" t="s">
        <v>166</v>
      </c>
      <c r="G221" s="3" t="s">
        <v>166</v>
      </c>
      <c r="H221" s="3" t="s">
        <v>316</v>
      </c>
    </row>
    <row r="222" customFormat="false" ht="15" hidden="false" customHeight="false" outlineLevel="0" collapsed="false">
      <c r="A222" s="3" t="s">
        <v>304</v>
      </c>
      <c r="B222" s="3" t="n">
        <v>13</v>
      </c>
      <c r="C222" s="3" t="s">
        <v>164</v>
      </c>
      <c r="D222" s="3" t="n">
        <v>11</v>
      </c>
      <c r="E222" s="3" t="s">
        <v>165</v>
      </c>
      <c r="F222" s="3" t="s">
        <v>166</v>
      </c>
      <c r="G222" s="3" t="s">
        <v>166</v>
      </c>
      <c r="H222" s="3" t="s">
        <v>317</v>
      </c>
    </row>
    <row r="223" customFormat="false" ht="15" hidden="false" customHeight="false" outlineLevel="0" collapsed="false">
      <c r="A223" s="3" t="s">
        <v>304</v>
      </c>
      <c r="B223" s="3" t="n">
        <v>14</v>
      </c>
      <c r="C223" s="3" t="s">
        <v>164</v>
      </c>
      <c r="D223" s="3" t="n">
        <v>19</v>
      </c>
      <c r="E223" s="3" t="s">
        <v>165</v>
      </c>
      <c r="F223" s="3" t="s">
        <v>166</v>
      </c>
      <c r="G223" s="3" t="s">
        <v>166</v>
      </c>
      <c r="H223" s="3" t="s">
        <v>318</v>
      </c>
    </row>
    <row r="224" customFormat="false" ht="15" hidden="false" customHeight="false" outlineLevel="0" collapsed="false">
      <c r="A224" s="3" t="s">
        <v>304</v>
      </c>
      <c r="B224" s="3" t="n">
        <v>14</v>
      </c>
      <c r="C224" s="3" t="s">
        <v>164</v>
      </c>
      <c r="D224" s="3" t="n">
        <v>25</v>
      </c>
      <c r="E224" s="3" t="s">
        <v>172</v>
      </c>
      <c r="F224" s="3" t="s">
        <v>166</v>
      </c>
      <c r="G224" s="3" t="s">
        <v>166</v>
      </c>
      <c r="H224" s="3" t="s">
        <v>318</v>
      </c>
    </row>
    <row r="225" customFormat="false" ht="15" hidden="false" customHeight="false" outlineLevel="0" collapsed="false">
      <c r="A225" s="3" t="s">
        <v>304</v>
      </c>
      <c r="B225" s="3" t="n">
        <v>15</v>
      </c>
      <c r="C225" s="3" t="s">
        <v>164</v>
      </c>
      <c r="D225" s="3" t="n">
        <v>11</v>
      </c>
      <c r="E225" s="3" t="s">
        <v>165</v>
      </c>
      <c r="F225" s="3" t="s">
        <v>166</v>
      </c>
      <c r="G225" s="3" t="s">
        <v>166</v>
      </c>
      <c r="H225" s="3" t="s">
        <v>319</v>
      </c>
    </row>
    <row r="226" customFormat="false" ht="15" hidden="false" customHeight="false" outlineLevel="0" collapsed="false">
      <c r="A226" s="3" t="s">
        <v>304</v>
      </c>
      <c r="B226" s="3" t="n">
        <v>16</v>
      </c>
      <c r="C226" s="3" t="s">
        <v>164</v>
      </c>
      <c r="D226" s="3" t="n">
        <v>19</v>
      </c>
      <c r="E226" s="3" t="s">
        <v>165</v>
      </c>
      <c r="F226" s="3" t="s">
        <v>166</v>
      </c>
      <c r="G226" s="3" t="s">
        <v>166</v>
      </c>
      <c r="H226" s="3" t="s">
        <v>320</v>
      </c>
    </row>
    <row r="227" customFormat="false" ht="15" hidden="false" customHeight="false" outlineLevel="0" collapsed="false">
      <c r="A227" s="3" t="s">
        <v>304</v>
      </c>
      <c r="B227" s="3" t="n">
        <v>18</v>
      </c>
      <c r="C227" s="3" t="s">
        <v>164</v>
      </c>
      <c r="D227" s="3" t="n">
        <v>101</v>
      </c>
      <c r="E227" s="3" t="s">
        <v>165</v>
      </c>
      <c r="F227" s="3" t="s">
        <v>166</v>
      </c>
      <c r="G227" s="3" t="s">
        <v>166</v>
      </c>
      <c r="H227" s="3" t="s">
        <v>321</v>
      </c>
    </row>
    <row r="228" customFormat="false" ht="15" hidden="false" customHeight="false" outlineLevel="0" collapsed="false">
      <c r="A228" s="3" t="s">
        <v>304</v>
      </c>
      <c r="B228" s="3" t="n">
        <v>18</v>
      </c>
      <c r="C228" s="3" t="s">
        <v>164</v>
      </c>
      <c r="D228" s="3" t="n">
        <v>35</v>
      </c>
      <c r="E228" s="3" t="s">
        <v>172</v>
      </c>
      <c r="F228" s="3" t="s">
        <v>166</v>
      </c>
      <c r="G228" s="3" t="s">
        <v>166</v>
      </c>
      <c r="H228" s="3" t="s">
        <v>321</v>
      </c>
    </row>
    <row r="229" customFormat="false" ht="15" hidden="false" customHeight="false" outlineLevel="0" collapsed="false">
      <c r="A229" s="3" t="s">
        <v>304</v>
      </c>
      <c r="B229" s="3" t="n">
        <v>19</v>
      </c>
      <c r="C229" s="3" t="s">
        <v>164</v>
      </c>
      <c r="D229" s="3" t="n">
        <v>35</v>
      </c>
      <c r="E229" s="3" t="s">
        <v>165</v>
      </c>
      <c r="F229" s="3" t="s">
        <v>166</v>
      </c>
      <c r="G229" s="3" t="s">
        <v>166</v>
      </c>
      <c r="H229" s="3" t="s">
        <v>322</v>
      </c>
    </row>
    <row r="230" customFormat="false" ht="15" hidden="false" customHeight="false" outlineLevel="0" collapsed="false">
      <c r="A230" s="3" t="s">
        <v>304</v>
      </c>
      <c r="B230" s="3" t="n">
        <v>20</v>
      </c>
      <c r="C230" s="3" t="s">
        <v>164</v>
      </c>
      <c r="D230" s="3" t="n">
        <v>35</v>
      </c>
      <c r="E230" s="3" t="s">
        <v>165</v>
      </c>
      <c r="F230" s="3" t="s">
        <v>166</v>
      </c>
      <c r="G230" s="3" t="s">
        <v>166</v>
      </c>
      <c r="H230" s="3" t="s">
        <v>323</v>
      </c>
    </row>
    <row r="231" customFormat="false" ht="15" hidden="false" customHeight="false" outlineLevel="0" collapsed="false">
      <c r="A231" s="3" t="s">
        <v>304</v>
      </c>
      <c r="B231" s="3" t="n">
        <v>20</v>
      </c>
      <c r="C231" s="3" t="s">
        <v>164</v>
      </c>
      <c r="D231" s="3" t="n">
        <v>36</v>
      </c>
      <c r="E231" s="3" t="s">
        <v>172</v>
      </c>
      <c r="F231" s="3" t="s">
        <v>166</v>
      </c>
      <c r="G231" s="3" t="s">
        <v>166</v>
      </c>
      <c r="H231" s="3" t="s">
        <v>323</v>
      </c>
    </row>
    <row r="232" customFormat="false" ht="15" hidden="false" customHeight="false" outlineLevel="0" collapsed="false">
      <c r="A232" s="3" t="s">
        <v>304</v>
      </c>
      <c r="B232" s="3" t="n">
        <v>21</v>
      </c>
      <c r="C232" s="3" t="s">
        <v>164</v>
      </c>
      <c r="D232" s="3" t="n">
        <v>35</v>
      </c>
      <c r="E232" s="3" t="s">
        <v>165</v>
      </c>
      <c r="F232" s="3" t="s">
        <v>166</v>
      </c>
      <c r="G232" s="3" t="s">
        <v>166</v>
      </c>
      <c r="H232" s="3" t="s">
        <v>324</v>
      </c>
    </row>
    <row r="233" customFormat="false" ht="15" hidden="false" customHeight="false" outlineLevel="0" collapsed="false">
      <c r="A233" s="3" t="s">
        <v>304</v>
      </c>
      <c r="B233" s="3" t="n">
        <v>22</v>
      </c>
      <c r="C233" s="3" t="s">
        <v>164</v>
      </c>
      <c r="D233" s="3" t="n">
        <v>25</v>
      </c>
      <c r="E233" s="3" t="s">
        <v>165</v>
      </c>
      <c r="F233" s="3" t="s">
        <v>166</v>
      </c>
      <c r="G233" s="3" t="s">
        <v>166</v>
      </c>
      <c r="H233" s="3" t="s">
        <v>325</v>
      </c>
    </row>
    <row r="234" customFormat="false" ht="15" hidden="false" customHeight="false" outlineLevel="0" collapsed="false">
      <c r="A234" s="3" t="s">
        <v>304</v>
      </c>
      <c r="B234" s="3" t="n">
        <v>23</v>
      </c>
      <c r="C234" s="3" t="s">
        <v>164</v>
      </c>
      <c r="D234" s="3" t="n">
        <v>25</v>
      </c>
      <c r="E234" s="3" t="s">
        <v>165</v>
      </c>
      <c r="F234" s="3" t="s">
        <v>166</v>
      </c>
      <c r="G234" s="3" t="s">
        <v>166</v>
      </c>
      <c r="H234" s="3" t="s">
        <v>326</v>
      </c>
    </row>
    <row r="235" customFormat="false" ht="15" hidden="false" customHeight="false" outlineLevel="0" collapsed="false">
      <c r="A235" s="3" t="s">
        <v>304</v>
      </c>
      <c r="B235" s="3" t="n">
        <v>24</v>
      </c>
      <c r="C235" s="3" t="s">
        <v>164</v>
      </c>
      <c r="D235" s="3" t="n">
        <v>25</v>
      </c>
      <c r="E235" s="3" t="s">
        <v>165</v>
      </c>
      <c r="F235" s="3" t="s">
        <v>166</v>
      </c>
      <c r="G235" s="3" t="s">
        <v>166</v>
      </c>
      <c r="H235" s="3" t="s">
        <v>327</v>
      </c>
    </row>
    <row r="236" customFormat="false" ht="15" hidden="false" customHeight="false" outlineLevel="0" collapsed="false">
      <c r="A236" s="3" t="s">
        <v>304</v>
      </c>
      <c r="B236" s="3" t="n">
        <v>25</v>
      </c>
      <c r="C236" s="3" t="s">
        <v>164</v>
      </c>
      <c r="D236" s="3" t="n">
        <v>74</v>
      </c>
      <c r="E236" s="3" t="s">
        <v>165</v>
      </c>
      <c r="F236" s="3" t="s">
        <v>166</v>
      </c>
      <c r="G236" s="3" t="s">
        <v>166</v>
      </c>
      <c r="H236" s="3" t="s">
        <v>328</v>
      </c>
    </row>
    <row r="237" customFormat="false" ht="15" hidden="false" customHeight="false" outlineLevel="0" collapsed="false">
      <c r="A237" s="3" t="s">
        <v>304</v>
      </c>
      <c r="B237" s="3" t="n">
        <v>26</v>
      </c>
      <c r="C237" s="3" t="s">
        <v>164</v>
      </c>
      <c r="D237" s="3" t="n">
        <v>74</v>
      </c>
      <c r="E237" s="3" t="s">
        <v>165</v>
      </c>
      <c r="F237" s="3" t="s">
        <v>166</v>
      </c>
      <c r="G237" s="3" t="s">
        <v>166</v>
      </c>
      <c r="H237" s="3" t="s">
        <v>329</v>
      </c>
    </row>
    <row r="238" customFormat="false" ht="15" hidden="false" customHeight="false" outlineLevel="0" collapsed="false">
      <c r="A238" s="3" t="s">
        <v>304</v>
      </c>
      <c r="B238" s="3" t="n">
        <v>27</v>
      </c>
      <c r="C238" s="3" t="s">
        <v>164</v>
      </c>
      <c r="D238" s="3" t="n">
        <v>74</v>
      </c>
      <c r="E238" s="3" t="s">
        <v>165</v>
      </c>
      <c r="F238" s="3" t="s">
        <v>166</v>
      </c>
      <c r="G238" s="3" t="s">
        <v>166</v>
      </c>
      <c r="H238" s="3" t="s">
        <v>330</v>
      </c>
    </row>
    <row r="239" customFormat="false" ht="15" hidden="false" customHeight="false" outlineLevel="0" collapsed="false">
      <c r="A239" s="3" t="s">
        <v>304</v>
      </c>
      <c r="B239" s="3" t="n">
        <v>28</v>
      </c>
      <c r="C239" s="3" t="s">
        <v>164</v>
      </c>
      <c r="D239" s="3" t="n">
        <v>79</v>
      </c>
      <c r="E239" s="3" t="s">
        <v>165</v>
      </c>
      <c r="F239" s="3" t="s">
        <v>166</v>
      </c>
      <c r="G239" s="3" t="s">
        <v>166</v>
      </c>
      <c r="H239" s="3" t="s">
        <v>331</v>
      </c>
    </row>
    <row r="240" customFormat="false" ht="15" hidden="false" customHeight="false" outlineLevel="0" collapsed="false">
      <c r="A240" s="3" t="s">
        <v>304</v>
      </c>
      <c r="B240" s="3" t="n">
        <v>28</v>
      </c>
      <c r="C240" s="3" t="s">
        <v>164</v>
      </c>
      <c r="D240" s="3" t="n">
        <v>21</v>
      </c>
      <c r="E240" s="3" t="s">
        <v>172</v>
      </c>
      <c r="F240" s="3" t="s">
        <v>166</v>
      </c>
      <c r="G240" s="3" t="s">
        <v>166</v>
      </c>
      <c r="H240" s="3" t="s">
        <v>331</v>
      </c>
    </row>
    <row r="241" customFormat="false" ht="15" hidden="false" customHeight="false" outlineLevel="0" collapsed="false">
      <c r="A241" s="3" t="s">
        <v>304</v>
      </c>
      <c r="B241" s="3" t="n">
        <v>28</v>
      </c>
      <c r="C241" s="3" t="s">
        <v>164</v>
      </c>
      <c r="D241" s="3" t="n">
        <v>19</v>
      </c>
      <c r="E241" s="3" t="s">
        <v>172</v>
      </c>
      <c r="F241" s="3" t="s">
        <v>166</v>
      </c>
      <c r="G241" s="3" t="s">
        <v>166</v>
      </c>
      <c r="H241" s="3" t="s">
        <v>331</v>
      </c>
    </row>
    <row r="242" customFormat="false" ht="15" hidden="false" customHeight="false" outlineLevel="0" collapsed="false">
      <c r="A242" s="3" t="s">
        <v>332</v>
      </c>
      <c r="B242" s="3" t="n">
        <v>1</v>
      </c>
      <c r="C242" s="3" t="s">
        <v>164</v>
      </c>
      <c r="D242" s="3" t="n">
        <v>18</v>
      </c>
      <c r="E242" s="3" t="s">
        <v>165</v>
      </c>
      <c r="F242" s="3" t="s">
        <v>263</v>
      </c>
      <c r="G242" s="3" t="s">
        <v>166</v>
      </c>
      <c r="H242" s="3" t="s">
        <v>333</v>
      </c>
    </row>
    <row r="243" customFormat="false" ht="15" hidden="false" customHeight="false" outlineLevel="0" collapsed="false">
      <c r="A243" s="3" t="s">
        <v>332</v>
      </c>
      <c r="B243" s="3" t="n">
        <v>1</v>
      </c>
      <c r="C243" s="3" t="s">
        <v>164</v>
      </c>
      <c r="D243" s="3" t="n">
        <v>14</v>
      </c>
      <c r="E243" s="3" t="s">
        <v>172</v>
      </c>
      <c r="F243" s="3" t="s">
        <v>263</v>
      </c>
      <c r="G243" s="3" t="s">
        <v>166</v>
      </c>
      <c r="H243" s="3" t="s">
        <v>333</v>
      </c>
    </row>
    <row r="244" customFormat="false" ht="15" hidden="false" customHeight="false" outlineLevel="0" collapsed="false">
      <c r="A244" s="3" t="s">
        <v>332</v>
      </c>
      <c r="B244" s="3" t="n">
        <v>2</v>
      </c>
      <c r="C244" s="3" t="s">
        <v>164</v>
      </c>
      <c r="D244" s="3" t="n">
        <v>26</v>
      </c>
      <c r="E244" s="3" t="s">
        <v>165</v>
      </c>
      <c r="F244" s="3" t="s">
        <v>263</v>
      </c>
      <c r="G244" s="3" t="s">
        <v>166</v>
      </c>
      <c r="H244" s="3" t="s">
        <v>334</v>
      </c>
    </row>
    <row r="245" customFormat="false" ht="15" hidden="false" customHeight="false" outlineLevel="0" collapsed="false">
      <c r="A245" s="3" t="s">
        <v>332</v>
      </c>
      <c r="B245" s="3" t="n">
        <v>2</v>
      </c>
      <c r="C245" s="3" t="s">
        <v>164</v>
      </c>
      <c r="D245" s="3" t="n">
        <v>3</v>
      </c>
      <c r="E245" s="3" t="s">
        <v>172</v>
      </c>
      <c r="F245" s="3" t="s">
        <v>263</v>
      </c>
      <c r="G245" s="3" t="s">
        <v>166</v>
      </c>
      <c r="H245" s="3" t="s">
        <v>334</v>
      </c>
    </row>
    <row r="246" customFormat="false" ht="15" hidden="false" customHeight="false" outlineLevel="0" collapsed="false">
      <c r="A246" s="3" t="s">
        <v>332</v>
      </c>
      <c r="B246" s="3" t="n">
        <v>3</v>
      </c>
      <c r="C246" s="3" t="s">
        <v>164</v>
      </c>
      <c r="D246" s="3" t="n">
        <v>98</v>
      </c>
      <c r="E246" s="3" t="s">
        <v>165</v>
      </c>
      <c r="F246" s="3" t="s">
        <v>263</v>
      </c>
      <c r="G246" s="3" t="s">
        <v>166</v>
      </c>
      <c r="H246" s="3" t="s">
        <v>335</v>
      </c>
    </row>
    <row r="247" customFormat="false" ht="15" hidden="false" customHeight="false" outlineLevel="0" collapsed="false">
      <c r="A247" s="3" t="s">
        <v>332</v>
      </c>
      <c r="B247" s="3" t="n">
        <v>3</v>
      </c>
      <c r="C247" s="3" t="s">
        <v>164</v>
      </c>
      <c r="D247" s="3" t="n">
        <v>4</v>
      </c>
      <c r="E247" s="3" t="s">
        <v>172</v>
      </c>
      <c r="F247" s="3" t="s">
        <v>263</v>
      </c>
      <c r="G247" s="3" t="s">
        <v>166</v>
      </c>
      <c r="H247" s="3" t="s">
        <v>335</v>
      </c>
    </row>
    <row r="248" customFormat="false" ht="15" hidden="false" customHeight="false" outlineLevel="0" collapsed="false">
      <c r="A248" s="3" t="s">
        <v>332</v>
      </c>
      <c r="B248" s="3" t="n">
        <v>4</v>
      </c>
      <c r="C248" s="3" t="s">
        <v>164</v>
      </c>
      <c r="D248" s="3" t="n">
        <v>5</v>
      </c>
      <c r="E248" s="3" t="s">
        <v>165</v>
      </c>
      <c r="F248" s="3" t="s">
        <v>263</v>
      </c>
      <c r="G248" s="3" t="s">
        <v>166</v>
      </c>
      <c r="H248" s="3" t="s">
        <v>336</v>
      </c>
    </row>
    <row r="249" customFormat="false" ht="15" hidden="false" customHeight="false" outlineLevel="0" collapsed="false">
      <c r="A249" s="3" t="s">
        <v>332</v>
      </c>
      <c r="B249" s="3" t="n">
        <v>5</v>
      </c>
      <c r="C249" s="3" t="s">
        <v>164</v>
      </c>
      <c r="D249" s="3" t="n">
        <v>26</v>
      </c>
      <c r="E249" s="3" t="s">
        <v>165</v>
      </c>
      <c r="F249" s="3" t="s">
        <v>263</v>
      </c>
      <c r="G249" s="3" t="s">
        <v>166</v>
      </c>
      <c r="H249" s="3" t="s">
        <v>337</v>
      </c>
    </row>
    <row r="250" customFormat="false" ht="15" hidden="false" customHeight="false" outlineLevel="0" collapsed="false">
      <c r="A250" s="3" t="s">
        <v>332</v>
      </c>
      <c r="B250" s="3" t="n">
        <v>5</v>
      </c>
      <c r="C250" s="3" t="s">
        <v>164</v>
      </c>
      <c r="D250" s="3" t="n">
        <v>3</v>
      </c>
      <c r="E250" s="3" t="s">
        <v>172</v>
      </c>
      <c r="F250" s="3" t="s">
        <v>263</v>
      </c>
      <c r="G250" s="3" t="s">
        <v>166</v>
      </c>
      <c r="H250" s="3" t="s">
        <v>337</v>
      </c>
    </row>
    <row r="251" customFormat="false" ht="15" hidden="false" customHeight="false" outlineLevel="0" collapsed="false">
      <c r="A251" s="3" t="s">
        <v>332</v>
      </c>
      <c r="B251" s="3" t="n">
        <v>6</v>
      </c>
      <c r="C251" s="3" t="s">
        <v>164</v>
      </c>
      <c r="D251" s="3" t="n">
        <v>59</v>
      </c>
      <c r="E251" s="3" t="s">
        <v>165</v>
      </c>
      <c r="F251" s="3" t="s">
        <v>263</v>
      </c>
      <c r="G251" s="3" t="s">
        <v>166</v>
      </c>
      <c r="H251" s="3" t="s">
        <v>338</v>
      </c>
    </row>
    <row r="252" customFormat="false" ht="15" hidden="false" customHeight="false" outlineLevel="0" collapsed="false">
      <c r="A252" s="3" t="s">
        <v>332</v>
      </c>
      <c r="B252" s="3" t="n">
        <v>6</v>
      </c>
      <c r="C252" s="3" t="s">
        <v>164</v>
      </c>
      <c r="D252" s="3" t="n">
        <v>89</v>
      </c>
      <c r="E252" s="3" t="s">
        <v>172</v>
      </c>
      <c r="F252" s="3" t="s">
        <v>263</v>
      </c>
      <c r="G252" s="3" t="s">
        <v>166</v>
      </c>
      <c r="H252" s="3" t="s">
        <v>338</v>
      </c>
    </row>
    <row r="253" customFormat="false" ht="15" hidden="false" customHeight="false" outlineLevel="0" collapsed="false">
      <c r="A253" s="3" t="s">
        <v>332</v>
      </c>
      <c r="B253" s="3" t="n">
        <v>7</v>
      </c>
      <c r="C253" s="3" t="s">
        <v>164</v>
      </c>
      <c r="D253" s="3" t="n">
        <v>2</v>
      </c>
      <c r="E253" s="3" t="s">
        <v>165</v>
      </c>
      <c r="F253" s="3" t="s">
        <v>263</v>
      </c>
      <c r="G253" s="3" t="s">
        <v>166</v>
      </c>
      <c r="H253" s="3" t="s">
        <v>339</v>
      </c>
    </row>
    <row r="254" customFormat="false" ht="15" hidden="false" customHeight="false" outlineLevel="0" collapsed="false">
      <c r="A254" s="3" t="s">
        <v>332</v>
      </c>
      <c r="B254" s="3" t="n">
        <v>7</v>
      </c>
      <c r="C254" s="3" t="s">
        <v>164</v>
      </c>
      <c r="D254" s="3" t="n">
        <v>19</v>
      </c>
      <c r="E254" s="3" t="s">
        <v>172</v>
      </c>
      <c r="F254" s="3" t="s">
        <v>263</v>
      </c>
      <c r="G254" s="3" t="s">
        <v>166</v>
      </c>
      <c r="H254" s="3" t="s">
        <v>339</v>
      </c>
    </row>
    <row r="255" customFormat="false" ht="15" hidden="false" customHeight="false" outlineLevel="0" collapsed="false">
      <c r="A255" s="3" t="s">
        <v>332</v>
      </c>
      <c r="B255" s="3" t="n">
        <v>8</v>
      </c>
      <c r="C255" s="3" t="s">
        <v>164</v>
      </c>
      <c r="D255" s="3" t="n">
        <v>5</v>
      </c>
      <c r="E255" s="3" t="s">
        <v>165</v>
      </c>
      <c r="F255" s="3" t="s">
        <v>263</v>
      </c>
      <c r="G255" s="3" t="s">
        <v>166</v>
      </c>
      <c r="H255" s="3" t="s">
        <v>340</v>
      </c>
    </row>
    <row r="256" customFormat="false" ht="15" hidden="false" customHeight="false" outlineLevel="0" collapsed="false">
      <c r="A256" s="3" t="s">
        <v>332</v>
      </c>
      <c r="B256" s="3" t="n">
        <v>9</v>
      </c>
      <c r="C256" s="3" t="s">
        <v>164</v>
      </c>
      <c r="D256" s="3" t="n">
        <v>88</v>
      </c>
      <c r="E256" s="3" t="s">
        <v>165</v>
      </c>
      <c r="F256" s="3" t="s">
        <v>263</v>
      </c>
      <c r="G256" s="3" t="s">
        <v>166</v>
      </c>
      <c r="H256" s="3" t="s">
        <v>341</v>
      </c>
    </row>
    <row r="257" customFormat="false" ht="15" hidden="false" customHeight="false" outlineLevel="0" collapsed="false">
      <c r="A257" s="3" t="s">
        <v>332</v>
      </c>
      <c r="B257" s="3" t="n">
        <v>9</v>
      </c>
      <c r="C257" s="3" t="s">
        <v>164</v>
      </c>
      <c r="D257" s="3" t="n">
        <v>18</v>
      </c>
      <c r="E257" s="3" t="s">
        <v>172</v>
      </c>
      <c r="F257" s="3" t="s">
        <v>263</v>
      </c>
      <c r="G257" s="3" t="s">
        <v>166</v>
      </c>
      <c r="H257" s="3" t="s">
        <v>341</v>
      </c>
    </row>
    <row r="258" customFormat="false" ht="15" hidden="false" customHeight="false" outlineLevel="0" collapsed="false">
      <c r="A258" s="3" t="s">
        <v>332</v>
      </c>
      <c r="B258" s="3" t="n">
        <v>10</v>
      </c>
      <c r="C258" s="3" t="s">
        <v>164</v>
      </c>
      <c r="D258" s="3" t="n">
        <v>8</v>
      </c>
      <c r="E258" s="3" t="s">
        <v>165</v>
      </c>
      <c r="F258" s="3" t="s">
        <v>263</v>
      </c>
      <c r="G258" s="3" t="s">
        <v>166</v>
      </c>
      <c r="H258" s="3" t="s">
        <v>342</v>
      </c>
    </row>
    <row r="259" customFormat="false" ht="15" hidden="false" customHeight="false" outlineLevel="0" collapsed="false">
      <c r="A259" s="3" t="s">
        <v>332</v>
      </c>
      <c r="B259" s="3" t="n">
        <v>11</v>
      </c>
      <c r="C259" s="3" t="s">
        <v>164</v>
      </c>
      <c r="D259" s="3" t="n">
        <v>9</v>
      </c>
      <c r="E259" s="3" t="s">
        <v>165</v>
      </c>
      <c r="F259" s="3" t="s">
        <v>263</v>
      </c>
      <c r="G259" s="3" t="s">
        <v>166</v>
      </c>
      <c r="H259" s="3" t="s">
        <v>343</v>
      </c>
    </row>
    <row r="260" customFormat="false" ht="15" hidden="false" customHeight="false" outlineLevel="0" collapsed="false">
      <c r="A260" s="3" t="s">
        <v>332</v>
      </c>
      <c r="B260" s="3" t="n">
        <v>11</v>
      </c>
      <c r="C260" s="3" t="s">
        <v>164</v>
      </c>
      <c r="D260" s="3" t="n">
        <v>8</v>
      </c>
      <c r="E260" s="3" t="s">
        <v>172</v>
      </c>
      <c r="F260" s="3" t="s">
        <v>263</v>
      </c>
      <c r="G260" s="3" t="s">
        <v>166</v>
      </c>
      <c r="H260" s="3" t="s">
        <v>343</v>
      </c>
    </row>
    <row r="261" customFormat="false" ht="15" hidden="false" customHeight="false" outlineLevel="0" collapsed="false">
      <c r="A261" s="3" t="s">
        <v>332</v>
      </c>
      <c r="B261" s="3" t="n">
        <v>12</v>
      </c>
      <c r="C261" s="3" t="s">
        <v>164</v>
      </c>
      <c r="D261" s="3" t="n">
        <v>89</v>
      </c>
      <c r="E261" s="3" t="s">
        <v>165</v>
      </c>
      <c r="F261" s="3" t="s">
        <v>263</v>
      </c>
      <c r="G261" s="3" t="s">
        <v>166</v>
      </c>
      <c r="H261" s="3" t="s">
        <v>344</v>
      </c>
    </row>
    <row r="262" customFormat="false" ht="15" hidden="false" customHeight="false" outlineLevel="0" collapsed="false">
      <c r="A262" s="3" t="s">
        <v>332</v>
      </c>
      <c r="B262" s="3" t="n">
        <v>13</v>
      </c>
      <c r="C262" s="3" t="s">
        <v>164</v>
      </c>
      <c r="D262" s="3" t="n">
        <v>30</v>
      </c>
      <c r="E262" s="3" t="s">
        <v>165</v>
      </c>
      <c r="F262" s="3" t="s">
        <v>263</v>
      </c>
      <c r="G262" s="3" t="s">
        <v>166</v>
      </c>
      <c r="H262" s="3" t="s">
        <v>345</v>
      </c>
    </row>
    <row r="263" customFormat="false" ht="15" hidden="false" customHeight="false" outlineLevel="0" collapsed="false">
      <c r="A263" s="3" t="s">
        <v>332</v>
      </c>
      <c r="B263" s="3" t="n">
        <v>13</v>
      </c>
      <c r="C263" s="3" t="s">
        <v>164</v>
      </c>
      <c r="D263" s="3" t="n">
        <v>29</v>
      </c>
      <c r="E263" s="3" t="s">
        <v>172</v>
      </c>
      <c r="F263" s="3" t="s">
        <v>263</v>
      </c>
      <c r="G263" s="3" t="s">
        <v>166</v>
      </c>
      <c r="H263" s="3" t="s">
        <v>345</v>
      </c>
    </row>
    <row r="264" customFormat="false" ht="15" hidden="false" customHeight="false" outlineLevel="0" collapsed="false">
      <c r="A264" s="3" t="s">
        <v>332</v>
      </c>
      <c r="B264" s="3" t="n">
        <v>14</v>
      </c>
      <c r="C264" s="3" t="s">
        <v>164</v>
      </c>
      <c r="D264" s="3" t="n">
        <v>43</v>
      </c>
      <c r="E264" s="3" t="s">
        <v>165</v>
      </c>
      <c r="F264" s="3" t="s">
        <v>263</v>
      </c>
      <c r="G264" s="3" t="s">
        <v>166</v>
      </c>
      <c r="H264" s="3" t="s">
        <v>346</v>
      </c>
    </row>
    <row r="265" customFormat="false" ht="15" hidden="false" customHeight="false" outlineLevel="0" collapsed="false">
      <c r="A265" s="3" t="s">
        <v>332</v>
      </c>
      <c r="B265" s="3" t="n">
        <v>14</v>
      </c>
      <c r="C265" s="3" t="s">
        <v>164</v>
      </c>
      <c r="D265" s="3" t="n">
        <v>29</v>
      </c>
      <c r="E265" s="3" t="s">
        <v>172</v>
      </c>
      <c r="F265" s="3" t="s">
        <v>263</v>
      </c>
      <c r="G265" s="3" t="s">
        <v>166</v>
      </c>
      <c r="H265" s="3" t="s">
        <v>346</v>
      </c>
    </row>
    <row r="266" customFormat="false" ht="15" hidden="false" customHeight="false" outlineLevel="0" collapsed="false">
      <c r="A266" s="3" t="s">
        <v>332</v>
      </c>
      <c r="B266" s="3" t="n">
        <v>15</v>
      </c>
      <c r="C266" s="3" t="s">
        <v>164</v>
      </c>
      <c r="D266" s="3" t="n">
        <v>8</v>
      </c>
      <c r="E266" s="3" t="s">
        <v>165</v>
      </c>
      <c r="F266" s="3" t="s">
        <v>263</v>
      </c>
      <c r="G266" s="3" t="s">
        <v>166</v>
      </c>
      <c r="H266" s="3" t="s">
        <v>347</v>
      </c>
    </row>
    <row r="267" customFormat="false" ht="15" hidden="false" customHeight="false" outlineLevel="0" collapsed="false">
      <c r="A267" s="3" t="s">
        <v>332</v>
      </c>
      <c r="B267" s="3" t="n">
        <v>15</v>
      </c>
      <c r="C267" s="3" t="s">
        <v>164</v>
      </c>
      <c r="D267" s="3" t="n">
        <v>6</v>
      </c>
      <c r="E267" s="3" t="s">
        <v>172</v>
      </c>
      <c r="F267" s="3" t="s">
        <v>263</v>
      </c>
      <c r="G267" s="3" t="s">
        <v>166</v>
      </c>
      <c r="H267" s="3" t="s">
        <v>347</v>
      </c>
    </row>
    <row r="268" customFormat="false" ht="15" hidden="false" customHeight="false" outlineLevel="0" collapsed="false">
      <c r="A268" s="3" t="s">
        <v>332</v>
      </c>
      <c r="B268" s="3" t="n">
        <v>16</v>
      </c>
      <c r="C268" s="3" t="s">
        <v>164</v>
      </c>
      <c r="D268" s="3" t="n">
        <v>81</v>
      </c>
      <c r="E268" s="3" t="s">
        <v>165</v>
      </c>
      <c r="F268" s="3" t="s">
        <v>263</v>
      </c>
      <c r="G268" s="3" t="s">
        <v>166</v>
      </c>
      <c r="H268" s="3" t="s">
        <v>348</v>
      </c>
    </row>
    <row r="269" customFormat="false" ht="15" hidden="false" customHeight="false" outlineLevel="0" collapsed="false">
      <c r="A269" s="3" t="s">
        <v>332</v>
      </c>
      <c r="B269" s="3" t="n">
        <v>16</v>
      </c>
      <c r="C269" s="3" t="s">
        <v>164</v>
      </c>
      <c r="D269" s="3" t="n">
        <v>86</v>
      </c>
      <c r="E269" s="3" t="s">
        <v>172</v>
      </c>
      <c r="F269" s="3" t="s">
        <v>263</v>
      </c>
      <c r="G269" s="3" t="s">
        <v>166</v>
      </c>
      <c r="H269" s="3" t="s">
        <v>348</v>
      </c>
    </row>
    <row r="270" customFormat="false" ht="15" hidden="false" customHeight="false" outlineLevel="0" collapsed="false">
      <c r="A270" s="3" t="s">
        <v>332</v>
      </c>
      <c r="B270" s="3" t="n">
        <v>17</v>
      </c>
      <c r="C270" s="3" t="s">
        <v>164</v>
      </c>
      <c r="D270" s="3" t="n">
        <v>11</v>
      </c>
      <c r="E270" s="3" t="s">
        <v>165</v>
      </c>
      <c r="F270" s="3" t="s">
        <v>263</v>
      </c>
      <c r="G270" s="3" t="s">
        <v>166</v>
      </c>
      <c r="H270" s="3" t="s">
        <v>349</v>
      </c>
    </row>
    <row r="271" customFormat="false" ht="15" hidden="false" customHeight="false" outlineLevel="0" collapsed="false">
      <c r="A271" s="3" t="s">
        <v>332</v>
      </c>
      <c r="B271" s="3" t="n">
        <v>17</v>
      </c>
      <c r="C271" s="3" t="s">
        <v>164</v>
      </c>
      <c r="D271" s="3" t="n">
        <v>19</v>
      </c>
      <c r="E271" s="3" t="s">
        <v>172</v>
      </c>
      <c r="F271" s="3" t="s">
        <v>263</v>
      </c>
      <c r="G271" s="3" t="s">
        <v>166</v>
      </c>
      <c r="H271" s="3" t="s">
        <v>349</v>
      </c>
    </row>
    <row r="272" customFormat="false" ht="15" hidden="false" customHeight="false" outlineLevel="0" collapsed="false">
      <c r="A272" s="3" t="s">
        <v>332</v>
      </c>
      <c r="B272" s="3" t="n">
        <v>18</v>
      </c>
      <c r="C272" s="3" t="s">
        <v>164</v>
      </c>
      <c r="D272" s="3" t="n">
        <v>86</v>
      </c>
      <c r="E272" s="3" t="s">
        <v>165</v>
      </c>
      <c r="F272" s="3" t="s">
        <v>263</v>
      </c>
      <c r="G272" s="3" t="s">
        <v>166</v>
      </c>
      <c r="H272" s="3" t="s">
        <v>350</v>
      </c>
    </row>
    <row r="273" customFormat="false" ht="15" hidden="false" customHeight="false" outlineLevel="0" collapsed="false">
      <c r="A273" s="3" t="s">
        <v>332</v>
      </c>
      <c r="B273" s="3" t="n">
        <v>19</v>
      </c>
      <c r="C273" s="3" t="s">
        <v>164</v>
      </c>
      <c r="D273" s="3" t="n">
        <v>5</v>
      </c>
      <c r="E273" s="3" t="s">
        <v>165</v>
      </c>
      <c r="F273" s="3" t="s">
        <v>263</v>
      </c>
      <c r="G273" s="3" t="s">
        <v>166</v>
      </c>
      <c r="H273" s="3" t="s">
        <v>351</v>
      </c>
    </row>
    <row r="274" customFormat="false" ht="15" hidden="false" customHeight="false" outlineLevel="0" collapsed="false">
      <c r="A274" s="3" t="s">
        <v>332</v>
      </c>
      <c r="B274" s="3" t="n">
        <v>19</v>
      </c>
      <c r="C274" s="3" t="s">
        <v>164</v>
      </c>
      <c r="D274" s="3" t="n">
        <v>38</v>
      </c>
      <c r="E274" s="3" t="s">
        <v>172</v>
      </c>
      <c r="F274" s="3" t="s">
        <v>263</v>
      </c>
      <c r="G274" s="3" t="s">
        <v>166</v>
      </c>
      <c r="H274" s="3" t="s">
        <v>351</v>
      </c>
    </row>
    <row r="275" customFormat="false" ht="15" hidden="false" customHeight="false" outlineLevel="0" collapsed="false">
      <c r="A275" s="3" t="s">
        <v>332</v>
      </c>
      <c r="B275" s="3" t="n">
        <v>20</v>
      </c>
      <c r="C275" s="3" t="s">
        <v>164</v>
      </c>
      <c r="D275" s="3" t="n">
        <v>26</v>
      </c>
      <c r="E275" s="3" t="s">
        <v>165</v>
      </c>
      <c r="F275" s="3" t="s">
        <v>263</v>
      </c>
      <c r="G275" s="3" t="s">
        <v>166</v>
      </c>
      <c r="H275" s="3" t="s">
        <v>352</v>
      </c>
    </row>
    <row r="276" customFormat="false" ht="15" hidden="false" customHeight="false" outlineLevel="0" collapsed="false">
      <c r="A276" s="3" t="s">
        <v>332</v>
      </c>
      <c r="B276" s="3" t="n">
        <v>21</v>
      </c>
      <c r="C276" s="3" t="s">
        <v>164</v>
      </c>
      <c r="D276" s="3" t="n">
        <v>4</v>
      </c>
      <c r="E276" s="3" t="s">
        <v>165</v>
      </c>
      <c r="F276" s="3" t="s">
        <v>263</v>
      </c>
      <c r="G276" s="3" t="s">
        <v>166</v>
      </c>
      <c r="H276" s="3" t="s">
        <v>353</v>
      </c>
    </row>
    <row r="277" customFormat="false" ht="15" hidden="false" customHeight="false" outlineLevel="0" collapsed="false">
      <c r="A277" s="3" t="s">
        <v>332</v>
      </c>
      <c r="B277" s="3" t="n">
        <v>21</v>
      </c>
      <c r="C277" s="3" t="s">
        <v>164</v>
      </c>
      <c r="D277" s="3" t="n">
        <v>8</v>
      </c>
      <c r="E277" s="3" t="s">
        <v>172</v>
      </c>
      <c r="F277" s="3" t="s">
        <v>263</v>
      </c>
      <c r="G277" s="3" t="s">
        <v>166</v>
      </c>
      <c r="H277" s="3" t="s">
        <v>353</v>
      </c>
    </row>
    <row r="278" customFormat="false" ht="15" hidden="false" customHeight="false" outlineLevel="0" collapsed="false">
      <c r="A278" s="3" t="s">
        <v>332</v>
      </c>
      <c r="B278" s="3" t="n">
        <v>22</v>
      </c>
      <c r="C278" s="3" t="s">
        <v>164</v>
      </c>
      <c r="D278" s="3" t="n">
        <v>40</v>
      </c>
      <c r="E278" s="3" t="s">
        <v>165</v>
      </c>
      <c r="F278" s="3" t="s">
        <v>263</v>
      </c>
      <c r="G278" s="3" t="s">
        <v>166</v>
      </c>
      <c r="H278" s="3" t="s">
        <v>354</v>
      </c>
    </row>
    <row r="279" customFormat="false" ht="15" hidden="false" customHeight="false" outlineLevel="0" collapsed="false">
      <c r="A279" s="3" t="s">
        <v>332</v>
      </c>
      <c r="B279" s="3" t="n">
        <v>22</v>
      </c>
      <c r="C279" s="3" t="s">
        <v>164</v>
      </c>
      <c r="D279" s="3" t="n">
        <v>79</v>
      </c>
      <c r="E279" s="3" t="s">
        <v>172</v>
      </c>
      <c r="F279" s="3" t="s">
        <v>263</v>
      </c>
      <c r="G279" s="3" t="s">
        <v>166</v>
      </c>
      <c r="H279" s="3" t="s">
        <v>354</v>
      </c>
    </row>
    <row r="280" customFormat="false" ht="15" hidden="false" customHeight="false" outlineLevel="0" collapsed="false">
      <c r="A280" s="3" t="s">
        <v>332</v>
      </c>
      <c r="B280" s="3" t="n">
        <v>23</v>
      </c>
      <c r="C280" s="3" t="s">
        <v>164</v>
      </c>
      <c r="D280" s="3" t="n">
        <v>4</v>
      </c>
      <c r="E280" s="3" t="s">
        <v>165</v>
      </c>
      <c r="F280" s="3" t="s">
        <v>263</v>
      </c>
      <c r="G280" s="3" t="s">
        <v>166</v>
      </c>
      <c r="H280" s="3" t="s">
        <v>355</v>
      </c>
    </row>
    <row r="281" customFormat="false" ht="15" hidden="false" customHeight="false" outlineLevel="0" collapsed="false">
      <c r="A281" s="3" t="s">
        <v>332</v>
      </c>
      <c r="B281" s="3" t="n">
        <v>23</v>
      </c>
      <c r="C281" s="3" t="s">
        <v>164</v>
      </c>
      <c r="D281" s="3" t="n">
        <v>19</v>
      </c>
      <c r="E281" s="3" t="s">
        <v>172</v>
      </c>
      <c r="F281" s="3" t="s">
        <v>263</v>
      </c>
      <c r="G281" s="3" t="s">
        <v>166</v>
      </c>
      <c r="H281" s="3" t="s">
        <v>355</v>
      </c>
    </row>
    <row r="282" customFormat="false" ht="15" hidden="false" customHeight="false" outlineLevel="0" collapsed="false">
      <c r="A282" s="3" t="s">
        <v>332</v>
      </c>
      <c r="B282" s="3" t="n">
        <v>24</v>
      </c>
      <c r="C282" s="3" t="s">
        <v>164</v>
      </c>
      <c r="D282" s="3" t="n">
        <v>5</v>
      </c>
      <c r="E282" s="3" t="s">
        <v>165</v>
      </c>
      <c r="F282" s="3" t="s">
        <v>263</v>
      </c>
      <c r="G282" s="3" t="s">
        <v>166</v>
      </c>
      <c r="H282" s="3" t="s">
        <v>356</v>
      </c>
    </row>
    <row r="283" customFormat="false" ht="15" hidden="false" customHeight="false" outlineLevel="0" collapsed="false">
      <c r="A283" s="3" t="s">
        <v>332</v>
      </c>
      <c r="B283" s="3" t="n">
        <v>25</v>
      </c>
      <c r="C283" s="3" t="s">
        <v>164</v>
      </c>
      <c r="D283" s="3" t="n">
        <v>88</v>
      </c>
      <c r="E283" s="3" t="s">
        <v>165</v>
      </c>
      <c r="F283" s="3" t="s">
        <v>263</v>
      </c>
      <c r="G283" s="3" t="s">
        <v>166</v>
      </c>
      <c r="H283" s="3" t="s">
        <v>357</v>
      </c>
    </row>
    <row r="284" customFormat="false" ht="15" hidden="false" customHeight="false" outlineLevel="0" collapsed="false">
      <c r="A284" s="3" t="s">
        <v>332</v>
      </c>
      <c r="B284" s="3" t="n">
        <v>26</v>
      </c>
      <c r="C284" s="3" t="s">
        <v>164</v>
      </c>
      <c r="D284" s="3" t="n">
        <v>43</v>
      </c>
      <c r="E284" s="3" t="s">
        <v>165</v>
      </c>
      <c r="F284" s="3" t="s">
        <v>263</v>
      </c>
      <c r="G284" s="3" t="s">
        <v>166</v>
      </c>
      <c r="H284" s="3" t="s">
        <v>358</v>
      </c>
    </row>
    <row r="285" customFormat="false" ht="15" hidden="false" customHeight="false" outlineLevel="0" collapsed="false">
      <c r="A285" s="3" t="s">
        <v>332</v>
      </c>
      <c r="B285" s="3" t="n">
        <v>27</v>
      </c>
      <c r="C285" s="3" t="s">
        <v>164</v>
      </c>
      <c r="D285" s="3" t="n">
        <v>84</v>
      </c>
      <c r="E285" s="3" t="s">
        <v>165</v>
      </c>
      <c r="F285" s="3" t="s">
        <v>263</v>
      </c>
      <c r="G285" s="3" t="s">
        <v>166</v>
      </c>
      <c r="H285" s="3" t="s">
        <v>359</v>
      </c>
    </row>
    <row r="286" customFormat="false" ht="15" hidden="false" customHeight="false" outlineLevel="0" collapsed="false">
      <c r="A286" s="3" t="s">
        <v>332</v>
      </c>
      <c r="B286" s="3" t="n">
        <v>27</v>
      </c>
      <c r="C286" s="3" t="s">
        <v>164</v>
      </c>
      <c r="D286" s="3" t="n">
        <v>38</v>
      </c>
      <c r="E286" s="3" t="s">
        <v>172</v>
      </c>
      <c r="F286" s="3" t="s">
        <v>263</v>
      </c>
      <c r="G286" s="3" t="s">
        <v>166</v>
      </c>
      <c r="H286" s="3" t="s">
        <v>359</v>
      </c>
    </row>
    <row r="287" customFormat="false" ht="15" hidden="false" customHeight="false" outlineLevel="0" collapsed="false">
      <c r="A287" s="3" t="s">
        <v>332</v>
      </c>
      <c r="B287" s="3" t="n">
        <v>28</v>
      </c>
      <c r="C287" s="3" t="s">
        <v>164</v>
      </c>
      <c r="D287" s="3" t="n">
        <v>7</v>
      </c>
      <c r="E287" s="3" t="s">
        <v>165</v>
      </c>
      <c r="F287" s="3" t="s">
        <v>263</v>
      </c>
      <c r="G287" s="3" t="s">
        <v>166</v>
      </c>
      <c r="H287" s="3" t="s">
        <v>360</v>
      </c>
    </row>
    <row r="288" customFormat="false" ht="15" hidden="false" customHeight="false" outlineLevel="0" collapsed="false">
      <c r="A288" s="3" t="s">
        <v>332</v>
      </c>
      <c r="B288" s="3" t="n">
        <v>29</v>
      </c>
      <c r="C288" s="3" t="s">
        <v>164</v>
      </c>
      <c r="D288" s="3" t="n">
        <v>2</v>
      </c>
      <c r="E288" s="3" t="s">
        <v>165</v>
      </c>
      <c r="F288" s="3" t="s">
        <v>263</v>
      </c>
      <c r="G288" s="3" t="s">
        <v>166</v>
      </c>
      <c r="H288" s="3" t="s">
        <v>361</v>
      </c>
    </row>
    <row r="289" customFormat="false" ht="15" hidden="false" customHeight="false" outlineLevel="0" collapsed="false">
      <c r="A289" s="3" t="s">
        <v>332</v>
      </c>
      <c r="B289" s="3" t="n">
        <v>29</v>
      </c>
      <c r="C289" s="3" t="s">
        <v>164</v>
      </c>
      <c r="D289" s="3" t="n">
        <v>11</v>
      </c>
      <c r="E289" s="3" t="s">
        <v>172</v>
      </c>
      <c r="F289" s="3" t="s">
        <v>263</v>
      </c>
      <c r="G289" s="3" t="s">
        <v>166</v>
      </c>
      <c r="H289" s="3" t="s">
        <v>361</v>
      </c>
    </row>
    <row r="290" customFormat="false" ht="15" hidden="false" customHeight="false" outlineLevel="0" collapsed="false">
      <c r="A290" s="3" t="s">
        <v>332</v>
      </c>
      <c r="B290" s="3" t="n">
        <v>30</v>
      </c>
      <c r="C290" s="3" t="s">
        <v>164</v>
      </c>
      <c r="D290" s="3" t="n">
        <v>18</v>
      </c>
      <c r="E290" s="3" t="s">
        <v>165</v>
      </c>
      <c r="F290" s="3" t="s">
        <v>263</v>
      </c>
      <c r="G290" s="3" t="s">
        <v>166</v>
      </c>
      <c r="H290" s="3" t="s">
        <v>362</v>
      </c>
    </row>
    <row r="291" customFormat="false" ht="15" hidden="false" customHeight="false" outlineLevel="0" collapsed="false">
      <c r="A291" s="3" t="s">
        <v>332</v>
      </c>
      <c r="B291" s="3" t="n">
        <v>30</v>
      </c>
      <c r="C291" s="3" t="s">
        <v>164</v>
      </c>
      <c r="D291" s="3" t="n">
        <v>19</v>
      </c>
      <c r="E291" s="3" t="s">
        <v>172</v>
      </c>
      <c r="F291" s="3" t="s">
        <v>263</v>
      </c>
      <c r="G291" s="3" t="s">
        <v>166</v>
      </c>
      <c r="H291" s="3" t="s">
        <v>362</v>
      </c>
    </row>
    <row r="292" customFormat="false" ht="15" hidden="false" customHeight="false" outlineLevel="0" collapsed="false">
      <c r="A292" s="3" t="s">
        <v>332</v>
      </c>
      <c r="B292" s="3" t="n">
        <v>31</v>
      </c>
      <c r="C292" s="3" t="s">
        <v>164</v>
      </c>
      <c r="D292" s="3" t="n">
        <v>8</v>
      </c>
      <c r="E292" s="3" t="s">
        <v>165</v>
      </c>
      <c r="F292" s="3" t="s">
        <v>263</v>
      </c>
      <c r="G292" s="3" t="s">
        <v>166</v>
      </c>
      <c r="H292" s="3" t="s">
        <v>363</v>
      </c>
    </row>
    <row r="293" customFormat="false" ht="15" hidden="false" customHeight="false" outlineLevel="0" collapsed="false">
      <c r="A293" s="3" t="s">
        <v>332</v>
      </c>
      <c r="B293" s="3" t="n">
        <v>31</v>
      </c>
      <c r="C293" s="3" t="s">
        <v>164</v>
      </c>
      <c r="D293" s="3" t="n">
        <v>5</v>
      </c>
      <c r="E293" s="3" t="s">
        <v>172</v>
      </c>
      <c r="F293" s="3" t="s">
        <v>263</v>
      </c>
      <c r="G293" s="3" t="s">
        <v>166</v>
      </c>
      <c r="H293" s="3" t="s">
        <v>363</v>
      </c>
    </row>
    <row r="294" customFormat="false" ht="15" hidden="false" customHeight="false" outlineLevel="0" collapsed="false">
      <c r="A294" s="3" t="s">
        <v>364</v>
      </c>
      <c r="B294" s="3" t="n">
        <v>1</v>
      </c>
      <c r="C294" s="3" t="s">
        <v>164</v>
      </c>
      <c r="D294" s="3" t="n">
        <v>5</v>
      </c>
      <c r="E294" s="3" t="s">
        <v>165</v>
      </c>
      <c r="F294" s="3" t="s">
        <v>166</v>
      </c>
      <c r="G294" s="3" t="s">
        <v>263</v>
      </c>
      <c r="H294" s="3" t="s">
        <v>365</v>
      </c>
    </row>
    <row r="295" customFormat="false" ht="15" hidden="false" customHeight="false" outlineLevel="0" collapsed="false">
      <c r="A295" s="3" t="s">
        <v>364</v>
      </c>
      <c r="B295" s="3" t="n">
        <v>2</v>
      </c>
      <c r="C295" s="3" t="s">
        <v>164</v>
      </c>
      <c r="D295" s="3" t="n">
        <v>5</v>
      </c>
      <c r="E295" s="3" t="s">
        <v>165</v>
      </c>
      <c r="F295" s="3" t="s">
        <v>166</v>
      </c>
      <c r="G295" s="3" t="s">
        <v>263</v>
      </c>
      <c r="H295" s="3" t="s">
        <v>366</v>
      </c>
    </row>
    <row r="296" customFormat="false" ht="15" hidden="false" customHeight="false" outlineLevel="0" collapsed="false">
      <c r="A296" s="3" t="s">
        <v>364</v>
      </c>
      <c r="B296" s="3" t="n">
        <v>3</v>
      </c>
      <c r="C296" s="3" t="s">
        <v>164</v>
      </c>
      <c r="D296" s="3" t="n">
        <v>12</v>
      </c>
      <c r="E296" s="3" t="s">
        <v>165</v>
      </c>
      <c r="F296" s="3" t="s">
        <v>166</v>
      </c>
      <c r="G296" s="3" t="s">
        <v>263</v>
      </c>
      <c r="H296" s="3" t="s">
        <v>367</v>
      </c>
    </row>
    <row r="297" customFormat="false" ht="15" hidden="false" customHeight="false" outlineLevel="0" collapsed="false">
      <c r="A297" s="3" t="s">
        <v>364</v>
      </c>
      <c r="B297" s="3" t="n">
        <v>4</v>
      </c>
      <c r="C297" s="3" t="s">
        <v>164</v>
      </c>
      <c r="D297" s="3" t="n">
        <v>14</v>
      </c>
      <c r="E297" s="3" t="s">
        <v>165</v>
      </c>
      <c r="F297" s="3" t="s">
        <v>166</v>
      </c>
      <c r="G297" s="3" t="s">
        <v>263</v>
      </c>
      <c r="H297" s="3" t="s">
        <v>368</v>
      </c>
    </row>
    <row r="298" customFormat="false" ht="15" hidden="false" customHeight="false" outlineLevel="0" collapsed="false">
      <c r="A298" s="3" t="s">
        <v>364</v>
      </c>
      <c r="B298" s="3" t="n">
        <v>5</v>
      </c>
      <c r="C298" s="3" t="s">
        <v>164</v>
      </c>
      <c r="D298" s="3" t="n">
        <v>38</v>
      </c>
      <c r="E298" s="3" t="s">
        <v>165</v>
      </c>
      <c r="F298" s="3" t="s">
        <v>166</v>
      </c>
      <c r="G298" s="3" t="s">
        <v>263</v>
      </c>
      <c r="H298" s="3" t="s">
        <v>369</v>
      </c>
    </row>
    <row r="299" customFormat="false" ht="15" hidden="false" customHeight="false" outlineLevel="0" collapsed="false">
      <c r="A299" s="3" t="s">
        <v>364</v>
      </c>
      <c r="B299" s="3" t="n">
        <v>5</v>
      </c>
      <c r="C299" s="3" t="s">
        <v>164</v>
      </c>
      <c r="D299" s="3" t="n">
        <v>28</v>
      </c>
      <c r="E299" s="3" t="s">
        <v>172</v>
      </c>
      <c r="F299" s="3" t="s">
        <v>166</v>
      </c>
      <c r="G299" s="3" t="s">
        <v>263</v>
      </c>
      <c r="H299" s="3" t="s">
        <v>369</v>
      </c>
    </row>
    <row r="300" customFormat="false" ht="15" hidden="false" customHeight="false" outlineLevel="0" collapsed="false">
      <c r="A300" s="3" t="s">
        <v>364</v>
      </c>
      <c r="B300" s="3" t="n">
        <v>6</v>
      </c>
      <c r="C300" s="3" t="s">
        <v>164</v>
      </c>
      <c r="D300" s="3" t="n">
        <v>26</v>
      </c>
      <c r="E300" s="3" t="s">
        <v>165</v>
      </c>
      <c r="F300" s="3" t="s">
        <v>166</v>
      </c>
      <c r="G300" s="3" t="s">
        <v>263</v>
      </c>
      <c r="H300" s="3" t="s">
        <v>370</v>
      </c>
    </row>
    <row r="301" customFormat="false" ht="15" hidden="false" customHeight="false" outlineLevel="0" collapsed="false">
      <c r="A301" s="3" t="s">
        <v>364</v>
      </c>
      <c r="B301" s="3" t="n">
        <v>6</v>
      </c>
      <c r="C301" s="3" t="s">
        <v>164</v>
      </c>
      <c r="D301" s="3" t="n">
        <v>3</v>
      </c>
      <c r="E301" s="3" t="s">
        <v>172</v>
      </c>
      <c r="F301" s="3" t="s">
        <v>166</v>
      </c>
      <c r="G301" s="3" t="s">
        <v>263</v>
      </c>
      <c r="H301" s="3" t="s">
        <v>370</v>
      </c>
    </row>
    <row r="302" customFormat="false" ht="15" hidden="false" customHeight="false" outlineLevel="0" collapsed="false">
      <c r="A302" s="3" t="s">
        <v>364</v>
      </c>
      <c r="B302" s="3" t="n">
        <v>7</v>
      </c>
      <c r="C302" s="3" t="s">
        <v>164</v>
      </c>
      <c r="D302" s="3" t="n">
        <v>89</v>
      </c>
      <c r="E302" s="3" t="s">
        <v>165</v>
      </c>
      <c r="F302" s="3" t="s">
        <v>166</v>
      </c>
      <c r="G302" s="3" t="s">
        <v>263</v>
      </c>
      <c r="H302" s="3" t="s">
        <v>371</v>
      </c>
    </row>
    <row r="303" customFormat="false" ht="15" hidden="false" customHeight="false" outlineLevel="0" collapsed="false">
      <c r="A303" s="3" t="s">
        <v>364</v>
      </c>
      <c r="B303" s="3" t="n">
        <v>8</v>
      </c>
      <c r="C303" s="3" t="s">
        <v>164</v>
      </c>
      <c r="D303" s="3" t="n">
        <v>26</v>
      </c>
      <c r="E303" s="3" t="s">
        <v>165</v>
      </c>
      <c r="F303" s="3" t="s">
        <v>166</v>
      </c>
      <c r="G303" s="3" t="s">
        <v>263</v>
      </c>
      <c r="H303" s="3" t="s">
        <v>372</v>
      </c>
    </row>
    <row r="304" customFormat="false" ht="15" hidden="false" customHeight="false" outlineLevel="0" collapsed="false">
      <c r="A304" s="3" t="s">
        <v>364</v>
      </c>
      <c r="B304" s="3" t="n">
        <v>8</v>
      </c>
      <c r="C304" s="3" t="s">
        <v>164</v>
      </c>
      <c r="D304" s="3" t="n">
        <v>3</v>
      </c>
      <c r="E304" s="3" t="s">
        <v>172</v>
      </c>
      <c r="F304" s="3" t="s">
        <v>166</v>
      </c>
      <c r="G304" s="3" t="s">
        <v>263</v>
      </c>
      <c r="H304" s="3" t="s">
        <v>372</v>
      </c>
    </row>
    <row r="305" customFormat="false" ht="15" hidden="false" customHeight="false" outlineLevel="0" collapsed="false">
      <c r="A305" s="3" t="s">
        <v>364</v>
      </c>
      <c r="B305" s="3" t="n">
        <v>9</v>
      </c>
      <c r="C305" s="3" t="s">
        <v>164</v>
      </c>
      <c r="D305" s="3" t="n">
        <v>12</v>
      </c>
      <c r="E305" s="3" t="s">
        <v>165</v>
      </c>
      <c r="F305" s="3" t="s">
        <v>166</v>
      </c>
      <c r="G305" s="3" t="s">
        <v>263</v>
      </c>
      <c r="H305" s="3" t="s">
        <v>373</v>
      </c>
    </row>
    <row r="306" customFormat="false" ht="15" hidden="false" customHeight="false" outlineLevel="0" collapsed="false">
      <c r="A306" s="3" t="s">
        <v>364</v>
      </c>
      <c r="B306" s="3" t="n">
        <v>9</v>
      </c>
      <c r="C306" s="3" t="s">
        <v>164</v>
      </c>
      <c r="D306" s="3" t="n">
        <v>5</v>
      </c>
      <c r="E306" s="3" t="s">
        <v>172</v>
      </c>
      <c r="F306" s="3" t="s">
        <v>166</v>
      </c>
      <c r="G306" s="3" t="s">
        <v>263</v>
      </c>
      <c r="H306" s="3" t="s">
        <v>373</v>
      </c>
    </row>
    <row r="307" customFormat="false" ht="15" hidden="false" customHeight="false" outlineLevel="0" collapsed="false">
      <c r="A307" s="3" t="s">
        <v>364</v>
      </c>
      <c r="B307" s="3" t="n">
        <v>10</v>
      </c>
      <c r="C307" s="3" t="s">
        <v>164</v>
      </c>
      <c r="D307" s="3" t="n">
        <v>10</v>
      </c>
      <c r="E307" s="3" t="s">
        <v>165</v>
      </c>
      <c r="F307" s="3" t="s">
        <v>166</v>
      </c>
      <c r="G307" s="3" t="s">
        <v>263</v>
      </c>
      <c r="H307" s="3" t="s">
        <v>374</v>
      </c>
    </row>
    <row r="308" customFormat="false" ht="15" hidden="false" customHeight="false" outlineLevel="0" collapsed="false">
      <c r="A308" s="3" t="s">
        <v>364</v>
      </c>
      <c r="B308" s="3" t="n">
        <v>10</v>
      </c>
      <c r="C308" s="3" t="s">
        <v>164</v>
      </c>
      <c r="D308" s="3" t="n">
        <v>13</v>
      </c>
      <c r="E308" s="3" t="s">
        <v>172</v>
      </c>
      <c r="F308" s="3" t="s">
        <v>166</v>
      </c>
      <c r="G308" s="3" t="s">
        <v>263</v>
      </c>
      <c r="H308" s="3" t="s">
        <v>374</v>
      </c>
    </row>
    <row r="309" customFormat="false" ht="15" hidden="false" customHeight="false" outlineLevel="0" collapsed="false">
      <c r="A309" s="3" t="s">
        <v>364</v>
      </c>
      <c r="B309" s="3" t="n">
        <v>11</v>
      </c>
      <c r="C309" s="3" t="s">
        <v>164</v>
      </c>
      <c r="D309" s="3" t="n">
        <v>8</v>
      </c>
      <c r="E309" s="3" t="s">
        <v>165</v>
      </c>
      <c r="F309" s="3" t="s">
        <v>166</v>
      </c>
      <c r="G309" s="3" t="s">
        <v>263</v>
      </c>
      <c r="H309" s="3" t="s">
        <v>375</v>
      </c>
    </row>
    <row r="310" customFormat="false" ht="15" hidden="false" customHeight="false" outlineLevel="0" collapsed="false">
      <c r="A310" s="3" t="s">
        <v>364</v>
      </c>
      <c r="B310" s="3" t="n">
        <v>11</v>
      </c>
      <c r="C310" s="3" t="s">
        <v>164</v>
      </c>
      <c r="D310" s="3" t="n">
        <v>5</v>
      </c>
      <c r="E310" s="3" t="s">
        <v>172</v>
      </c>
      <c r="F310" s="3" t="s">
        <v>166</v>
      </c>
      <c r="G310" s="3" t="s">
        <v>263</v>
      </c>
      <c r="H310" s="3" t="s">
        <v>375</v>
      </c>
    </row>
    <row r="311" customFormat="false" ht="15" hidden="false" customHeight="false" outlineLevel="0" collapsed="false">
      <c r="A311" s="3" t="s">
        <v>364</v>
      </c>
      <c r="B311" s="3" t="n">
        <v>12</v>
      </c>
      <c r="C311" s="3" t="s">
        <v>164</v>
      </c>
      <c r="D311" s="3" t="n">
        <v>38</v>
      </c>
      <c r="E311" s="3" t="s">
        <v>165</v>
      </c>
      <c r="F311" s="3" t="s">
        <v>166</v>
      </c>
      <c r="G311" s="3" t="s">
        <v>263</v>
      </c>
      <c r="H311" s="3" t="s">
        <v>376</v>
      </c>
    </row>
    <row r="312" customFormat="false" ht="15" hidden="false" customHeight="false" outlineLevel="0" collapsed="false">
      <c r="A312" s="3" t="s">
        <v>364</v>
      </c>
      <c r="B312" s="3" t="n">
        <v>13</v>
      </c>
      <c r="C312" s="3" t="s">
        <v>164</v>
      </c>
      <c r="D312" s="3" t="n">
        <v>12</v>
      </c>
      <c r="E312" s="3" t="s">
        <v>165</v>
      </c>
      <c r="F312" s="3" t="s">
        <v>166</v>
      </c>
      <c r="G312" s="3" t="s">
        <v>263</v>
      </c>
      <c r="H312" s="3" t="s">
        <v>377</v>
      </c>
    </row>
    <row r="313" customFormat="false" ht="15" hidden="false" customHeight="false" outlineLevel="0" collapsed="false">
      <c r="A313" s="3" t="s">
        <v>364</v>
      </c>
      <c r="B313" s="3" t="n">
        <v>13</v>
      </c>
      <c r="C313" s="3" t="s">
        <v>164</v>
      </c>
      <c r="D313" s="3" t="n">
        <v>5</v>
      </c>
      <c r="E313" s="3" t="s">
        <v>172</v>
      </c>
      <c r="F313" s="3" t="s">
        <v>166</v>
      </c>
      <c r="G313" s="3" t="s">
        <v>263</v>
      </c>
      <c r="H313" s="3" t="s">
        <v>377</v>
      </c>
    </row>
    <row r="314" customFormat="false" ht="15" hidden="false" customHeight="false" outlineLevel="0" collapsed="false">
      <c r="A314" s="3" t="s">
        <v>364</v>
      </c>
      <c r="B314" s="3" t="n">
        <v>14</v>
      </c>
      <c r="C314" s="3" t="s">
        <v>164</v>
      </c>
      <c r="D314" s="3" t="n">
        <v>39</v>
      </c>
      <c r="E314" s="3" t="s">
        <v>165</v>
      </c>
      <c r="F314" s="3" t="s">
        <v>166</v>
      </c>
      <c r="G314" s="3" t="s">
        <v>263</v>
      </c>
      <c r="H314" s="3" t="s">
        <v>378</v>
      </c>
    </row>
    <row r="315" customFormat="false" ht="15" hidden="false" customHeight="false" outlineLevel="0" collapsed="false">
      <c r="A315" s="3" t="s">
        <v>364</v>
      </c>
      <c r="B315" s="3" t="n">
        <v>15</v>
      </c>
      <c r="C315" s="3" t="s">
        <v>164</v>
      </c>
      <c r="D315" s="3" t="n">
        <v>81</v>
      </c>
      <c r="E315" s="3" t="s">
        <v>165</v>
      </c>
      <c r="F315" s="3" t="s">
        <v>166</v>
      </c>
      <c r="G315" s="3" t="s">
        <v>263</v>
      </c>
      <c r="H315" s="3" t="s">
        <v>379</v>
      </c>
    </row>
    <row r="316" customFormat="false" ht="15" hidden="false" customHeight="false" outlineLevel="0" collapsed="false">
      <c r="A316" s="3" t="s">
        <v>364</v>
      </c>
      <c r="B316" s="3" t="n">
        <v>16</v>
      </c>
      <c r="C316" s="3" t="s">
        <v>164</v>
      </c>
      <c r="D316" s="3" t="n">
        <v>8</v>
      </c>
      <c r="E316" s="3" t="s">
        <v>165</v>
      </c>
      <c r="F316" s="3" t="s">
        <v>166</v>
      </c>
      <c r="G316" s="3" t="s">
        <v>263</v>
      </c>
      <c r="H316" s="3" t="s">
        <v>380</v>
      </c>
    </row>
    <row r="317" customFormat="false" ht="15" hidden="false" customHeight="false" outlineLevel="0" collapsed="false">
      <c r="A317" s="3" t="s">
        <v>364</v>
      </c>
      <c r="B317" s="3" t="n">
        <v>16</v>
      </c>
      <c r="C317" s="3" t="s">
        <v>164</v>
      </c>
      <c r="D317" s="3" t="n">
        <v>5</v>
      </c>
      <c r="E317" s="3" t="s">
        <v>172</v>
      </c>
      <c r="F317" s="3" t="s">
        <v>166</v>
      </c>
      <c r="G317" s="3" t="s">
        <v>263</v>
      </c>
      <c r="H317" s="3" t="s">
        <v>380</v>
      </c>
    </row>
    <row r="318" customFormat="false" ht="15" hidden="false" customHeight="false" outlineLevel="0" collapsed="false">
      <c r="A318" s="3" t="s">
        <v>364</v>
      </c>
      <c r="B318" s="3" t="n">
        <v>17</v>
      </c>
      <c r="C318" s="3" t="s">
        <v>164</v>
      </c>
      <c r="D318" s="3" t="n">
        <v>18</v>
      </c>
      <c r="E318" s="3" t="s">
        <v>165</v>
      </c>
      <c r="F318" s="3" t="s">
        <v>166</v>
      </c>
      <c r="G318" s="3" t="s">
        <v>263</v>
      </c>
      <c r="H318" s="3" t="s">
        <v>381</v>
      </c>
    </row>
    <row r="319" customFormat="false" ht="15" hidden="false" customHeight="false" outlineLevel="0" collapsed="false">
      <c r="A319" s="3" t="s">
        <v>364</v>
      </c>
      <c r="B319" s="3" t="n">
        <v>18</v>
      </c>
      <c r="C319" s="3" t="s">
        <v>164</v>
      </c>
      <c r="D319" s="3" t="n">
        <v>12</v>
      </c>
      <c r="E319" s="3" t="s">
        <v>165</v>
      </c>
      <c r="F319" s="3" t="s">
        <v>166</v>
      </c>
      <c r="G319" s="3" t="s">
        <v>263</v>
      </c>
      <c r="H319" s="3" t="s">
        <v>382</v>
      </c>
    </row>
    <row r="320" customFormat="false" ht="15" hidden="false" customHeight="false" outlineLevel="0" collapsed="false">
      <c r="A320" s="3" t="s">
        <v>364</v>
      </c>
      <c r="B320" s="3" t="n">
        <v>19</v>
      </c>
      <c r="C320" s="3" t="s">
        <v>164</v>
      </c>
      <c r="D320" s="3" t="n">
        <v>49</v>
      </c>
      <c r="E320" s="3" t="s">
        <v>165</v>
      </c>
      <c r="F320" s="3" t="s">
        <v>166</v>
      </c>
      <c r="G320" s="3" t="s">
        <v>263</v>
      </c>
      <c r="H320" s="3" t="s">
        <v>383</v>
      </c>
    </row>
    <row r="321" customFormat="false" ht="15" hidden="false" customHeight="false" outlineLevel="0" collapsed="false">
      <c r="A321" s="3" t="s">
        <v>364</v>
      </c>
      <c r="B321" s="3" t="n">
        <v>20</v>
      </c>
      <c r="C321" s="3" t="s">
        <v>164</v>
      </c>
      <c r="D321" s="3" t="n">
        <v>39</v>
      </c>
      <c r="E321" s="3" t="s">
        <v>165</v>
      </c>
      <c r="F321" s="3" t="s">
        <v>166</v>
      </c>
      <c r="G321" s="3" t="s">
        <v>263</v>
      </c>
      <c r="H321" s="3" t="s">
        <v>384</v>
      </c>
    </row>
    <row r="322" customFormat="false" ht="15" hidden="false" customHeight="false" outlineLevel="0" collapsed="false">
      <c r="A322" s="3" t="s">
        <v>364</v>
      </c>
      <c r="B322" s="3" t="n">
        <v>20</v>
      </c>
      <c r="C322" s="3" t="s">
        <v>164</v>
      </c>
      <c r="D322" s="3" t="n">
        <v>38</v>
      </c>
      <c r="E322" s="3" t="s">
        <v>172</v>
      </c>
      <c r="F322" s="3" t="s">
        <v>166</v>
      </c>
      <c r="G322" s="3" t="s">
        <v>263</v>
      </c>
      <c r="H322" s="3" t="s">
        <v>384</v>
      </c>
    </row>
    <row r="323" customFormat="false" ht="15" hidden="false" customHeight="false" outlineLevel="0" collapsed="false">
      <c r="A323" s="3" t="s">
        <v>364</v>
      </c>
      <c r="B323" s="3" t="n">
        <v>21</v>
      </c>
      <c r="C323" s="3" t="s">
        <v>164</v>
      </c>
      <c r="D323" s="3" t="n">
        <v>29</v>
      </c>
      <c r="E323" s="3" t="s">
        <v>165</v>
      </c>
      <c r="F323" s="3" t="s">
        <v>166</v>
      </c>
      <c r="G323" s="3" t="s">
        <v>263</v>
      </c>
      <c r="H323" s="3" t="s">
        <v>385</v>
      </c>
    </row>
    <row r="324" customFormat="false" ht="15" hidden="false" customHeight="false" outlineLevel="0" collapsed="false">
      <c r="A324" s="3" t="s">
        <v>364</v>
      </c>
      <c r="B324" s="3" t="n">
        <v>21</v>
      </c>
      <c r="C324" s="3" t="s">
        <v>164</v>
      </c>
      <c r="D324" s="3" t="n">
        <v>38</v>
      </c>
      <c r="E324" s="3" t="s">
        <v>172</v>
      </c>
      <c r="F324" s="3" t="s">
        <v>166</v>
      </c>
      <c r="G324" s="3" t="s">
        <v>263</v>
      </c>
      <c r="H324" s="3" t="s">
        <v>385</v>
      </c>
    </row>
    <row r="325" customFormat="false" ht="15" hidden="false" customHeight="false" outlineLevel="0" collapsed="false">
      <c r="A325" s="3" t="s">
        <v>364</v>
      </c>
      <c r="B325" s="3" t="n">
        <v>22</v>
      </c>
      <c r="C325" s="3" t="s">
        <v>164</v>
      </c>
      <c r="D325" s="3" t="n">
        <v>36</v>
      </c>
      <c r="E325" s="3" t="s">
        <v>165</v>
      </c>
      <c r="F325" s="3" t="s">
        <v>166</v>
      </c>
      <c r="G325" s="3" t="s">
        <v>263</v>
      </c>
      <c r="H325" s="3" t="s">
        <v>386</v>
      </c>
    </row>
    <row r="326" customFormat="false" ht="15" hidden="false" customHeight="false" outlineLevel="0" collapsed="false">
      <c r="A326" s="3" t="s">
        <v>364</v>
      </c>
      <c r="B326" s="3" t="n">
        <v>22</v>
      </c>
      <c r="C326" s="3" t="s">
        <v>164</v>
      </c>
      <c r="D326" s="3" t="n">
        <v>35</v>
      </c>
      <c r="E326" s="3" t="s">
        <v>172</v>
      </c>
      <c r="F326" s="3" t="s">
        <v>166</v>
      </c>
      <c r="G326" s="3" t="s">
        <v>263</v>
      </c>
      <c r="H326" s="3" t="s">
        <v>386</v>
      </c>
    </row>
    <row r="327" customFormat="false" ht="15" hidden="false" customHeight="false" outlineLevel="0" collapsed="false">
      <c r="A327" s="3" t="s">
        <v>364</v>
      </c>
      <c r="B327" s="3" t="n">
        <v>23</v>
      </c>
      <c r="C327" s="3" t="s">
        <v>164</v>
      </c>
      <c r="D327" s="3" t="n">
        <v>80</v>
      </c>
      <c r="E327" s="3" t="s">
        <v>165</v>
      </c>
      <c r="F327" s="3" t="s">
        <v>166</v>
      </c>
      <c r="G327" s="3" t="s">
        <v>263</v>
      </c>
      <c r="H327" s="3" t="s">
        <v>387</v>
      </c>
    </row>
    <row r="328" customFormat="false" ht="15" hidden="false" customHeight="false" outlineLevel="0" collapsed="false">
      <c r="A328" s="3" t="s">
        <v>364</v>
      </c>
      <c r="B328" s="3" t="n">
        <v>23</v>
      </c>
      <c r="C328" s="3" t="s">
        <v>164</v>
      </c>
      <c r="D328" s="3" t="n">
        <v>4</v>
      </c>
      <c r="E328" s="3" t="s">
        <v>172</v>
      </c>
      <c r="F328" s="3" t="s">
        <v>166</v>
      </c>
      <c r="G328" s="3" t="s">
        <v>263</v>
      </c>
      <c r="H328" s="3" t="s">
        <v>387</v>
      </c>
    </row>
    <row r="329" customFormat="false" ht="15" hidden="false" customHeight="false" outlineLevel="0" collapsed="false">
      <c r="A329" s="3" t="s">
        <v>364</v>
      </c>
      <c r="B329" s="3" t="n">
        <v>24</v>
      </c>
      <c r="C329" s="3" t="s">
        <v>164</v>
      </c>
      <c r="D329" s="3" t="n">
        <v>12</v>
      </c>
      <c r="E329" s="3" t="s">
        <v>165</v>
      </c>
      <c r="F329" s="3" t="s">
        <v>166</v>
      </c>
      <c r="G329" s="3" t="s">
        <v>263</v>
      </c>
      <c r="H329" s="3" t="s">
        <v>388</v>
      </c>
    </row>
    <row r="330" customFormat="false" ht="15" hidden="false" customHeight="false" outlineLevel="0" collapsed="false">
      <c r="A330" s="3" t="s">
        <v>364</v>
      </c>
      <c r="B330" s="3" t="n">
        <v>25</v>
      </c>
      <c r="C330" s="3" t="s">
        <v>164</v>
      </c>
      <c r="D330" s="3" t="n">
        <v>8</v>
      </c>
      <c r="E330" s="3" t="s">
        <v>165</v>
      </c>
      <c r="F330" s="3" t="s">
        <v>166</v>
      </c>
      <c r="G330" s="3" t="s">
        <v>263</v>
      </c>
      <c r="H330" s="3" t="s">
        <v>389</v>
      </c>
    </row>
    <row r="331" customFormat="false" ht="15" hidden="false" customHeight="false" outlineLevel="0" collapsed="false">
      <c r="A331" s="3" t="s">
        <v>364</v>
      </c>
      <c r="B331" s="3" t="n">
        <v>26</v>
      </c>
      <c r="C331" s="3" t="s">
        <v>164</v>
      </c>
      <c r="D331" s="3" t="n">
        <v>12</v>
      </c>
      <c r="E331" s="3" t="s">
        <v>165</v>
      </c>
      <c r="F331" s="3" t="s">
        <v>166</v>
      </c>
      <c r="G331" s="3" t="s">
        <v>263</v>
      </c>
      <c r="H331" s="3" t="s">
        <v>390</v>
      </c>
    </row>
    <row r="332" customFormat="false" ht="15" hidden="false" customHeight="false" outlineLevel="0" collapsed="false">
      <c r="A332" s="3" t="s">
        <v>364</v>
      </c>
      <c r="B332" s="3" t="n">
        <v>27</v>
      </c>
      <c r="C332" s="3" t="s">
        <v>164</v>
      </c>
      <c r="D332" s="3" t="n">
        <v>6</v>
      </c>
      <c r="E332" s="3" t="s">
        <v>165</v>
      </c>
      <c r="F332" s="3" t="s">
        <v>166</v>
      </c>
      <c r="G332" s="3" t="s">
        <v>263</v>
      </c>
      <c r="H332" s="3" t="s">
        <v>391</v>
      </c>
    </row>
    <row r="333" customFormat="false" ht="15" hidden="false" customHeight="false" outlineLevel="0" collapsed="false">
      <c r="A333" s="3" t="s">
        <v>364</v>
      </c>
      <c r="B333" s="3" t="n">
        <v>28</v>
      </c>
      <c r="C333" s="3" t="s">
        <v>164</v>
      </c>
      <c r="D333" s="3" t="n">
        <v>79</v>
      </c>
      <c r="E333" s="3" t="s">
        <v>165</v>
      </c>
      <c r="F333" s="3" t="s">
        <v>166</v>
      </c>
      <c r="G333" s="3" t="s">
        <v>263</v>
      </c>
      <c r="H333" s="3" t="s">
        <v>392</v>
      </c>
    </row>
    <row r="334" customFormat="false" ht="15" hidden="false" customHeight="false" outlineLevel="0" collapsed="false">
      <c r="A334" s="3" t="s">
        <v>364</v>
      </c>
      <c r="B334" s="3" t="n">
        <v>28</v>
      </c>
      <c r="C334" s="3" t="s">
        <v>164</v>
      </c>
      <c r="D334" s="3" t="n">
        <v>78</v>
      </c>
      <c r="E334" s="3" t="s">
        <v>172</v>
      </c>
      <c r="F334" s="3" t="s">
        <v>166</v>
      </c>
      <c r="G334" s="3" t="s">
        <v>263</v>
      </c>
      <c r="H334" s="3" t="s">
        <v>392</v>
      </c>
    </row>
    <row r="335" customFormat="false" ht="15" hidden="false" customHeight="false" outlineLevel="0" collapsed="false">
      <c r="A335" s="3" t="s">
        <v>364</v>
      </c>
      <c r="B335" s="3" t="n">
        <v>29</v>
      </c>
      <c r="C335" s="3" t="s">
        <v>164</v>
      </c>
      <c r="D335" s="3" t="n">
        <v>45</v>
      </c>
      <c r="E335" s="3" t="s">
        <v>165</v>
      </c>
      <c r="F335" s="3" t="s">
        <v>166</v>
      </c>
      <c r="G335" s="3" t="s">
        <v>263</v>
      </c>
      <c r="H335" s="3" t="s">
        <v>393</v>
      </c>
    </row>
    <row r="336" customFormat="false" ht="15" hidden="false" customHeight="false" outlineLevel="0" collapsed="false">
      <c r="A336" s="3" t="s">
        <v>364</v>
      </c>
      <c r="B336" s="3" t="n">
        <v>29</v>
      </c>
      <c r="C336" s="3" t="s">
        <v>164</v>
      </c>
      <c r="D336" s="3" t="n">
        <v>44</v>
      </c>
      <c r="E336" s="3" t="s">
        <v>172</v>
      </c>
      <c r="F336" s="3" t="s">
        <v>166</v>
      </c>
      <c r="G336" s="3" t="s">
        <v>263</v>
      </c>
      <c r="H336" s="3" t="s">
        <v>393</v>
      </c>
    </row>
    <row r="337" customFormat="false" ht="15" hidden="false" customHeight="false" outlineLevel="0" collapsed="false">
      <c r="A337" s="3" t="s">
        <v>364</v>
      </c>
      <c r="B337" s="3" t="n">
        <v>30</v>
      </c>
      <c r="C337" s="3" t="s">
        <v>164</v>
      </c>
      <c r="D337" s="3" t="n">
        <v>15</v>
      </c>
      <c r="E337" s="3" t="s">
        <v>165</v>
      </c>
      <c r="F337" s="3" t="s">
        <v>166</v>
      </c>
      <c r="G337" s="3" t="s">
        <v>263</v>
      </c>
      <c r="H337" s="3" t="s">
        <v>394</v>
      </c>
    </row>
    <row r="338" customFormat="false" ht="15" hidden="false" customHeight="false" outlineLevel="0" collapsed="false">
      <c r="A338" s="3" t="s">
        <v>364</v>
      </c>
      <c r="B338" s="3" t="n">
        <v>31</v>
      </c>
      <c r="C338" s="3" t="s">
        <v>164</v>
      </c>
      <c r="D338" s="3" t="n">
        <v>26</v>
      </c>
      <c r="E338" s="3" t="s">
        <v>165</v>
      </c>
      <c r="F338" s="3" t="s">
        <v>166</v>
      </c>
      <c r="G338" s="3" t="s">
        <v>263</v>
      </c>
      <c r="H338" s="3" t="s">
        <v>395</v>
      </c>
    </row>
    <row r="339" customFormat="false" ht="15" hidden="false" customHeight="false" outlineLevel="0" collapsed="false">
      <c r="A339" s="3" t="s">
        <v>364</v>
      </c>
      <c r="B339" s="3" t="n">
        <v>31</v>
      </c>
      <c r="C339" s="3" t="s">
        <v>164</v>
      </c>
      <c r="D339" s="3" t="n">
        <v>19</v>
      </c>
      <c r="E339" s="3" t="s">
        <v>172</v>
      </c>
      <c r="F339" s="3" t="s">
        <v>166</v>
      </c>
      <c r="G339" s="3" t="s">
        <v>263</v>
      </c>
      <c r="H339" s="3" t="s">
        <v>395</v>
      </c>
    </row>
    <row r="340" customFormat="false" ht="15" hidden="false" customHeight="false" outlineLevel="0" collapsed="false">
      <c r="A340" s="3" t="s">
        <v>364</v>
      </c>
      <c r="B340" s="3" t="n">
        <v>32</v>
      </c>
      <c r="C340" s="3" t="s">
        <v>164</v>
      </c>
      <c r="D340" s="3" t="n">
        <v>4</v>
      </c>
      <c r="E340" s="3" t="s">
        <v>165</v>
      </c>
      <c r="F340" s="3" t="s">
        <v>166</v>
      </c>
      <c r="G340" s="3" t="s">
        <v>263</v>
      </c>
      <c r="H340" s="3" t="s">
        <v>396</v>
      </c>
    </row>
    <row r="341" customFormat="false" ht="15" hidden="false" customHeight="false" outlineLevel="0" collapsed="false">
      <c r="A341" s="3" t="s">
        <v>364</v>
      </c>
      <c r="B341" s="3" t="n">
        <v>32</v>
      </c>
      <c r="C341" s="3" t="s">
        <v>164</v>
      </c>
      <c r="D341" s="3" t="n">
        <v>29</v>
      </c>
      <c r="E341" s="3" t="s">
        <v>172</v>
      </c>
      <c r="F341" s="3" t="s">
        <v>166</v>
      </c>
      <c r="G341" s="3" t="s">
        <v>263</v>
      </c>
      <c r="H341" s="3" t="s">
        <v>396</v>
      </c>
    </row>
    <row r="342" customFormat="false" ht="15" hidden="false" customHeight="false" outlineLevel="0" collapsed="false">
      <c r="A342" s="3" t="s">
        <v>364</v>
      </c>
      <c r="B342" s="3" t="n">
        <v>33</v>
      </c>
      <c r="C342" s="3" t="s">
        <v>164</v>
      </c>
      <c r="D342" s="3" t="n">
        <v>75</v>
      </c>
      <c r="E342" s="3" t="s">
        <v>165</v>
      </c>
      <c r="F342" s="3" t="s">
        <v>166</v>
      </c>
      <c r="G342" s="3" t="s">
        <v>263</v>
      </c>
      <c r="H342" s="3" t="s">
        <v>397</v>
      </c>
    </row>
    <row r="343" customFormat="false" ht="15" hidden="false" customHeight="false" outlineLevel="0" collapsed="false">
      <c r="A343" s="3" t="s">
        <v>364</v>
      </c>
      <c r="B343" s="3" t="n">
        <v>33</v>
      </c>
      <c r="C343" s="3" t="s">
        <v>164</v>
      </c>
      <c r="D343" s="3" t="n">
        <v>38</v>
      </c>
      <c r="E343" s="3" t="s">
        <v>172</v>
      </c>
      <c r="F343" s="3" t="s">
        <v>166</v>
      </c>
      <c r="G343" s="3" t="s">
        <v>263</v>
      </c>
      <c r="H343" s="3" t="s">
        <v>397</v>
      </c>
    </row>
    <row r="344" customFormat="false" ht="15" hidden="false" customHeight="false" outlineLevel="0" collapsed="false">
      <c r="A344" s="3" t="s">
        <v>364</v>
      </c>
      <c r="B344" s="3" t="n">
        <v>34</v>
      </c>
      <c r="C344" s="3" t="s">
        <v>164</v>
      </c>
      <c r="D344" s="3" t="n">
        <v>74</v>
      </c>
      <c r="E344" s="3" t="s">
        <v>165</v>
      </c>
      <c r="F344" s="3" t="s">
        <v>166</v>
      </c>
      <c r="G344" s="3" t="s">
        <v>263</v>
      </c>
      <c r="H344" s="3" t="s">
        <v>398</v>
      </c>
    </row>
    <row r="345" customFormat="false" ht="15" hidden="false" customHeight="false" outlineLevel="0" collapsed="false">
      <c r="A345" s="3" t="s">
        <v>364</v>
      </c>
      <c r="B345" s="3" t="n">
        <v>34</v>
      </c>
      <c r="C345" s="3" t="s">
        <v>164</v>
      </c>
      <c r="D345" s="3" t="n">
        <v>73</v>
      </c>
      <c r="E345" s="3" t="s">
        <v>172</v>
      </c>
      <c r="F345" s="3" t="s">
        <v>166</v>
      </c>
      <c r="G345" s="3" t="s">
        <v>263</v>
      </c>
      <c r="H345" s="3" t="s">
        <v>398</v>
      </c>
    </row>
    <row r="346" customFormat="false" ht="15" hidden="false" customHeight="false" outlineLevel="0" collapsed="false">
      <c r="A346" s="3" t="s">
        <v>364</v>
      </c>
      <c r="B346" s="3" t="n">
        <v>35</v>
      </c>
      <c r="C346" s="3" t="s">
        <v>164</v>
      </c>
      <c r="D346" s="3" t="n">
        <v>38</v>
      </c>
      <c r="E346" s="3" t="s">
        <v>165</v>
      </c>
      <c r="F346" s="3" t="s">
        <v>166</v>
      </c>
      <c r="G346" s="3" t="s">
        <v>263</v>
      </c>
      <c r="H346" s="3" t="s">
        <v>399</v>
      </c>
    </row>
    <row r="347" customFormat="false" ht="15" hidden="false" customHeight="false" outlineLevel="0" collapsed="false">
      <c r="A347" s="3" t="s">
        <v>364</v>
      </c>
      <c r="B347" s="3" t="n">
        <v>35</v>
      </c>
      <c r="C347" s="3" t="s">
        <v>164</v>
      </c>
      <c r="D347" s="3" t="n">
        <v>2</v>
      </c>
      <c r="E347" s="3" t="s">
        <v>172</v>
      </c>
      <c r="F347" s="3" t="s">
        <v>166</v>
      </c>
      <c r="G347" s="3" t="s">
        <v>263</v>
      </c>
      <c r="H347" s="3" t="s">
        <v>399</v>
      </c>
    </row>
    <row r="348" customFormat="false" ht="15" hidden="false" customHeight="false" outlineLevel="0" collapsed="false">
      <c r="A348" s="3" t="s">
        <v>364</v>
      </c>
      <c r="B348" s="3" t="n">
        <v>36</v>
      </c>
      <c r="C348" s="3" t="s">
        <v>164</v>
      </c>
      <c r="D348" s="3" t="n">
        <v>86</v>
      </c>
      <c r="E348" s="3" t="s">
        <v>165</v>
      </c>
      <c r="F348" s="3" t="s">
        <v>166</v>
      </c>
      <c r="G348" s="3" t="s">
        <v>263</v>
      </c>
      <c r="H348" s="3" t="s">
        <v>400</v>
      </c>
    </row>
    <row r="349" customFormat="false" ht="15" hidden="false" customHeight="false" outlineLevel="0" collapsed="false">
      <c r="A349" s="3" t="s">
        <v>364</v>
      </c>
      <c r="B349" s="3" t="n">
        <v>36</v>
      </c>
      <c r="C349" s="3" t="s">
        <v>164</v>
      </c>
      <c r="D349" s="3" t="n">
        <v>81</v>
      </c>
      <c r="E349" s="3" t="s">
        <v>172</v>
      </c>
      <c r="F349" s="3" t="s">
        <v>166</v>
      </c>
      <c r="G349" s="3" t="s">
        <v>263</v>
      </c>
      <c r="H349" s="3" t="s">
        <v>400</v>
      </c>
    </row>
    <row r="350" customFormat="false" ht="15" hidden="false" customHeight="false" outlineLevel="0" collapsed="false">
      <c r="A350" s="3" t="s">
        <v>364</v>
      </c>
      <c r="B350" s="3" t="n">
        <v>37</v>
      </c>
      <c r="C350" s="3" t="s">
        <v>164</v>
      </c>
      <c r="D350" s="3" t="n">
        <v>8</v>
      </c>
      <c r="E350" s="3" t="s">
        <v>165</v>
      </c>
      <c r="F350" s="3" t="s">
        <v>166</v>
      </c>
      <c r="G350" s="3" t="s">
        <v>263</v>
      </c>
      <c r="H350" s="3" t="s">
        <v>401</v>
      </c>
    </row>
    <row r="351" customFormat="false" ht="15" hidden="false" customHeight="false" outlineLevel="0" collapsed="false">
      <c r="A351" s="3" t="s">
        <v>364</v>
      </c>
      <c r="B351" s="3" t="n">
        <v>37</v>
      </c>
      <c r="C351" s="3" t="s">
        <v>164</v>
      </c>
      <c r="D351" s="3" t="n">
        <v>5</v>
      </c>
      <c r="E351" s="3" t="s">
        <v>172</v>
      </c>
      <c r="F351" s="3" t="s">
        <v>166</v>
      </c>
      <c r="G351" s="3" t="s">
        <v>263</v>
      </c>
      <c r="H351" s="3" t="s">
        <v>401</v>
      </c>
    </row>
    <row r="352" customFormat="false" ht="15" hidden="false" customHeight="false" outlineLevel="0" collapsed="false">
      <c r="A352" s="3" t="s">
        <v>364</v>
      </c>
      <c r="B352" s="3" t="n">
        <v>38</v>
      </c>
      <c r="C352" s="3" t="s">
        <v>164</v>
      </c>
      <c r="D352" s="3" t="n">
        <v>5</v>
      </c>
      <c r="E352" s="3" t="s">
        <v>165</v>
      </c>
      <c r="F352" s="3" t="s">
        <v>166</v>
      </c>
      <c r="G352" s="3" t="s">
        <v>263</v>
      </c>
      <c r="H352" s="3" t="s">
        <v>402</v>
      </c>
    </row>
    <row r="353" customFormat="false" ht="15" hidden="false" customHeight="false" outlineLevel="0" collapsed="false">
      <c r="A353" s="3" t="s">
        <v>364</v>
      </c>
      <c r="B353" s="3" t="n">
        <v>39</v>
      </c>
      <c r="C353" s="3" t="s">
        <v>164</v>
      </c>
      <c r="D353" s="3" t="n">
        <v>35</v>
      </c>
      <c r="E353" s="3" t="s">
        <v>165</v>
      </c>
      <c r="F353" s="3" t="s">
        <v>166</v>
      </c>
      <c r="G353" s="3" t="s">
        <v>263</v>
      </c>
      <c r="H353" s="3" t="s">
        <v>403</v>
      </c>
    </row>
    <row r="354" customFormat="false" ht="15" hidden="false" customHeight="false" outlineLevel="0" collapsed="false">
      <c r="A354" s="3" t="s">
        <v>364</v>
      </c>
      <c r="B354" s="3" t="n">
        <v>40</v>
      </c>
      <c r="C354" s="3" t="s">
        <v>164</v>
      </c>
      <c r="D354" s="3" t="n">
        <v>95</v>
      </c>
      <c r="E354" s="3" t="s">
        <v>165</v>
      </c>
      <c r="F354" s="3" t="s">
        <v>166</v>
      </c>
      <c r="G354" s="3" t="s">
        <v>263</v>
      </c>
      <c r="H354" s="3" t="s">
        <v>404</v>
      </c>
    </row>
    <row r="355" customFormat="false" ht="15" hidden="false" customHeight="false" outlineLevel="0" collapsed="false">
      <c r="A355" s="3" t="s">
        <v>364</v>
      </c>
      <c r="B355" s="3" t="n">
        <v>40</v>
      </c>
      <c r="C355" s="3" t="s">
        <v>164</v>
      </c>
      <c r="D355" s="3" t="n">
        <v>103</v>
      </c>
      <c r="E355" s="3" t="s">
        <v>172</v>
      </c>
      <c r="F355" s="3" t="s">
        <v>166</v>
      </c>
      <c r="G355" s="3" t="s">
        <v>263</v>
      </c>
      <c r="H355" s="3" t="s">
        <v>404</v>
      </c>
    </row>
    <row r="356" customFormat="false" ht="15" hidden="false" customHeight="false" outlineLevel="0" collapsed="false">
      <c r="A356" s="3" t="s">
        <v>364</v>
      </c>
      <c r="B356" s="3" t="n">
        <v>41</v>
      </c>
      <c r="C356" s="3" t="s">
        <v>164</v>
      </c>
      <c r="D356" s="3" t="n">
        <v>79</v>
      </c>
      <c r="E356" s="3" t="s">
        <v>165</v>
      </c>
      <c r="F356" s="3" t="s">
        <v>166</v>
      </c>
      <c r="G356" s="3" t="s">
        <v>263</v>
      </c>
      <c r="H356" s="3" t="s">
        <v>405</v>
      </c>
    </row>
    <row r="357" customFormat="false" ht="15" hidden="false" customHeight="false" outlineLevel="0" collapsed="false">
      <c r="A357" s="3" t="s">
        <v>364</v>
      </c>
      <c r="B357" s="3" t="n">
        <v>41</v>
      </c>
      <c r="C357" s="3" t="s">
        <v>164</v>
      </c>
      <c r="D357" s="3" t="n">
        <v>78</v>
      </c>
      <c r="E357" s="3" t="s">
        <v>172</v>
      </c>
      <c r="F357" s="3" t="s">
        <v>166</v>
      </c>
      <c r="G357" s="3" t="s">
        <v>263</v>
      </c>
      <c r="H357" s="3" t="s">
        <v>405</v>
      </c>
    </row>
    <row r="358" customFormat="false" ht="15" hidden="false" customHeight="false" outlineLevel="0" collapsed="false">
      <c r="A358" s="3" t="s">
        <v>364</v>
      </c>
      <c r="B358" s="3" t="n">
        <v>42</v>
      </c>
      <c r="C358" s="3" t="s">
        <v>164</v>
      </c>
      <c r="D358" s="3" t="n">
        <v>18</v>
      </c>
      <c r="E358" s="3" t="s">
        <v>165</v>
      </c>
      <c r="F358" s="3" t="s">
        <v>166</v>
      </c>
      <c r="G358" s="3" t="s">
        <v>263</v>
      </c>
      <c r="H358" s="3" t="s">
        <v>406</v>
      </c>
    </row>
    <row r="359" customFormat="false" ht="15" hidden="false" customHeight="false" outlineLevel="0" collapsed="false">
      <c r="A359" s="3" t="s">
        <v>364</v>
      </c>
      <c r="B359" s="3" t="n">
        <v>42</v>
      </c>
      <c r="C359" s="3" t="s">
        <v>164</v>
      </c>
      <c r="D359" s="3" t="n">
        <v>14</v>
      </c>
      <c r="E359" s="3" t="s">
        <v>172</v>
      </c>
      <c r="F359" s="3" t="s">
        <v>166</v>
      </c>
      <c r="G359" s="3" t="s">
        <v>263</v>
      </c>
      <c r="H359" s="3" t="s">
        <v>406</v>
      </c>
    </row>
    <row r="360" customFormat="false" ht="15" hidden="false" customHeight="false" outlineLevel="0" collapsed="false">
      <c r="A360" s="3" t="s">
        <v>364</v>
      </c>
      <c r="B360" s="3" t="n">
        <v>43</v>
      </c>
      <c r="C360" s="3" t="s">
        <v>164</v>
      </c>
      <c r="D360" s="3" t="n">
        <v>103</v>
      </c>
      <c r="E360" s="3" t="s">
        <v>165</v>
      </c>
      <c r="F360" s="3" t="s">
        <v>166</v>
      </c>
      <c r="G360" s="3" t="s">
        <v>263</v>
      </c>
      <c r="H360" s="3" t="s">
        <v>407</v>
      </c>
    </row>
    <row r="361" customFormat="false" ht="15" hidden="false" customHeight="false" outlineLevel="0" collapsed="false">
      <c r="A361" s="3" t="s">
        <v>364</v>
      </c>
      <c r="B361" s="3" t="n">
        <v>43</v>
      </c>
      <c r="C361" s="3" t="s">
        <v>164</v>
      </c>
      <c r="D361" s="3" t="n">
        <v>101</v>
      </c>
      <c r="E361" s="3" t="s">
        <v>172</v>
      </c>
      <c r="F361" s="3" t="s">
        <v>166</v>
      </c>
      <c r="G361" s="3" t="s">
        <v>263</v>
      </c>
      <c r="H361" s="3" t="s">
        <v>407</v>
      </c>
    </row>
    <row r="362" customFormat="false" ht="15" hidden="false" customHeight="false" outlineLevel="0" collapsed="false">
      <c r="A362" s="3" t="s">
        <v>364</v>
      </c>
      <c r="B362" s="3" t="n">
        <v>44</v>
      </c>
      <c r="C362" s="3" t="s">
        <v>164</v>
      </c>
      <c r="D362" s="3" t="n">
        <v>43</v>
      </c>
      <c r="E362" s="3" t="s">
        <v>165</v>
      </c>
      <c r="F362" s="3" t="s">
        <v>166</v>
      </c>
      <c r="G362" s="3" t="s">
        <v>263</v>
      </c>
      <c r="H362" s="3" t="s">
        <v>408</v>
      </c>
    </row>
    <row r="363" customFormat="false" ht="15" hidden="false" customHeight="false" outlineLevel="0" collapsed="false">
      <c r="A363" s="3" t="s">
        <v>364</v>
      </c>
      <c r="B363" s="3" t="n">
        <v>45</v>
      </c>
      <c r="C363" s="3" t="s">
        <v>164</v>
      </c>
      <c r="D363" s="3" t="n">
        <v>26</v>
      </c>
      <c r="E363" s="3" t="s">
        <v>165</v>
      </c>
      <c r="F363" s="3" t="s">
        <v>166</v>
      </c>
      <c r="G363" s="3" t="s">
        <v>263</v>
      </c>
      <c r="H363" s="3" t="s">
        <v>409</v>
      </c>
    </row>
    <row r="364" customFormat="false" ht="15" hidden="false" customHeight="false" outlineLevel="0" collapsed="false">
      <c r="A364" s="3" t="s">
        <v>364</v>
      </c>
      <c r="B364" s="3" t="n">
        <v>45</v>
      </c>
      <c r="C364" s="3" t="s">
        <v>164</v>
      </c>
      <c r="D364" s="3" t="n">
        <v>3</v>
      </c>
      <c r="E364" s="3" t="s">
        <v>172</v>
      </c>
      <c r="F364" s="3" t="s">
        <v>166</v>
      </c>
      <c r="G364" s="3" t="s">
        <v>263</v>
      </c>
      <c r="H364" s="3" t="s">
        <v>409</v>
      </c>
    </row>
    <row r="365" customFormat="false" ht="15" hidden="false" customHeight="false" outlineLevel="0" collapsed="false">
      <c r="A365" s="3" t="s">
        <v>364</v>
      </c>
      <c r="B365" s="3" t="n">
        <v>46</v>
      </c>
      <c r="C365" s="3" t="s">
        <v>164</v>
      </c>
      <c r="D365" s="3" t="n">
        <v>45</v>
      </c>
      <c r="E365" s="3" t="s">
        <v>165</v>
      </c>
      <c r="F365" s="3" t="s">
        <v>166</v>
      </c>
      <c r="G365" s="3" t="s">
        <v>263</v>
      </c>
      <c r="H365" s="3" t="s">
        <v>410</v>
      </c>
    </row>
    <row r="366" customFormat="false" ht="15" hidden="false" customHeight="false" outlineLevel="0" collapsed="false">
      <c r="A366" s="3" t="s">
        <v>364</v>
      </c>
      <c r="B366" s="3" t="n">
        <v>47</v>
      </c>
      <c r="C366" s="3" t="s">
        <v>164</v>
      </c>
      <c r="D366" s="3" t="n">
        <v>106</v>
      </c>
      <c r="E366" s="3" t="s">
        <v>165</v>
      </c>
      <c r="F366" s="3" t="s">
        <v>166</v>
      </c>
      <c r="G366" s="3" t="s">
        <v>263</v>
      </c>
      <c r="H366" s="3" t="s">
        <v>411</v>
      </c>
    </row>
    <row r="367" customFormat="false" ht="15" hidden="false" customHeight="false" outlineLevel="0" collapsed="false">
      <c r="A367" s="3" t="s">
        <v>364</v>
      </c>
      <c r="B367" s="3" t="n">
        <v>48</v>
      </c>
      <c r="C367" s="3" t="s">
        <v>164</v>
      </c>
      <c r="D367" s="3" t="n">
        <v>27</v>
      </c>
      <c r="E367" s="3" t="s">
        <v>165</v>
      </c>
      <c r="F367" s="3" t="s">
        <v>166</v>
      </c>
      <c r="G367" s="3" t="s">
        <v>263</v>
      </c>
      <c r="H367" s="3" t="s">
        <v>412</v>
      </c>
    </row>
    <row r="368" customFormat="false" ht="15" hidden="false" customHeight="false" outlineLevel="0" collapsed="false">
      <c r="A368" s="3" t="s">
        <v>364</v>
      </c>
      <c r="B368" s="3" t="n">
        <v>49</v>
      </c>
      <c r="C368" s="3" t="s">
        <v>164</v>
      </c>
      <c r="D368" s="3" t="n">
        <v>21</v>
      </c>
      <c r="E368" s="3" t="s">
        <v>165</v>
      </c>
      <c r="F368" s="3" t="s">
        <v>166</v>
      </c>
      <c r="G368" s="3" t="s">
        <v>263</v>
      </c>
      <c r="H368" s="3" t="s">
        <v>413</v>
      </c>
    </row>
    <row r="369" customFormat="false" ht="15" hidden="false" customHeight="false" outlineLevel="0" collapsed="false">
      <c r="A369" s="3" t="s">
        <v>364</v>
      </c>
      <c r="B369" s="3" t="n">
        <v>50</v>
      </c>
      <c r="C369" s="3" t="s">
        <v>164</v>
      </c>
      <c r="D369" s="3" t="n">
        <v>13</v>
      </c>
      <c r="E369" s="3" t="s">
        <v>165</v>
      </c>
      <c r="F369" s="3" t="s">
        <v>166</v>
      </c>
      <c r="G369" s="3" t="s">
        <v>263</v>
      </c>
      <c r="H369" s="3" t="s">
        <v>414</v>
      </c>
    </row>
    <row r="370" customFormat="false" ht="15" hidden="false" customHeight="false" outlineLevel="0" collapsed="false">
      <c r="A370" s="3" t="s">
        <v>364</v>
      </c>
      <c r="B370" s="3" t="n">
        <v>51</v>
      </c>
      <c r="C370" s="3" t="s">
        <v>164</v>
      </c>
      <c r="D370" s="3" t="n">
        <v>35</v>
      </c>
      <c r="E370" s="3" t="s">
        <v>165</v>
      </c>
      <c r="F370" s="3" t="s">
        <v>166</v>
      </c>
      <c r="G370" s="3" t="s">
        <v>263</v>
      </c>
      <c r="H370" s="3" t="s">
        <v>415</v>
      </c>
    </row>
    <row r="371" customFormat="false" ht="15" hidden="false" customHeight="false" outlineLevel="0" collapsed="false">
      <c r="A371" s="3" t="s">
        <v>364</v>
      </c>
      <c r="B371" s="3" t="n">
        <v>52</v>
      </c>
      <c r="C371" s="3" t="s">
        <v>164</v>
      </c>
      <c r="D371" s="3" t="n">
        <v>54</v>
      </c>
      <c r="E371" s="3" t="s">
        <v>165</v>
      </c>
      <c r="F371" s="3" t="s">
        <v>166</v>
      </c>
      <c r="G371" s="3" t="s">
        <v>263</v>
      </c>
      <c r="H371" s="3" t="s">
        <v>416</v>
      </c>
    </row>
    <row r="372" customFormat="false" ht="15" hidden="false" customHeight="false" outlineLevel="0" collapsed="false">
      <c r="A372" s="3" t="s">
        <v>364</v>
      </c>
      <c r="B372" s="3" t="n">
        <v>53</v>
      </c>
      <c r="C372" s="3" t="s">
        <v>164</v>
      </c>
      <c r="D372" s="3" t="n">
        <v>13</v>
      </c>
      <c r="E372" s="3" t="s">
        <v>165</v>
      </c>
      <c r="F372" s="3" t="s">
        <v>166</v>
      </c>
      <c r="G372" s="3" t="s">
        <v>263</v>
      </c>
      <c r="H372" s="3" t="s">
        <v>417</v>
      </c>
    </row>
    <row r="373" customFormat="false" ht="15" hidden="false" customHeight="false" outlineLevel="0" collapsed="false">
      <c r="A373" s="3" t="s">
        <v>364</v>
      </c>
      <c r="B373" s="3" t="n">
        <v>54</v>
      </c>
      <c r="C373" s="3" t="s">
        <v>164</v>
      </c>
      <c r="D373" s="3" t="n">
        <v>87</v>
      </c>
      <c r="E373" s="3" t="s">
        <v>165</v>
      </c>
      <c r="F373" s="3" t="s">
        <v>166</v>
      </c>
      <c r="G373" s="3" t="s">
        <v>263</v>
      </c>
      <c r="H373" s="3" t="s">
        <v>418</v>
      </c>
    </row>
    <row r="374" customFormat="false" ht="15" hidden="false" customHeight="false" outlineLevel="0" collapsed="false">
      <c r="A374" s="3" t="s">
        <v>364</v>
      </c>
      <c r="B374" s="3" t="n">
        <v>54</v>
      </c>
      <c r="C374" s="3" t="s">
        <v>164</v>
      </c>
      <c r="D374" s="3" t="n">
        <v>44</v>
      </c>
      <c r="E374" s="3" t="s">
        <v>172</v>
      </c>
      <c r="F374" s="3" t="s">
        <v>166</v>
      </c>
      <c r="G374" s="3" t="s">
        <v>263</v>
      </c>
      <c r="H374" s="3" t="s">
        <v>418</v>
      </c>
    </row>
    <row r="375" customFormat="false" ht="15" hidden="false" customHeight="false" outlineLevel="0" collapsed="false">
      <c r="A375" s="3" t="s">
        <v>364</v>
      </c>
      <c r="B375" s="3" t="n">
        <v>55</v>
      </c>
      <c r="C375" s="3" t="s">
        <v>164</v>
      </c>
      <c r="D375" s="3" t="n">
        <v>26</v>
      </c>
      <c r="E375" s="3" t="s">
        <v>165</v>
      </c>
      <c r="F375" s="3" t="s">
        <v>166</v>
      </c>
      <c r="G375" s="3" t="s">
        <v>263</v>
      </c>
      <c r="H375" s="3" t="s">
        <v>419</v>
      </c>
    </row>
    <row r="376" customFormat="false" ht="15" hidden="false" customHeight="false" outlineLevel="0" collapsed="false">
      <c r="A376" s="3" t="s">
        <v>364</v>
      </c>
      <c r="B376" s="3" t="n">
        <v>56</v>
      </c>
      <c r="C376" s="3" t="s">
        <v>164</v>
      </c>
      <c r="D376" s="3" t="n">
        <v>86</v>
      </c>
      <c r="E376" s="3" t="s">
        <v>165</v>
      </c>
      <c r="F376" s="3" t="s">
        <v>166</v>
      </c>
      <c r="G376" s="3" t="s">
        <v>263</v>
      </c>
      <c r="H376" s="3" t="s">
        <v>420</v>
      </c>
    </row>
    <row r="377" customFormat="false" ht="15" hidden="false" customHeight="false" outlineLevel="0" collapsed="false">
      <c r="A377" s="3" t="s">
        <v>364</v>
      </c>
      <c r="B377" s="3" t="n">
        <v>56</v>
      </c>
      <c r="C377" s="3" t="s">
        <v>164</v>
      </c>
      <c r="D377" s="3" t="n">
        <v>81</v>
      </c>
      <c r="E377" s="3" t="s">
        <v>172</v>
      </c>
      <c r="F377" s="3" t="s">
        <v>166</v>
      </c>
      <c r="G377" s="3" t="s">
        <v>263</v>
      </c>
      <c r="H377" s="3" t="s">
        <v>420</v>
      </c>
    </row>
    <row r="378" customFormat="false" ht="15" hidden="false" customHeight="false" outlineLevel="0" collapsed="false">
      <c r="A378" s="3" t="s">
        <v>364</v>
      </c>
      <c r="B378" s="3" t="n">
        <v>57</v>
      </c>
      <c r="C378" s="3" t="s">
        <v>164</v>
      </c>
      <c r="D378" s="3" t="n">
        <v>6</v>
      </c>
      <c r="E378" s="3" t="s">
        <v>165</v>
      </c>
      <c r="F378" s="3" t="s">
        <v>166</v>
      </c>
      <c r="G378" s="3" t="s">
        <v>263</v>
      </c>
      <c r="H378" s="3" t="s">
        <v>421</v>
      </c>
    </row>
    <row r="379" customFormat="false" ht="15" hidden="false" customHeight="false" outlineLevel="0" collapsed="false">
      <c r="A379" s="3" t="s">
        <v>364</v>
      </c>
      <c r="B379" s="3" t="n">
        <v>57</v>
      </c>
      <c r="C379" s="3" t="s">
        <v>164</v>
      </c>
      <c r="D379" s="3" t="n">
        <v>2</v>
      </c>
      <c r="E379" s="3" t="s">
        <v>172</v>
      </c>
      <c r="F379" s="3" t="s">
        <v>166</v>
      </c>
      <c r="G379" s="3" t="s">
        <v>263</v>
      </c>
      <c r="H379" s="3" t="s">
        <v>421</v>
      </c>
    </row>
    <row r="380" customFormat="false" ht="15" hidden="false" customHeight="false" outlineLevel="0" collapsed="false">
      <c r="A380" s="3" t="s">
        <v>364</v>
      </c>
      <c r="B380" s="3" t="n">
        <v>58</v>
      </c>
      <c r="C380" s="3" t="s">
        <v>164</v>
      </c>
      <c r="D380" s="3" t="n">
        <v>86</v>
      </c>
      <c r="E380" s="3" t="s">
        <v>165</v>
      </c>
      <c r="F380" s="3" t="s">
        <v>166</v>
      </c>
      <c r="G380" s="3" t="s">
        <v>263</v>
      </c>
      <c r="H380" s="3" t="s">
        <v>422</v>
      </c>
    </row>
    <row r="381" customFormat="false" ht="15" hidden="false" customHeight="false" outlineLevel="0" collapsed="false">
      <c r="A381" s="3" t="s">
        <v>364</v>
      </c>
      <c r="B381" s="3" t="n">
        <v>58</v>
      </c>
      <c r="C381" s="3" t="s">
        <v>164</v>
      </c>
      <c r="D381" s="3" t="n">
        <v>81</v>
      </c>
      <c r="E381" s="3" t="s">
        <v>172</v>
      </c>
      <c r="F381" s="3" t="s">
        <v>166</v>
      </c>
      <c r="G381" s="3" t="s">
        <v>263</v>
      </c>
      <c r="H381" s="3" t="s">
        <v>422</v>
      </c>
    </row>
    <row r="382" customFormat="false" ht="15" hidden="false" customHeight="false" outlineLevel="0" collapsed="false">
      <c r="A382" s="3" t="s">
        <v>423</v>
      </c>
      <c r="B382" s="3" t="n">
        <v>165</v>
      </c>
      <c r="C382" s="3" t="s">
        <v>424</v>
      </c>
      <c r="D382" s="3" t="n">
        <v>3</v>
      </c>
      <c r="E382" s="3" t="s">
        <v>165</v>
      </c>
      <c r="F382" s="3" t="s">
        <v>263</v>
      </c>
      <c r="G382" s="3" t="s">
        <v>263</v>
      </c>
      <c r="H382" s="3" t="s">
        <v>425</v>
      </c>
    </row>
    <row r="383" customFormat="false" ht="15" hidden="false" customHeight="false" outlineLevel="0" collapsed="false">
      <c r="A383" s="3" t="s">
        <v>423</v>
      </c>
      <c r="B383" s="3" t="n">
        <v>165</v>
      </c>
      <c r="C383" s="3" t="s">
        <v>424</v>
      </c>
      <c r="D383" s="3" t="n">
        <v>19</v>
      </c>
      <c r="E383" s="3" t="s">
        <v>172</v>
      </c>
      <c r="F383" s="3" t="s">
        <v>263</v>
      </c>
      <c r="G383" s="3" t="s">
        <v>263</v>
      </c>
      <c r="H383" s="3" t="s">
        <v>425</v>
      </c>
    </row>
    <row r="384" customFormat="false" ht="15" hidden="false" customHeight="false" outlineLevel="0" collapsed="false">
      <c r="A384" s="3" t="s">
        <v>423</v>
      </c>
      <c r="B384" s="3" t="n">
        <v>166</v>
      </c>
      <c r="C384" s="3" t="s">
        <v>424</v>
      </c>
      <c r="D384" s="3" t="n">
        <v>21</v>
      </c>
      <c r="E384" s="3" t="s">
        <v>165</v>
      </c>
      <c r="F384" s="3" t="s">
        <v>263</v>
      </c>
      <c r="G384" s="3" t="s">
        <v>263</v>
      </c>
      <c r="H384" s="3" t="s">
        <v>426</v>
      </c>
    </row>
    <row r="385" customFormat="false" ht="15" hidden="false" customHeight="false" outlineLevel="0" collapsed="false">
      <c r="A385" s="3" t="s">
        <v>423</v>
      </c>
      <c r="B385" s="3" t="n">
        <v>167</v>
      </c>
      <c r="C385" s="3" t="s">
        <v>424</v>
      </c>
      <c r="D385" s="3" t="n">
        <v>26</v>
      </c>
      <c r="E385" s="3" t="s">
        <v>165</v>
      </c>
      <c r="F385" s="3" t="s">
        <v>263</v>
      </c>
      <c r="G385" s="3" t="s">
        <v>263</v>
      </c>
      <c r="H385" s="3" t="s">
        <v>427</v>
      </c>
    </row>
    <row r="386" customFormat="false" ht="15" hidden="false" customHeight="false" outlineLevel="0" collapsed="false">
      <c r="A386" s="3" t="s">
        <v>423</v>
      </c>
      <c r="B386" s="3" t="n">
        <v>167</v>
      </c>
      <c r="C386" s="3" t="s">
        <v>424</v>
      </c>
      <c r="D386" s="3" t="n">
        <v>3</v>
      </c>
      <c r="E386" s="3" t="s">
        <v>172</v>
      </c>
      <c r="F386" s="3" t="s">
        <v>263</v>
      </c>
      <c r="G386" s="3" t="s">
        <v>263</v>
      </c>
      <c r="H386" s="3" t="s">
        <v>427</v>
      </c>
    </row>
    <row r="387" customFormat="false" ht="15" hidden="false" customHeight="false" outlineLevel="0" collapsed="false">
      <c r="A387" s="3" t="s">
        <v>423</v>
      </c>
      <c r="B387" s="3" t="n">
        <v>168</v>
      </c>
      <c r="C387" s="3" t="s">
        <v>424</v>
      </c>
      <c r="D387" s="3" t="n">
        <v>10</v>
      </c>
      <c r="E387" s="3" t="s">
        <v>165</v>
      </c>
      <c r="F387" s="3" t="s">
        <v>263</v>
      </c>
      <c r="G387" s="3" t="s">
        <v>263</v>
      </c>
      <c r="H387" s="3" t="s">
        <v>428</v>
      </c>
    </row>
    <row r="388" customFormat="false" ht="15" hidden="false" customHeight="false" outlineLevel="0" collapsed="false">
      <c r="A388" s="3" t="s">
        <v>423</v>
      </c>
      <c r="B388" s="3" t="n">
        <v>169</v>
      </c>
      <c r="C388" s="3" t="s">
        <v>424</v>
      </c>
      <c r="D388" s="3" t="n">
        <v>31</v>
      </c>
      <c r="E388" s="3" t="s">
        <v>165</v>
      </c>
      <c r="F388" s="3" t="s">
        <v>263</v>
      </c>
      <c r="G388" s="3" t="s">
        <v>263</v>
      </c>
      <c r="H388" s="3" t="s">
        <v>429</v>
      </c>
    </row>
    <row r="389" customFormat="false" ht="15" hidden="false" customHeight="false" outlineLevel="0" collapsed="false">
      <c r="A389" s="3" t="s">
        <v>423</v>
      </c>
      <c r="B389" s="3" t="n">
        <v>169</v>
      </c>
      <c r="C389" s="3" t="s">
        <v>424</v>
      </c>
      <c r="D389" s="3" t="n">
        <v>29</v>
      </c>
      <c r="E389" s="3" t="s">
        <v>172</v>
      </c>
      <c r="F389" s="3" t="s">
        <v>263</v>
      </c>
      <c r="G389" s="3" t="s">
        <v>263</v>
      </c>
      <c r="H389" s="3" t="s">
        <v>429</v>
      </c>
    </row>
    <row r="390" customFormat="false" ht="15" hidden="false" customHeight="false" outlineLevel="0" collapsed="false">
      <c r="A390" s="3" t="s">
        <v>423</v>
      </c>
      <c r="B390" s="3" t="n">
        <v>170</v>
      </c>
      <c r="C390" s="3" t="s">
        <v>424</v>
      </c>
      <c r="D390" s="3" t="n">
        <v>26</v>
      </c>
      <c r="E390" s="3" t="s">
        <v>165</v>
      </c>
      <c r="F390" s="3" t="s">
        <v>263</v>
      </c>
      <c r="G390" s="3" t="s">
        <v>263</v>
      </c>
      <c r="H390" s="3" t="s">
        <v>430</v>
      </c>
    </row>
    <row r="391" customFormat="false" ht="15" hidden="false" customHeight="false" outlineLevel="0" collapsed="false">
      <c r="A391" s="3" t="s">
        <v>423</v>
      </c>
      <c r="B391" s="3" t="n">
        <v>171</v>
      </c>
      <c r="C391" s="3" t="s">
        <v>424</v>
      </c>
      <c r="D391" s="3" t="n">
        <v>5</v>
      </c>
      <c r="E391" s="3" t="s">
        <v>165</v>
      </c>
      <c r="F391" s="3" t="s">
        <v>263</v>
      </c>
      <c r="G391" s="3" t="s">
        <v>263</v>
      </c>
      <c r="H391" s="3" t="s">
        <v>431</v>
      </c>
    </row>
    <row r="392" customFormat="false" ht="15" hidden="false" customHeight="false" outlineLevel="0" collapsed="false">
      <c r="A392" s="3" t="s">
        <v>423</v>
      </c>
      <c r="B392" s="3" t="n">
        <v>172</v>
      </c>
      <c r="C392" s="3" t="s">
        <v>424</v>
      </c>
      <c r="D392" s="3" t="n">
        <v>86</v>
      </c>
      <c r="E392" s="3" t="s">
        <v>165</v>
      </c>
      <c r="F392" s="3" t="s">
        <v>263</v>
      </c>
      <c r="G392" s="3" t="s">
        <v>263</v>
      </c>
      <c r="H392" s="3" t="s">
        <v>432</v>
      </c>
    </row>
    <row r="393" customFormat="false" ht="15" hidden="false" customHeight="false" outlineLevel="0" collapsed="false">
      <c r="A393" s="3" t="s">
        <v>423</v>
      </c>
      <c r="B393" s="3" t="n">
        <v>172</v>
      </c>
      <c r="C393" s="3" t="s">
        <v>424</v>
      </c>
      <c r="D393" s="3" t="n">
        <v>81</v>
      </c>
      <c r="E393" s="3" t="s">
        <v>172</v>
      </c>
      <c r="F393" s="3" t="s">
        <v>263</v>
      </c>
      <c r="G393" s="3" t="s">
        <v>263</v>
      </c>
      <c r="H393" s="3" t="s">
        <v>432</v>
      </c>
    </row>
    <row r="394" customFormat="false" ht="15" hidden="false" customHeight="false" outlineLevel="0" collapsed="false">
      <c r="A394" s="3" t="s">
        <v>423</v>
      </c>
      <c r="B394" s="3" t="n">
        <v>173</v>
      </c>
      <c r="C394" s="3" t="s">
        <v>424</v>
      </c>
      <c r="D394" s="3" t="n">
        <v>88</v>
      </c>
      <c r="E394" s="3" t="s">
        <v>165</v>
      </c>
      <c r="F394" s="3" t="s">
        <v>263</v>
      </c>
      <c r="G394" s="3" t="s">
        <v>263</v>
      </c>
      <c r="H394" s="3" t="s">
        <v>433</v>
      </c>
    </row>
    <row r="395" customFormat="false" ht="15" hidden="false" customHeight="false" outlineLevel="0" collapsed="false">
      <c r="A395" s="3" t="s">
        <v>423</v>
      </c>
      <c r="B395" s="3" t="n">
        <v>184</v>
      </c>
      <c r="C395" s="3" t="s">
        <v>424</v>
      </c>
      <c r="D395" s="3" t="n">
        <v>89</v>
      </c>
      <c r="E395" s="3" t="s">
        <v>165</v>
      </c>
      <c r="F395" s="3" t="s">
        <v>263</v>
      </c>
      <c r="G395" s="3" t="s">
        <v>263</v>
      </c>
      <c r="H395" s="3" t="s">
        <v>434</v>
      </c>
    </row>
    <row r="396" customFormat="false" ht="15" hidden="false" customHeight="false" outlineLevel="0" collapsed="false">
      <c r="A396" s="3" t="s">
        <v>423</v>
      </c>
      <c r="B396" s="3" t="n">
        <v>184</v>
      </c>
      <c r="C396" s="3" t="s">
        <v>424</v>
      </c>
      <c r="D396" s="3" t="n">
        <v>5</v>
      </c>
      <c r="E396" s="3" t="s">
        <v>172</v>
      </c>
      <c r="F396" s="3" t="s">
        <v>263</v>
      </c>
      <c r="G396" s="3" t="s">
        <v>263</v>
      </c>
      <c r="H396" s="3" t="s">
        <v>434</v>
      </c>
    </row>
    <row r="397" customFormat="false" ht="15" hidden="false" customHeight="false" outlineLevel="0" collapsed="false">
      <c r="A397" s="3" t="s">
        <v>423</v>
      </c>
      <c r="B397" s="3" t="n">
        <v>185</v>
      </c>
      <c r="C397" s="3" t="s">
        <v>424</v>
      </c>
      <c r="D397" s="3" t="n">
        <v>68</v>
      </c>
      <c r="E397" s="3" t="s">
        <v>165</v>
      </c>
      <c r="F397" s="3" t="s">
        <v>263</v>
      </c>
      <c r="G397" s="3" t="s">
        <v>263</v>
      </c>
      <c r="H397" s="3" t="s">
        <v>435</v>
      </c>
    </row>
    <row r="398" customFormat="false" ht="15" hidden="false" customHeight="false" outlineLevel="0" collapsed="false">
      <c r="A398" s="3" t="s">
        <v>423</v>
      </c>
      <c r="B398" s="3" t="n">
        <v>186</v>
      </c>
      <c r="C398" s="3" t="s">
        <v>424</v>
      </c>
      <c r="D398" s="3" t="n">
        <v>29</v>
      </c>
      <c r="E398" s="3" t="s">
        <v>165</v>
      </c>
      <c r="F398" s="3" t="s">
        <v>263</v>
      </c>
      <c r="G398" s="3" t="s">
        <v>263</v>
      </c>
      <c r="H398" s="3" t="s">
        <v>436</v>
      </c>
    </row>
    <row r="399" customFormat="false" ht="15" hidden="false" customHeight="false" outlineLevel="0" collapsed="false">
      <c r="A399" s="3" t="s">
        <v>423</v>
      </c>
      <c r="B399" s="3" t="n">
        <v>186</v>
      </c>
      <c r="C399" s="3" t="s">
        <v>424</v>
      </c>
      <c r="D399" s="3" t="n">
        <v>30</v>
      </c>
      <c r="E399" s="3" t="s">
        <v>172</v>
      </c>
      <c r="F399" s="3" t="s">
        <v>263</v>
      </c>
      <c r="G399" s="3" t="s">
        <v>263</v>
      </c>
      <c r="H399" s="3" t="s">
        <v>436</v>
      </c>
    </row>
    <row r="400" customFormat="false" ht="15" hidden="false" customHeight="false" outlineLevel="0" collapsed="false">
      <c r="A400" s="3" t="s">
        <v>423</v>
      </c>
      <c r="B400" s="3" t="n">
        <v>187</v>
      </c>
      <c r="C400" s="3" t="s">
        <v>424</v>
      </c>
      <c r="D400" s="3" t="n">
        <v>58</v>
      </c>
      <c r="E400" s="3" t="s">
        <v>165</v>
      </c>
      <c r="F400" s="3" t="s">
        <v>263</v>
      </c>
      <c r="G400" s="3" t="s">
        <v>263</v>
      </c>
      <c r="H400" s="3" t="s">
        <v>437</v>
      </c>
    </row>
    <row r="401" customFormat="false" ht="15" hidden="false" customHeight="false" outlineLevel="0" collapsed="false">
      <c r="A401" s="3" t="s">
        <v>423</v>
      </c>
      <c r="B401" s="3" t="n">
        <v>188</v>
      </c>
      <c r="C401" s="3" t="s">
        <v>424</v>
      </c>
      <c r="D401" s="3" t="n">
        <v>86</v>
      </c>
      <c r="E401" s="3" t="s">
        <v>165</v>
      </c>
      <c r="F401" s="3" t="s">
        <v>263</v>
      </c>
      <c r="G401" s="3" t="s">
        <v>263</v>
      </c>
      <c r="H401" s="3" t="s">
        <v>438</v>
      </c>
    </row>
    <row r="402" customFormat="false" ht="15" hidden="false" customHeight="false" outlineLevel="0" collapsed="false">
      <c r="A402" s="3" t="s">
        <v>423</v>
      </c>
      <c r="B402" s="3" t="n">
        <v>188</v>
      </c>
      <c r="C402" s="3" t="s">
        <v>424</v>
      </c>
      <c r="D402" s="3" t="n">
        <v>81</v>
      </c>
      <c r="E402" s="3" t="s">
        <v>172</v>
      </c>
      <c r="F402" s="3" t="s">
        <v>263</v>
      </c>
      <c r="G402" s="3" t="s">
        <v>263</v>
      </c>
      <c r="H402" s="3" t="s">
        <v>438</v>
      </c>
    </row>
    <row r="403" customFormat="false" ht="15" hidden="false" customHeight="false" outlineLevel="0" collapsed="false">
      <c r="A403" s="3" t="s">
        <v>423</v>
      </c>
      <c r="B403" s="3" t="n">
        <v>189</v>
      </c>
      <c r="C403" s="3" t="s">
        <v>424</v>
      </c>
      <c r="D403" s="3" t="n">
        <v>38</v>
      </c>
      <c r="E403" s="3" t="s">
        <v>165</v>
      </c>
      <c r="F403" s="3" t="s">
        <v>263</v>
      </c>
      <c r="G403" s="3" t="s">
        <v>263</v>
      </c>
      <c r="H403" s="3" t="s">
        <v>439</v>
      </c>
    </row>
    <row r="404" customFormat="false" ht="15" hidden="false" customHeight="false" outlineLevel="0" collapsed="false">
      <c r="A404" s="3" t="s">
        <v>423</v>
      </c>
      <c r="B404" s="3" t="n">
        <v>174</v>
      </c>
      <c r="C404" s="3" t="s">
        <v>424</v>
      </c>
      <c r="D404" s="3" t="n">
        <v>21</v>
      </c>
      <c r="E404" s="3" t="s">
        <v>165</v>
      </c>
      <c r="F404" s="3" t="s">
        <v>263</v>
      </c>
      <c r="G404" s="3" t="s">
        <v>166</v>
      </c>
      <c r="H404" s="3" t="s">
        <v>413</v>
      </c>
    </row>
    <row r="405" customFormat="false" ht="15" hidden="false" customHeight="false" outlineLevel="0" collapsed="false">
      <c r="A405" s="3" t="s">
        <v>423</v>
      </c>
      <c r="B405" s="3" t="n">
        <v>175</v>
      </c>
      <c r="C405" s="3" t="s">
        <v>424</v>
      </c>
      <c r="D405" s="3" t="n">
        <v>13</v>
      </c>
      <c r="E405" s="3" t="s">
        <v>165</v>
      </c>
      <c r="F405" s="3" t="s">
        <v>263</v>
      </c>
      <c r="G405" s="3" t="s">
        <v>166</v>
      </c>
      <c r="H405" s="3" t="s">
        <v>414</v>
      </c>
    </row>
    <row r="406" customFormat="false" ht="15" hidden="false" customHeight="false" outlineLevel="0" collapsed="false">
      <c r="A406" s="3" t="s">
        <v>423</v>
      </c>
      <c r="B406" s="3" t="n">
        <v>176</v>
      </c>
      <c r="C406" s="3" t="s">
        <v>424</v>
      </c>
      <c r="D406" s="3" t="n">
        <v>35</v>
      </c>
      <c r="E406" s="3" t="s">
        <v>165</v>
      </c>
      <c r="F406" s="3" t="s">
        <v>263</v>
      </c>
      <c r="G406" s="3" t="s">
        <v>166</v>
      </c>
      <c r="H406" s="3" t="s">
        <v>415</v>
      </c>
    </row>
    <row r="407" customFormat="false" ht="15" hidden="false" customHeight="false" outlineLevel="0" collapsed="false">
      <c r="A407" s="3" t="s">
        <v>423</v>
      </c>
      <c r="B407" s="3" t="n">
        <v>177</v>
      </c>
      <c r="C407" s="3" t="s">
        <v>424</v>
      </c>
      <c r="D407" s="3" t="n">
        <v>87</v>
      </c>
      <c r="E407" s="3" t="s">
        <v>165</v>
      </c>
      <c r="F407" s="3" t="s">
        <v>263</v>
      </c>
      <c r="G407" s="3" t="s">
        <v>166</v>
      </c>
      <c r="H407" s="3" t="s">
        <v>418</v>
      </c>
    </row>
    <row r="408" customFormat="false" ht="15" hidden="false" customHeight="false" outlineLevel="0" collapsed="false">
      <c r="A408" s="3" t="s">
        <v>423</v>
      </c>
      <c r="B408" s="3" t="n">
        <v>177</v>
      </c>
      <c r="C408" s="3" t="s">
        <v>424</v>
      </c>
      <c r="D408" s="3" t="n">
        <v>44</v>
      </c>
      <c r="E408" s="3" t="s">
        <v>172</v>
      </c>
      <c r="F408" s="3" t="s">
        <v>263</v>
      </c>
      <c r="G408" s="3" t="s">
        <v>166</v>
      </c>
      <c r="H408" s="3" t="s">
        <v>418</v>
      </c>
    </row>
    <row r="409" customFormat="false" ht="15" hidden="false" customHeight="false" outlineLevel="0" collapsed="false">
      <c r="A409" s="3" t="s">
        <v>423</v>
      </c>
      <c r="B409" s="3" t="n">
        <v>178</v>
      </c>
      <c r="C409" s="3" t="s">
        <v>424</v>
      </c>
      <c r="D409" s="3" t="n">
        <v>35</v>
      </c>
      <c r="E409" s="3" t="s">
        <v>165</v>
      </c>
      <c r="F409" s="3" t="s">
        <v>263</v>
      </c>
      <c r="G409" s="3" t="s">
        <v>166</v>
      </c>
      <c r="H409" s="3" t="s">
        <v>440</v>
      </c>
    </row>
    <row r="410" customFormat="false" ht="15" hidden="false" customHeight="false" outlineLevel="0" collapsed="false">
      <c r="A410" s="3" t="s">
        <v>423</v>
      </c>
      <c r="B410" s="3" t="n">
        <v>179</v>
      </c>
      <c r="C410" s="3" t="s">
        <v>424</v>
      </c>
      <c r="D410" s="3" t="n">
        <v>95</v>
      </c>
      <c r="E410" s="3" t="s">
        <v>165</v>
      </c>
      <c r="F410" s="3" t="s">
        <v>263</v>
      </c>
      <c r="G410" s="3" t="s">
        <v>166</v>
      </c>
      <c r="H410" s="3" t="s">
        <v>441</v>
      </c>
    </row>
    <row r="411" customFormat="false" ht="15" hidden="false" customHeight="false" outlineLevel="0" collapsed="false">
      <c r="A411" s="3" t="s">
        <v>423</v>
      </c>
      <c r="B411" s="3" t="n">
        <v>179</v>
      </c>
      <c r="C411" s="3" t="s">
        <v>424</v>
      </c>
      <c r="D411" s="3" t="n">
        <v>103</v>
      </c>
      <c r="E411" s="3" t="s">
        <v>172</v>
      </c>
      <c r="F411" s="3" t="s">
        <v>263</v>
      </c>
      <c r="G411" s="3" t="s">
        <v>166</v>
      </c>
      <c r="H411" s="3" t="s">
        <v>441</v>
      </c>
    </row>
    <row r="412" customFormat="false" ht="15" hidden="false" customHeight="false" outlineLevel="0" collapsed="false">
      <c r="A412" s="3" t="s">
        <v>423</v>
      </c>
      <c r="B412" s="3" t="n">
        <v>180</v>
      </c>
      <c r="C412" s="3" t="s">
        <v>424</v>
      </c>
      <c r="D412" s="3" t="n">
        <v>18</v>
      </c>
      <c r="E412" s="3" t="s">
        <v>165</v>
      </c>
      <c r="F412" s="3" t="s">
        <v>263</v>
      </c>
      <c r="G412" s="3" t="s">
        <v>166</v>
      </c>
      <c r="H412" s="3" t="s">
        <v>442</v>
      </c>
    </row>
    <row r="413" customFormat="false" ht="15" hidden="false" customHeight="false" outlineLevel="0" collapsed="false">
      <c r="A413" s="3" t="s">
        <v>423</v>
      </c>
      <c r="B413" s="3" t="n">
        <v>180</v>
      </c>
      <c r="C413" s="3" t="s">
        <v>424</v>
      </c>
      <c r="D413" s="3" t="n">
        <v>14</v>
      </c>
      <c r="E413" s="3" t="s">
        <v>172</v>
      </c>
      <c r="F413" s="3" t="s">
        <v>263</v>
      </c>
      <c r="G413" s="3" t="s">
        <v>166</v>
      </c>
      <c r="H413" s="3" t="s">
        <v>442</v>
      </c>
    </row>
    <row r="414" customFormat="false" ht="15" hidden="false" customHeight="false" outlineLevel="0" collapsed="false">
      <c r="A414" s="3" t="s">
        <v>423</v>
      </c>
      <c r="B414" s="3" t="n">
        <v>181</v>
      </c>
      <c r="C414" s="3" t="s">
        <v>424</v>
      </c>
      <c r="D414" s="3" t="n">
        <v>103</v>
      </c>
      <c r="E414" s="3" t="s">
        <v>165</v>
      </c>
      <c r="F414" s="3" t="s">
        <v>263</v>
      </c>
      <c r="G414" s="3" t="s">
        <v>166</v>
      </c>
      <c r="H414" s="3" t="s">
        <v>407</v>
      </c>
    </row>
    <row r="415" customFormat="false" ht="15" hidden="false" customHeight="false" outlineLevel="0" collapsed="false">
      <c r="A415" s="3" t="s">
        <v>423</v>
      </c>
      <c r="B415" s="3" t="n">
        <v>181</v>
      </c>
      <c r="C415" s="3" t="s">
        <v>424</v>
      </c>
      <c r="D415" s="3" t="n">
        <v>101</v>
      </c>
      <c r="E415" s="3" t="s">
        <v>172</v>
      </c>
      <c r="F415" s="3" t="s">
        <v>263</v>
      </c>
      <c r="G415" s="3" t="s">
        <v>166</v>
      </c>
      <c r="H415" s="3" t="s">
        <v>407</v>
      </c>
    </row>
    <row r="416" customFormat="false" ht="15" hidden="false" customHeight="false" outlineLevel="0" collapsed="false">
      <c r="A416" s="3" t="s">
        <v>423</v>
      </c>
      <c r="B416" s="3" t="n">
        <v>182</v>
      </c>
      <c r="C416" s="3" t="s">
        <v>424</v>
      </c>
      <c r="D416" s="3" t="n">
        <v>80</v>
      </c>
      <c r="E416" s="3" t="s">
        <v>165</v>
      </c>
      <c r="F416" s="3" t="s">
        <v>263</v>
      </c>
      <c r="G416" s="3" t="s">
        <v>166</v>
      </c>
      <c r="H416" s="3" t="s">
        <v>443</v>
      </c>
    </row>
    <row r="417" customFormat="false" ht="15" hidden="false" customHeight="false" outlineLevel="0" collapsed="false">
      <c r="A417" s="3" t="s">
        <v>423</v>
      </c>
      <c r="B417" s="3" t="n">
        <v>182</v>
      </c>
      <c r="C417" s="3" t="s">
        <v>424</v>
      </c>
      <c r="D417" s="3" t="n">
        <v>4</v>
      </c>
      <c r="E417" s="3" t="s">
        <v>172</v>
      </c>
      <c r="F417" s="3" t="s">
        <v>263</v>
      </c>
      <c r="G417" s="3" t="s">
        <v>166</v>
      </c>
      <c r="H417" s="3" t="s">
        <v>443</v>
      </c>
    </row>
    <row r="418" customFormat="false" ht="15" hidden="false" customHeight="false" outlineLevel="0" collapsed="false">
      <c r="A418" s="3" t="s">
        <v>423</v>
      </c>
      <c r="B418" s="3" t="n">
        <v>183</v>
      </c>
      <c r="C418" s="3" t="s">
        <v>424</v>
      </c>
      <c r="D418" s="3" t="n">
        <v>6</v>
      </c>
      <c r="E418" s="3" t="s">
        <v>165</v>
      </c>
      <c r="F418" s="3" t="s">
        <v>263</v>
      </c>
      <c r="G418" s="3" t="s">
        <v>166</v>
      </c>
      <c r="H418" s="3" t="s">
        <v>391</v>
      </c>
    </row>
    <row r="419" customFormat="false" ht="15" hidden="false" customHeight="false" outlineLevel="0" collapsed="false">
      <c r="A419" s="3" t="s">
        <v>423</v>
      </c>
      <c r="B419" s="3" t="n">
        <v>190</v>
      </c>
      <c r="C419" s="3" t="s">
        <v>424</v>
      </c>
      <c r="D419" s="3" t="n">
        <v>26</v>
      </c>
      <c r="E419" s="3" t="s">
        <v>165</v>
      </c>
      <c r="F419" s="3" t="s">
        <v>263</v>
      </c>
      <c r="G419" s="3" t="s">
        <v>166</v>
      </c>
      <c r="H419" s="3" t="s">
        <v>419</v>
      </c>
    </row>
    <row r="420" customFormat="false" ht="15" hidden="false" customHeight="false" outlineLevel="0" collapsed="false">
      <c r="A420" s="3" t="s">
        <v>423</v>
      </c>
      <c r="B420" s="3" t="n">
        <v>191</v>
      </c>
      <c r="C420" s="3" t="s">
        <v>424</v>
      </c>
      <c r="D420" s="3" t="n">
        <v>86</v>
      </c>
      <c r="E420" s="3" t="s">
        <v>165</v>
      </c>
      <c r="F420" s="3" t="s">
        <v>263</v>
      </c>
      <c r="G420" s="3" t="s">
        <v>166</v>
      </c>
      <c r="H420" s="3" t="s">
        <v>444</v>
      </c>
    </row>
    <row r="421" customFormat="false" ht="15" hidden="false" customHeight="false" outlineLevel="0" collapsed="false">
      <c r="A421" s="3" t="s">
        <v>423</v>
      </c>
      <c r="B421" s="3" t="n">
        <v>191</v>
      </c>
      <c r="C421" s="3" t="s">
        <v>424</v>
      </c>
      <c r="D421" s="3" t="n">
        <v>81</v>
      </c>
      <c r="E421" s="3" t="s">
        <v>172</v>
      </c>
      <c r="F421" s="3" t="s">
        <v>263</v>
      </c>
      <c r="G421" s="3" t="s">
        <v>166</v>
      </c>
      <c r="H421" s="3" t="s">
        <v>444</v>
      </c>
    </row>
    <row r="422" customFormat="false" ht="15" hidden="false" customHeight="false" outlineLevel="0" collapsed="false">
      <c r="A422" s="3" t="s">
        <v>423</v>
      </c>
      <c r="B422" s="3" t="n">
        <v>192</v>
      </c>
      <c r="C422" s="3" t="s">
        <v>424</v>
      </c>
      <c r="D422" s="3" t="n">
        <v>6</v>
      </c>
      <c r="E422" s="3" t="s">
        <v>165</v>
      </c>
      <c r="F422" s="3" t="s">
        <v>263</v>
      </c>
      <c r="G422" s="3" t="s">
        <v>166</v>
      </c>
      <c r="H422" s="3" t="s">
        <v>421</v>
      </c>
    </row>
    <row r="423" customFormat="false" ht="15" hidden="false" customHeight="false" outlineLevel="0" collapsed="false">
      <c r="A423" s="3" t="s">
        <v>423</v>
      </c>
      <c r="B423" s="3" t="n">
        <v>192</v>
      </c>
      <c r="C423" s="3" t="s">
        <v>424</v>
      </c>
      <c r="D423" s="3" t="n">
        <v>2</v>
      </c>
      <c r="E423" s="3" t="s">
        <v>172</v>
      </c>
      <c r="F423" s="3" t="s">
        <v>263</v>
      </c>
      <c r="G423" s="3" t="s">
        <v>166</v>
      </c>
      <c r="H423" s="3" t="s">
        <v>421</v>
      </c>
    </row>
    <row r="424" customFormat="false" ht="15" hidden="false" customHeight="false" outlineLevel="0" collapsed="false">
      <c r="A424" s="3" t="s">
        <v>423</v>
      </c>
      <c r="B424" s="3" t="n">
        <v>193</v>
      </c>
      <c r="C424" s="3" t="s">
        <v>424</v>
      </c>
      <c r="D424" s="3" t="n">
        <v>43</v>
      </c>
      <c r="E424" s="3" t="s">
        <v>165</v>
      </c>
      <c r="F424" s="3" t="s">
        <v>263</v>
      </c>
      <c r="G424" s="3" t="s">
        <v>166</v>
      </c>
      <c r="H424" s="3" t="s">
        <v>408</v>
      </c>
    </row>
    <row r="425" customFormat="false" ht="15" hidden="false" customHeight="false" outlineLevel="0" collapsed="false">
      <c r="A425" s="3" t="s">
        <v>423</v>
      </c>
      <c r="B425" s="3" t="n">
        <v>194</v>
      </c>
      <c r="C425" s="3" t="s">
        <v>424</v>
      </c>
      <c r="D425" s="3" t="n">
        <v>26</v>
      </c>
      <c r="E425" s="3" t="s">
        <v>165</v>
      </c>
      <c r="F425" s="3" t="s">
        <v>263</v>
      </c>
      <c r="G425" s="3" t="s">
        <v>166</v>
      </c>
      <c r="H425" s="3" t="s">
        <v>409</v>
      </c>
    </row>
    <row r="426" customFormat="false" ht="15" hidden="false" customHeight="false" outlineLevel="0" collapsed="false">
      <c r="A426" s="3" t="s">
        <v>423</v>
      </c>
      <c r="B426" s="3" t="n">
        <v>194</v>
      </c>
      <c r="C426" s="3" t="s">
        <v>424</v>
      </c>
      <c r="D426" s="3" t="n">
        <v>3</v>
      </c>
      <c r="E426" s="3" t="s">
        <v>172</v>
      </c>
      <c r="F426" s="3" t="s">
        <v>263</v>
      </c>
      <c r="G426" s="3" t="s">
        <v>166</v>
      </c>
      <c r="H426" s="3" t="s">
        <v>409</v>
      </c>
    </row>
    <row r="427" customFormat="false" ht="15" hidden="false" customHeight="false" outlineLevel="0" collapsed="false">
      <c r="A427" s="3" t="s">
        <v>423</v>
      </c>
      <c r="B427" s="3" t="n">
        <v>195</v>
      </c>
      <c r="C427" s="3" t="s">
        <v>424</v>
      </c>
      <c r="D427" s="3" t="n">
        <v>106</v>
      </c>
      <c r="E427" s="3" t="s">
        <v>165</v>
      </c>
      <c r="F427" s="3" t="s">
        <v>263</v>
      </c>
      <c r="G427" s="3" t="s">
        <v>166</v>
      </c>
      <c r="H427" s="3" t="s">
        <v>445</v>
      </c>
    </row>
    <row r="428" customFormat="false" ht="15" hidden="false" customHeight="false" outlineLevel="0" collapsed="false">
      <c r="A428" s="3" t="s">
        <v>423</v>
      </c>
      <c r="B428" s="3" t="n">
        <v>196</v>
      </c>
      <c r="C428" s="3" t="s">
        <v>424</v>
      </c>
      <c r="D428" s="3" t="n">
        <v>27</v>
      </c>
      <c r="E428" s="3" t="s">
        <v>165</v>
      </c>
      <c r="F428" s="3" t="s">
        <v>263</v>
      </c>
      <c r="G428" s="3" t="s">
        <v>166</v>
      </c>
      <c r="H428" s="3" t="s">
        <v>412</v>
      </c>
    </row>
    <row r="429" customFormat="false" ht="15" hidden="false" customHeight="false" outlineLevel="0" collapsed="false">
      <c r="A429" s="3" t="s">
        <v>423</v>
      </c>
      <c r="B429" s="3" t="n">
        <v>197</v>
      </c>
      <c r="C429" s="3" t="s">
        <v>424</v>
      </c>
      <c r="D429" s="3" t="n">
        <v>45</v>
      </c>
      <c r="E429" s="3" t="s">
        <v>165</v>
      </c>
      <c r="F429" s="3" t="s">
        <v>263</v>
      </c>
      <c r="G429" s="3" t="s">
        <v>166</v>
      </c>
      <c r="H429" s="3" t="s">
        <v>393</v>
      </c>
    </row>
    <row r="430" customFormat="false" ht="15" hidden="false" customHeight="false" outlineLevel="0" collapsed="false">
      <c r="A430" s="3" t="s">
        <v>423</v>
      </c>
      <c r="B430" s="3" t="n">
        <v>197</v>
      </c>
      <c r="C430" s="3" t="s">
        <v>424</v>
      </c>
      <c r="D430" s="3" t="n">
        <v>44</v>
      </c>
      <c r="E430" s="3" t="s">
        <v>172</v>
      </c>
      <c r="F430" s="3" t="s">
        <v>263</v>
      </c>
      <c r="G430" s="3" t="s">
        <v>166</v>
      </c>
      <c r="H430" s="3" t="s">
        <v>393</v>
      </c>
    </row>
    <row r="431" customFormat="false" ht="15" hidden="false" customHeight="false" outlineLevel="0" collapsed="false">
      <c r="A431" s="3" t="s">
        <v>423</v>
      </c>
      <c r="B431" s="3" t="n">
        <v>198</v>
      </c>
      <c r="C431" s="3" t="s">
        <v>424</v>
      </c>
      <c r="D431" s="3" t="n">
        <v>26</v>
      </c>
      <c r="E431" s="3" t="s">
        <v>165</v>
      </c>
      <c r="F431" s="3" t="s">
        <v>263</v>
      </c>
      <c r="G431" s="3" t="s">
        <v>166</v>
      </c>
      <c r="H431" s="3" t="s">
        <v>395</v>
      </c>
    </row>
    <row r="432" customFormat="false" ht="15" hidden="false" customHeight="false" outlineLevel="0" collapsed="false">
      <c r="A432" s="3" t="s">
        <v>423</v>
      </c>
      <c r="B432" s="3" t="n">
        <v>198</v>
      </c>
      <c r="C432" s="3" t="s">
        <v>424</v>
      </c>
      <c r="D432" s="3" t="n">
        <v>19</v>
      </c>
      <c r="E432" s="3" t="s">
        <v>172</v>
      </c>
      <c r="F432" s="3" t="s">
        <v>263</v>
      </c>
      <c r="G432" s="3" t="s">
        <v>166</v>
      </c>
      <c r="H432" s="3" t="s">
        <v>395</v>
      </c>
    </row>
    <row r="433" customFormat="false" ht="15" hidden="false" customHeight="false" outlineLevel="0" collapsed="false">
      <c r="A433" s="3" t="s">
        <v>423</v>
      </c>
      <c r="B433" s="3" t="n">
        <v>199</v>
      </c>
      <c r="C433" s="3" t="s">
        <v>424</v>
      </c>
      <c r="D433" s="3" t="n">
        <v>4</v>
      </c>
      <c r="E433" s="3" t="s">
        <v>165</v>
      </c>
      <c r="F433" s="3" t="s">
        <v>263</v>
      </c>
      <c r="G433" s="3" t="s">
        <v>166</v>
      </c>
      <c r="H433" s="3" t="s">
        <v>396</v>
      </c>
    </row>
    <row r="434" customFormat="false" ht="15" hidden="false" customHeight="false" outlineLevel="0" collapsed="false">
      <c r="A434" s="3" t="s">
        <v>423</v>
      </c>
      <c r="B434" s="3" t="n">
        <v>199</v>
      </c>
      <c r="C434" s="3" t="s">
        <v>424</v>
      </c>
      <c r="D434" s="3" t="n">
        <v>29</v>
      </c>
      <c r="E434" s="3" t="s">
        <v>172</v>
      </c>
      <c r="F434" s="3" t="s">
        <v>263</v>
      </c>
      <c r="G434" s="3" t="s">
        <v>166</v>
      </c>
      <c r="H434" s="3" t="s">
        <v>396</v>
      </c>
    </row>
    <row r="435" customFormat="false" ht="15" hidden="false" customHeight="false" outlineLevel="0" collapsed="false">
      <c r="A435" s="3" t="s">
        <v>446</v>
      </c>
      <c r="B435" s="3" t="n">
        <v>1</v>
      </c>
      <c r="C435" s="3" t="s">
        <v>447</v>
      </c>
      <c r="D435" s="3" t="n">
        <v>11</v>
      </c>
      <c r="E435" s="3" t="s">
        <v>165</v>
      </c>
      <c r="F435" s="3" t="s">
        <v>166</v>
      </c>
      <c r="G435" s="3" t="s">
        <v>166</v>
      </c>
      <c r="H435" s="3" t="s">
        <v>448</v>
      </c>
    </row>
    <row r="436" customFormat="false" ht="15" hidden="false" customHeight="false" outlineLevel="0" collapsed="false">
      <c r="A436" s="3" t="s">
        <v>446</v>
      </c>
      <c r="B436" s="3" t="n">
        <v>2</v>
      </c>
      <c r="C436" s="3" t="s">
        <v>447</v>
      </c>
      <c r="D436" s="3" t="n">
        <v>19</v>
      </c>
      <c r="E436" s="3" t="s">
        <v>165</v>
      </c>
      <c r="F436" s="3" t="s">
        <v>166</v>
      </c>
      <c r="G436" s="3" t="s">
        <v>166</v>
      </c>
      <c r="H436" s="3" t="s">
        <v>449</v>
      </c>
    </row>
    <row r="437" customFormat="false" ht="15" hidden="false" customHeight="false" outlineLevel="0" collapsed="false">
      <c r="A437" s="3" t="s">
        <v>446</v>
      </c>
      <c r="B437" s="3" t="n">
        <v>2</v>
      </c>
      <c r="C437" s="3" t="s">
        <v>447</v>
      </c>
      <c r="D437" s="3" t="n">
        <v>1</v>
      </c>
      <c r="E437" s="3" t="s">
        <v>172</v>
      </c>
      <c r="F437" s="3" t="s">
        <v>166</v>
      </c>
      <c r="G437" s="3" t="s">
        <v>166</v>
      </c>
      <c r="H437" s="3" t="s">
        <v>449</v>
      </c>
    </row>
    <row r="438" customFormat="false" ht="15" hidden="false" customHeight="false" outlineLevel="0" collapsed="false">
      <c r="A438" s="3" t="s">
        <v>446</v>
      </c>
      <c r="B438" s="3" t="n">
        <v>3</v>
      </c>
      <c r="C438" s="3" t="s">
        <v>447</v>
      </c>
      <c r="D438" s="3" t="n">
        <v>5</v>
      </c>
      <c r="E438" s="3" t="s">
        <v>165</v>
      </c>
      <c r="F438" s="3" t="s">
        <v>166</v>
      </c>
      <c r="G438" s="3" t="s">
        <v>166</v>
      </c>
      <c r="H438" s="3" t="s">
        <v>450</v>
      </c>
    </row>
    <row r="439" customFormat="false" ht="15" hidden="false" customHeight="false" outlineLevel="0" collapsed="false">
      <c r="A439" s="3" t="s">
        <v>446</v>
      </c>
      <c r="B439" s="3" t="n">
        <v>3</v>
      </c>
      <c r="C439" s="3" t="s">
        <v>447</v>
      </c>
      <c r="D439" s="3" t="n">
        <v>1</v>
      </c>
      <c r="E439" s="3" t="s">
        <v>172</v>
      </c>
      <c r="F439" s="3" t="s">
        <v>166</v>
      </c>
      <c r="G439" s="3" t="s">
        <v>166</v>
      </c>
      <c r="H439" s="3" t="s">
        <v>450</v>
      </c>
    </row>
    <row r="440" customFormat="false" ht="15" hidden="false" customHeight="false" outlineLevel="0" collapsed="false">
      <c r="A440" s="3" t="s">
        <v>446</v>
      </c>
      <c r="B440" s="3" t="n">
        <v>4</v>
      </c>
      <c r="C440" s="3" t="s">
        <v>447</v>
      </c>
      <c r="D440" s="3" t="n">
        <v>1</v>
      </c>
      <c r="E440" s="3" t="s">
        <v>165</v>
      </c>
      <c r="F440" s="3" t="s">
        <v>166</v>
      </c>
      <c r="G440" s="3" t="s">
        <v>166</v>
      </c>
      <c r="H440" s="3" t="s">
        <v>451</v>
      </c>
    </row>
    <row r="441" customFormat="false" ht="15" hidden="false" customHeight="false" outlineLevel="0" collapsed="false">
      <c r="A441" s="3" t="s">
        <v>446</v>
      </c>
      <c r="B441" s="3" t="n">
        <v>5</v>
      </c>
      <c r="C441" s="3" t="s">
        <v>447</v>
      </c>
      <c r="D441" s="3" t="n">
        <v>1</v>
      </c>
      <c r="E441" s="3" t="s">
        <v>165</v>
      </c>
      <c r="F441" s="3" t="s">
        <v>166</v>
      </c>
      <c r="G441" s="3" t="s">
        <v>166</v>
      </c>
      <c r="H441" s="3" t="s">
        <v>452</v>
      </c>
    </row>
    <row r="442" customFormat="false" ht="15" hidden="false" customHeight="false" outlineLevel="0" collapsed="false">
      <c r="A442" s="3" t="s">
        <v>446</v>
      </c>
      <c r="B442" s="3" t="n">
        <v>5</v>
      </c>
      <c r="C442" s="3" t="s">
        <v>447</v>
      </c>
      <c r="D442" s="3" t="n">
        <v>5</v>
      </c>
      <c r="E442" s="3" t="s">
        <v>172</v>
      </c>
      <c r="F442" s="3" t="s">
        <v>166</v>
      </c>
      <c r="G442" s="3" t="s">
        <v>166</v>
      </c>
      <c r="H442" s="3" t="s">
        <v>452</v>
      </c>
    </row>
    <row r="443" customFormat="false" ht="15" hidden="false" customHeight="false" outlineLevel="0" collapsed="false">
      <c r="A443" s="3" t="s">
        <v>446</v>
      </c>
      <c r="B443" s="3" t="n">
        <v>6</v>
      </c>
      <c r="C443" s="3" t="s">
        <v>447</v>
      </c>
      <c r="D443" s="3" t="n">
        <v>19</v>
      </c>
      <c r="E443" s="3" t="s">
        <v>165</v>
      </c>
      <c r="F443" s="3" t="s">
        <v>166</v>
      </c>
      <c r="G443" s="3" t="s">
        <v>166</v>
      </c>
      <c r="H443" s="3" t="s">
        <v>453</v>
      </c>
    </row>
    <row r="444" customFormat="false" ht="15" hidden="false" customHeight="false" outlineLevel="0" collapsed="false">
      <c r="A444" s="3" t="s">
        <v>446</v>
      </c>
      <c r="B444" s="3" t="n">
        <v>7</v>
      </c>
      <c r="C444" s="3" t="s">
        <v>447</v>
      </c>
      <c r="D444" s="3" t="n">
        <v>5</v>
      </c>
      <c r="E444" s="3" t="s">
        <v>165</v>
      </c>
      <c r="F444" s="3" t="s">
        <v>166</v>
      </c>
      <c r="G444" s="3" t="s">
        <v>166</v>
      </c>
      <c r="H444" s="3" t="s">
        <v>454</v>
      </c>
    </row>
    <row r="445" customFormat="false" ht="15" hidden="false" customHeight="false" outlineLevel="0" collapsed="false">
      <c r="A445" s="3" t="s">
        <v>446</v>
      </c>
      <c r="B445" s="3" t="n">
        <v>7</v>
      </c>
      <c r="C445" s="3" t="s">
        <v>447</v>
      </c>
      <c r="D445" s="3" t="n">
        <v>8</v>
      </c>
      <c r="E445" s="3" t="s">
        <v>172</v>
      </c>
      <c r="F445" s="3" t="s">
        <v>166</v>
      </c>
      <c r="G445" s="3" t="s">
        <v>166</v>
      </c>
      <c r="H445" s="3" t="s">
        <v>454</v>
      </c>
    </row>
    <row r="446" customFormat="false" ht="15" hidden="false" customHeight="false" outlineLevel="0" collapsed="false">
      <c r="A446" s="3" t="s">
        <v>446</v>
      </c>
      <c r="B446" s="3" t="n">
        <v>8</v>
      </c>
      <c r="C446" s="3" t="s">
        <v>447</v>
      </c>
      <c r="D446" s="3" t="n">
        <v>5</v>
      </c>
      <c r="E446" s="3" t="s">
        <v>165</v>
      </c>
      <c r="F446" s="3" t="s">
        <v>166</v>
      </c>
      <c r="G446" s="3" t="s">
        <v>166</v>
      </c>
      <c r="H446" s="3" t="s">
        <v>455</v>
      </c>
    </row>
    <row r="447" customFormat="false" ht="15" hidden="false" customHeight="false" outlineLevel="0" collapsed="false">
      <c r="A447" s="3" t="s">
        <v>446</v>
      </c>
      <c r="B447" s="3" t="n">
        <v>9</v>
      </c>
      <c r="C447" s="3" t="s">
        <v>447</v>
      </c>
      <c r="D447" s="3" t="n">
        <v>5</v>
      </c>
      <c r="E447" s="3" t="s">
        <v>165</v>
      </c>
      <c r="F447" s="3" t="s">
        <v>166</v>
      </c>
      <c r="G447" s="3" t="s">
        <v>166</v>
      </c>
      <c r="H447" s="3" t="s">
        <v>456</v>
      </c>
    </row>
    <row r="448" customFormat="false" ht="15" hidden="false" customHeight="false" outlineLevel="0" collapsed="false">
      <c r="A448" s="3" t="s">
        <v>446</v>
      </c>
      <c r="B448" s="3" t="n">
        <v>10</v>
      </c>
      <c r="C448" s="3" t="s">
        <v>447</v>
      </c>
      <c r="D448" s="3" t="n">
        <v>5</v>
      </c>
      <c r="E448" s="3" t="s">
        <v>165</v>
      </c>
      <c r="F448" s="3" t="s">
        <v>166</v>
      </c>
      <c r="G448" s="3" t="s">
        <v>166</v>
      </c>
      <c r="H448" s="3" t="s">
        <v>457</v>
      </c>
    </row>
    <row r="449" customFormat="false" ht="15" hidden="false" customHeight="false" outlineLevel="0" collapsed="false">
      <c r="A449" s="3" t="s">
        <v>446</v>
      </c>
      <c r="B449" s="3" t="n">
        <v>11</v>
      </c>
      <c r="C449" s="3" t="s">
        <v>447</v>
      </c>
      <c r="D449" s="3" t="n">
        <v>8</v>
      </c>
      <c r="E449" s="3" t="s">
        <v>165</v>
      </c>
      <c r="F449" s="3" t="s">
        <v>166</v>
      </c>
      <c r="G449" s="3" t="s">
        <v>166</v>
      </c>
      <c r="H449" s="3" t="s">
        <v>458</v>
      </c>
    </row>
    <row r="450" customFormat="false" ht="15" hidden="false" customHeight="false" outlineLevel="0" collapsed="false">
      <c r="A450" s="3" t="s">
        <v>446</v>
      </c>
      <c r="B450" s="3" t="n">
        <v>11</v>
      </c>
      <c r="C450" s="3" t="s">
        <v>447</v>
      </c>
      <c r="D450" s="3" t="n">
        <v>5</v>
      </c>
      <c r="E450" s="3" t="s">
        <v>172</v>
      </c>
      <c r="F450" s="3" t="s">
        <v>166</v>
      </c>
      <c r="G450" s="3" t="s">
        <v>166</v>
      </c>
      <c r="H450" s="3" t="s">
        <v>458</v>
      </c>
    </row>
    <row r="451" customFormat="false" ht="15" hidden="false" customHeight="false" outlineLevel="0" collapsed="false">
      <c r="A451" s="3" t="s">
        <v>446</v>
      </c>
      <c r="B451" s="3" t="n">
        <v>12</v>
      </c>
      <c r="C451" s="3" t="s">
        <v>447</v>
      </c>
      <c r="D451" s="3" t="n">
        <v>9</v>
      </c>
      <c r="E451" s="3" t="s">
        <v>165</v>
      </c>
      <c r="F451" s="3" t="s">
        <v>166</v>
      </c>
      <c r="G451" s="3" t="s">
        <v>166</v>
      </c>
      <c r="H451" s="3" t="s">
        <v>459</v>
      </c>
    </row>
    <row r="452" customFormat="false" ht="15" hidden="false" customHeight="false" outlineLevel="0" collapsed="false">
      <c r="A452" s="3" t="s">
        <v>446</v>
      </c>
      <c r="B452" s="3" t="n">
        <v>13</v>
      </c>
      <c r="C452" s="3" t="s">
        <v>447</v>
      </c>
      <c r="D452" s="3" t="n">
        <v>8</v>
      </c>
      <c r="E452" s="3" t="s">
        <v>165</v>
      </c>
      <c r="F452" s="3" t="s">
        <v>166</v>
      </c>
      <c r="G452" s="3" t="s">
        <v>166</v>
      </c>
      <c r="H452" s="3" t="s">
        <v>460</v>
      </c>
    </row>
    <row r="453" customFormat="false" ht="15" hidden="false" customHeight="false" outlineLevel="0" collapsed="false">
      <c r="A453" s="3" t="s">
        <v>446</v>
      </c>
      <c r="B453" s="3" t="n">
        <v>13</v>
      </c>
      <c r="C453" s="3" t="s">
        <v>447</v>
      </c>
      <c r="D453" s="3" t="n">
        <v>6</v>
      </c>
      <c r="E453" s="3" t="s">
        <v>172</v>
      </c>
      <c r="F453" s="3" t="s">
        <v>166</v>
      </c>
      <c r="G453" s="3" t="s">
        <v>166</v>
      </c>
      <c r="H453" s="3" t="s">
        <v>460</v>
      </c>
    </row>
    <row r="454" customFormat="false" ht="15" hidden="false" customHeight="false" outlineLevel="0" collapsed="false">
      <c r="A454" s="3" t="s">
        <v>446</v>
      </c>
      <c r="B454" s="3" t="n">
        <v>14</v>
      </c>
      <c r="C454" s="3" t="s">
        <v>447</v>
      </c>
      <c r="D454" s="3" t="n">
        <v>13</v>
      </c>
      <c r="E454" s="3" t="s">
        <v>165</v>
      </c>
      <c r="F454" s="3" t="s">
        <v>166</v>
      </c>
      <c r="G454" s="3" t="s">
        <v>166</v>
      </c>
      <c r="H454" s="3" t="s">
        <v>461</v>
      </c>
    </row>
    <row r="455" customFormat="false" ht="15" hidden="false" customHeight="false" outlineLevel="0" collapsed="false">
      <c r="A455" s="3" t="s">
        <v>446</v>
      </c>
      <c r="B455" s="3" t="n">
        <v>14</v>
      </c>
      <c r="C455" s="3" t="s">
        <v>447</v>
      </c>
      <c r="D455" s="3" t="n">
        <v>12</v>
      </c>
      <c r="E455" s="3" t="s">
        <v>172</v>
      </c>
      <c r="F455" s="3" t="s">
        <v>166</v>
      </c>
      <c r="G455" s="3" t="s">
        <v>166</v>
      </c>
      <c r="H455" s="3" t="s">
        <v>461</v>
      </c>
    </row>
    <row r="456" customFormat="false" ht="15" hidden="false" customHeight="false" outlineLevel="0" collapsed="false">
      <c r="A456" s="3" t="s">
        <v>446</v>
      </c>
      <c r="B456" s="3" t="n">
        <v>15</v>
      </c>
      <c r="C456" s="3" t="s">
        <v>447</v>
      </c>
      <c r="D456" s="3" t="n">
        <v>2</v>
      </c>
      <c r="E456" s="3" t="s">
        <v>165</v>
      </c>
      <c r="F456" s="3" t="s">
        <v>166</v>
      </c>
      <c r="G456" s="3" t="s">
        <v>166</v>
      </c>
      <c r="H456" s="3" t="s">
        <v>462</v>
      </c>
    </row>
    <row r="457" customFormat="false" ht="15" hidden="false" customHeight="false" outlineLevel="0" collapsed="false">
      <c r="A457" s="3" t="s">
        <v>446</v>
      </c>
      <c r="B457" s="3" t="n">
        <v>16</v>
      </c>
      <c r="C457" s="3" t="s">
        <v>447</v>
      </c>
      <c r="D457" s="3" t="n">
        <v>2</v>
      </c>
      <c r="E457" s="3" t="s">
        <v>165</v>
      </c>
      <c r="F457" s="3" t="s">
        <v>166</v>
      </c>
      <c r="G457" s="3" t="s">
        <v>166</v>
      </c>
      <c r="H457" s="3" t="s">
        <v>463</v>
      </c>
    </row>
    <row r="458" customFormat="false" ht="15" hidden="false" customHeight="false" outlineLevel="0" collapsed="false">
      <c r="A458" s="3" t="s">
        <v>446</v>
      </c>
      <c r="B458" s="3" t="n">
        <v>17</v>
      </c>
      <c r="C458" s="3" t="s">
        <v>447</v>
      </c>
      <c r="D458" s="3" t="n">
        <v>2</v>
      </c>
      <c r="E458" s="3" t="s">
        <v>165</v>
      </c>
      <c r="F458" s="3" t="s">
        <v>166</v>
      </c>
      <c r="G458" s="3" t="s">
        <v>166</v>
      </c>
      <c r="H458" s="3" t="s">
        <v>464</v>
      </c>
    </row>
    <row r="459" customFormat="false" ht="15" hidden="false" customHeight="false" outlineLevel="0" collapsed="false">
      <c r="A459" s="3" t="s">
        <v>446</v>
      </c>
      <c r="B459" s="3" t="n">
        <v>17</v>
      </c>
      <c r="C459" s="3" t="s">
        <v>447</v>
      </c>
      <c r="D459" s="3" t="n">
        <v>5</v>
      </c>
      <c r="E459" s="3" t="s">
        <v>172</v>
      </c>
      <c r="F459" s="3" t="s">
        <v>166</v>
      </c>
      <c r="G459" s="3" t="s">
        <v>166</v>
      </c>
      <c r="H459" s="3" t="s">
        <v>464</v>
      </c>
    </row>
    <row r="460" customFormat="false" ht="15" hidden="false" customHeight="false" outlineLevel="0" collapsed="false">
      <c r="A460" s="3" t="s">
        <v>446</v>
      </c>
      <c r="B460" s="3" t="n">
        <v>18</v>
      </c>
      <c r="C460" s="3" t="s">
        <v>447</v>
      </c>
      <c r="D460" s="3" t="n">
        <v>6</v>
      </c>
      <c r="E460" s="3" t="s">
        <v>165</v>
      </c>
      <c r="F460" s="3" t="s">
        <v>166</v>
      </c>
      <c r="G460" s="3" t="s">
        <v>166</v>
      </c>
      <c r="H460" s="3" t="s">
        <v>465</v>
      </c>
    </row>
    <row r="461" customFormat="false" ht="15" hidden="false" customHeight="false" outlineLevel="0" collapsed="false">
      <c r="A461" s="3" t="s">
        <v>446</v>
      </c>
      <c r="B461" s="3" t="n">
        <v>19</v>
      </c>
      <c r="C461" s="3" t="s">
        <v>447</v>
      </c>
      <c r="D461" s="3" t="n">
        <v>12</v>
      </c>
      <c r="E461" s="3" t="s">
        <v>165</v>
      </c>
      <c r="F461" s="3" t="s">
        <v>166</v>
      </c>
      <c r="G461" s="3" t="s">
        <v>166</v>
      </c>
      <c r="H461" s="3" t="s">
        <v>466</v>
      </c>
    </row>
    <row r="462" customFormat="false" ht="15" hidden="false" customHeight="false" outlineLevel="0" collapsed="false">
      <c r="A462" s="3" t="s">
        <v>446</v>
      </c>
      <c r="B462" s="3" t="n">
        <v>20</v>
      </c>
      <c r="C462" s="3" t="s">
        <v>447</v>
      </c>
      <c r="D462" s="3" t="n">
        <v>13</v>
      </c>
      <c r="E462" s="3" t="s">
        <v>165</v>
      </c>
      <c r="F462" s="3" t="s">
        <v>166</v>
      </c>
      <c r="G462" s="3" t="s">
        <v>166</v>
      </c>
      <c r="H462" s="3" t="s">
        <v>467</v>
      </c>
    </row>
    <row r="463" customFormat="false" ht="15" hidden="false" customHeight="false" outlineLevel="0" collapsed="false">
      <c r="A463" s="3" t="s">
        <v>446</v>
      </c>
      <c r="B463" s="3" t="n">
        <v>21</v>
      </c>
      <c r="C463" s="3" t="s">
        <v>447</v>
      </c>
      <c r="D463" s="3" t="n">
        <v>12</v>
      </c>
      <c r="E463" s="3" t="s">
        <v>165</v>
      </c>
      <c r="F463" s="3" t="s">
        <v>166</v>
      </c>
      <c r="G463" s="3" t="s">
        <v>166</v>
      </c>
      <c r="H463" s="3" t="s">
        <v>468</v>
      </c>
    </row>
    <row r="464" customFormat="false" ht="15" hidden="false" customHeight="false" outlineLevel="0" collapsed="false">
      <c r="A464" s="3" t="s">
        <v>446</v>
      </c>
      <c r="B464" s="3" t="n">
        <v>22</v>
      </c>
      <c r="C464" s="3" t="s">
        <v>447</v>
      </c>
      <c r="D464" s="3" t="n">
        <v>17</v>
      </c>
      <c r="E464" s="3" t="s">
        <v>165</v>
      </c>
      <c r="F464" s="3" t="s">
        <v>166</v>
      </c>
      <c r="G464" s="3" t="s">
        <v>166</v>
      </c>
      <c r="H464" s="3" t="s">
        <v>469</v>
      </c>
    </row>
    <row r="465" customFormat="false" ht="15" hidden="false" customHeight="false" outlineLevel="0" collapsed="false">
      <c r="A465" s="3" t="s">
        <v>446</v>
      </c>
      <c r="B465" s="3" t="n">
        <v>22</v>
      </c>
      <c r="C465" s="3" t="s">
        <v>447</v>
      </c>
      <c r="D465" s="3" t="n">
        <v>15</v>
      </c>
      <c r="E465" s="3" t="s">
        <v>172</v>
      </c>
      <c r="F465" s="3" t="s">
        <v>166</v>
      </c>
      <c r="G465" s="3" t="s">
        <v>166</v>
      </c>
      <c r="H465" s="3" t="s">
        <v>469</v>
      </c>
    </row>
    <row r="466" customFormat="false" ht="15" hidden="false" customHeight="false" outlineLevel="0" collapsed="false">
      <c r="A466" s="3" t="s">
        <v>470</v>
      </c>
      <c r="B466" s="3" t="n">
        <v>1</v>
      </c>
      <c r="C466" s="3" t="s">
        <v>447</v>
      </c>
      <c r="D466" s="3" t="n">
        <v>19</v>
      </c>
      <c r="E466" s="3" t="s">
        <v>165</v>
      </c>
      <c r="F466" s="3" t="s">
        <v>166</v>
      </c>
      <c r="G466" s="3" t="s">
        <v>166</v>
      </c>
      <c r="H466" s="3" t="s">
        <v>471</v>
      </c>
    </row>
    <row r="467" customFormat="false" ht="15" hidden="false" customHeight="false" outlineLevel="0" collapsed="false">
      <c r="A467" s="3" t="s">
        <v>470</v>
      </c>
      <c r="B467" s="3" t="n">
        <v>2</v>
      </c>
      <c r="C467" s="3" t="s">
        <v>447</v>
      </c>
      <c r="D467" s="3" t="n">
        <v>5</v>
      </c>
      <c r="E467" s="3" t="s">
        <v>165</v>
      </c>
      <c r="F467" s="3" t="s">
        <v>166</v>
      </c>
      <c r="G467" s="3" t="s">
        <v>166</v>
      </c>
      <c r="H467" s="3" t="s">
        <v>472</v>
      </c>
    </row>
    <row r="468" customFormat="false" ht="15" hidden="false" customHeight="false" outlineLevel="0" collapsed="false">
      <c r="A468" s="3" t="s">
        <v>470</v>
      </c>
      <c r="B468" s="3" t="n">
        <v>2</v>
      </c>
      <c r="C468" s="3" t="s">
        <v>447</v>
      </c>
      <c r="D468" s="3" t="n">
        <v>8</v>
      </c>
      <c r="E468" s="3" t="s">
        <v>172</v>
      </c>
      <c r="F468" s="3" t="s">
        <v>166</v>
      </c>
      <c r="G468" s="3" t="s">
        <v>166</v>
      </c>
      <c r="H468" s="3" t="s">
        <v>472</v>
      </c>
    </row>
    <row r="469" customFormat="false" ht="15" hidden="false" customHeight="false" outlineLevel="0" collapsed="false">
      <c r="A469" s="3" t="s">
        <v>470</v>
      </c>
      <c r="B469" s="3" t="n">
        <v>3</v>
      </c>
      <c r="C469" s="3" t="s">
        <v>447</v>
      </c>
      <c r="D469" s="3" t="n">
        <v>90</v>
      </c>
      <c r="E469" s="3" t="s">
        <v>165</v>
      </c>
      <c r="F469" s="3" t="s">
        <v>166</v>
      </c>
      <c r="G469" s="3" t="s">
        <v>166</v>
      </c>
      <c r="H469" s="3" t="s">
        <v>473</v>
      </c>
    </row>
    <row r="470" customFormat="false" ht="15" hidden="false" customHeight="false" outlineLevel="0" collapsed="false">
      <c r="A470" s="3" t="s">
        <v>470</v>
      </c>
      <c r="B470" s="3" t="n">
        <v>3</v>
      </c>
      <c r="C470" s="3" t="s">
        <v>447</v>
      </c>
      <c r="D470" s="3" t="n">
        <v>5</v>
      </c>
      <c r="E470" s="3" t="s">
        <v>172</v>
      </c>
      <c r="F470" s="3" t="s">
        <v>166</v>
      </c>
      <c r="G470" s="3" t="s">
        <v>166</v>
      </c>
      <c r="H470" s="3" t="s">
        <v>473</v>
      </c>
    </row>
    <row r="471" customFormat="false" ht="15" hidden="false" customHeight="false" outlineLevel="0" collapsed="false">
      <c r="A471" s="3" t="s">
        <v>470</v>
      </c>
      <c r="B471" s="3" t="n">
        <v>4</v>
      </c>
      <c r="C471" s="3" t="s">
        <v>447</v>
      </c>
      <c r="D471" s="3" t="n">
        <v>5</v>
      </c>
      <c r="E471" s="3" t="s">
        <v>165</v>
      </c>
      <c r="F471" s="3" t="s">
        <v>166</v>
      </c>
      <c r="G471" s="3" t="s">
        <v>166</v>
      </c>
      <c r="H471" s="3" t="s">
        <v>474</v>
      </c>
    </row>
    <row r="472" customFormat="false" ht="15" hidden="false" customHeight="false" outlineLevel="0" collapsed="false">
      <c r="A472" s="3" t="s">
        <v>470</v>
      </c>
      <c r="B472" s="3" t="n">
        <v>4</v>
      </c>
      <c r="C472" s="3" t="s">
        <v>447</v>
      </c>
      <c r="D472" s="3" t="n">
        <v>19</v>
      </c>
      <c r="E472" s="3" t="s">
        <v>172</v>
      </c>
      <c r="F472" s="3" t="s">
        <v>166</v>
      </c>
      <c r="G472" s="3" t="s">
        <v>166</v>
      </c>
      <c r="H472" s="3" t="s">
        <v>474</v>
      </c>
    </row>
    <row r="473" customFormat="false" ht="15" hidden="false" customHeight="false" outlineLevel="0" collapsed="false">
      <c r="A473" s="3" t="s">
        <v>470</v>
      </c>
      <c r="B473" s="3" t="n">
        <v>5</v>
      </c>
      <c r="C473" s="3" t="s">
        <v>447</v>
      </c>
      <c r="D473" s="3" t="n">
        <v>19</v>
      </c>
      <c r="E473" s="3" t="s">
        <v>165</v>
      </c>
      <c r="F473" s="3" t="s">
        <v>166</v>
      </c>
      <c r="G473" s="3" t="s">
        <v>166</v>
      </c>
      <c r="H473" s="3" t="s">
        <v>475</v>
      </c>
    </row>
    <row r="474" customFormat="false" ht="15" hidden="false" customHeight="false" outlineLevel="0" collapsed="false">
      <c r="A474" s="3" t="s">
        <v>470</v>
      </c>
      <c r="B474" s="3" t="n">
        <v>6</v>
      </c>
      <c r="C474" s="3" t="s">
        <v>447</v>
      </c>
      <c r="D474" s="3" t="n">
        <v>21</v>
      </c>
      <c r="E474" s="3" t="s">
        <v>165</v>
      </c>
      <c r="F474" s="3" t="s">
        <v>166</v>
      </c>
      <c r="G474" s="3" t="s">
        <v>166</v>
      </c>
      <c r="H474" s="3" t="s">
        <v>476</v>
      </c>
    </row>
    <row r="475" customFormat="false" ht="15" hidden="false" customHeight="false" outlineLevel="0" collapsed="false">
      <c r="A475" s="3" t="s">
        <v>470</v>
      </c>
      <c r="B475" s="3" t="n">
        <v>7</v>
      </c>
      <c r="C475" s="3" t="s">
        <v>447</v>
      </c>
      <c r="D475" s="3" t="n">
        <v>5</v>
      </c>
      <c r="E475" s="3" t="s">
        <v>165</v>
      </c>
      <c r="F475" s="3" t="s">
        <v>166</v>
      </c>
      <c r="G475" s="3" t="s">
        <v>166</v>
      </c>
      <c r="H475" s="3" t="s">
        <v>477</v>
      </c>
    </row>
    <row r="476" customFormat="false" ht="15" hidden="false" customHeight="false" outlineLevel="0" collapsed="false">
      <c r="A476" s="3" t="s">
        <v>470</v>
      </c>
      <c r="B476" s="3" t="n">
        <v>7</v>
      </c>
      <c r="C476" s="3" t="s">
        <v>447</v>
      </c>
      <c r="D476" s="3" t="n">
        <v>19</v>
      </c>
      <c r="E476" s="3" t="s">
        <v>172</v>
      </c>
      <c r="F476" s="3" t="s">
        <v>166</v>
      </c>
      <c r="G476" s="3" t="s">
        <v>166</v>
      </c>
      <c r="H476" s="3" t="s">
        <v>477</v>
      </c>
    </row>
    <row r="477" customFormat="false" ht="15" hidden="false" customHeight="false" outlineLevel="0" collapsed="false">
      <c r="A477" s="3" t="s">
        <v>470</v>
      </c>
      <c r="B477" s="3" t="n">
        <v>8</v>
      </c>
      <c r="C477" s="3" t="s">
        <v>447</v>
      </c>
      <c r="D477" s="3" t="n">
        <v>41</v>
      </c>
      <c r="E477" s="3" t="s">
        <v>165</v>
      </c>
      <c r="F477" s="3" t="s">
        <v>166</v>
      </c>
      <c r="G477" s="3" t="s">
        <v>166</v>
      </c>
      <c r="H477" s="3" t="s">
        <v>478</v>
      </c>
    </row>
    <row r="478" customFormat="false" ht="15" hidden="false" customHeight="false" outlineLevel="0" collapsed="false">
      <c r="A478" s="3" t="s">
        <v>470</v>
      </c>
      <c r="B478" s="3" t="n">
        <v>9</v>
      </c>
      <c r="C478" s="3" t="s">
        <v>447</v>
      </c>
      <c r="D478" s="3" t="n">
        <v>5</v>
      </c>
      <c r="E478" s="3" t="s">
        <v>165</v>
      </c>
      <c r="F478" s="3" t="s">
        <v>166</v>
      </c>
      <c r="G478" s="3" t="s">
        <v>166</v>
      </c>
      <c r="H478" s="3" t="s">
        <v>479</v>
      </c>
    </row>
    <row r="479" customFormat="false" ht="15" hidden="false" customHeight="false" outlineLevel="0" collapsed="false">
      <c r="A479" s="3" t="s">
        <v>470</v>
      </c>
      <c r="B479" s="3" t="n">
        <v>9</v>
      </c>
      <c r="C479" s="3" t="s">
        <v>447</v>
      </c>
      <c r="D479" s="3" t="n">
        <v>8</v>
      </c>
      <c r="E479" s="3" t="s">
        <v>172</v>
      </c>
      <c r="F479" s="3" t="s">
        <v>166</v>
      </c>
      <c r="G479" s="3" t="s">
        <v>166</v>
      </c>
      <c r="H479" s="3" t="s">
        <v>479</v>
      </c>
    </row>
    <row r="480" customFormat="false" ht="15" hidden="false" customHeight="false" outlineLevel="0" collapsed="false">
      <c r="A480" s="3" t="s">
        <v>470</v>
      </c>
      <c r="B480" s="3" t="n">
        <v>10</v>
      </c>
      <c r="C480" s="3" t="s">
        <v>447</v>
      </c>
      <c r="D480" s="3" t="n">
        <v>19</v>
      </c>
      <c r="E480" s="3" t="s">
        <v>165</v>
      </c>
      <c r="F480" s="3" t="s">
        <v>166</v>
      </c>
      <c r="G480" s="3" t="s">
        <v>166</v>
      </c>
      <c r="H480" s="3" t="s">
        <v>480</v>
      </c>
    </row>
    <row r="481" customFormat="false" ht="15" hidden="false" customHeight="false" outlineLevel="0" collapsed="false">
      <c r="A481" s="3" t="s">
        <v>470</v>
      </c>
      <c r="B481" s="3" t="n">
        <v>10</v>
      </c>
      <c r="C481" s="3" t="s">
        <v>447</v>
      </c>
      <c r="D481" s="3" t="n">
        <v>11</v>
      </c>
      <c r="E481" s="3" t="s">
        <v>172</v>
      </c>
      <c r="F481" s="3" t="s">
        <v>166</v>
      </c>
      <c r="G481" s="3" t="s">
        <v>166</v>
      </c>
      <c r="H481" s="3" t="s">
        <v>480</v>
      </c>
    </row>
    <row r="482" customFormat="false" ht="15" hidden="false" customHeight="false" outlineLevel="0" collapsed="false">
      <c r="A482" s="3" t="s">
        <v>470</v>
      </c>
      <c r="B482" s="3" t="n">
        <v>11</v>
      </c>
      <c r="C482" s="3" t="s">
        <v>447</v>
      </c>
      <c r="D482" s="3" t="n">
        <v>90</v>
      </c>
      <c r="E482" s="3" t="s">
        <v>165</v>
      </c>
      <c r="F482" s="3" t="s">
        <v>166</v>
      </c>
      <c r="G482" s="3" t="s">
        <v>166</v>
      </c>
      <c r="H482" s="3" t="s">
        <v>481</v>
      </c>
    </row>
    <row r="483" customFormat="false" ht="15" hidden="false" customHeight="false" outlineLevel="0" collapsed="false">
      <c r="A483" s="3" t="s">
        <v>470</v>
      </c>
      <c r="B483" s="3" t="n">
        <v>12</v>
      </c>
      <c r="C483" s="3" t="s">
        <v>447</v>
      </c>
      <c r="D483" s="3" t="n">
        <v>11</v>
      </c>
      <c r="E483" s="3" t="s">
        <v>165</v>
      </c>
      <c r="F483" s="3" t="s">
        <v>166</v>
      </c>
      <c r="G483" s="3" t="s">
        <v>166</v>
      </c>
      <c r="H483" s="3" t="s">
        <v>482</v>
      </c>
    </row>
    <row r="484" customFormat="false" ht="15" hidden="false" customHeight="false" outlineLevel="0" collapsed="false">
      <c r="A484" s="3" t="s">
        <v>470</v>
      </c>
      <c r="B484" s="3" t="n">
        <v>13</v>
      </c>
      <c r="C484" s="3" t="s">
        <v>447</v>
      </c>
      <c r="D484" s="3" t="n">
        <v>19</v>
      </c>
      <c r="E484" s="3" t="s">
        <v>165</v>
      </c>
      <c r="F484" s="3" t="s">
        <v>166</v>
      </c>
      <c r="G484" s="3" t="s">
        <v>166</v>
      </c>
      <c r="H484" s="3" t="s">
        <v>483</v>
      </c>
    </row>
    <row r="485" customFormat="false" ht="15" hidden="false" customHeight="false" outlineLevel="0" collapsed="false">
      <c r="A485" s="3" t="s">
        <v>470</v>
      </c>
      <c r="B485" s="3" t="n">
        <v>14</v>
      </c>
      <c r="C485" s="3" t="s">
        <v>447</v>
      </c>
      <c r="D485" s="3" t="n">
        <v>11</v>
      </c>
      <c r="E485" s="3" t="s">
        <v>165</v>
      </c>
      <c r="F485" s="3" t="s">
        <v>166</v>
      </c>
      <c r="G485" s="3" t="s">
        <v>166</v>
      </c>
      <c r="H485" s="3" t="s">
        <v>484</v>
      </c>
    </row>
    <row r="486" customFormat="false" ht="15" hidden="false" customHeight="false" outlineLevel="0" collapsed="false">
      <c r="A486" s="3" t="s">
        <v>470</v>
      </c>
      <c r="B486" s="3" t="n">
        <v>15</v>
      </c>
      <c r="C486" s="3" t="s">
        <v>447</v>
      </c>
      <c r="D486" s="3" t="n">
        <v>90</v>
      </c>
      <c r="E486" s="3" t="s">
        <v>165</v>
      </c>
      <c r="F486" s="3" t="s">
        <v>166</v>
      </c>
      <c r="G486" s="3" t="s">
        <v>166</v>
      </c>
      <c r="H486" s="3" t="s">
        <v>485</v>
      </c>
    </row>
    <row r="487" customFormat="false" ht="15" hidden="false" customHeight="false" outlineLevel="0" collapsed="false">
      <c r="A487" s="3" t="s">
        <v>470</v>
      </c>
      <c r="B487" s="3" t="n">
        <v>16</v>
      </c>
      <c r="C487" s="3" t="s">
        <v>447</v>
      </c>
      <c r="D487" s="3" t="n">
        <v>41</v>
      </c>
      <c r="E487" s="3" t="s">
        <v>165</v>
      </c>
      <c r="F487" s="3" t="s">
        <v>166</v>
      </c>
      <c r="G487" s="3" t="s">
        <v>166</v>
      </c>
      <c r="H487" s="3" t="s">
        <v>486</v>
      </c>
    </row>
    <row r="488" customFormat="false" ht="15" hidden="false" customHeight="false" outlineLevel="0" collapsed="false">
      <c r="A488" s="3" t="s">
        <v>470</v>
      </c>
      <c r="B488" s="3" t="n">
        <v>17</v>
      </c>
      <c r="C488" s="3" t="s">
        <v>447</v>
      </c>
      <c r="D488" s="3" t="n">
        <v>8</v>
      </c>
      <c r="E488" s="3" t="s">
        <v>165</v>
      </c>
      <c r="F488" s="3" t="s">
        <v>166</v>
      </c>
      <c r="G488" s="3" t="s">
        <v>166</v>
      </c>
      <c r="H488" s="3" t="s">
        <v>487</v>
      </c>
    </row>
    <row r="489" customFormat="false" ht="15" hidden="false" customHeight="false" outlineLevel="0" collapsed="false">
      <c r="A489" s="3" t="s">
        <v>470</v>
      </c>
      <c r="B489" s="3" t="n">
        <v>17</v>
      </c>
      <c r="C489" s="3" t="s">
        <v>447</v>
      </c>
      <c r="D489" s="3" t="n">
        <v>5</v>
      </c>
      <c r="E489" s="3" t="s">
        <v>172</v>
      </c>
      <c r="F489" s="3" t="s">
        <v>166</v>
      </c>
      <c r="G489" s="3" t="s">
        <v>166</v>
      </c>
      <c r="H489" s="3" t="s">
        <v>487</v>
      </c>
    </row>
    <row r="490" customFormat="false" ht="15" hidden="false" customHeight="false" outlineLevel="0" collapsed="false">
      <c r="A490" s="3" t="s">
        <v>488</v>
      </c>
      <c r="B490" s="3" t="n">
        <v>1</v>
      </c>
      <c r="C490" s="3" t="s">
        <v>447</v>
      </c>
      <c r="D490" s="3" t="n">
        <v>26</v>
      </c>
      <c r="E490" s="3" t="s">
        <v>165</v>
      </c>
      <c r="F490" s="3" t="s">
        <v>166</v>
      </c>
      <c r="G490" s="3" t="s">
        <v>166</v>
      </c>
      <c r="H490" s="3" t="s">
        <v>489</v>
      </c>
    </row>
    <row r="491" customFormat="false" ht="15" hidden="false" customHeight="false" outlineLevel="0" collapsed="false">
      <c r="A491" s="3" t="s">
        <v>488</v>
      </c>
      <c r="B491" s="3" t="n">
        <v>2</v>
      </c>
      <c r="C491" s="3" t="s">
        <v>447</v>
      </c>
      <c r="D491" s="3" t="n">
        <v>25</v>
      </c>
      <c r="E491" s="3" t="s">
        <v>165</v>
      </c>
      <c r="F491" s="3" t="s">
        <v>166</v>
      </c>
      <c r="G491" s="3" t="s">
        <v>166</v>
      </c>
      <c r="H491" s="3" t="s">
        <v>490</v>
      </c>
    </row>
    <row r="492" customFormat="false" ht="15" hidden="false" customHeight="false" outlineLevel="0" collapsed="false">
      <c r="A492" s="3" t="s">
        <v>488</v>
      </c>
      <c r="B492" s="3" t="n">
        <v>3</v>
      </c>
      <c r="C492" s="3" t="s">
        <v>447</v>
      </c>
      <c r="D492" s="3" t="n">
        <v>26</v>
      </c>
      <c r="E492" s="3" t="s">
        <v>165</v>
      </c>
      <c r="F492" s="3" t="s">
        <v>166</v>
      </c>
      <c r="G492" s="3" t="s">
        <v>166</v>
      </c>
      <c r="H492" s="3" t="s">
        <v>491</v>
      </c>
    </row>
    <row r="493" customFormat="false" ht="15" hidden="false" customHeight="false" outlineLevel="0" collapsed="false">
      <c r="A493" s="3" t="s">
        <v>488</v>
      </c>
      <c r="B493" s="3" t="n">
        <v>3</v>
      </c>
      <c r="C493" s="3" t="s">
        <v>447</v>
      </c>
      <c r="D493" s="3" t="n">
        <v>3</v>
      </c>
      <c r="E493" s="3" t="s">
        <v>172</v>
      </c>
      <c r="F493" s="3" t="s">
        <v>166</v>
      </c>
      <c r="G493" s="3" t="s">
        <v>166</v>
      </c>
      <c r="H493" s="3" t="s">
        <v>491</v>
      </c>
    </row>
    <row r="494" customFormat="false" ht="15" hidden="false" customHeight="false" outlineLevel="0" collapsed="false">
      <c r="A494" s="3" t="s">
        <v>488</v>
      </c>
      <c r="B494" s="3" t="n">
        <v>4</v>
      </c>
      <c r="C494" s="3" t="s">
        <v>447</v>
      </c>
      <c r="D494" s="3" t="n">
        <v>5</v>
      </c>
      <c r="E494" s="3" t="s">
        <v>165</v>
      </c>
      <c r="F494" s="3" t="s">
        <v>166</v>
      </c>
      <c r="G494" s="3" t="s">
        <v>166</v>
      </c>
      <c r="H494" s="3" t="s">
        <v>492</v>
      </c>
    </row>
    <row r="495" customFormat="false" ht="15" hidden="false" customHeight="false" outlineLevel="0" collapsed="false">
      <c r="A495" s="3" t="s">
        <v>488</v>
      </c>
      <c r="B495" s="3" t="n">
        <v>4</v>
      </c>
      <c r="C495" s="3" t="s">
        <v>447</v>
      </c>
      <c r="D495" s="3" t="n">
        <v>2</v>
      </c>
      <c r="E495" s="3" t="s">
        <v>172</v>
      </c>
      <c r="F495" s="3" t="s">
        <v>166</v>
      </c>
      <c r="G495" s="3" t="s">
        <v>166</v>
      </c>
      <c r="H495" s="3" t="s">
        <v>492</v>
      </c>
    </row>
    <row r="496" customFormat="false" ht="15" hidden="false" customHeight="false" outlineLevel="0" collapsed="false">
      <c r="A496" s="3" t="s">
        <v>488</v>
      </c>
      <c r="B496" s="3" t="n">
        <v>5</v>
      </c>
      <c r="C496" s="3" t="s">
        <v>447</v>
      </c>
      <c r="D496" s="3" t="n">
        <v>23</v>
      </c>
      <c r="E496" s="3" t="s">
        <v>165</v>
      </c>
      <c r="F496" s="3" t="s">
        <v>166</v>
      </c>
      <c r="G496" s="3" t="s">
        <v>166</v>
      </c>
      <c r="H496" s="3" t="s">
        <v>493</v>
      </c>
    </row>
    <row r="497" customFormat="false" ht="15" hidden="false" customHeight="false" outlineLevel="0" collapsed="false">
      <c r="A497" s="3" t="s">
        <v>488</v>
      </c>
      <c r="B497" s="3" t="n">
        <v>6</v>
      </c>
      <c r="C497" s="3" t="s">
        <v>447</v>
      </c>
      <c r="D497" s="3" t="n">
        <v>5</v>
      </c>
      <c r="E497" s="3" t="s">
        <v>165</v>
      </c>
      <c r="F497" s="3" t="s">
        <v>166</v>
      </c>
      <c r="G497" s="3" t="s">
        <v>166</v>
      </c>
      <c r="H497" s="3" t="s">
        <v>494</v>
      </c>
    </row>
    <row r="498" customFormat="false" ht="15" hidden="false" customHeight="false" outlineLevel="0" collapsed="false">
      <c r="A498" s="3" t="s">
        <v>488</v>
      </c>
      <c r="B498" s="3" t="n">
        <v>7</v>
      </c>
      <c r="C498" s="3" t="s">
        <v>447</v>
      </c>
      <c r="D498" s="3" t="n">
        <v>3</v>
      </c>
      <c r="E498" s="3" t="s">
        <v>165</v>
      </c>
      <c r="F498" s="3" t="s">
        <v>166</v>
      </c>
      <c r="G498" s="3" t="s">
        <v>166</v>
      </c>
      <c r="H498" s="3" t="s">
        <v>495</v>
      </c>
    </row>
    <row r="499" customFormat="false" ht="15" hidden="false" customHeight="false" outlineLevel="0" collapsed="false">
      <c r="A499" s="3" t="s">
        <v>488</v>
      </c>
      <c r="B499" s="3" t="n">
        <v>7</v>
      </c>
      <c r="C499" s="3" t="s">
        <v>447</v>
      </c>
      <c r="D499" s="3" t="n">
        <v>5</v>
      </c>
      <c r="E499" s="3" t="s">
        <v>172</v>
      </c>
      <c r="F499" s="3" t="s">
        <v>166</v>
      </c>
      <c r="G499" s="3" t="s">
        <v>166</v>
      </c>
      <c r="H499" s="3" t="s">
        <v>495</v>
      </c>
    </row>
    <row r="500" customFormat="false" ht="15" hidden="false" customHeight="false" outlineLevel="0" collapsed="false">
      <c r="A500" s="3" t="s">
        <v>488</v>
      </c>
      <c r="B500" s="3" t="n">
        <v>8</v>
      </c>
      <c r="C500" s="3" t="s">
        <v>447</v>
      </c>
      <c r="D500" s="3" t="n">
        <v>11</v>
      </c>
      <c r="E500" s="3" t="s">
        <v>165</v>
      </c>
      <c r="F500" s="3" t="s">
        <v>166</v>
      </c>
      <c r="G500" s="3" t="s">
        <v>166</v>
      </c>
      <c r="H500" s="3" t="s">
        <v>496</v>
      </c>
    </row>
    <row r="501" customFormat="false" ht="15" hidden="false" customHeight="false" outlineLevel="0" collapsed="false">
      <c r="A501" s="3" t="s">
        <v>488</v>
      </c>
      <c r="B501" s="3" t="n">
        <v>8</v>
      </c>
      <c r="C501" s="3" t="s">
        <v>447</v>
      </c>
      <c r="D501" s="3" t="n">
        <v>2</v>
      </c>
      <c r="E501" s="3" t="s">
        <v>172</v>
      </c>
      <c r="F501" s="3" t="s">
        <v>166</v>
      </c>
      <c r="G501" s="3" t="s">
        <v>166</v>
      </c>
      <c r="H501" s="3" t="s">
        <v>496</v>
      </c>
    </row>
    <row r="502" customFormat="false" ht="15" hidden="false" customHeight="false" outlineLevel="0" collapsed="false">
      <c r="A502" s="3" t="s">
        <v>488</v>
      </c>
      <c r="B502" s="3" t="n">
        <v>9</v>
      </c>
      <c r="C502" s="3" t="s">
        <v>447</v>
      </c>
      <c r="D502" s="3" t="n">
        <v>5</v>
      </c>
      <c r="E502" s="3" t="s">
        <v>165</v>
      </c>
      <c r="F502" s="3" t="s">
        <v>166</v>
      </c>
      <c r="G502" s="3" t="s">
        <v>166</v>
      </c>
      <c r="H502" s="3" t="s">
        <v>497</v>
      </c>
    </row>
    <row r="503" customFormat="false" ht="15" hidden="false" customHeight="false" outlineLevel="0" collapsed="false">
      <c r="A503" s="3" t="s">
        <v>488</v>
      </c>
      <c r="B503" s="3" t="n">
        <v>9</v>
      </c>
      <c r="C503" s="3" t="s">
        <v>447</v>
      </c>
      <c r="D503" s="3" t="n">
        <v>2</v>
      </c>
      <c r="E503" s="3" t="s">
        <v>172</v>
      </c>
      <c r="F503" s="3" t="s">
        <v>166</v>
      </c>
      <c r="G503" s="3" t="s">
        <v>166</v>
      </c>
      <c r="H503" s="3" t="s">
        <v>497</v>
      </c>
    </row>
    <row r="504" customFormat="false" ht="15" hidden="false" customHeight="false" outlineLevel="0" collapsed="false">
      <c r="A504" s="3" t="s">
        <v>488</v>
      </c>
      <c r="B504" s="3" t="n">
        <v>10</v>
      </c>
      <c r="C504" s="3" t="s">
        <v>447</v>
      </c>
      <c r="D504" s="3" t="n">
        <v>26</v>
      </c>
      <c r="E504" s="3" t="s">
        <v>165</v>
      </c>
      <c r="F504" s="3" t="s">
        <v>166</v>
      </c>
      <c r="G504" s="3" t="s">
        <v>166</v>
      </c>
      <c r="H504" s="3" t="s">
        <v>498</v>
      </c>
    </row>
    <row r="505" customFormat="false" ht="15" hidden="false" customHeight="false" outlineLevel="0" collapsed="false">
      <c r="A505" s="3" t="s">
        <v>488</v>
      </c>
      <c r="B505" s="3" t="n">
        <v>11</v>
      </c>
      <c r="C505" s="3" t="s">
        <v>447</v>
      </c>
      <c r="D505" s="3" t="n">
        <v>26</v>
      </c>
      <c r="E505" s="3" t="s">
        <v>165</v>
      </c>
      <c r="F505" s="3" t="s">
        <v>166</v>
      </c>
      <c r="G505" s="3" t="s">
        <v>166</v>
      </c>
      <c r="H505" s="3" t="s">
        <v>499</v>
      </c>
    </row>
    <row r="506" customFormat="false" ht="15" hidden="false" customHeight="false" outlineLevel="0" collapsed="false">
      <c r="A506" s="3" t="s">
        <v>488</v>
      </c>
      <c r="B506" s="3" t="n">
        <v>11</v>
      </c>
      <c r="C506" s="3" t="s">
        <v>447</v>
      </c>
      <c r="D506" s="3" t="n">
        <v>3</v>
      </c>
      <c r="E506" s="3" t="s">
        <v>172</v>
      </c>
      <c r="F506" s="3" t="s">
        <v>166</v>
      </c>
      <c r="G506" s="3" t="s">
        <v>166</v>
      </c>
      <c r="H506" s="3" t="s">
        <v>499</v>
      </c>
    </row>
    <row r="507" customFormat="false" ht="15" hidden="false" customHeight="false" outlineLevel="0" collapsed="false">
      <c r="A507" s="3" t="s">
        <v>488</v>
      </c>
      <c r="B507" s="3" t="n">
        <v>12</v>
      </c>
      <c r="C507" s="3" t="s">
        <v>447</v>
      </c>
      <c r="D507" s="3" t="n">
        <v>10</v>
      </c>
      <c r="E507" s="3" t="s">
        <v>165</v>
      </c>
      <c r="F507" s="3" t="s">
        <v>166</v>
      </c>
      <c r="G507" s="3" t="s">
        <v>166</v>
      </c>
      <c r="H507" s="3" t="s">
        <v>500</v>
      </c>
    </row>
    <row r="508" customFormat="false" ht="15" hidden="false" customHeight="false" outlineLevel="0" collapsed="false">
      <c r="A508" s="3" t="s">
        <v>488</v>
      </c>
      <c r="B508" s="3" t="n">
        <v>13</v>
      </c>
      <c r="C508" s="3" t="s">
        <v>447</v>
      </c>
      <c r="D508" s="3" t="n">
        <v>21</v>
      </c>
      <c r="E508" s="3" t="s">
        <v>165</v>
      </c>
      <c r="F508" s="3" t="s">
        <v>166</v>
      </c>
      <c r="G508" s="3" t="s">
        <v>166</v>
      </c>
      <c r="H508" s="3" t="s">
        <v>501</v>
      </c>
    </row>
    <row r="509" customFormat="false" ht="15" hidden="false" customHeight="false" outlineLevel="0" collapsed="false">
      <c r="A509" s="3" t="s">
        <v>488</v>
      </c>
      <c r="B509" s="3" t="n">
        <v>14</v>
      </c>
      <c r="C509" s="3" t="s">
        <v>447</v>
      </c>
      <c r="D509" s="3" t="n">
        <v>41</v>
      </c>
      <c r="E509" s="3" t="s">
        <v>165</v>
      </c>
      <c r="F509" s="3" t="s">
        <v>166</v>
      </c>
      <c r="G509" s="3" t="s">
        <v>166</v>
      </c>
      <c r="H509" s="3" t="s">
        <v>502</v>
      </c>
    </row>
    <row r="510" customFormat="false" ht="15" hidden="false" customHeight="false" outlineLevel="0" collapsed="false">
      <c r="A510" s="3" t="s">
        <v>488</v>
      </c>
      <c r="B510" s="3" t="n">
        <v>14</v>
      </c>
      <c r="C510" s="3" t="s">
        <v>447</v>
      </c>
      <c r="D510" s="3" t="n">
        <v>4</v>
      </c>
      <c r="E510" s="3" t="s">
        <v>172</v>
      </c>
      <c r="F510" s="3" t="s">
        <v>166</v>
      </c>
      <c r="G510" s="3" t="s">
        <v>166</v>
      </c>
      <c r="H510" s="3" t="s">
        <v>502</v>
      </c>
    </row>
    <row r="511" customFormat="false" ht="15" hidden="false" customHeight="false" outlineLevel="0" collapsed="false">
      <c r="A511" s="3" t="s">
        <v>488</v>
      </c>
      <c r="B511" s="3" t="n">
        <v>15</v>
      </c>
      <c r="C511" s="3" t="s">
        <v>447</v>
      </c>
      <c r="D511" s="3" t="n">
        <v>5</v>
      </c>
      <c r="E511" s="3" t="s">
        <v>165</v>
      </c>
      <c r="F511" s="3" t="s">
        <v>166</v>
      </c>
      <c r="G511" s="3" t="s">
        <v>166</v>
      </c>
      <c r="H511" s="3" t="s">
        <v>503</v>
      </c>
    </row>
    <row r="512" customFormat="false" ht="15" hidden="false" customHeight="false" outlineLevel="0" collapsed="false">
      <c r="A512" s="3" t="s">
        <v>488</v>
      </c>
      <c r="B512" s="3" t="n">
        <v>16</v>
      </c>
      <c r="C512" s="3" t="s">
        <v>447</v>
      </c>
      <c r="D512" s="3" t="n">
        <v>19</v>
      </c>
      <c r="E512" s="3" t="s">
        <v>165</v>
      </c>
      <c r="F512" s="3" t="s">
        <v>166</v>
      </c>
      <c r="G512" s="3" t="s">
        <v>166</v>
      </c>
      <c r="H512" s="3" t="s">
        <v>504</v>
      </c>
    </row>
    <row r="513" customFormat="false" ht="15" hidden="false" customHeight="false" outlineLevel="0" collapsed="false">
      <c r="A513" s="3" t="s">
        <v>488</v>
      </c>
      <c r="B513" s="3" t="n">
        <v>16</v>
      </c>
      <c r="C513" s="3" t="s">
        <v>447</v>
      </c>
      <c r="D513" s="3" t="n">
        <v>5</v>
      </c>
      <c r="E513" s="3" t="s">
        <v>172</v>
      </c>
      <c r="F513" s="3" t="s">
        <v>166</v>
      </c>
      <c r="G513" s="3" t="s">
        <v>166</v>
      </c>
      <c r="H513" s="3" t="s">
        <v>504</v>
      </c>
    </row>
    <row r="514" customFormat="false" ht="15" hidden="false" customHeight="false" outlineLevel="0" collapsed="false">
      <c r="A514" s="3" t="s">
        <v>488</v>
      </c>
      <c r="B514" s="3" t="n">
        <v>17</v>
      </c>
      <c r="C514" s="3" t="s">
        <v>447</v>
      </c>
      <c r="D514" s="3" t="n">
        <v>7</v>
      </c>
      <c r="E514" s="3" t="s">
        <v>165</v>
      </c>
      <c r="F514" s="3" t="s">
        <v>166</v>
      </c>
      <c r="G514" s="3" t="s">
        <v>166</v>
      </c>
      <c r="H514" s="3" t="s">
        <v>505</v>
      </c>
    </row>
    <row r="515" customFormat="false" ht="15" hidden="false" customHeight="false" outlineLevel="0" collapsed="false">
      <c r="A515" s="3" t="s">
        <v>488</v>
      </c>
      <c r="B515" s="3" t="n">
        <v>17</v>
      </c>
      <c r="C515" s="3" t="s">
        <v>447</v>
      </c>
      <c r="D515" s="3" t="n">
        <v>5</v>
      </c>
      <c r="E515" s="3" t="s">
        <v>172</v>
      </c>
      <c r="F515" s="3" t="s">
        <v>166</v>
      </c>
      <c r="G515" s="3" t="s">
        <v>166</v>
      </c>
      <c r="H515" s="3" t="s">
        <v>505</v>
      </c>
    </row>
    <row r="516" customFormat="false" ht="15" hidden="false" customHeight="false" outlineLevel="0" collapsed="false">
      <c r="A516" s="3" t="s">
        <v>506</v>
      </c>
      <c r="B516" s="3" t="n">
        <v>1</v>
      </c>
      <c r="C516" s="3" t="s">
        <v>447</v>
      </c>
      <c r="D516" s="3" t="n">
        <v>18</v>
      </c>
      <c r="E516" s="3" t="s">
        <v>165</v>
      </c>
      <c r="F516" s="3" t="s">
        <v>166</v>
      </c>
      <c r="G516" s="3" t="s">
        <v>166</v>
      </c>
      <c r="H516" s="3" t="s">
        <v>507</v>
      </c>
    </row>
    <row r="517" customFormat="false" ht="15" hidden="false" customHeight="false" outlineLevel="0" collapsed="false">
      <c r="A517" s="3" t="s">
        <v>506</v>
      </c>
      <c r="B517" s="3" t="n">
        <v>1</v>
      </c>
      <c r="C517" s="3" t="s">
        <v>447</v>
      </c>
      <c r="D517" s="3" t="n">
        <v>19</v>
      </c>
      <c r="E517" s="3" t="s">
        <v>172</v>
      </c>
      <c r="F517" s="3" t="s">
        <v>166</v>
      </c>
      <c r="G517" s="3" t="s">
        <v>166</v>
      </c>
      <c r="H517" s="3" t="s">
        <v>507</v>
      </c>
    </row>
    <row r="518" customFormat="false" ht="15" hidden="false" customHeight="false" outlineLevel="0" collapsed="false">
      <c r="A518" s="3" t="s">
        <v>506</v>
      </c>
      <c r="B518" s="3" t="n">
        <v>2</v>
      </c>
      <c r="C518" s="3" t="s">
        <v>447</v>
      </c>
      <c r="D518" s="3" t="n">
        <v>19</v>
      </c>
      <c r="E518" s="3" t="s">
        <v>165</v>
      </c>
      <c r="F518" s="3" t="s">
        <v>166</v>
      </c>
      <c r="G518" s="3" t="s">
        <v>166</v>
      </c>
      <c r="H518" s="3" t="s">
        <v>508</v>
      </c>
    </row>
    <row r="519" customFormat="false" ht="15" hidden="false" customHeight="false" outlineLevel="0" collapsed="false">
      <c r="A519" s="3" t="s">
        <v>506</v>
      </c>
      <c r="B519" s="3" t="n">
        <v>3</v>
      </c>
      <c r="C519" s="3" t="s">
        <v>447</v>
      </c>
      <c r="D519" s="3" t="n">
        <v>38</v>
      </c>
      <c r="E519" s="3" t="s">
        <v>165</v>
      </c>
      <c r="F519" s="3" t="s">
        <v>166</v>
      </c>
      <c r="G519" s="3" t="s">
        <v>166</v>
      </c>
      <c r="H519" s="3" t="s">
        <v>509</v>
      </c>
    </row>
    <row r="520" customFormat="false" ht="15" hidden="false" customHeight="false" outlineLevel="0" collapsed="false">
      <c r="A520" s="3" t="s">
        <v>506</v>
      </c>
      <c r="B520" s="3" t="n">
        <v>3</v>
      </c>
      <c r="C520" s="3" t="s">
        <v>447</v>
      </c>
      <c r="D520" s="3" t="n">
        <v>1</v>
      </c>
      <c r="E520" s="3" t="s">
        <v>172</v>
      </c>
      <c r="F520" s="3" t="s">
        <v>166</v>
      </c>
      <c r="G520" s="3" t="s">
        <v>166</v>
      </c>
      <c r="H520" s="3" t="s">
        <v>509</v>
      </c>
    </row>
    <row r="521" customFormat="false" ht="15" hidden="false" customHeight="false" outlineLevel="0" collapsed="false">
      <c r="A521" s="3" t="s">
        <v>506</v>
      </c>
      <c r="B521" s="3" t="n">
        <v>4</v>
      </c>
      <c r="C521" s="3" t="s">
        <v>447</v>
      </c>
      <c r="D521" s="3" t="n">
        <v>28</v>
      </c>
      <c r="E521" s="3" t="s">
        <v>165</v>
      </c>
      <c r="F521" s="3" t="s">
        <v>166</v>
      </c>
      <c r="G521" s="3" t="s">
        <v>166</v>
      </c>
      <c r="H521" s="3" t="s">
        <v>510</v>
      </c>
    </row>
    <row r="522" customFormat="false" ht="15" hidden="false" customHeight="false" outlineLevel="0" collapsed="false">
      <c r="A522" s="3" t="s">
        <v>506</v>
      </c>
      <c r="B522" s="3" t="n">
        <v>4</v>
      </c>
      <c r="C522" s="3" t="s">
        <v>447</v>
      </c>
      <c r="D522" s="3" t="n">
        <v>29</v>
      </c>
      <c r="E522" s="3" t="s">
        <v>172</v>
      </c>
      <c r="F522" s="3" t="s">
        <v>166</v>
      </c>
      <c r="G522" s="3" t="s">
        <v>166</v>
      </c>
      <c r="H522" s="3" t="s">
        <v>510</v>
      </c>
    </row>
    <row r="523" customFormat="false" ht="15" hidden="false" customHeight="false" outlineLevel="0" collapsed="false">
      <c r="A523" s="3" t="s">
        <v>506</v>
      </c>
      <c r="B523" s="3" t="n">
        <v>5</v>
      </c>
      <c r="C523" s="3" t="s">
        <v>447</v>
      </c>
      <c r="D523" s="3" t="n">
        <v>25</v>
      </c>
      <c r="E523" s="3" t="s">
        <v>165</v>
      </c>
      <c r="F523" s="3" t="s">
        <v>166</v>
      </c>
      <c r="G523" s="3" t="s">
        <v>166</v>
      </c>
      <c r="H523" s="3" t="s">
        <v>511</v>
      </c>
    </row>
    <row r="524" customFormat="false" ht="15" hidden="false" customHeight="false" outlineLevel="0" collapsed="false">
      <c r="A524" s="3" t="s">
        <v>506</v>
      </c>
      <c r="B524" s="3" t="n">
        <v>5</v>
      </c>
      <c r="C524" s="3" t="s">
        <v>447</v>
      </c>
      <c r="D524" s="3" t="n">
        <v>2</v>
      </c>
      <c r="E524" s="3" t="s">
        <v>172</v>
      </c>
      <c r="F524" s="3" t="s">
        <v>166</v>
      </c>
      <c r="G524" s="3" t="s">
        <v>166</v>
      </c>
      <c r="H524" s="3" t="s">
        <v>511</v>
      </c>
    </row>
    <row r="525" customFormat="false" ht="15" hidden="false" customHeight="false" outlineLevel="0" collapsed="false">
      <c r="A525" s="3" t="s">
        <v>506</v>
      </c>
      <c r="B525" s="3" t="n">
        <v>6</v>
      </c>
      <c r="C525" s="3" t="s">
        <v>447</v>
      </c>
      <c r="D525" s="3" t="n">
        <v>41</v>
      </c>
      <c r="E525" s="3" t="s">
        <v>165</v>
      </c>
      <c r="F525" s="3" t="s">
        <v>166</v>
      </c>
      <c r="G525" s="3" t="s">
        <v>166</v>
      </c>
      <c r="H525" s="3" t="s">
        <v>512</v>
      </c>
    </row>
    <row r="526" customFormat="false" ht="15" hidden="false" customHeight="false" outlineLevel="0" collapsed="false">
      <c r="A526" s="3" t="s">
        <v>506</v>
      </c>
      <c r="B526" s="3" t="n">
        <v>7</v>
      </c>
      <c r="C526" s="3" t="s">
        <v>447</v>
      </c>
      <c r="D526" s="3" t="n">
        <v>18</v>
      </c>
      <c r="E526" s="3" t="s">
        <v>165</v>
      </c>
      <c r="F526" s="3" t="s">
        <v>166</v>
      </c>
      <c r="G526" s="3" t="s">
        <v>166</v>
      </c>
      <c r="H526" s="3" t="s">
        <v>513</v>
      </c>
    </row>
    <row r="527" customFormat="false" ht="15" hidden="false" customHeight="false" outlineLevel="0" collapsed="false">
      <c r="A527" s="3" t="s">
        <v>506</v>
      </c>
      <c r="B527" s="3" t="n">
        <v>7</v>
      </c>
      <c r="C527" s="3" t="s">
        <v>447</v>
      </c>
      <c r="D527" s="3" t="n">
        <v>38</v>
      </c>
      <c r="E527" s="3" t="s">
        <v>172</v>
      </c>
      <c r="F527" s="3" t="s">
        <v>166</v>
      </c>
      <c r="G527" s="3" t="s">
        <v>166</v>
      </c>
      <c r="H527" s="3" t="s">
        <v>513</v>
      </c>
    </row>
    <row r="528" customFormat="false" ht="15" hidden="false" customHeight="false" outlineLevel="0" collapsed="false">
      <c r="A528" s="3" t="s">
        <v>506</v>
      </c>
      <c r="B528" s="3" t="n">
        <v>8</v>
      </c>
      <c r="C528" s="3" t="s">
        <v>447</v>
      </c>
      <c r="D528" s="3" t="n">
        <v>21</v>
      </c>
      <c r="E528" s="3" t="s">
        <v>165</v>
      </c>
      <c r="F528" s="3" t="s">
        <v>166</v>
      </c>
      <c r="G528" s="3" t="s">
        <v>166</v>
      </c>
      <c r="H528" s="3" t="s">
        <v>514</v>
      </c>
    </row>
    <row r="529" customFormat="false" ht="15" hidden="false" customHeight="false" outlineLevel="0" collapsed="false">
      <c r="A529" s="3" t="s">
        <v>506</v>
      </c>
      <c r="B529" s="3" t="n">
        <v>9</v>
      </c>
      <c r="C529" s="3" t="s">
        <v>447</v>
      </c>
      <c r="D529" s="3" t="n">
        <v>8</v>
      </c>
      <c r="E529" s="3" t="s">
        <v>165</v>
      </c>
      <c r="F529" s="3" t="s">
        <v>166</v>
      </c>
      <c r="G529" s="3" t="s">
        <v>166</v>
      </c>
      <c r="H529" s="3" t="s">
        <v>515</v>
      </c>
    </row>
    <row r="530" customFormat="false" ht="15" hidden="false" customHeight="false" outlineLevel="0" collapsed="false">
      <c r="A530" s="3" t="s">
        <v>506</v>
      </c>
      <c r="B530" s="3" t="n">
        <v>10</v>
      </c>
      <c r="C530" s="3" t="s">
        <v>447</v>
      </c>
      <c r="D530" s="3" t="n">
        <v>41</v>
      </c>
      <c r="E530" s="3" t="s">
        <v>165</v>
      </c>
      <c r="F530" s="3" t="s">
        <v>166</v>
      </c>
      <c r="G530" s="3" t="s">
        <v>166</v>
      </c>
      <c r="H530" s="3" t="s">
        <v>516</v>
      </c>
    </row>
    <row r="531" customFormat="false" ht="15" hidden="false" customHeight="false" outlineLevel="0" collapsed="false">
      <c r="A531" s="3" t="s">
        <v>506</v>
      </c>
      <c r="B531" s="3" t="n">
        <v>11</v>
      </c>
      <c r="C531" s="3" t="s">
        <v>447</v>
      </c>
      <c r="D531" s="3" t="n">
        <v>26</v>
      </c>
      <c r="E531" s="3" t="s">
        <v>165</v>
      </c>
      <c r="F531" s="3" t="s">
        <v>166</v>
      </c>
      <c r="G531" s="3" t="s">
        <v>166</v>
      </c>
      <c r="H531" s="3" t="s">
        <v>517</v>
      </c>
    </row>
    <row r="532" customFormat="false" ht="15" hidden="false" customHeight="false" outlineLevel="0" collapsed="false">
      <c r="A532" s="3" t="s">
        <v>506</v>
      </c>
      <c r="B532" s="3" t="n">
        <v>12</v>
      </c>
      <c r="C532" s="3" t="s">
        <v>447</v>
      </c>
      <c r="D532" s="3" t="n">
        <v>28</v>
      </c>
      <c r="E532" s="3" t="s">
        <v>165</v>
      </c>
      <c r="F532" s="3" t="s">
        <v>166</v>
      </c>
      <c r="G532" s="3" t="s">
        <v>166</v>
      </c>
      <c r="H532" s="3" t="s">
        <v>518</v>
      </c>
    </row>
    <row r="533" customFormat="false" ht="15" hidden="false" customHeight="false" outlineLevel="0" collapsed="false">
      <c r="A533" s="3" t="s">
        <v>506</v>
      </c>
      <c r="B533" s="3" t="n">
        <v>13</v>
      </c>
      <c r="C533" s="3" t="s">
        <v>447</v>
      </c>
      <c r="D533" s="3" t="n">
        <v>26</v>
      </c>
      <c r="E533" s="3" t="s">
        <v>165</v>
      </c>
      <c r="F533" s="3" t="s">
        <v>166</v>
      </c>
      <c r="G533" s="3" t="s">
        <v>166</v>
      </c>
      <c r="H533" s="3" t="s">
        <v>519</v>
      </c>
    </row>
    <row r="534" customFormat="false" ht="15" hidden="false" customHeight="false" outlineLevel="0" collapsed="false">
      <c r="A534" s="3" t="s">
        <v>506</v>
      </c>
      <c r="B534" s="3" t="n">
        <v>13</v>
      </c>
      <c r="C534" s="3" t="s">
        <v>447</v>
      </c>
      <c r="D534" s="3" t="n">
        <v>3</v>
      </c>
      <c r="E534" s="3" t="s">
        <v>172</v>
      </c>
      <c r="F534" s="3" t="s">
        <v>166</v>
      </c>
      <c r="G534" s="3" t="s">
        <v>166</v>
      </c>
      <c r="H534" s="3" t="s">
        <v>519</v>
      </c>
    </row>
    <row r="535" customFormat="false" ht="15" hidden="false" customHeight="false" outlineLevel="0" collapsed="false">
      <c r="A535" s="3" t="s">
        <v>506</v>
      </c>
      <c r="B535" s="3" t="n">
        <v>14</v>
      </c>
      <c r="C535" s="3" t="s">
        <v>447</v>
      </c>
      <c r="D535" s="3" t="n">
        <v>26</v>
      </c>
      <c r="E535" s="3" t="s">
        <v>165</v>
      </c>
      <c r="F535" s="3" t="s">
        <v>166</v>
      </c>
      <c r="G535" s="3" t="s">
        <v>166</v>
      </c>
      <c r="H535" s="3" t="s">
        <v>520</v>
      </c>
    </row>
    <row r="536" customFormat="false" ht="15" hidden="false" customHeight="false" outlineLevel="0" collapsed="false">
      <c r="A536" s="3" t="s">
        <v>506</v>
      </c>
      <c r="B536" s="3" t="n">
        <v>15</v>
      </c>
      <c r="C536" s="3" t="s">
        <v>447</v>
      </c>
      <c r="D536" s="3" t="n">
        <v>41</v>
      </c>
      <c r="E536" s="3" t="s">
        <v>165</v>
      </c>
      <c r="F536" s="3" t="s">
        <v>166</v>
      </c>
      <c r="G536" s="3" t="s">
        <v>166</v>
      </c>
      <c r="H536" s="3" t="s">
        <v>521</v>
      </c>
    </row>
    <row r="537" customFormat="false" ht="15" hidden="false" customHeight="false" outlineLevel="0" collapsed="false">
      <c r="A537" s="3" t="s">
        <v>506</v>
      </c>
      <c r="B537" s="3" t="n">
        <v>16</v>
      </c>
      <c r="C537" s="3" t="s">
        <v>447</v>
      </c>
      <c r="D537" s="3" t="n">
        <v>28</v>
      </c>
      <c r="E537" s="3" t="s">
        <v>165</v>
      </c>
      <c r="F537" s="3" t="s">
        <v>166</v>
      </c>
      <c r="G537" s="3" t="s">
        <v>166</v>
      </c>
      <c r="H537" s="3" t="s">
        <v>522</v>
      </c>
    </row>
    <row r="538" customFormat="false" ht="15" hidden="false" customHeight="false" outlineLevel="0" collapsed="false">
      <c r="A538" s="3" t="s">
        <v>506</v>
      </c>
      <c r="B538" s="3" t="n">
        <v>16</v>
      </c>
      <c r="C538" s="3" t="s">
        <v>447</v>
      </c>
      <c r="D538" s="3" t="n">
        <v>30</v>
      </c>
      <c r="E538" s="3" t="s">
        <v>172</v>
      </c>
      <c r="F538" s="3" t="s">
        <v>166</v>
      </c>
      <c r="G538" s="3" t="s">
        <v>166</v>
      </c>
      <c r="H538" s="3" t="s">
        <v>522</v>
      </c>
    </row>
    <row r="539" customFormat="false" ht="15" hidden="false" customHeight="false" outlineLevel="0" collapsed="false">
      <c r="A539" s="3" t="s">
        <v>506</v>
      </c>
      <c r="B539" s="3" t="n">
        <v>17</v>
      </c>
      <c r="C539" s="3" t="s">
        <v>447</v>
      </c>
      <c r="D539" s="3" t="n">
        <v>26</v>
      </c>
      <c r="E539" s="3" t="s">
        <v>165</v>
      </c>
      <c r="F539" s="3" t="s">
        <v>166</v>
      </c>
      <c r="G539" s="3" t="s">
        <v>166</v>
      </c>
      <c r="H539" s="3" t="s">
        <v>523</v>
      </c>
    </row>
    <row r="540" customFormat="false" ht="15" hidden="false" customHeight="false" outlineLevel="0" collapsed="false">
      <c r="A540" s="3" t="s">
        <v>506</v>
      </c>
      <c r="B540" s="3" t="n">
        <v>17</v>
      </c>
      <c r="C540" s="3" t="s">
        <v>447</v>
      </c>
      <c r="D540" s="3" t="n">
        <v>2</v>
      </c>
      <c r="E540" s="3" t="s">
        <v>172</v>
      </c>
      <c r="F540" s="3" t="s">
        <v>166</v>
      </c>
      <c r="G540" s="3" t="s">
        <v>166</v>
      </c>
      <c r="H540" s="3" t="s">
        <v>523</v>
      </c>
    </row>
    <row r="541" customFormat="false" ht="15" hidden="false" customHeight="false" outlineLevel="0" collapsed="false">
      <c r="A541" s="3" t="s">
        <v>524</v>
      </c>
      <c r="B541" s="3" t="n">
        <v>1</v>
      </c>
      <c r="C541" s="3" t="s">
        <v>447</v>
      </c>
      <c r="D541" s="3" t="n">
        <v>29</v>
      </c>
      <c r="E541" s="3" t="s">
        <v>165</v>
      </c>
      <c r="F541" s="3" t="s">
        <v>166</v>
      </c>
      <c r="G541" s="3" t="s">
        <v>166</v>
      </c>
      <c r="H541" s="3" t="s">
        <v>525</v>
      </c>
    </row>
    <row r="542" customFormat="false" ht="15" hidden="false" customHeight="false" outlineLevel="0" collapsed="false">
      <c r="A542" s="3" t="s">
        <v>524</v>
      </c>
      <c r="B542" s="3" t="n">
        <v>1</v>
      </c>
      <c r="C542" s="3" t="s">
        <v>447</v>
      </c>
      <c r="D542" s="3" t="n">
        <v>41</v>
      </c>
      <c r="E542" s="3" t="s">
        <v>172</v>
      </c>
      <c r="F542" s="3" t="s">
        <v>166</v>
      </c>
      <c r="G542" s="3" t="s">
        <v>166</v>
      </c>
      <c r="H542" s="3" t="s">
        <v>525</v>
      </c>
    </row>
    <row r="543" customFormat="false" ht="15" hidden="false" customHeight="false" outlineLevel="0" collapsed="false">
      <c r="A543" s="3" t="s">
        <v>524</v>
      </c>
      <c r="B543" s="3" t="n">
        <v>2</v>
      </c>
      <c r="C543" s="3" t="s">
        <v>447</v>
      </c>
      <c r="D543" s="3" t="n">
        <v>40</v>
      </c>
      <c r="E543" s="3" t="s">
        <v>165</v>
      </c>
      <c r="F543" s="3" t="s">
        <v>166</v>
      </c>
      <c r="G543" s="3" t="s">
        <v>166</v>
      </c>
      <c r="H543" s="3" t="s">
        <v>526</v>
      </c>
    </row>
    <row r="544" customFormat="false" ht="15" hidden="false" customHeight="false" outlineLevel="0" collapsed="false">
      <c r="A544" s="3" t="s">
        <v>524</v>
      </c>
      <c r="B544" s="3" t="n">
        <v>2</v>
      </c>
      <c r="C544" s="3" t="s">
        <v>447</v>
      </c>
      <c r="D544" s="3" t="n">
        <v>38</v>
      </c>
      <c r="E544" s="3" t="s">
        <v>172</v>
      </c>
      <c r="F544" s="3" t="s">
        <v>166</v>
      </c>
      <c r="G544" s="3" t="s">
        <v>166</v>
      </c>
      <c r="H544" s="3" t="s">
        <v>526</v>
      </c>
    </row>
    <row r="545" customFormat="false" ht="15" hidden="false" customHeight="false" outlineLevel="0" collapsed="false">
      <c r="A545" s="3" t="s">
        <v>524</v>
      </c>
      <c r="B545" s="3" t="n">
        <v>3</v>
      </c>
      <c r="C545" s="3" t="s">
        <v>447</v>
      </c>
      <c r="D545" s="3" t="n">
        <v>29</v>
      </c>
      <c r="E545" s="3" t="s">
        <v>165</v>
      </c>
      <c r="F545" s="3" t="s">
        <v>166</v>
      </c>
      <c r="G545" s="3" t="s">
        <v>166</v>
      </c>
      <c r="H545" s="3" t="s">
        <v>527</v>
      </c>
    </row>
    <row r="546" customFormat="false" ht="15" hidden="false" customHeight="false" outlineLevel="0" collapsed="false">
      <c r="A546" s="3" t="s">
        <v>524</v>
      </c>
      <c r="B546" s="3" t="n">
        <v>4</v>
      </c>
      <c r="C546" s="3" t="s">
        <v>447</v>
      </c>
      <c r="D546" s="3" t="n">
        <v>34</v>
      </c>
      <c r="E546" s="3" t="s">
        <v>165</v>
      </c>
      <c r="F546" s="3" t="s">
        <v>166</v>
      </c>
      <c r="G546" s="3" t="s">
        <v>166</v>
      </c>
      <c r="H546" s="3" t="s">
        <v>528</v>
      </c>
    </row>
    <row r="547" customFormat="false" ht="15" hidden="false" customHeight="false" outlineLevel="0" collapsed="false">
      <c r="A547" s="3" t="s">
        <v>524</v>
      </c>
      <c r="B547" s="3" t="n">
        <v>5</v>
      </c>
      <c r="C547" s="3" t="s">
        <v>447</v>
      </c>
      <c r="D547" s="3" t="n">
        <v>34</v>
      </c>
      <c r="E547" s="3" t="s">
        <v>165</v>
      </c>
      <c r="F547" s="3" t="s">
        <v>166</v>
      </c>
      <c r="G547" s="3" t="s">
        <v>166</v>
      </c>
      <c r="H547" s="3" t="s">
        <v>529</v>
      </c>
    </row>
    <row r="548" customFormat="false" ht="15" hidden="false" customHeight="false" outlineLevel="0" collapsed="false">
      <c r="A548" s="3" t="s">
        <v>524</v>
      </c>
      <c r="B548" s="3" t="n">
        <v>6</v>
      </c>
      <c r="C548" s="3" t="s">
        <v>447</v>
      </c>
      <c r="D548" s="3" t="n">
        <v>35</v>
      </c>
      <c r="E548" s="3" t="s">
        <v>165</v>
      </c>
      <c r="F548" s="3" t="s">
        <v>166</v>
      </c>
      <c r="G548" s="3" t="s">
        <v>166</v>
      </c>
      <c r="H548" s="3" t="s">
        <v>530</v>
      </c>
    </row>
    <row r="549" customFormat="false" ht="15" hidden="false" customHeight="false" outlineLevel="0" collapsed="false">
      <c r="A549" s="3" t="s">
        <v>524</v>
      </c>
      <c r="B549" s="3" t="n">
        <v>7</v>
      </c>
      <c r="C549" s="3" t="s">
        <v>447</v>
      </c>
      <c r="D549" s="3" t="n">
        <v>36</v>
      </c>
      <c r="E549" s="3" t="s">
        <v>165</v>
      </c>
      <c r="F549" s="3" t="s">
        <v>166</v>
      </c>
      <c r="G549" s="3" t="s">
        <v>166</v>
      </c>
      <c r="H549" s="3" t="s">
        <v>531</v>
      </c>
    </row>
    <row r="550" customFormat="false" ht="15" hidden="false" customHeight="false" outlineLevel="0" collapsed="false">
      <c r="A550" s="3" t="s">
        <v>524</v>
      </c>
      <c r="B550" s="3" t="n">
        <v>7</v>
      </c>
      <c r="C550" s="3" t="s">
        <v>447</v>
      </c>
      <c r="D550" s="3" t="n">
        <v>35</v>
      </c>
      <c r="E550" s="3" t="s">
        <v>172</v>
      </c>
      <c r="F550" s="3" t="s">
        <v>166</v>
      </c>
      <c r="G550" s="3" t="s">
        <v>166</v>
      </c>
      <c r="H550" s="3" t="s">
        <v>531</v>
      </c>
    </row>
    <row r="551" customFormat="false" ht="15" hidden="false" customHeight="false" outlineLevel="0" collapsed="false">
      <c r="A551" s="3" t="s">
        <v>524</v>
      </c>
      <c r="B551" s="3" t="n">
        <v>8</v>
      </c>
      <c r="C551" s="3" t="s">
        <v>447</v>
      </c>
      <c r="D551" s="3" t="n">
        <v>35</v>
      </c>
      <c r="E551" s="3" t="s">
        <v>165</v>
      </c>
      <c r="F551" s="3" t="s">
        <v>166</v>
      </c>
      <c r="G551" s="3" t="s">
        <v>166</v>
      </c>
      <c r="H551" s="3" t="s">
        <v>532</v>
      </c>
    </row>
    <row r="552" customFormat="false" ht="15" hidden="false" customHeight="false" outlineLevel="0" collapsed="false">
      <c r="A552" s="3" t="s">
        <v>524</v>
      </c>
      <c r="B552" s="3" t="n">
        <v>8</v>
      </c>
      <c r="C552" s="3" t="s">
        <v>447</v>
      </c>
      <c r="D552" s="3" t="n">
        <v>26</v>
      </c>
      <c r="E552" s="3" t="s">
        <v>172</v>
      </c>
      <c r="F552" s="3" t="s">
        <v>166</v>
      </c>
      <c r="G552" s="3" t="s">
        <v>166</v>
      </c>
      <c r="H552" s="3" t="s">
        <v>532</v>
      </c>
    </row>
    <row r="553" customFormat="false" ht="15" hidden="false" customHeight="false" outlineLevel="0" collapsed="false">
      <c r="A553" s="3" t="s">
        <v>524</v>
      </c>
      <c r="B553" s="3" t="n">
        <v>9</v>
      </c>
      <c r="C553" s="3" t="s">
        <v>447</v>
      </c>
      <c r="D553" s="3" t="n">
        <v>38</v>
      </c>
      <c r="E553" s="3" t="s">
        <v>165</v>
      </c>
      <c r="F553" s="3" t="s">
        <v>166</v>
      </c>
      <c r="G553" s="3" t="s">
        <v>166</v>
      </c>
      <c r="H553" s="3" t="s">
        <v>533</v>
      </c>
    </row>
    <row r="554" customFormat="false" ht="15" hidden="false" customHeight="false" outlineLevel="0" collapsed="false">
      <c r="A554" s="3" t="s">
        <v>524</v>
      </c>
      <c r="B554" s="3" t="n">
        <v>9</v>
      </c>
      <c r="C554" s="3" t="s">
        <v>447</v>
      </c>
      <c r="D554" s="3" t="n">
        <v>19</v>
      </c>
      <c r="E554" s="3" t="s">
        <v>172</v>
      </c>
      <c r="F554" s="3" t="s">
        <v>166</v>
      </c>
      <c r="G554" s="3" t="s">
        <v>166</v>
      </c>
      <c r="H554" s="3" t="s">
        <v>533</v>
      </c>
    </row>
    <row r="555" customFormat="false" ht="15" hidden="false" customHeight="false" outlineLevel="0" collapsed="false">
      <c r="A555" s="3" t="s">
        <v>524</v>
      </c>
      <c r="B555" s="3" t="n">
        <v>10</v>
      </c>
      <c r="C555" s="3" t="s">
        <v>447</v>
      </c>
      <c r="D555" s="3" t="n">
        <v>36</v>
      </c>
      <c r="E555" s="3" t="s">
        <v>165</v>
      </c>
      <c r="F555" s="3" t="s">
        <v>166</v>
      </c>
      <c r="G555" s="3" t="s">
        <v>166</v>
      </c>
      <c r="H555" s="3" t="s">
        <v>534</v>
      </c>
    </row>
    <row r="556" customFormat="false" ht="15" hidden="false" customHeight="false" outlineLevel="0" collapsed="false">
      <c r="A556" s="3" t="s">
        <v>524</v>
      </c>
      <c r="B556" s="3" t="n">
        <v>10</v>
      </c>
      <c r="C556" s="3" t="s">
        <v>447</v>
      </c>
      <c r="D556" s="3" t="n">
        <v>35</v>
      </c>
      <c r="E556" s="3" t="s">
        <v>172</v>
      </c>
      <c r="F556" s="3" t="s">
        <v>166</v>
      </c>
      <c r="G556" s="3" t="s">
        <v>166</v>
      </c>
      <c r="H556" s="3" t="s">
        <v>534</v>
      </c>
    </row>
    <row r="557" customFormat="false" ht="15" hidden="false" customHeight="false" outlineLevel="0" collapsed="false">
      <c r="A557" s="3" t="s">
        <v>524</v>
      </c>
      <c r="B557" s="3" t="n">
        <v>11</v>
      </c>
      <c r="C557" s="3" t="s">
        <v>447</v>
      </c>
      <c r="D557" s="3" t="n">
        <v>11</v>
      </c>
      <c r="E557" s="3" t="s">
        <v>165</v>
      </c>
      <c r="F557" s="3" t="s">
        <v>166</v>
      </c>
      <c r="G557" s="3" t="s">
        <v>166</v>
      </c>
      <c r="H557" s="3" t="s">
        <v>535</v>
      </c>
    </row>
    <row r="558" customFormat="false" ht="15" hidden="false" customHeight="false" outlineLevel="0" collapsed="false">
      <c r="A558" s="3" t="s">
        <v>524</v>
      </c>
      <c r="B558" s="3" t="n">
        <v>12</v>
      </c>
      <c r="C558" s="3" t="s">
        <v>447</v>
      </c>
      <c r="D558" s="3" t="n">
        <v>29</v>
      </c>
      <c r="E558" s="3" t="s">
        <v>165</v>
      </c>
      <c r="F558" s="3" t="s">
        <v>166</v>
      </c>
      <c r="G558" s="3" t="s">
        <v>166</v>
      </c>
      <c r="H558" s="3" t="s">
        <v>536</v>
      </c>
    </row>
    <row r="559" customFormat="false" ht="15" hidden="false" customHeight="false" outlineLevel="0" collapsed="false">
      <c r="A559" s="3" t="s">
        <v>524</v>
      </c>
      <c r="B559" s="3" t="n">
        <v>12</v>
      </c>
      <c r="C559" s="3" t="s">
        <v>447</v>
      </c>
      <c r="D559" s="3" t="n">
        <v>38</v>
      </c>
      <c r="E559" s="3" t="s">
        <v>172</v>
      </c>
      <c r="F559" s="3" t="s">
        <v>166</v>
      </c>
      <c r="G559" s="3" t="s">
        <v>166</v>
      </c>
      <c r="H559" s="3" t="s">
        <v>536</v>
      </c>
    </row>
    <row r="560" customFormat="false" ht="15" hidden="false" customHeight="false" outlineLevel="0" collapsed="false">
      <c r="A560" s="3" t="s">
        <v>524</v>
      </c>
      <c r="B560" s="3" t="n">
        <v>13</v>
      </c>
      <c r="C560" s="3" t="s">
        <v>447</v>
      </c>
      <c r="D560" s="3" t="n">
        <v>34</v>
      </c>
      <c r="E560" s="3" t="s">
        <v>165</v>
      </c>
      <c r="F560" s="3" t="s">
        <v>166</v>
      </c>
      <c r="G560" s="3" t="s">
        <v>166</v>
      </c>
      <c r="H560" s="3" t="s">
        <v>537</v>
      </c>
    </row>
    <row r="561" customFormat="false" ht="15" hidden="false" customHeight="false" outlineLevel="0" collapsed="false">
      <c r="A561" s="3" t="s">
        <v>524</v>
      </c>
      <c r="B561" s="3" t="n">
        <v>13</v>
      </c>
      <c r="C561" s="3" t="s">
        <v>447</v>
      </c>
      <c r="D561" s="3" t="n">
        <v>2</v>
      </c>
      <c r="E561" s="3" t="s">
        <v>172</v>
      </c>
      <c r="F561" s="3" t="s">
        <v>166</v>
      </c>
      <c r="G561" s="3" t="s">
        <v>166</v>
      </c>
      <c r="H561" s="3" t="s">
        <v>537</v>
      </c>
    </row>
    <row r="562" customFormat="false" ht="15" hidden="false" customHeight="false" outlineLevel="0" collapsed="false">
      <c r="A562" s="3" t="s">
        <v>524</v>
      </c>
      <c r="B562" s="3" t="n">
        <v>14</v>
      </c>
      <c r="C562" s="3" t="s">
        <v>447</v>
      </c>
      <c r="D562" s="3" t="n">
        <v>28</v>
      </c>
      <c r="E562" s="3" t="s">
        <v>165</v>
      </c>
      <c r="F562" s="3" t="s">
        <v>166</v>
      </c>
      <c r="G562" s="3" t="s">
        <v>166</v>
      </c>
      <c r="H562" s="3" t="s">
        <v>538</v>
      </c>
    </row>
    <row r="563" customFormat="false" ht="15" hidden="false" customHeight="false" outlineLevel="0" collapsed="false">
      <c r="A563" s="3" t="s">
        <v>524</v>
      </c>
      <c r="B563" s="3" t="n">
        <v>14</v>
      </c>
      <c r="C563" s="3" t="s">
        <v>447</v>
      </c>
      <c r="D563" s="3" t="n">
        <v>19</v>
      </c>
      <c r="E563" s="3" t="s">
        <v>172</v>
      </c>
      <c r="F563" s="3" t="s">
        <v>166</v>
      </c>
      <c r="G563" s="3" t="s">
        <v>166</v>
      </c>
      <c r="H563" s="3" t="s">
        <v>538</v>
      </c>
    </row>
    <row r="564" customFormat="false" ht="15" hidden="false" customHeight="false" outlineLevel="0" collapsed="false">
      <c r="A564" s="3" t="s">
        <v>524</v>
      </c>
      <c r="B564" s="3" t="n">
        <v>15</v>
      </c>
      <c r="C564" s="3" t="s">
        <v>447</v>
      </c>
      <c r="D564" s="3" t="n">
        <v>35</v>
      </c>
      <c r="E564" s="3" t="s">
        <v>165</v>
      </c>
      <c r="F564" s="3" t="s">
        <v>166</v>
      </c>
      <c r="G564" s="3" t="s">
        <v>166</v>
      </c>
      <c r="H564" s="3" t="s">
        <v>539</v>
      </c>
    </row>
    <row r="565" customFormat="false" ht="15" hidden="false" customHeight="false" outlineLevel="0" collapsed="false">
      <c r="A565" s="3" t="s">
        <v>524</v>
      </c>
      <c r="B565" s="3" t="n">
        <v>15</v>
      </c>
      <c r="C565" s="3" t="s">
        <v>447</v>
      </c>
      <c r="D565" s="3" t="n">
        <v>37</v>
      </c>
      <c r="E565" s="3" t="s">
        <v>172</v>
      </c>
      <c r="F565" s="3" t="s">
        <v>166</v>
      </c>
      <c r="G565" s="3" t="s">
        <v>166</v>
      </c>
      <c r="H565" s="3" t="s">
        <v>539</v>
      </c>
    </row>
    <row r="566" customFormat="false" ht="15" hidden="false" customHeight="false" outlineLevel="0" collapsed="false">
      <c r="A566" s="3" t="s">
        <v>540</v>
      </c>
      <c r="B566" s="3" t="n">
        <v>1</v>
      </c>
      <c r="C566" s="3" t="s">
        <v>447</v>
      </c>
      <c r="D566" s="3" t="n">
        <v>40</v>
      </c>
      <c r="E566" s="3" t="s">
        <v>165</v>
      </c>
      <c r="F566" s="3" t="s">
        <v>166</v>
      </c>
      <c r="G566" s="3" t="s">
        <v>166</v>
      </c>
      <c r="H566" s="3" t="s">
        <v>541</v>
      </c>
    </row>
    <row r="567" customFormat="false" ht="15" hidden="false" customHeight="false" outlineLevel="0" collapsed="false">
      <c r="A567" s="3" t="s">
        <v>540</v>
      </c>
      <c r="B567" s="3" t="n">
        <v>2</v>
      </c>
      <c r="C567" s="3" t="s">
        <v>447</v>
      </c>
      <c r="D567" s="3" t="n">
        <v>45</v>
      </c>
      <c r="E567" s="3" t="s">
        <v>165</v>
      </c>
      <c r="F567" s="3" t="s">
        <v>166</v>
      </c>
      <c r="G567" s="3" t="s">
        <v>166</v>
      </c>
      <c r="H567" s="3" t="s">
        <v>542</v>
      </c>
    </row>
    <row r="568" customFormat="false" ht="15" hidden="false" customHeight="false" outlineLevel="0" collapsed="false">
      <c r="A568" s="3" t="s">
        <v>540</v>
      </c>
      <c r="B568" s="3" t="n">
        <v>2</v>
      </c>
      <c r="C568" s="3" t="s">
        <v>447</v>
      </c>
      <c r="D568" s="3" t="n">
        <v>44</v>
      </c>
      <c r="E568" s="3" t="s">
        <v>172</v>
      </c>
      <c r="F568" s="3" t="s">
        <v>166</v>
      </c>
      <c r="G568" s="3" t="s">
        <v>166</v>
      </c>
      <c r="H568" s="3" t="s">
        <v>542</v>
      </c>
    </row>
    <row r="569" customFormat="false" ht="15" hidden="false" customHeight="false" outlineLevel="0" collapsed="false">
      <c r="A569" s="3" t="s">
        <v>540</v>
      </c>
      <c r="B569" s="3" t="n">
        <v>3</v>
      </c>
      <c r="C569" s="3" t="s">
        <v>447</v>
      </c>
      <c r="D569" s="3" t="n">
        <v>31</v>
      </c>
      <c r="E569" s="3" t="s">
        <v>165</v>
      </c>
      <c r="F569" s="3" t="s">
        <v>166</v>
      </c>
      <c r="G569" s="3" t="s">
        <v>166</v>
      </c>
      <c r="H569" s="3" t="s">
        <v>543</v>
      </c>
    </row>
    <row r="570" customFormat="false" ht="15" hidden="false" customHeight="false" outlineLevel="0" collapsed="false">
      <c r="A570" s="3" t="s">
        <v>540</v>
      </c>
      <c r="B570" s="3" t="n">
        <v>3</v>
      </c>
      <c r="C570" s="3" t="s">
        <v>447</v>
      </c>
      <c r="D570" s="3" t="n">
        <v>38</v>
      </c>
      <c r="E570" s="3" t="s">
        <v>172</v>
      </c>
      <c r="F570" s="3" t="s">
        <v>166</v>
      </c>
      <c r="G570" s="3" t="s">
        <v>166</v>
      </c>
      <c r="H570" s="3" t="s">
        <v>543</v>
      </c>
    </row>
    <row r="571" customFormat="false" ht="15" hidden="false" customHeight="false" outlineLevel="0" collapsed="false">
      <c r="A571" s="3" t="s">
        <v>540</v>
      </c>
      <c r="B571" s="3" t="n">
        <v>4</v>
      </c>
      <c r="C571" s="3" t="s">
        <v>447</v>
      </c>
      <c r="D571" s="3" t="n">
        <v>5</v>
      </c>
      <c r="E571" s="3" t="s">
        <v>165</v>
      </c>
      <c r="F571" s="3" t="s">
        <v>166</v>
      </c>
      <c r="G571" s="3" t="s">
        <v>166</v>
      </c>
      <c r="H571" s="3" t="s">
        <v>544</v>
      </c>
    </row>
    <row r="572" customFormat="false" ht="15" hidden="false" customHeight="false" outlineLevel="0" collapsed="false">
      <c r="A572" s="3" t="s">
        <v>540</v>
      </c>
      <c r="B572" s="3" t="n">
        <v>4</v>
      </c>
      <c r="C572" s="3" t="s">
        <v>447</v>
      </c>
      <c r="D572" s="3" t="n">
        <v>8</v>
      </c>
      <c r="E572" s="3" t="s">
        <v>172</v>
      </c>
      <c r="F572" s="3" t="s">
        <v>166</v>
      </c>
      <c r="G572" s="3" t="s">
        <v>166</v>
      </c>
      <c r="H572" s="3" t="s">
        <v>544</v>
      </c>
    </row>
    <row r="573" customFormat="false" ht="15" hidden="false" customHeight="false" outlineLevel="0" collapsed="false">
      <c r="A573" s="3" t="s">
        <v>540</v>
      </c>
      <c r="B573" s="3" t="n">
        <v>5</v>
      </c>
      <c r="C573" s="3" t="s">
        <v>447</v>
      </c>
      <c r="D573" s="3" t="n">
        <v>19</v>
      </c>
      <c r="E573" s="3" t="s">
        <v>165</v>
      </c>
      <c r="F573" s="3" t="s">
        <v>166</v>
      </c>
      <c r="G573" s="3" t="s">
        <v>166</v>
      </c>
      <c r="H573" s="3" t="s">
        <v>545</v>
      </c>
    </row>
    <row r="574" customFormat="false" ht="15" hidden="false" customHeight="false" outlineLevel="0" collapsed="false">
      <c r="A574" s="3" t="s">
        <v>540</v>
      </c>
      <c r="B574" s="3" t="n">
        <v>6</v>
      </c>
      <c r="C574" s="3" t="s">
        <v>447</v>
      </c>
      <c r="D574" s="3" t="n">
        <v>81</v>
      </c>
      <c r="E574" s="3" t="s">
        <v>165</v>
      </c>
      <c r="F574" s="3" t="s">
        <v>166</v>
      </c>
      <c r="G574" s="3" t="s">
        <v>166</v>
      </c>
      <c r="H574" s="3" t="s">
        <v>546</v>
      </c>
    </row>
    <row r="575" customFormat="false" ht="15" hidden="false" customHeight="false" outlineLevel="0" collapsed="false">
      <c r="A575" s="3" t="s">
        <v>540</v>
      </c>
      <c r="B575" s="3" t="n">
        <v>6</v>
      </c>
      <c r="C575" s="3" t="s">
        <v>447</v>
      </c>
      <c r="D575" s="3" t="n">
        <v>80</v>
      </c>
      <c r="E575" s="3" t="s">
        <v>172</v>
      </c>
      <c r="F575" s="3" t="s">
        <v>166</v>
      </c>
      <c r="G575" s="3" t="s">
        <v>166</v>
      </c>
      <c r="H575" s="3" t="s">
        <v>546</v>
      </c>
    </row>
    <row r="576" customFormat="false" ht="15" hidden="false" customHeight="false" outlineLevel="0" collapsed="false">
      <c r="A576" s="3" t="s">
        <v>540</v>
      </c>
      <c r="B576" s="3" t="n">
        <v>7</v>
      </c>
      <c r="C576" s="3" t="s">
        <v>447</v>
      </c>
      <c r="D576" s="3" t="n">
        <v>42</v>
      </c>
      <c r="E576" s="3" t="s">
        <v>165</v>
      </c>
      <c r="F576" s="3" t="s">
        <v>166</v>
      </c>
      <c r="G576" s="3" t="s">
        <v>166</v>
      </c>
      <c r="H576" s="3" t="s">
        <v>547</v>
      </c>
    </row>
    <row r="577" customFormat="false" ht="15" hidden="false" customHeight="false" outlineLevel="0" collapsed="false">
      <c r="A577" s="3" t="s">
        <v>540</v>
      </c>
      <c r="B577" s="3" t="n">
        <v>7</v>
      </c>
      <c r="C577" s="3" t="s">
        <v>447</v>
      </c>
      <c r="D577" s="3" t="n">
        <v>2</v>
      </c>
      <c r="E577" s="3" t="s">
        <v>172</v>
      </c>
      <c r="F577" s="3" t="s">
        <v>166</v>
      </c>
      <c r="G577" s="3" t="s">
        <v>166</v>
      </c>
      <c r="H577" s="3" t="s">
        <v>547</v>
      </c>
    </row>
    <row r="578" customFormat="false" ht="15" hidden="false" customHeight="false" outlineLevel="0" collapsed="false">
      <c r="A578" s="3" t="s">
        <v>540</v>
      </c>
      <c r="B578" s="3" t="n">
        <v>8</v>
      </c>
      <c r="C578" s="3" t="s">
        <v>447</v>
      </c>
      <c r="D578" s="3" t="n">
        <v>11</v>
      </c>
      <c r="E578" s="3" t="s">
        <v>165</v>
      </c>
      <c r="F578" s="3" t="s">
        <v>166</v>
      </c>
      <c r="G578" s="3" t="s">
        <v>166</v>
      </c>
      <c r="H578" s="3" t="s">
        <v>548</v>
      </c>
    </row>
    <row r="579" customFormat="false" ht="15" hidden="false" customHeight="false" outlineLevel="0" collapsed="false">
      <c r="A579" s="3" t="s">
        <v>540</v>
      </c>
      <c r="B579" s="3" t="n">
        <v>8</v>
      </c>
      <c r="C579" s="3" t="s">
        <v>447</v>
      </c>
      <c r="D579" s="3" t="n">
        <v>2</v>
      </c>
      <c r="E579" s="3" t="s">
        <v>172</v>
      </c>
      <c r="F579" s="3" t="s">
        <v>166</v>
      </c>
      <c r="G579" s="3" t="s">
        <v>166</v>
      </c>
      <c r="H579" s="3" t="s">
        <v>548</v>
      </c>
    </row>
    <row r="580" customFormat="false" ht="15" hidden="false" customHeight="false" outlineLevel="0" collapsed="false">
      <c r="A580" s="3" t="s">
        <v>540</v>
      </c>
      <c r="B580" s="3" t="n">
        <v>9</v>
      </c>
      <c r="C580" s="3" t="s">
        <v>447</v>
      </c>
      <c r="D580" s="3" t="n">
        <v>9</v>
      </c>
      <c r="E580" s="3" t="s">
        <v>165</v>
      </c>
      <c r="F580" s="3" t="s">
        <v>166</v>
      </c>
      <c r="G580" s="3" t="s">
        <v>166</v>
      </c>
      <c r="H580" s="3" t="s">
        <v>549</v>
      </c>
    </row>
    <row r="581" customFormat="false" ht="15" hidden="false" customHeight="false" outlineLevel="0" collapsed="false">
      <c r="A581" s="3" t="s">
        <v>540</v>
      </c>
      <c r="B581" s="3" t="n">
        <v>9</v>
      </c>
      <c r="C581" s="3" t="s">
        <v>447</v>
      </c>
      <c r="D581" s="3" t="n">
        <v>38</v>
      </c>
      <c r="E581" s="3" t="s">
        <v>172</v>
      </c>
      <c r="F581" s="3" t="s">
        <v>166</v>
      </c>
      <c r="G581" s="3" t="s">
        <v>166</v>
      </c>
      <c r="H581" s="3" t="s">
        <v>549</v>
      </c>
    </row>
    <row r="582" customFormat="false" ht="15" hidden="false" customHeight="false" outlineLevel="0" collapsed="false">
      <c r="A582" s="3" t="s">
        <v>540</v>
      </c>
      <c r="B582" s="3" t="n">
        <v>10</v>
      </c>
      <c r="C582" s="3" t="s">
        <v>447</v>
      </c>
      <c r="D582" s="3" t="n">
        <v>4</v>
      </c>
      <c r="E582" s="3" t="s">
        <v>165</v>
      </c>
      <c r="F582" s="3" t="s">
        <v>166</v>
      </c>
      <c r="G582" s="3" t="s">
        <v>166</v>
      </c>
      <c r="H582" s="3" t="s">
        <v>550</v>
      </c>
    </row>
    <row r="583" customFormat="false" ht="15" hidden="false" customHeight="false" outlineLevel="0" collapsed="false">
      <c r="A583" s="3" t="s">
        <v>540</v>
      </c>
      <c r="B583" s="3" t="n">
        <v>11</v>
      </c>
      <c r="C583" s="3" t="s">
        <v>447</v>
      </c>
      <c r="D583" s="3" t="n">
        <v>47</v>
      </c>
      <c r="E583" s="3" t="s">
        <v>165</v>
      </c>
      <c r="F583" s="3" t="s">
        <v>166</v>
      </c>
      <c r="G583" s="3" t="s">
        <v>166</v>
      </c>
      <c r="H583" s="3" t="s">
        <v>551</v>
      </c>
    </row>
    <row r="584" customFormat="false" ht="15" hidden="false" customHeight="false" outlineLevel="0" collapsed="false">
      <c r="A584" s="3" t="s">
        <v>540</v>
      </c>
      <c r="B584" s="3" t="n">
        <v>11</v>
      </c>
      <c r="C584" s="3" t="s">
        <v>447</v>
      </c>
      <c r="D584" s="3" t="n">
        <v>50</v>
      </c>
      <c r="E584" s="3" t="s">
        <v>172</v>
      </c>
      <c r="F584" s="3" t="s">
        <v>166</v>
      </c>
      <c r="G584" s="3" t="s">
        <v>166</v>
      </c>
      <c r="H584" s="3" t="s">
        <v>551</v>
      </c>
    </row>
    <row r="585" customFormat="false" ht="15" hidden="false" customHeight="false" outlineLevel="0" collapsed="false">
      <c r="A585" s="3" t="s">
        <v>540</v>
      </c>
      <c r="B585" s="3" t="n">
        <v>12</v>
      </c>
      <c r="C585" s="3" t="s">
        <v>447</v>
      </c>
      <c r="D585" s="3" t="n">
        <v>29</v>
      </c>
      <c r="E585" s="3" t="s">
        <v>165</v>
      </c>
      <c r="F585" s="3" t="s">
        <v>166</v>
      </c>
      <c r="G585" s="3" t="s">
        <v>166</v>
      </c>
      <c r="H585" s="3" t="s">
        <v>552</v>
      </c>
    </row>
    <row r="586" customFormat="false" ht="15" hidden="false" customHeight="false" outlineLevel="0" collapsed="false">
      <c r="A586" s="3" t="s">
        <v>540</v>
      </c>
      <c r="B586" s="3" t="n">
        <v>12</v>
      </c>
      <c r="C586" s="3" t="s">
        <v>447</v>
      </c>
      <c r="D586" s="3" t="n">
        <v>2</v>
      </c>
      <c r="E586" s="3" t="s">
        <v>172</v>
      </c>
      <c r="F586" s="3" t="s">
        <v>166</v>
      </c>
      <c r="G586" s="3" t="s">
        <v>166</v>
      </c>
      <c r="H586" s="3" t="s">
        <v>552</v>
      </c>
    </row>
    <row r="587" customFormat="false" ht="15" hidden="false" customHeight="false" outlineLevel="0" collapsed="false">
      <c r="A587" s="3" t="s">
        <v>540</v>
      </c>
      <c r="B587" s="3" t="n">
        <v>13</v>
      </c>
      <c r="C587" s="3" t="s">
        <v>447</v>
      </c>
      <c r="D587" s="3" t="n">
        <v>54</v>
      </c>
      <c r="E587" s="3" t="s">
        <v>165</v>
      </c>
      <c r="F587" s="3" t="s">
        <v>166</v>
      </c>
      <c r="G587" s="3" t="s">
        <v>166</v>
      </c>
      <c r="H587" s="3" t="s">
        <v>553</v>
      </c>
    </row>
    <row r="588" customFormat="false" ht="15" hidden="false" customHeight="false" outlineLevel="0" collapsed="false">
      <c r="A588" s="3" t="s">
        <v>540</v>
      </c>
      <c r="B588" s="3" t="n">
        <v>14</v>
      </c>
      <c r="C588" s="3" t="s">
        <v>447</v>
      </c>
      <c r="D588" s="3" t="n">
        <v>28</v>
      </c>
      <c r="E588" s="3" t="s">
        <v>165</v>
      </c>
      <c r="F588" s="3" t="s">
        <v>166</v>
      </c>
      <c r="G588" s="3" t="s">
        <v>166</v>
      </c>
      <c r="H588" s="3" t="s">
        <v>554</v>
      </c>
    </row>
    <row r="589" customFormat="false" ht="15" hidden="false" customHeight="false" outlineLevel="0" collapsed="false">
      <c r="A589" s="3" t="s">
        <v>540</v>
      </c>
      <c r="B589" s="3" t="n">
        <v>14</v>
      </c>
      <c r="C589" s="3" t="s">
        <v>447</v>
      </c>
      <c r="D589" s="3" t="n">
        <v>29</v>
      </c>
      <c r="E589" s="3" t="s">
        <v>172</v>
      </c>
      <c r="F589" s="3" t="s">
        <v>166</v>
      </c>
      <c r="G589" s="3" t="s">
        <v>166</v>
      </c>
      <c r="H589" s="3" t="s">
        <v>554</v>
      </c>
    </row>
    <row r="590" customFormat="false" ht="15" hidden="false" customHeight="false" outlineLevel="0" collapsed="false">
      <c r="A590" s="3" t="s">
        <v>540</v>
      </c>
      <c r="B590" s="3" t="n">
        <v>15</v>
      </c>
      <c r="C590" s="3" t="s">
        <v>447</v>
      </c>
      <c r="D590" s="3" t="n">
        <v>34</v>
      </c>
      <c r="E590" s="3" t="s">
        <v>165</v>
      </c>
      <c r="F590" s="3" t="s">
        <v>166</v>
      </c>
      <c r="G590" s="3" t="s">
        <v>166</v>
      </c>
      <c r="H590" s="3" t="s">
        <v>555</v>
      </c>
    </row>
    <row r="591" customFormat="false" ht="15" hidden="false" customHeight="false" outlineLevel="0" collapsed="false">
      <c r="A591" s="3" t="s">
        <v>540</v>
      </c>
      <c r="B591" s="3" t="n">
        <v>15</v>
      </c>
      <c r="C591" s="3" t="s">
        <v>447</v>
      </c>
      <c r="D591" s="3" t="n">
        <v>54</v>
      </c>
      <c r="E591" s="3" t="s">
        <v>172</v>
      </c>
      <c r="F591" s="3" t="s">
        <v>166</v>
      </c>
      <c r="G591" s="3" t="s">
        <v>166</v>
      </c>
      <c r="H591" s="3" t="s">
        <v>555</v>
      </c>
    </row>
    <row r="592" customFormat="false" ht="15" hidden="false" customHeight="false" outlineLevel="0" collapsed="false">
      <c r="A592" s="3" t="s">
        <v>540</v>
      </c>
      <c r="B592" s="3" t="n">
        <v>16</v>
      </c>
      <c r="C592" s="3" t="s">
        <v>447</v>
      </c>
      <c r="D592" s="3" t="n">
        <v>47</v>
      </c>
      <c r="E592" s="3" t="s">
        <v>165</v>
      </c>
      <c r="F592" s="3" t="s">
        <v>166</v>
      </c>
      <c r="G592" s="3" t="s">
        <v>166</v>
      </c>
      <c r="H592" s="3" t="s">
        <v>556</v>
      </c>
    </row>
    <row r="593" customFormat="false" ht="15" hidden="false" customHeight="false" outlineLevel="0" collapsed="false">
      <c r="A593" s="3" t="s">
        <v>540</v>
      </c>
      <c r="B593" s="3" t="n">
        <v>17</v>
      </c>
      <c r="C593" s="3" t="s">
        <v>447</v>
      </c>
      <c r="D593" s="3" t="n">
        <v>41</v>
      </c>
      <c r="E593" s="3" t="s">
        <v>165</v>
      </c>
      <c r="F593" s="3" t="s">
        <v>166</v>
      </c>
      <c r="G593" s="3" t="s">
        <v>166</v>
      </c>
      <c r="H593" s="3" t="s">
        <v>557</v>
      </c>
    </row>
    <row r="594" customFormat="false" ht="15" hidden="false" customHeight="false" outlineLevel="0" collapsed="false">
      <c r="A594" s="3" t="s">
        <v>540</v>
      </c>
      <c r="B594" s="3" t="n">
        <v>18</v>
      </c>
      <c r="C594" s="3" t="s">
        <v>447</v>
      </c>
      <c r="D594" s="3" t="n">
        <v>5</v>
      </c>
      <c r="E594" s="3" t="s">
        <v>165</v>
      </c>
      <c r="F594" s="3" t="s">
        <v>166</v>
      </c>
      <c r="G594" s="3" t="s">
        <v>166</v>
      </c>
      <c r="H594" s="3" t="s">
        <v>558</v>
      </c>
    </row>
    <row r="595" customFormat="false" ht="15" hidden="false" customHeight="false" outlineLevel="0" collapsed="false">
      <c r="A595" s="3" t="s">
        <v>540</v>
      </c>
      <c r="B595" s="3" t="n">
        <v>18</v>
      </c>
      <c r="C595" s="3" t="s">
        <v>447</v>
      </c>
      <c r="D595" s="3" t="n">
        <v>38</v>
      </c>
      <c r="E595" s="3" t="s">
        <v>172</v>
      </c>
      <c r="F595" s="3" t="s">
        <v>166</v>
      </c>
      <c r="G595" s="3" t="s">
        <v>166</v>
      </c>
      <c r="H595" s="3" t="s">
        <v>558</v>
      </c>
    </row>
    <row r="596" customFormat="false" ht="15" hidden="false" customHeight="false" outlineLevel="0" collapsed="false">
      <c r="A596" s="3" t="s">
        <v>540</v>
      </c>
      <c r="B596" s="3" t="n">
        <v>19</v>
      </c>
      <c r="C596" s="3" t="s">
        <v>447</v>
      </c>
      <c r="D596" s="3" t="n">
        <v>48</v>
      </c>
      <c r="E596" s="3" t="s">
        <v>165</v>
      </c>
      <c r="F596" s="3" t="s">
        <v>166</v>
      </c>
      <c r="G596" s="3" t="s">
        <v>166</v>
      </c>
      <c r="H596" s="3" t="s">
        <v>559</v>
      </c>
    </row>
    <row r="597" customFormat="false" ht="15" hidden="false" customHeight="false" outlineLevel="0" collapsed="false">
      <c r="A597" s="3" t="s">
        <v>540</v>
      </c>
      <c r="B597" s="3" t="n">
        <v>19</v>
      </c>
      <c r="C597" s="3" t="s">
        <v>447</v>
      </c>
      <c r="D597" s="3" t="n">
        <v>2</v>
      </c>
      <c r="E597" s="3" t="s">
        <v>172</v>
      </c>
      <c r="F597" s="3" t="s">
        <v>166</v>
      </c>
      <c r="G597" s="3" t="s">
        <v>166</v>
      </c>
      <c r="H597" s="3" t="s">
        <v>559</v>
      </c>
    </row>
    <row r="598" customFormat="false" ht="15" hidden="false" customHeight="false" outlineLevel="0" collapsed="false">
      <c r="A598" s="3" t="s">
        <v>540</v>
      </c>
      <c r="B598" s="3" t="n">
        <v>20</v>
      </c>
      <c r="C598" s="3" t="s">
        <v>447</v>
      </c>
      <c r="D598" s="3" t="n">
        <v>48</v>
      </c>
      <c r="E598" s="3" t="s">
        <v>165</v>
      </c>
      <c r="F598" s="3" t="s">
        <v>166</v>
      </c>
      <c r="G598" s="3" t="s">
        <v>166</v>
      </c>
      <c r="H598" s="3" t="s">
        <v>560</v>
      </c>
    </row>
    <row r="599" customFormat="false" ht="15" hidden="false" customHeight="false" outlineLevel="0" collapsed="false">
      <c r="A599" s="3" t="s">
        <v>561</v>
      </c>
      <c r="B599" s="3" t="n">
        <v>1</v>
      </c>
      <c r="C599" s="3" t="s">
        <v>447</v>
      </c>
      <c r="D599" s="3" t="n">
        <v>56</v>
      </c>
      <c r="E599" s="3" t="s">
        <v>165</v>
      </c>
      <c r="F599" s="3" t="s">
        <v>166</v>
      </c>
      <c r="G599" s="3" t="s">
        <v>166</v>
      </c>
      <c r="H599" s="3" t="s">
        <v>562</v>
      </c>
    </row>
    <row r="600" customFormat="false" ht="15" hidden="false" customHeight="false" outlineLevel="0" collapsed="false">
      <c r="A600" s="3" t="s">
        <v>561</v>
      </c>
      <c r="B600" s="3" t="n">
        <v>1</v>
      </c>
      <c r="C600" s="3" t="s">
        <v>447</v>
      </c>
      <c r="D600" s="3" t="n">
        <v>57</v>
      </c>
      <c r="E600" s="3" t="s">
        <v>172</v>
      </c>
      <c r="F600" s="3" t="s">
        <v>166</v>
      </c>
      <c r="G600" s="3" t="s">
        <v>166</v>
      </c>
      <c r="H600" s="3" t="s">
        <v>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155</v>
      </c>
      <c r="B1" s="1" t="s">
        <v>156</v>
      </c>
      <c r="C1" s="1" t="s">
        <v>162</v>
      </c>
    </row>
    <row r="2" customFormat="false" ht="15" hidden="false" customHeight="false" outlineLevel="0" collapsed="false">
      <c r="A2" s="3" t="s">
        <v>304</v>
      </c>
      <c r="B2" s="3" t="n">
        <v>17</v>
      </c>
      <c r="C2" s="3" t="s">
        <v>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564</v>
      </c>
    </row>
    <row r="3" customFormat="false" ht="15" hidden="false" customHeight="false" outlineLevel="0" collapsed="false">
      <c r="A3" s="5" t="s">
        <v>565</v>
      </c>
      <c r="B3" s="6" t="n">
        <v>8</v>
      </c>
    </row>
    <row r="4" customFormat="false" ht="15" hidden="false" customHeight="false" outlineLevel="0" collapsed="false">
      <c r="A4" s="5" t="s">
        <v>566</v>
      </c>
      <c r="B4" s="6" t="n">
        <v>8</v>
      </c>
    </row>
    <row r="5" customFormat="false" ht="15" hidden="false" customHeight="false" outlineLevel="0" collapsed="false">
      <c r="A5" s="5" t="s">
        <v>567</v>
      </c>
      <c r="B5" s="6" t="n">
        <v>1</v>
      </c>
    </row>
    <row r="7" customFormat="false" ht="15" hidden="false" customHeight="false" outlineLevel="0" collapsed="false">
      <c r="A7" s="7" t="s">
        <v>568</v>
      </c>
    </row>
    <row r="8" customFormat="false" ht="15" hidden="false" customHeight="false" outlineLevel="0" collapsed="false">
      <c r="A8" s="7" t="s">
        <v>569</v>
      </c>
    </row>
    <row r="9" customFormat="false" ht="15" hidden="false" customHeight="false" outlineLevel="0" collapsed="false">
      <c r="A9" s="7" t="s">
        <v>570</v>
      </c>
    </row>
    <row r="10" customFormat="false" ht="15" hidden="false" customHeight="false" outlineLevel="0" collapsed="false">
      <c r="A10" s="7" t="s">
        <v>571</v>
      </c>
    </row>
    <row r="11" customFormat="false" ht="15" hidden="false" customHeight="false" outlineLevel="0" collapsed="false">
      <c r="A11" s="7" t="s">
        <v>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2026-10-17T14:35:23Z</dcterms:created>
  <dc:creator>openpyxl</dc:creator>
  <dc:description/>
  <dc:language>en-US</dc:language>
  <cp:lastModifiedBy/>
  <dcterms:modified xsi:type="dcterms:W3CDTF">2026-10-17T14:35:23Z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