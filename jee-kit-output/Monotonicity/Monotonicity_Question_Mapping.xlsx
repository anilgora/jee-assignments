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3"/>
    <sheet name="Map" sheetId="2" state="visible" r:id="rId4"/>
    <sheet name="Unmapped" sheetId="3" state="visible" r:id="rId5"/>
    <sheet name="Settings" sheetId="4" state="visible" r:id="rId6"/>
  </sheets>
  <definedNames>
    <definedName function="false" hidden="true" localSheetId="0" name="_xlnm._FilterDatabase" vbProcedure="false">Items!$A$1:$K$56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<sst xmlns="http://schemas.openxmlformats.org/spreadsheetml/2006/main" count="2146" uniqueCount="353">
  <si>
    <t xml:space="preserve">No.</t>
  </si>
  <si>
    <t xml:space="preserve">Heading</t>
  </si>
  <si>
    <t xml:space="preserve">Quick Review prompt</t>
  </si>
  <si>
    <t xml:space="preserve">Status</t>
  </si>
  <si>
    <t xml:space="preserve">Added from</t>
  </si>
  <si>
    <t xml:space="preserve">Original no.</t>
  </si>
  <si>
    <t xml:space="preserve">XII graded count</t>
  </si>
  <si>
    <t xml:space="preserve">XII grade</t>
  </si>
  <si>
    <t xml:space="preserve">XIII graded count</t>
  </si>
  <si>
    <t xml:space="preserve">XIII grade</t>
  </si>
  <si>
    <t xml:space="preserve">All mapped questions</t>
  </si>
  <si>
    <t xml:space="preserve">Monotonic function</t>
  </si>
  <si>
    <t xml:space="preserve">Define monotonic function</t>
  </si>
  <si>
    <t xml:space="preserve">Original</t>
  </si>
  <si>
    <t xml:space="preserve">Define monotonic increasing, monotonic decreasing function</t>
  </si>
  <si>
    <t xml:space="preserve">Monotonicity at a point</t>
  </si>
  <si>
    <t xml:space="preserve">What is the condition for a function to be increasing at x=a?</t>
  </si>
  <si>
    <t xml:space="preserve">What is the condition for a function to be decreasing at x=a?</t>
  </si>
  <si>
    <t xml:space="preserve">What to keep in mind while checking increasing/decreasing if one side of x=a is not in domain?</t>
  </si>
  <si>
    <t xml:space="preserve">What is the condition on continuity of a function to define monotonicity?</t>
  </si>
  <si>
    <t xml:space="preserve">Monotonicity in an interval</t>
  </si>
  <si>
    <t xml:space="preserve">What is the condition for a function to be increasing in an interval?</t>
  </si>
  <si>
    <t xml:space="preserve">What is the condition for a function to be decreasing in an interval?</t>
  </si>
  <si>
    <t xml:space="preserve">What is the condition for a function to be non-decreasing in an interval?</t>
  </si>
  <si>
    <t xml:space="preserve">What is the condition for a function to be non-increasing in an interval?</t>
  </si>
  <si>
    <t xml:space="preserve">Derivative approach for monotonicity</t>
  </si>
  <si>
    <t xml:space="preserve">What is the condition on derivative if f(x) is increasing in an interval?</t>
  </si>
  <si>
    <t xml:space="preserve">What is the condition on derivative if f(x) is decreasing in an interval?</t>
  </si>
  <si>
    <t xml:space="preserve">How to find intervals of monotonicity?</t>
  </si>
  <si>
    <t xml:space="preserve">How to check whether a boundary point will be included in interval of increasing/decreasing?</t>
  </si>
  <si>
    <t xml:space="preserve">How to find intervals of monotonicity for non-uniform function?</t>
  </si>
  <si>
    <t xml:space="preserve">What will be monotonic nature of f(g(x)) if monotonic nature of f and g is known?</t>
  </si>
  <si>
    <t xml:space="preserve">Critical points and stationary points</t>
  </si>
  <si>
    <t xml:space="preserve">Define critical points</t>
  </si>
  <si>
    <t xml:space="preserve">Define stationary points</t>
  </si>
  <si>
    <t xml:space="preserve">Always increasing/decreasing based</t>
  </si>
  <si>
    <t xml:space="preserve">How to find unknown in a function if it is always increasing/decreasing? Both methods</t>
  </si>
  <si>
    <t xml:space="preserve">How to check whether a cubic polynomial is monotonic?</t>
  </si>
  <si>
    <t xml:space="preserve">Greatest and Least value</t>
  </si>
  <si>
    <t xml:space="preserve">How to find greatest and least value of a function in an interval with the help of intervals of monotonicity?</t>
  </si>
  <si>
    <t xml:space="preserve">Where will greatest/least value of a continuous function exist in an interval?</t>
  </si>
  <si>
    <t xml:space="preserve">How to check whether a^b is greater/less than b^a?</t>
  </si>
  <si>
    <t xml:space="preserve">Rephrased</t>
  </si>
  <si>
    <t xml:space="preserve">How to find range of a cubic polynomial for an interval of x?</t>
  </si>
  <si>
    <t xml:space="preserve">Proving Inequality</t>
  </si>
  <si>
    <t xml:space="preserve">How to solve questions on proving inequality with the help of monotonicity?</t>
  </si>
  <si>
    <t xml:space="preserve">Rolle's Theorem</t>
  </si>
  <si>
    <t xml:space="preserve">Write statement of Rolle's theorem</t>
  </si>
  <si>
    <t xml:space="preserve">How to verify Rolle's theorem?</t>
  </si>
  <si>
    <t xml:space="preserve">How to find c of Rolle's theorem?</t>
  </si>
  <si>
    <t xml:space="preserve">What can you say about location and count of c of Rolle's theorem?</t>
  </si>
  <si>
    <t xml:space="preserve">How to check whether Rolle's theorem is applicable for any given function?</t>
  </si>
  <si>
    <t xml:space="preserve">What is geometrical definition of Rolle's theorem?</t>
  </si>
  <si>
    <t xml:space="preserve">What is alternate definition of Rolle's theorem?</t>
  </si>
  <si>
    <t xml:space="preserve">What can you say about number of solutions of f'(x)=0 if f(x)=0 has n solutions?</t>
  </si>
  <si>
    <t xml:space="preserve">What can you say about number of solutions of f(x)=0 if f'(x)=0 has m solutions?</t>
  </si>
  <si>
    <t xml:space="preserve">How to check whether a question is of Rolle's theorem?</t>
  </si>
  <si>
    <t xml:space="preserve">How to assume function (on which Rolle's theorem is to be applied) in question of Rolle's theorem?</t>
  </si>
  <si>
    <t xml:space="preserve">Lagrange's Mean Value Theorem (LMVT)</t>
  </si>
  <si>
    <t xml:space="preserve">Write statement of LMVT.</t>
  </si>
  <si>
    <t xml:space="preserve">Prove LMVT with the help of Rolle's Theorem?</t>
  </si>
  <si>
    <t xml:space="preserve">How to verify LMVT?</t>
  </si>
  <si>
    <t xml:space="preserve">How to find c of LMVT?</t>
  </si>
  <si>
    <t xml:space="preserve">What can you say about location and count of c of LMVT?</t>
  </si>
  <si>
    <t xml:space="preserve">How to check whether LMVT is applicable for any given function?</t>
  </si>
  <si>
    <t xml:space="preserve">What is geometrical definition of LMVT?</t>
  </si>
  <si>
    <t xml:space="preserve">How to solve questions of inequality with the help of LMVT by observing pattern l&lt;\dfrac{f(b)-f(a)}{b-a}&lt;m?</t>
  </si>
  <si>
    <t xml:space="preserve">Plotting the graph</t>
  </si>
  <si>
    <t xml:space="preserve">How to plot graph of a function by finding limit, intervals of monotonicity?</t>
  </si>
  <si>
    <t xml:space="preserve">How to plot graph of a cubic polynomial?</t>
  </si>
  <si>
    <t xml:space="preserve">How to plot graph of quadratic/quadratic?</t>
  </si>
  <si>
    <t xml:space="preserve">Asymptote</t>
  </si>
  <si>
    <t xml:space="preserve">What is the condition if x=a is a vertical asymptote for y=f(x)?</t>
  </si>
  <si>
    <t xml:space="preserve">What is the condition if y=a is a horizontal asymptote for y=f(x)?</t>
  </si>
  <si>
    <t xml:space="preserve">What is the condition if y=mx+b is an asymptote for y=f(x)?</t>
  </si>
  <si>
    <t xml:space="preserve">How to find vertical asymptote for a rational function?</t>
  </si>
  <si>
    <t xml:space="preserve">What is the condition if horizontal asymptote exists for a rational function and how to find it?</t>
  </si>
  <si>
    <t xml:space="preserve">What is the condition if inclined asymptote exists for a rational function and how to find it?</t>
  </si>
  <si>
    <t xml:space="preserve">Miscellaneous</t>
  </si>
  <si>
    <t xml:space="preserve">How to find the number of real roots of f(x)=0 (or the number of points where y=f(x) cuts the x-axis) using monotonicity?</t>
  </si>
  <si>
    <t xml:space="preserve">Added</t>
  </si>
  <si>
    <t xml:space="preserve">J-II 42, 76; J-A 2.03, 2.13; J-M(XII) 7, 11, 14, 29, 33, 34, 51; J-M(XIII) 17, 19, 24, 29, 40; QB 153, 158, 159, 170, 171, 173</t>
  </si>
  <si>
    <t xml:space="preserve">How to solve an inequality of the type f(A(x))&gt;f(B(x)) when f is monotonic?</t>
  </si>
  <si>
    <t xml:space="preserve">J-II 31, 32; C-I 9; J-M(XII) 31</t>
  </si>
  <si>
    <t xml:space="preserve">Source</t>
  </si>
  <si>
    <t xml:space="preserve">Q no.</t>
  </si>
  <si>
    <t xml:space="preserve">Group</t>
  </si>
  <si>
    <t xml:space="preserve">Item no.</t>
  </si>
  <si>
    <t xml:space="preserve">Role</t>
  </si>
  <si>
    <t xml:space="preserve">Graded in XII</t>
  </si>
  <si>
    <t xml:space="preserve">Graded in XIII</t>
  </si>
  <si>
    <t xml:space="preserve">Question (English, truncated)</t>
  </si>
  <si>
    <t xml:space="preserve">J-I</t>
  </si>
  <si>
    <t xml:space="preserve">Sheet</t>
  </si>
  <si>
    <t xml:space="preserve">Main</t>
  </si>
  <si>
    <t xml:space="preserve">N</t>
  </si>
  <si>
    <t xml:space="preserve">The function f (x) = tan  2  is :  1 x   1  x2  Qyu f (x) = tan  –1  1 x </t>
  </si>
  <si>
    <t xml:space="preserve">If f (x) = xex(1 – x), then f(x) is :  1   1   2   2   1   1   2   2 </t>
  </si>
  <si>
    <t xml:space="preserve">A function is matched below against an interval whre it is supposed to be increasing. Which of the follownig pairs is incorrectly matched? i</t>
  </si>
  <si>
    <t xml:space="preserve">The function f(x) = tan-1 (sinx + cosx) is an increasing function in :</t>
  </si>
  <si>
    <t xml:space="preserve">Also</t>
  </si>
  <si>
    <t xml:space="preserve">The function f : [a, )  R where R denotes the range corresponding to the given domain, with rule f (x) = 2x3 – 3x2 + 6, will have an inver</t>
  </si>
  <si>
    <t xml:space="preserve">Let f (x) = x – then which one of the following statement is true : x 1 x</t>
  </si>
  <si>
    <t xml:space="preserve">If the function f (x) = 2 x2  k x + 5 is increasing in [1, 2] , then ' k ' lies in the interval :</t>
  </si>
  <si>
    <t xml:space="preserve">Consider the following behaviours of function in (–1, 1) I. Increasing II. Decreasing III. Continuity IV. Derivability Which one of the foll</t>
  </si>
  <si>
    <t xml:space="preserve">Consider the following statements S and R S : Both sin x &amp; cos x are decreasing functions in the interval (/2, ). R : If a differentiable </t>
  </si>
  <si>
    <t xml:space="preserve">Number of critical points of the function, f(x) = 3 2 1  x    12  12 cos 2 t  3  t dt which lie in the interval [2, 2] is : x 2 x </t>
  </si>
  <si>
    <t xml:space="preserve">Let f (x) =  3 , then the number of critical points on the graph of the function is :    x  2  if x  1  x 3/5 if x  1    x  2</t>
  </si>
  <si>
    <t xml:space="preserve">Let a function f be defined as f(x) =  x 2  1 , Then the number of critical point(s) on the graph of  2 x if x  1 this function is/are</t>
  </si>
  <si>
    <t xml:space="preserve">Suppose that f is a polynomial of degree 3 and that f ''(x)  0 at any of the stationary point. Then :</t>
  </si>
  <si>
    <t xml:space="preserve">The set of all values of ' a ' for which the function , f (x) = (a2  3 a + 2)  cos  sin 2  + (a  1) x + sin 1 does  4 4 not possess c</t>
  </si>
  <si>
    <t xml:space="preserve">For all x  (0, 1) :</t>
  </si>
  <si>
    <t xml:space="preserve">The true set of real values of x for which the function, f(x) = x n x – x + 1 is positive is :</t>
  </si>
  <si>
    <t xml:space="preserve">The set of all x for which n (1 + x)  x is equal to :</t>
  </si>
  <si>
    <t xml:space="preserve">The equation sin x + x cos x = 0 has at least one root in :     3     2   2   2</t>
  </si>
  <si>
    <t xml:space="preserve">Let f(x) = (x – 4) (x – 5) (x – 6) (x – 7) then :</t>
  </si>
  <si>
    <t xml:space="preserve">Let a, b, c, d are non-zero real numbers such that 6a + 4b + 3c + 3d = 0, then the equation ax3 + bx2 + cx + d = 0 has :</t>
  </si>
  <si>
    <t xml:space="preserve">If the equation anxn + an–1 xn–1 + .... + a1x = 0 ; a1  0, n  2, has a positive root x = , then the equation nanxn–1 + (n – 1) an–1 xn–2 </t>
  </si>
  <si>
    <t xml:space="preserve">If f and g are differentiable functions in [0, 1] satisfying f(0) = 2 =g(1), g(0) = 0 and f(1) = 6, then for some c]0, 1 [ [JEE(Main)2014]</t>
  </si>
  <si>
    <t xml:space="preserve">Let f (x) = x + x on [1, 4]. The mean value theorem says that there must be some number 'c' between 1 and 4 so that f '(c) is equal to the a</t>
  </si>
  <si>
    <t xml:space="preserve">Let f be differentiable for all x. If f(1) = – 2 and f (x)  2 for x  [1, 6], then :</t>
  </si>
  <si>
    <t xml:space="preserve">A value of C for which the conclusion of Mean Value Theorem holds for the function f(x) = logex on the interval [1, 3] is : 1 2 e</t>
  </si>
  <si>
    <t xml:space="preserve">Which one of the following statements does not hold good for the function f(x) = cos–1(2x2 – 1)?</t>
  </si>
  <si>
    <t xml:space="preserve">J-II</t>
  </si>
  <si>
    <t xml:space="preserve">Find the intervals of monotonocity for the following functions &amp; represent your solution set on the number line. 2 (a) f(x) = 2. e x  4x (b</t>
  </si>
  <si>
    <t xml:space="preserve">Find the intervals of monotonocity of the functions in [0, 2] (a) f(x) = sin x – cos x in x [0 , 2 ] (b) g(x) = 2 sinx + cos 2x in (0  x</t>
  </si>
  <si>
    <t xml:space="preserve">Let f (x) = x3  x2 + x + 1 and g(x) =  . Discuss the conti. &amp; differentiability of  3 x ,1  x  2 g(x) in the interval (0,2).  max{f </t>
  </si>
  <si>
    <t xml:space="preserve">Let f (x) = 1 – x – x3. Find all real values of x satisfying the inequality, 1 – f (x) – f 3(x) &gt; f (1 – 5x)</t>
  </si>
  <si>
    <t xml:space="preserve">Let f (x) be a increasing function defined on (0, ). If f (2a2 + a + 1) &gt; f (3a2 – 4a + 1). Find the range of a.</t>
  </si>
  <si>
    <t xml:space="preserve">Find the set of all values of the parameter 'a' for which the function, f(x) = sin 2x – 8(a + 1)sin x + (4a2 + 8a – 14)x increases for all x</t>
  </si>
  <si>
    <t xml:space="preserve">Find all the values of the parameter 'a' for which the function; f(x) = 8ax  a sin 6x  7x  sin 5x increases and has no critical points fo</t>
  </si>
  <si>
    <t xml:space="preserve">Find the set of values of 'a' for which x the function f (x) = (a2 + a – 6)cos 2x + (a – 2)x + cos 1 has no critical points.  7 5</t>
  </si>
  <si>
    <t xml:space="preserve">Find the values of 'a' for which the function f(x) = sin x  a sin2x  sin3x + 2ax increases throughout the number 3 line.</t>
  </si>
  <si>
    <t xml:space="preserve">Find the set of values of 'a' for which the function, f(x) =  1   x + 5x + 7 is increasing at  a 1    every point of its domain.  2</t>
  </si>
  <si>
    <t xml:space="preserve">If f (x) = 2ex – ae–x + (2a + 1)x  3 monotonically increases for every x  R then find the range of values of ‘a’.</t>
  </si>
  <si>
    <t xml:space="preserve">Find the set of values of x for which the inequality ln (1 + x) &gt; x/(1 + x) is valid.</t>
  </si>
  <si>
    <t xml:space="preserve">Prove that, x2 – 1 &gt; 2x ln x &gt; 4(x – 1) – 2 ln x for x &gt; 1.</t>
  </si>
  <si>
    <t xml:space="preserve">Let f, g be differentiable on R and suppose that f (0) = g (0) and f ' (x)  g ' (x) for all x  0. Show that f (x)  g (x) for all x  0.</t>
  </si>
  <si>
    <t xml:space="preserve">Show that exactly two real values of x satisfy the equation x2 = x sinx + cos x.</t>
  </si>
  <si>
    <t xml:space="preserve">Find the greatest &amp; the least values of the following functions in the given interval if they exist : x  1  (a) f (x) = sin1  ln x in  </t>
  </si>
  <si>
    <t xml:space="preserve">Find the minimum value of the function f (x) = x 2  x 2  4  x   for all permissible real x.  x 3 3  1  x</t>
  </si>
  <si>
    <t xml:space="preserve">If b &gt; a, find the minimum value of (x  a)3+ (x  b)3, x  R.</t>
  </si>
  <si>
    <t xml:space="preserve">L et f (x) = 4x 3  3x2  2x + 1, use Rolle's theorem to prove that there exist c, 0&lt; c &lt;1 such that f(c) = 0. gSA</t>
  </si>
  <si>
    <t xml:space="preserve">Let f and g be functions, continuous in [a, b] and differentiable on [a, b]. If f (a) = f(b) = 0 then show that there is a point c  (a, b) </t>
  </si>
  <si>
    <t xml:space="preserve">Assume that f is continuous on [a, b], a &gt; 0 and differentiable on an open interval (a, b). Show that if f (a ) f (b) = , then there exist x</t>
  </si>
  <si>
    <t xml:space="preserve">f (x) and g (x) are differentiable functions for 0  x  2 such that f (0) = 5, g (0) = 0, f (2) = 8, g (2) = 1. Show that there exists a nu</t>
  </si>
  <si>
    <t xml:space="preserve">If p (x) = 51x101 – 2323x100 – 45x + 1035, using Rolle's theorem, prove that at least one root of p(x) lies between (451/100, 46).</t>
  </si>
  <si>
    <t xml:space="preserve">Let f : R  R be a twice differentiable function such that f (a) = 0, f (b) = 2, f (c) = – 1, f (d) = 2, f (e) = 0, where 2 a &lt; b &lt; c &lt; d &lt; </t>
  </si>
  <si>
    <t xml:space="preserve">Let f be continuous on [a, b] and differentiable on (a, b). If f (a) = a and f (b) = b, show that there exist distinct c1, c2 in (a, b) such</t>
  </si>
  <si>
    <t xml:space="preserve">For what value of a, m and b does the function f (x) =   x  3x  a 0  x  1 satisfy the hypothesis of the mean  mx  b 1 x  2  value</t>
  </si>
  <si>
    <t xml:space="preserve">Let a &gt; 0 and f be continuous in [–a, a]. Suppose that f ' (x) exists and f ' (x)  1 for all x  (–a, a). If f (a) = a and f (– a) = – a, s</t>
  </si>
  <si>
    <t xml:space="preserve">Let f be a differentiable function for all x and that | f ' (x) |  2 for all x. If f (1) = 2 and f (4) = 8 then compute the value of f 2(2)</t>
  </si>
  <si>
    <t xml:space="preserve">Find the greatest &amp; least value for the function : (a) y = x + sin 2x, 0  x  2  (b) y = 2 cos 2x  cos 4x , 0  x   (a) y = x + sin 2x </t>
  </si>
  <si>
    <t xml:space="preserve">Prove that sin x  2x   x   0,  . (Justify the inequality, if any used). [JEE 2004]   2 3x ·(x  1)     2</t>
  </si>
  <si>
    <t xml:space="preserve">The number of distinct real roots of x4 – 4x3 + 12x2 + x – 1 = 0 is. [JEE-2011]</t>
  </si>
  <si>
    <t xml:space="preserve">The graph of the derivative f ' of a continuous function f is shown with f (0) = 0. If : (i) f is monotomic increasing in the interval [a, b</t>
  </si>
  <si>
    <t xml:space="preserve">The graph of the derivative f ' of a continuous function f is shown with f (0) = 0 : (i) On what intervals is f increasing or decreasing? (i</t>
  </si>
  <si>
    <t xml:space="preserve">For a = 1 if y = f (x) is strictly increasing  x  R then maximum range of values of b is :  1 1  1   3 3  3 </t>
  </si>
  <si>
    <t xml:space="preserve">For b = 1, if y = f (x) is non monotonic then the sum of all the integral values of a  [1, 100], is :</t>
  </si>
  <si>
    <t xml:space="preserve">The interval in which f is increasing is :</t>
  </si>
  <si>
    <t xml:space="preserve">If f is defined from R – {–1, 1}  R then f is :</t>
  </si>
  <si>
    <t xml:space="preserve">Which one of the following statement does not hold good for the rational function f (x)?</t>
  </si>
  <si>
    <t xml:space="preserve">  If cot cot 1 f ( x )  k , has exactly two distinct real solutions then the integral value of 'k' can be :  </t>
  </si>
  <si>
    <t xml:space="preserve">If the range of the function f (x) lies between the roots of g (x) = 0 then the number of integral values of m equals :</t>
  </si>
  <si>
    <t xml:space="preserve">Which of the following is true?</t>
  </si>
  <si>
    <t xml:space="preserve">Let g (x) =  2 dt 0 1 t Which of the following is true? [JEE-2008] ex f ' (t ) 0 1 t</t>
  </si>
  <si>
    <t xml:space="preserve">The function f(x) =  1  t dt is such that : 0 x 0</t>
  </si>
  <si>
    <t xml:space="preserve">Which of the following functions fail to satisfy the condition of Rolle's theorem on the interval [– 1, 1], where [x] denotes the greatest i</t>
  </si>
  <si>
    <t xml:space="preserve">Which of the following is/are correct?</t>
  </si>
  <si>
    <t xml:space="preserve">A parabola of the form y = ax2 + bx + c with a &gt; 0 intersects the graph of f (x) = 2 . Number of possible x 4 distinct intersection(s) of t</t>
  </si>
  <si>
    <t xml:space="preserve">If f (x) =  then :  37  x , 2x3 3 x 2  12 x  1 , 1  x  2  37  x , 2x3</t>
  </si>
  <si>
    <t xml:space="preserve">Assume that inverse of the function f is denoted by g. Then which of the following statement hold good?</t>
  </si>
  <si>
    <t xml:space="preserve">If f(x) is continuous and derivable  x  R and f ' (c) = 0 for exactly 2 real values of 'c' then the number of real and distinct values of </t>
  </si>
  <si>
    <t xml:space="preserve">Consider the function f : R  R defined as f (x) = x + sin x. Which of the following is/are the correct statement(s)? the derivative of f (x</t>
  </si>
  <si>
    <t xml:space="preserve">The function f(x) = 2 n (x – 2) – x2 + 4x + 1 increases in the intervals : 5  2 </t>
  </si>
  <si>
    <t xml:space="preserve">I f f(x) = 2x + cot –1 x + log  1  x  x  , then f(x) : 2 2</t>
  </si>
  <si>
    <t xml:space="preserve">Let g(x) = 2f(x/2) + f(1 – x) and f(x) &lt; 0 in 0  x  1 then g(x) :  2 2   3 3   2 2   3 3   2 2   3 3   2 2  </t>
  </si>
  <si>
    <t xml:space="preserve">If f(x) = tan–1x – (1/2) n x. Then :  1   3   1   3   1   3   1   3 </t>
  </si>
  <si>
    <t xml:space="preserve">If f(x) = log (x – 2) – , then : x 1 x</t>
  </si>
  <si>
    <t xml:space="preserve">The function f (x) =  x if  1  x  1 :  (x  2)2 if x  1  x  2 if x  1  2 ;fn Qyu f (x) =  x if  1  x  1 :  (x  2) if x  1</t>
  </si>
  <si>
    <t xml:space="preserve">Consider the function f (x) =  cos tan   1  sin (cot x)    . Which of the following is correct? 1 2  </t>
  </si>
  <si>
    <t xml:space="preserve">Consider a real valued continuous function f (x) defined on the interval [a, b]. Which of the following statements does not hold(s) good? b </t>
  </si>
  <si>
    <t xml:space="preserve">Let the function g : (– , )    ,  be given by g (u) = 2 tan–1(eu) – . Then, g is :  2 2 2     2 2   2</t>
  </si>
  <si>
    <t xml:space="preserve">For the function f (x)  x cos , x  1 : [JEE-2009] x  f (x) = 1 1 x  f (x) = 1</t>
  </si>
  <si>
    <t xml:space="preserve">Match the following column : Column – I Column – II sin x ex 1 3 2 2   1x  x  e –1  , x [–1,1] –{0}  1  (S) At least one condit</t>
  </si>
  <si>
    <t xml:space="preserve">In the following [x] denotes the greatest integer less than or equal to x. Match the functions in Column I with the properties in Column II </t>
  </si>
  <si>
    <t xml:space="preserve">J-A</t>
  </si>
  <si>
    <t xml:space="preserve">2.01</t>
  </si>
  <si>
    <t xml:space="preserve">Y</t>
  </si>
  <si>
    <t xml:space="preserve">Let f(x) = (1 – x)^2 sin^2 x + x^2 for all x ∈ R and let g(x) = ∫_1^x (2(t – 1)/(t + 1) – ln t) f(t) dt for all x ∈ (1, ∞). Which of the fol</t>
  </si>
  <si>
    <t xml:space="preserve">2.02</t>
  </si>
  <si>
    <t xml:space="preserve">(Same f) Consider the statements P : There exists some x ∈ R such that f(x) + 2x = 2(1 + x^2); Q : There exists some x ∈ R such that 2f(x) +</t>
  </si>
  <si>
    <t xml:space="preserve">2.03</t>
  </si>
  <si>
    <t xml:space="preserve">The number of points in (–∞, ∞), for which x^2 – x sin x – cos x = 0, is : [JEE(Adv.)2013]</t>
  </si>
  <si>
    <t xml:space="preserve">2.04</t>
  </si>
  <si>
    <t xml:space="preserve">For every pair of continuous functions f, g : [0,1] → R such that max {f(x): x ∈ [0,1]} = max {g(x): x ∈ [0,1]}, the correct statement(s) is</t>
  </si>
  <si>
    <t xml:space="preserve">2.05</t>
  </si>
  <si>
    <t xml:space="preserve">Let f, g : [–1, 2] → R be continuous functions which are twice differentiable on (–1, 2), with f(–1)=3, f(0)=6, f(2)=0, g(–1)=0, g(0)=1, g(2</t>
  </si>
  <si>
    <t xml:space="preserve">2.06</t>
  </si>
  <si>
    <t xml:space="preserve">Let f(x) = x + log_e x – x log_e x, x ∈ (0, ∞). Columns: zeros of f, f', f''; limits at infinity; increasing/decreasing nature of f, f'. Whi</t>
  </si>
  <si>
    <t xml:space="preserve">2.07</t>
  </si>
  <si>
    <t xml:space="preserve">(Same f(x) = x + log_e x – x log_e x) Which of the following options is the only CORRECT combination? [JEE(Adv.)2017]</t>
  </si>
  <si>
    <t xml:space="preserve">2.08</t>
  </si>
  <si>
    <t xml:space="preserve">(Same f(x) = x + log_e x – x log_e x) Which of the following options is the only INCORRECT combination? [JEE(Adv.)2017]</t>
  </si>
  <si>
    <t xml:space="preserve">2.09</t>
  </si>
  <si>
    <t xml:space="preserve">If f : R → R is a twice differentiable function such that f''(x) &gt; 0 for all x ∈ R, and f(1/2) = 1/2, f(1) = 1, then : [JEE(Adv.)2017]</t>
  </si>
  <si>
    <t xml:space="preserve">2.10</t>
  </si>
  <si>
    <t xml:space="preserve">For every twice differentiable function f : R → [–2, 2] with (f(0))^2 + (f'(0))^2 = 85, which of the following statement(s) is (are) TRUE? [</t>
  </si>
  <si>
    <t xml:space="preserve">2.11</t>
  </si>
  <si>
    <t xml:space="preserve">Let f : R → R be defined by f(x) = (x^2 – 3x – 6)/(x^2 + 2x + 4). Then which of the following statements is (are) TRUE? [JEE(Adv.)2021]</t>
  </si>
  <si>
    <t xml:space="preserve">2.12</t>
  </si>
  <si>
    <t xml:space="preserve">Let S be the set of all twice differentiable functions f from R to R such that d^2f/dx^2 (x) &gt; 0 for all x ∈ (–1, 1). For f ∈ S, let X_f be </t>
  </si>
  <si>
    <t xml:space="preserve">2.13</t>
  </si>
  <si>
    <t xml:space="preserve">Let f : R → R be defined by f(x) = (sin x / e^{πx}) (x^2023 + 2024x + 2025)/(x^2 – x + 3) + (2/e^{πx}) (x^2023 + 2024x + 2025)/(x^2 – x + 3)</t>
  </si>
  <si>
    <t xml:space="preserve">3.01</t>
  </si>
  <si>
    <t xml:space="preserve">If f(x) = ∫_0^x e^{t^2} (t – 2)(t – 3) dt for all x ∈ (0, ∞), then : [JEE-2012]</t>
  </si>
  <si>
    <t xml:space="preserve">3.12</t>
  </si>
  <si>
    <t xml:space="preserve">Let f : R → R be given by f(x) = x^5 + 5x^4 + 10x^3 + 10x^2 + 3x + 1 (x &lt; 0); x^2 – x + 1 (0 ≤ x &lt; 1); (2/3)x^3 – 4x^2 + 7x – 8/3 (1 ≤ x &lt; 3</t>
  </si>
  <si>
    <t xml:space="preserve">C-I</t>
  </si>
  <si>
    <t xml:space="preserve">If f(x) = 4x3  x2  2x + 1 and g(x) =  then g   + g   + g   has 3  x ; 1 x  2  4   4   4 the value equal to :  Min f (t)</t>
  </si>
  <si>
    <t xml:space="preserve">Let f(x) = x3 – 3x2 + 2x. If the equation f(x) = k has exactly one positive and one negative solution then the value of k equals : 2 3 2 2 1</t>
  </si>
  <si>
    <t xml:space="preserve">Let f (x) and g (x) be two continuous functions defined from R  R, such that f (x1) &gt; f (x2) and g(x1) &lt; g (x2),  x1 &gt; x2, then solution </t>
  </si>
  <si>
    <t xml:space="preserve">Given f ' (1) = 1 and f (2x )   f ' ( x )  x &gt; 0. If f ' (x) is differentiable then there exists a number c  (2, 4) dx such that f '' (</t>
  </si>
  <si>
    <t xml:space="preserve">If f(x) = ; g(x) = where 0 &lt; x &lt; 1, then : 2  2 cos x 6x  6sin x x2 x2 2  2 cos x 6x  6sin x</t>
  </si>
  <si>
    <t xml:space="preserve">Let f (x) =  . Rolle’s theorem is applicable to f for x [0, 1], if = 0, x0 x  lnx , x  0  0, x0</t>
  </si>
  <si>
    <t xml:space="preserve">If f is a strictly increasing function, then Lim is equal to : x 0 f (x)  f (0) f (x 2 )  f (x) x 0 f (x)  f (0)</t>
  </si>
  <si>
    <t xml:space="preserve">Given that f (x) is continuously differentiable on a  x  b where a &lt; b, f (a) &lt; 0 and f (b) &gt; 0, which of the following are always true? (</t>
  </si>
  <si>
    <t xml:space="preserve">Let h be a twice continuously differentiable positive function on an open interval J. Let g(x) = ln h ( x )  for each xJ Suppose h ' ( x</t>
  </si>
  <si>
    <t xml:space="preserve">Let f, g and h be real-valued functions defined on the interval [0, 1] by f (x) = e  e  x , g(x) = x e x  e  x and 2 x2 2 h(x) = x e  e</t>
  </si>
  <si>
    <t xml:space="preserve">Which of the following functions do not satisfy conditions of Rolle's Theorem?    3  2  2 1    x  2 2</t>
  </si>
  <si>
    <t xml:space="preserve">The function y = 2x2 – n |x| is monotonically increasing in the interval 1 and montonically decreasing in the interval 2, x ( 0), then :</t>
  </si>
  <si>
    <t xml:space="preserve">Which of the following statements is/are TRUE? x  x   x 1 x   x  x  x   x 1 x   x </t>
  </si>
  <si>
    <t xml:space="preserve">A function f is defined by f (x) =  cos t cos(x  t )dt , 0  x  2 then which of the following hold(s) good : 0  2  0  2</t>
  </si>
  <si>
    <t xml:space="preserve">Consider the function f (x) = x2 – x sin x – cos x then the statements which holds good, are :  f (x )    f (x )    y</t>
  </si>
  <si>
    <t xml:space="preserve">For the function f (x) = ln (1 – ln x) which of the following do not hold good?</t>
  </si>
  <si>
    <t xml:space="preserve">Which of the following statement(s) is/are True : for all x, y in [0, 1]. x  x  at least a root in R b b a a | f (x) – f (y) |  c,  x</t>
  </si>
  <si>
    <t xml:space="preserve">C-II</t>
  </si>
  <si>
    <t xml:space="preserve">Let f (x) = 1   and g (x) = 1   , both f and g being defined for x &gt; 0, then prove that  x  x f(x) is increasing and g (x) is decr</t>
  </si>
  <si>
    <t xml:space="preserve">Prove that tan2x + 6 ln secx + 2cos x + 4 &gt; 6 sec x for x   , 2 .  2   3   2 </t>
  </si>
  <si>
    <t xml:space="preserve">If f, ,  are continuous in [a, b] and derivable in ]a, b[ then show that there is a value of c lying between a and b f (a ) f (b) f (c) s</t>
  </si>
  <si>
    <t xml:space="preserve">Using LMVT prove that :   (a) tan x &gt; x in  0,  , (b) sin x &lt; x for x &gt; 0  2   (a) tan x &gt; x in  0,  , (b) sin x &lt; x for x &gt; 0 </t>
  </si>
  <si>
    <t xml:space="preserve">Let f defined on [0, 1] be a twice differentiable function such that, | f " (x) |  1 for all x  [0, 1] If f (0) = f (1), then show that, |</t>
  </si>
  <si>
    <t xml:space="preserve">Let f be continuous on [a, b] and assume the second derivative f " exists on (a, b). Suppose that the graph of f and the line segment joinin</t>
  </si>
  <si>
    <t xml:space="preserve">L et – 1 &lt; p &lt; 1. Show that the equation 4x3 – 3x – p = 0 has a unique root in the interval  , 1 and identify it. 2   1  2  1 </t>
  </si>
  <si>
    <t xml:space="preserve">(a) Using the relation 2(1 – cosx) &lt; x2 , x  0 or otherwise, prove that sin (tanx) &gt; x ,  x 0,  .  4    4</t>
  </si>
  <si>
    <t xml:space="preserve">Let f : [0, 4]  R be a differentiable function. (i) Show that there exist a, b  [0, 4], (f (4))2 – (f (0))2 = 8 f (a) f (b) 4 (ii) Show t</t>
  </si>
  <si>
    <t xml:space="preserve">Verify Rolles theorem for f(x) = (x  a)m (x  b)n on [a, b] ; m, n being positive integer. mb  na</t>
  </si>
  <si>
    <t xml:space="preserve">Domain of f (x) is :</t>
  </si>
  <si>
    <t xml:space="preserve">Which one of the following limits tends to unity? x  0  1 </t>
  </si>
  <si>
    <t xml:space="preserve">Range of the function f (x) is :</t>
  </si>
  <si>
    <t xml:space="preserve">Match the following column : Column – I Column – II fuEu dkWye dks lqesfyr dhft, : Column – I Column – II 3 2 (S) (1, + )</t>
  </si>
  <si>
    <t xml:space="preserve">J-M(XII)</t>
  </si>
  <si>
    <t xml:space="preserve">Let f : R  R be defined as f(x) =  3 . Then f is increasing function in the interval :  3xe x ,x  0 [JEE(Main)July2021]  4 3  x 2x </t>
  </si>
  <si>
    <t xml:space="preserve">Let f(x) = 3sin4x + 10sin3x + 6sin2x – 3, x    ,  . Then, f is : [JEE(Main)July2021]  6 2       2  6         2 2 </t>
  </si>
  <si>
    <t xml:space="preserve">Let 'a' be a real number such that the function f(x) = ax2 + 6x – 15, x  R , is increasing in  ,  and decreasing  4 3  in  ,   .</t>
  </si>
  <si>
    <t xml:space="preserve">The number of real roots of the equation e6x – e4x – 2e3x – 12e2x + ex + 1 = 0 is : [JEE(Main)July2021]</t>
  </si>
  <si>
    <t xml:space="preserve">The number of real roots of the equation e4x + 2e3x – ex – 6 = 0 is : [JEE(Main)Aug.2021]</t>
  </si>
  <si>
    <t xml:space="preserve">Let f be any continuous function on [0, 2] and twice differentiable on (0, 2). If f(0) = 0, f(1) = 1 and f(2) = 2, then: [JEE(Main)Aug.2021]</t>
  </si>
  <si>
    <t xml:space="preserve">The function f(x) = x3 – 6x2 + ax + b is such that f(2) = f(4) = 0. Consider two statements. (S1) there exists x1, x2  (2, 4), x1 &lt; x2, suc</t>
  </si>
  <si>
    <t xml:space="preserve">The number of distinct real roots of the equation 3x4 + 4x3 – 12x2 + 4 = 0 is__________. [JEE(Main)Aug.2021]</t>
  </si>
  <si>
    <t xml:space="preserve">If 'R' is the least value of 'a' such that function f(x) = x2 + ax + 1 is increasing on [1, 2] and 'S' is the greatest value of 'a' such tha</t>
  </si>
  <si>
    <t xml:space="preserve">For the function f(x) = 4 loge(x – 1) – 2x2 + 4x + 5, x &gt; 1, which one of the following is NOT correct? [JEE(Main)June2022] [JEE(Main)June20</t>
  </si>
  <si>
    <t xml:space="preserve">The number of distinct real roots of the equation x7 – 7x – 2 = 0 is : [JEE(Main)June2022]</t>
  </si>
  <si>
    <t xml:space="preserve">Let * be the largest value of  for which the function f(x) = 4x3 – 36x2 + 36x + 48 is increasing for all x  R. Then f*(1) + f*(–1) i</t>
  </si>
  <si>
    <t xml:space="preserve">Let f : R  R and g : R  R be two functions defined by f(x) = loge(x + 1) – e + 1 and g  x   2 –x . Then, ex      1 2     5 </t>
  </si>
  <si>
    <t xml:space="preserve">Let f(x) = 2 cos–1 x + 4 cot–1 x – 3x2 – 2x + 10, x  [–1, 1]. If [a, b] is the range of the function f, then 4a – b is equal to : [JEE(Main</t>
  </si>
  <si>
    <t xml:space="preserve">The number of distinct real roots of x4 – 4x + 1 = 0 is : [JEE(Main)June2022]</t>
  </si>
  <si>
    <t xml:space="preserve">The number of real solutions of x7 + 5x3 + 3x + 1 = 0 is equal to ________. [JEE(Main)June2022]</t>
  </si>
  <si>
    <t xml:space="preserve">Let f and g be twice differentiable even functions on (–2, 2) such that 1 1 3 f    0, f    0, f 1  1 and g    0, g 1  2</t>
  </si>
  <si>
    <t xml:space="preserve">If the maximum value of a, for which the function fa(x) = tan–1 2x – 3ax + 7 is non-decreasing in   ,  , is a ,  6 6  then f a   i</t>
  </si>
  <si>
    <t xml:space="preserve">Let a function f : R  R be defined as : x   5  t  3 dt , x  4 0 f x    x 2  bx , x4   where be b  R. If f is continuous </t>
  </si>
  <si>
    <t xml:space="preserve">The function f(x) = xex(1 – x),x  R, is : [JEE(Main)July2022] 1 1  2  2  1  1 1  2  2 2 Qyu f(x) = xex(1 – x),x  R : [JEE(Main)J</t>
  </si>
  <si>
    <t xml:space="preserve">The number of distinct real roots of the equation x5(x3 – x2 – x + 1) + x(3x3 – 4x2 – 2x + 4) – 1 = 0 is ___________. [JEE(Main)July2022] [J</t>
  </si>
  <si>
    <t xml:space="preserve">Let the function f(x) = 2x2 – logex, x &gt; 0, be decreasing in (0, a) and increasing in (a, 4). A tangent to the parabola 1 y2 = 4ax at a poin</t>
  </si>
  <si>
    <t xml:space="preserve">Let f : [0, 1]  R be a twice differentiable function in (0, 1) such that f(0) = 3 and f(1) = 5. If the line y = 2x + 3 intersects the graph</t>
  </si>
  <si>
    <t xml:space="preserve">J-M(XIII)</t>
  </si>
  <si>
    <t xml:space="preserve">Let f : (0, 1)  R be a function defined by f  x   , and g(x) = (f(–x) – f(x)). Consider two statements 1  e x (I) g is an increasing f</t>
  </si>
  <si>
    <t xml:space="preserve">Let f : R  R be a function such that f (x)  . Then [JEE(Main)Jan.2023] x2 1 x 2  2x  1 x2 1</t>
  </si>
  <si>
    <t xml:space="preserve">Let f and g be twice differentiable functions on R such that f "(x)  g "(x)  6x , f '(1)  4g '(1)  3 = 9, f (2)  3g(2)  12 Then which </t>
  </si>
  <si>
    <t xml:space="preserve">Let g(x) = f(x) + f(1 – x) and f  (x)  0, x  (0,1) . If g is decreasing in the interval (0, ) and increasing in the 1   1  interv</t>
  </si>
  <si>
    <t xml:space="preserve">Let f :[2, 4]   be a differentiable function such that 1 1  x loge x  f  (x)   log e x  f (x)  f (x)  1, x  [2, 4] with f (2)  2</t>
  </si>
  <si>
    <t xml:space="preserve">The number of points, where the curve y = x5 – 20x3 + 50x + 2 crosses the x-axis, is _________. [JEE(Main)April,2023] [JEE(Main)April,2023]</t>
  </si>
  <si>
    <t xml:space="preserve">If a is the greatest term in the sequence a n  4 , n  1, 2,3, then  is equal to _________. n  147 [JEE(Main)April,2023] n3 n  147 [JE</t>
  </si>
  <si>
    <t xml:space="preserve">The number of points, where the curve f (x)  e8x  e6x  3e 4x  e 2x  1, x   cuts x-axis, is equal to _________.</t>
  </si>
  <si>
    <t xml:space="preserve">Let g  x   3f    f  3  x  and f ''(x)  0 for all x  (0, 3). If g is decreasing in (0, ) and increasing in 3 (), then 8 is</t>
  </si>
  <si>
    <t xml:space="preserve">Consider the function f :  ,1   defined by f (x)  4 2x 3  3 2x  1 . Consider the statements : 2  (I) The curve y = f(x) intersects </t>
  </si>
  <si>
    <t xml:space="preserve">The function f  x   , x  R – {–2, 8} : [JEE(Main)Jan.2024] x 2  6x  16 x Qyu f  x   2 , x  R – {–2, 8} : [JEE(Main)Jan.2024] x  6</t>
  </si>
  <si>
    <t xml:space="preserve">Let g : R  R be a non constant twice differentiable function such that g '    g '   . If a real valued function 2 2 1 f is defined</t>
  </si>
  <si>
    <t xml:space="preserve">If the function f :  , 1   a, b  defined by f (x)  e x 3x 1 is one – one and onto, then the distance of the point P (2b + 4, a + </t>
  </si>
  <si>
    <t xml:space="preserve">If 5f  x   4f    x 2  2 ,  x  0 and y = 9x2 f(x), then y is strictly increasing in : x [JEE(Main)Jan.2024] 1 x   [JEE(Main)Ja</t>
  </si>
  <si>
    <t xml:space="preserve">Let f(x) = 2x – x2, x  R. If m and n are respectively the number of points at which the curves y = f(x) and y = f'(x) intersects the x-axis</t>
  </si>
  <si>
    <t xml:space="preserve">For the function f (x)  sin x  3x    x  x  , where x  0,  consider the following two statements :  2   (I) f is increasing in</t>
  </si>
  <si>
    <t xml:space="preserve">The interval in which the function f (x)  x x , x  0 , is strictly increasing is : [JEE(Main)April,2024] 1   1 1  e   e e </t>
  </si>
  <si>
    <t xml:space="preserve">The number of critical points of the function f  x    x  2  3  2x  1 is : [JEE(Main)April,2024] 2</t>
  </si>
  <si>
    <t xml:space="preserve">For the function f(x) = (cos x) – x + 1, x  R, between the following two statements : (S1) f(x) = 0 for only one value of x in [0, ].  </t>
  </si>
  <si>
    <t xml:space="preserve">Let f : R  R be a thrice diffrentiable function such that f(0) = 0, f(1) = 1, f(2) = –1, f(3) = 2 and f(4) = –2. Then, the minimum number o</t>
  </si>
  <si>
    <t xml:space="preserve"> 2 2  2  Let the set of all values of p, for which f  x   p  6p  8 sin 2x  cos 2x  2  2  p  x  7 does not have any critical p</t>
  </si>
  <si>
    <t xml:space="preserve">DPP-3</t>
  </si>
  <si>
    <t xml:space="preserve">DPP</t>
  </si>
  <si>
    <t xml:space="preserve">Function f(x) = 3x4 + 7x2 + 3 is :</t>
  </si>
  <si>
    <t xml:space="preserve">The function y = decreases in the interval : 1 x2 x 1 x2</t>
  </si>
  <si>
    <t xml:space="preserve">The interval in which the function f(x)=xe4–x decreases is :</t>
  </si>
  <si>
    <t xml:space="preserve">Function f(x) = is increasing when : 2sin x  6 cos x  sin x  3cos x 2sin x  6 cos x</t>
  </si>
  <si>
    <t xml:space="preserve">Function f(x) = cot–1 x + x is increasing in :</t>
  </si>
  <si>
    <t xml:space="preserve">For x &gt; 0, which of the following function is not monotonic :</t>
  </si>
  <si>
    <t xml:space="preserve">The function y = increases in the interval : log x x log x</t>
  </si>
  <si>
    <t xml:space="preserve">Function f(x) = x100 + sin x – 1 is increasing in the interval :</t>
  </si>
  <si>
    <t xml:space="preserve">If f '(x) = g(x)(x – )2 where g()  0 and g(x) is continuous at x =  then function f(x) :</t>
  </si>
  <si>
    <t xml:space="preserve">Function cos2 x + cos2 (/3 +x) – cos x cos (/3 +x) for all real values of x will be :</t>
  </si>
  <si>
    <t xml:space="preserve">The function is monotonically decreasing in : x2  x  1| x2</t>
  </si>
  <si>
    <t xml:space="preserve">If y = (a + 2) x3 – 3ax2 + 9ax – 1 decreases monotonically x  R then ‘a’ lies in the interval : x  R</t>
  </si>
  <si>
    <t xml:space="preserve">The values of p for which the function f(x) =   1 x5 – 3x + ln 5 decreases for all real x is : 1  p     p4     3  21   2  </t>
  </si>
  <si>
    <t xml:space="preserve">For what values of a does the curve f(x) = x(a2 – 2a – 2) + cosx is always strictly decreasing  x  R :</t>
  </si>
  <si>
    <t xml:space="preserve">DPP-4</t>
  </si>
  <si>
    <t xml:space="preserve">If f(x) = 2x3 – 9x2 + 12x – 6, then in which interval f(x) is monotonically increasing :</t>
  </si>
  <si>
    <t xml:space="preserve">Function f(x) = x2(x –2)2 is</t>
  </si>
  <si>
    <t xml:space="preserve">Function f(x) = is increasing in : x log x x</t>
  </si>
  <si>
    <t xml:space="preserve">If f(x) = cos x cos a cos b , where 0&lt;a&lt;b &lt; , then the equation f'(x) = 0 has, in the interval (a, b) – 2 tan x tan a tan b sin x sin a sin </t>
  </si>
  <si>
    <t xml:space="preserve">If  1  2  .....  n 1  a n  0 , then the equation a0xn + a1xn–1 + ...+ an–1x + an = 0 has, in the interval n  1 n n 1 2 (0, 1) : a0 </t>
  </si>
  <si>
    <t xml:space="preserve">If the function f(x) = x3 – 6x2 + ax + b defined on [1, 3], satisfies the rolle's theorem for c = , then : 3 2 3 1 3 rc :</t>
  </si>
  <si>
    <t xml:space="preserve">If f(x) is differentiable in the interval [2, 5], where f(2) = and f(5) = , then there exists a number c, 2 &lt; c &lt; 5 5 2 for which f'(c) = 1 </t>
  </si>
  <si>
    <t xml:space="preserve">If a, b, c be non-zero real numbers such that  (1  cos x) (ax + bx + c)dx =  (1  cos x) (ax2 + bx + c) dx = 0, 2 0 0 then the equation a</t>
  </si>
  <si>
    <t xml:space="preserve">The value of c in Lagrange's theorem for the function f(x) =  x in interval [– 1, 1] is :  0, x0  1 2 1 2  1  x cos   , x  0  </t>
  </si>
  <si>
    <t xml:space="preserve">The function f(x) = x3 – 6x2 + ax + b satisfy the conditions of Rolle's theorem in [1, 3]. The value of a and b are :</t>
  </si>
  <si>
    <t xml:space="preserve">The function f(x) = x(x + 3)e–x/2 satisfies all the conditions of Rolle's theorem in [–3, 0]. The value of c which varifies Rolle's theorem,</t>
  </si>
  <si>
    <t xml:space="preserve">If the function f(x) = x3 – 6ax2 + 5x satisfies the conditions of Lagrange's mean theorem for the interval [1, 2] and the tangent to the cur</t>
  </si>
  <si>
    <t xml:space="preserve">Range of the function f(x) = is : x nx x  2  1  e  e</t>
  </si>
  <si>
    <t xml:space="preserve">DPP-6</t>
  </si>
  <si>
    <t xml:space="preserve">Consider the function f(x) = x cos x – sin x, then identify the statement which is correct :</t>
  </si>
  <si>
    <t xml:space="preserve">QB</t>
  </si>
  <si>
    <t xml:space="preserve">Question Bank</t>
  </si>
  <si>
    <t xml:space="preserve">Let f be a differentiable function on R such that f(2) = 1, f '(2) = 4. Let lim(f (2  x))3/ x  e . x 0 Then the number of times the curv</t>
  </si>
  <si>
    <t xml:space="preserve">Let the function f  x     3 , x  0 be strictly increasing in (–,1)  (2, ) and strictly decreasing in (3, 3 x 5 4)  (4, 5). T</t>
  </si>
  <si>
    <t xml:space="preserve">Let (2, 3) be the largest open interval in which the function f(x) = 2loge(x – 2) – x2 + ax + 1 is strictly increasing and (b, c) be the lar</t>
  </si>
  <si>
    <t xml:space="preserve">The number of critical points of the function f  x    x  2  3  2x  1 is : 2</t>
  </si>
  <si>
    <t xml:space="preserve">The function f  x   , x  R – {–2, 8} : : x 2  6x  16 x Qyu f  x   2 , x  R – {–2, 8} : : x  6x  16</t>
  </si>
  <si>
    <t xml:space="preserve">If 5f  x   4f  2   x  2 ,  x  0 and y = 9x f(x), then y is strictly increasing in : x 121 1 x    1   1   1   1   5 </t>
  </si>
  <si>
    <t xml:space="preserve">Let f :[2, 4]   be a differentiable function such that 1 1  x log e x  f  (x)   log e x  f (x)  f (x)  1, x [2, 4] with f (2)  2</t>
  </si>
  <si>
    <t xml:space="preserve">Let f : R  R be a function such that f (x)  . Then x2 1 124 x 2  2x  1 x2 1</t>
  </si>
  <si>
    <t xml:space="preserve">2  2  2  Let the set of all values of p, for which f  x   p  6p  8 sin 2x  cos 2x  2  2  p  x  7 does not have any critical p</t>
  </si>
  <si>
    <t xml:space="preserve">The number of points, where the curve y = x5 – 20x3 + 50x + 2 crosses the x-axis, is _________.</t>
  </si>
  <si>
    <t xml:space="preserve">If a is the greatest term in the sequence a n  4 , n  1, 2,3, then  is equal to _________. n  147 128 n3 n  147</t>
  </si>
  <si>
    <t xml:space="preserve">The number of points, where the curve f (x)  e8x  e6x  3e4x  e2x  1, x   cuts x-axis, is equal to _________.</t>
  </si>
  <si>
    <t xml:space="preserve">If the sum of the base 2 logarithms of the roots of the cubic f (x) = 0 is 5 then the value of 'a' is :</t>
  </si>
  <si>
    <t xml:space="preserve">Grade thresholds (edit the blue cells; grades on the Items sheet recalculate)</t>
  </si>
  <si>
    <t xml:space="preserve">Batch XII: minimum graded questions for High</t>
  </si>
  <si>
    <t xml:space="preserve">Batch XIII: minimum graded questions for High</t>
  </si>
  <si>
    <t xml:space="preserve">Minimum graded questions for Medium (all batches)</t>
  </si>
  <si>
    <t xml:space="preserve">Graded questions = JM exercise of the batch + JA exercise + JEE Main Question Bank; a question present in two of these counts once.</t>
  </si>
  <si>
    <t xml:space="preserve">Batch XII: 59 graded questions; High threshold 5 (about 9.1%).</t>
  </si>
  <si>
    <t xml:space="preserve">Batch XIII: 39 graded questions; High threshold 4 (about 9.1%).</t>
  </si>
  <si>
    <t xml:space="preserve">Sheet exercises J-I, J-II, Challenger (C-I, C-II) and the DPPs are mapped but not graded; Challenger exercises are not used for the coverage check.</t>
  </si>
  <si>
    <t xml:space="preserve">A question counts for every item it needs (main concept and also-used items). Low = not tested in the graded questions; it does not mean unimportant.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</si>
</sst>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E0A3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FFE0A3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FE0A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0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/>
      <c r="F2" s="2" t="n">
        <v>1</v>
      </c>
      <c r="G2" s="2" t="n">
        <f aca="false">COUNTIFS(Map!$D:$D,$A2,Map!$F:$F,"Y")</f>
        <v>0</v>
      </c>
      <c r="H2" s="2" t="str">
        <f aca="false">IF(G2&gt;=Settings!$B$3,"High",IF(G2&gt;=Settings!$B$5,"Medium","Low"))</f>
        <v>Low</v>
      </c>
      <c r="I2" s="2" t="n">
        <f aca="false">COUNTIFS(Map!$D:$D,$A2,Map!$G:$G,"Y")</f>
        <v>0</v>
      </c>
      <c r="J2" s="2" t="str">
        <f aca="false">IF(I2&gt;=Settings!$B$4,"High",IF(I2&gt;=Settings!$B$5,"Medium","Low"))</f>
        <v>Low</v>
      </c>
      <c r="K2" s="2" t="n">
        <f aca="false">COUNTIF(Map!$D:$D,$A2)</f>
        <v>1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14</v>
      </c>
      <c r="D3" s="2" t="s">
        <v>13</v>
      </c>
      <c r="E3" s="2"/>
      <c r="F3" s="2" t="n">
        <v>2</v>
      </c>
      <c r="G3" s="2" t="n">
        <f aca="false">COUNTIFS(Map!$D:$D,$A3,Map!$F:$F,"Y")</f>
        <v>0</v>
      </c>
      <c r="H3" s="2" t="str">
        <f aca="false">IF(G3&gt;=Settings!$B$3,"High",IF(G3&gt;=Settings!$B$5,"Medium","Low"))</f>
        <v>Low</v>
      </c>
      <c r="I3" s="2" t="n">
        <f aca="false">COUNTIFS(Map!$D:$D,$A3,Map!$G:$G,"Y")</f>
        <v>0</v>
      </c>
      <c r="J3" s="2" t="str">
        <f aca="false">IF(I3&gt;=Settings!$B$4,"High",IF(I3&gt;=Settings!$B$5,"Medium","Low"))</f>
        <v>Low</v>
      </c>
      <c r="K3" s="2" t="n">
        <f aca="false">COUNTIF(Map!$D:$D,$A3)</f>
        <v>0</v>
      </c>
    </row>
    <row r="4" customFormat="false" ht="15" hidden="false" customHeight="false" outlineLevel="0" collapsed="false">
      <c r="A4" s="2" t="n">
        <v>3</v>
      </c>
      <c r="B4" s="2" t="s">
        <v>15</v>
      </c>
      <c r="C4" s="2" t="s">
        <v>16</v>
      </c>
      <c r="D4" s="2" t="s">
        <v>13</v>
      </c>
      <c r="E4" s="2"/>
      <c r="F4" s="2" t="n">
        <v>3</v>
      </c>
      <c r="G4" s="2" t="n">
        <f aca="false">COUNTIFS(Map!$D:$D,$A4,Map!$F:$F,"Y")</f>
        <v>0</v>
      </c>
      <c r="H4" s="2" t="str">
        <f aca="false">IF(G4&gt;=Settings!$B$3,"High",IF(G4&gt;=Settings!$B$5,"Medium","Low"))</f>
        <v>Low</v>
      </c>
      <c r="I4" s="2" t="n">
        <f aca="false">COUNTIFS(Map!$D:$D,$A4,Map!$G:$G,"Y")</f>
        <v>0</v>
      </c>
      <c r="J4" s="2" t="str">
        <f aca="false">IF(I4&gt;=Settings!$B$4,"High",IF(I4&gt;=Settings!$B$5,"Medium","Low"))</f>
        <v>Low</v>
      </c>
      <c r="K4" s="2" t="n">
        <f aca="false">COUNTIF(Map!$D:$D,$A4)</f>
        <v>1</v>
      </c>
    </row>
    <row r="5" customFormat="false" ht="15" hidden="false" customHeight="false" outlineLevel="0" collapsed="false">
      <c r="A5" s="2" t="n">
        <v>4</v>
      </c>
      <c r="B5" s="2" t="s">
        <v>15</v>
      </c>
      <c r="C5" s="2" t="s">
        <v>17</v>
      </c>
      <c r="D5" s="2" t="s">
        <v>13</v>
      </c>
      <c r="E5" s="2"/>
      <c r="F5" s="2" t="n">
        <v>4</v>
      </c>
      <c r="G5" s="2" t="n">
        <f aca="false">COUNTIFS(Map!$D:$D,$A5,Map!$F:$F,"Y")</f>
        <v>0</v>
      </c>
      <c r="H5" s="2" t="str">
        <f aca="false">IF(G5&gt;=Settings!$B$3,"High",IF(G5&gt;=Settings!$B$5,"Medium","Low"))</f>
        <v>Low</v>
      </c>
      <c r="I5" s="2" t="n">
        <f aca="false">COUNTIFS(Map!$D:$D,$A5,Map!$G:$G,"Y")</f>
        <v>0</v>
      </c>
      <c r="J5" s="2" t="str">
        <f aca="false">IF(I5&gt;=Settings!$B$4,"High",IF(I5&gt;=Settings!$B$5,"Medium","Low"))</f>
        <v>Low</v>
      </c>
      <c r="K5" s="2" t="n">
        <f aca="false">COUNTIF(Map!$D:$D,$A5)</f>
        <v>0</v>
      </c>
    </row>
    <row r="6" customFormat="false" ht="23.85" hidden="false" customHeight="false" outlineLevel="0" collapsed="false">
      <c r="A6" s="2" t="n">
        <v>5</v>
      </c>
      <c r="B6" s="2" t="s">
        <v>15</v>
      </c>
      <c r="C6" s="2" t="s">
        <v>18</v>
      </c>
      <c r="D6" s="2" t="s">
        <v>13</v>
      </c>
      <c r="E6" s="2"/>
      <c r="F6" s="2" t="n">
        <v>5</v>
      </c>
      <c r="G6" s="2" t="n">
        <f aca="false">COUNTIFS(Map!$D:$D,$A6,Map!$F:$F,"Y")</f>
        <v>0</v>
      </c>
      <c r="H6" s="2" t="str">
        <f aca="false">IF(G6&gt;=Settings!$B$3,"High",IF(G6&gt;=Settings!$B$5,"Medium","Low"))</f>
        <v>Low</v>
      </c>
      <c r="I6" s="2" t="n">
        <f aca="false">COUNTIFS(Map!$D:$D,$A6,Map!$G:$G,"Y")</f>
        <v>0</v>
      </c>
      <c r="J6" s="2" t="str">
        <f aca="false">IF(I6&gt;=Settings!$B$4,"High",IF(I6&gt;=Settings!$B$5,"Medium","Low"))</f>
        <v>Low</v>
      </c>
      <c r="K6" s="2" t="n">
        <f aca="false">COUNTIF(Map!$D:$D,$A6)</f>
        <v>0</v>
      </c>
    </row>
    <row r="7" customFormat="false" ht="15" hidden="false" customHeight="false" outlineLevel="0" collapsed="false">
      <c r="A7" s="2" t="n">
        <v>6</v>
      </c>
      <c r="B7" s="2" t="s">
        <v>15</v>
      </c>
      <c r="C7" s="2" t="s">
        <v>19</v>
      </c>
      <c r="D7" s="2" t="s">
        <v>13</v>
      </c>
      <c r="E7" s="2"/>
      <c r="F7" s="2" t="n">
        <v>6</v>
      </c>
      <c r="G7" s="2" t="n">
        <f aca="false">COUNTIFS(Map!$D:$D,$A7,Map!$F:$F,"Y")</f>
        <v>0</v>
      </c>
      <c r="H7" s="2" t="str">
        <f aca="false">IF(G7&gt;=Settings!$B$3,"High",IF(G7&gt;=Settings!$B$5,"Medium","Low"))</f>
        <v>Low</v>
      </c>
      <c r="I7" s="2" t="n">
        <f aca="false">COUNTIFS(Map!$D:$D,$A7,Map!$G:$G,"Y")</f>
        <v>0</v>
      </c>
      <c r="J7" s="2" t="str">
        <f aca="false">IF(I7&gt;=Settings!$B$4,"High",IF(I7&gt;=Settings!$B$5,"Medium","Low"))</f>
        <v>Low</v>
      </c>
      <c r="K7" s="2" t="n">
        <f aca="false">COUNTIF(Map!$D:$D,$A7)</f>
        <v>0</v>
      </c>
    </row>
    <row r="8" customFormat="false" ht="15" hidden="false" customHeight="false" outlineLevel="0" collapsed="false">
      <c r="A8" s="2" t="n">
        <v>7</v>
      </c>
      <c r="B8" s="2" t="s">
        <v>20</v>
      </c>
      <c r="C8" s="2" t="s">
        <v>21</v>
      </c>
      <c r="D8" s="2" t="s">
        <v>13</v>
      </c>
      <c r="E8" s="2"/>
      <c r="F8" s="2" t="n">
        <v>7</v>
      </c>
      <c r="G8" s="2" t="n">
        <f aca="false">COUNTIFS(Map!$D:$D,$A8,Map!$F:$F,"Y")</f>
        <v>0</v>
      </c>
      <c r="H8" s="2" t="str">
        <f aca="false">IF(G8&gt;=Settings!$B$3,"High",IF(G8&gt;=Settings!$B$5,"Medium","Low"))</f>
        <v>Low</v>
      </c>
      <c r="I8" s="2" t="n">
        <f aca="false">COUNTIFS(Map!$D:$D,$A8,Map!$G:$G,"Y")</f>
        <v>0</v>
      </c>
      <c r="J8" s="2" t="str">
        <f aca="false">IF(I8&gt;=Settings!$B$4,"High",IF(I8&gt;=Settings!$B$5,"Medium","Low"))</f>
        <v>Low</v>
      </c>
      <c r="K8" s="2" t="n">
        <f aca="false">COUNTIF(Map!$D:$D,$A8)</f>
        <v>1</v>
      </c>
    </row>
    <row r="9" customFormat="false" ht="15" hidden="false" customHeight="false" outlineLevel="0" collapsed="false">
      <c r="A9" s="2" t="n">
        <v>8</v>
      </c>
      <c r="B9" s="2" t="s">
        <v>20</v>
      </c>
      <c r="C9" s="2" t="s">
        <v>22</v>
      </c>
      <c r="D9" s="2" t="s">
        <v>13</v>
      </c>
      <c r="E9" s="2"/>
      <c r="F9" s="2" t="n">
        <v>8</v>
      </c>
      <c r="G9" s="2" t="n">
        <f aca="false">COUNTIFS(Map!$D:$D,$A9,Map!$F:$F,"Y")</f>
        <v>0</v>
      </c>
      <c r="H9" s="2" t="str">
        <f aca="false">IF(G9&gt;=Settings!$B$3,"High",IF(G9&gt;=Settings!$B$5,"Medium","Low"))</f>
        <v>Low</v>
      </c>
      <c r="I9" s="2" t="n">
        <f aca="false">COUNTIFS(Map!$D:$D,$A9,Map!$G:$G,"Y")</f>
        <v>0</v>
      </c>
      <c r="J9" s="2" t="str">
        <f aca="false">IF(I9&gt;=Settings!$B$4,"High",IF(I9&gt;=Settings!$B$5,"Medium","Low"))</f>
        <v>Low</v>
      </c>
      <c r="K9" s="2" t="n">
        <f aca="false">COUNTIF(Map!$D:$D,$A9)</f>
        <v>0</v>
      </c>
    </row>
    <row r="10" customFormat="false" ht="15" hidden="false" customHeight="false" outlineLevel="0" collapsed="false">
      <c r="A10" s="2" t="n">
        <v>9</v>
      </c>
      <c r="B10" s="2" t="s">
        <v>20</v>
      </c>
      <c r="C10" s="2" t="s">
        <v>23</v>
      </c>
      <c r="D10" s="2" t="s">
        <v>13</v>
      </c>
      <c r="E10" s="2"/>
      <c r="F10" s="2" t="n">
        <v>9</v>
      </c>
      <c r="G10" s="2" t="n">
        <f aca="false">COUNTIFS(Map!$D:$D,$A10,Map!$F:$F,"Y")</f>
        <v>1</v>
      </c>
      <c r="H10" s="2" t="str">
        <f aca="false">IF(G10&gt;=Settings!$B$3,"High",IF(G10&gt;=Settings!$B$5,"Medium","Low"))</f>
        <v>Medium</v>
      </c>
      <c r="I10" s="2" t="n">
        <f aca="false">COUNTIFS(Map!$D:$D,$A10,Map!$G:$G,"Y")</f>
        <v>0</v>
      </c>
      <c r="J10" s="2" t="str">
        <f aca="false">IF(I10&gt;=Settings!$B$4,"High",IF(I10&gt;=Settings!$B$5,"Medium","Low"))</f>
        <v>Low</v>
      </c>
      <c r="K10" s="2" t="n">
        <f aca="false">COUNTIF(Map!$D:$D,$A10)</f>
        <v>2</v>
      </c>
    </row>
    <row r="11" customFormat="false" ht="15" hidden="false" customHeight="false" outlineLevel="0" collapsed="false">
      <c r="A11" s="2" t="n">
        <v>10</v>
      </c>
      <c r="B11" s="2" t="s">
        <v>20</v>
      </c>
      <c r="C11" s="2" t="s">
        <v>24</v>
      </c>
      <c r="D11" s="2" t="s">
        <v>13</v>
      </c>
      <c r="E11" s="2"/>
      <c r="F11" s="2" t="n">
        <v>10</v>
      </c>
      <c r="G11" s="2" t="n">
        <f aca="false">COUNTIFS(Map!$D:$D,$A11,Map!$F:$F,"Y")</f>
        <v>0</v>
      </c>
      <c r="H11" s="2" t="str">
        <f aca="false">IF(G11&gt;=Settings!$B$3,"High",IF(G11&gt;=Settings!$B$5,"Medium","Low"))</f>
        <v>Low</v>
      </c>
      <c r="I11" s="2" t="n">
        <f aca="false">COUNTIFS(Map!$D:$D,$A11,Map!$G:$G,"Y")</f>
        <v>0</v>
      </c>
      <c r="J11" s="2" t="str">
        <f aca="false">IF(I11&gt;=Settings!$B$4,"High",IF(I11&gt;=Settings!$B$5,"Medium","Low"))</f>
        <v>Low</v>
      </c>
      <c r="K11" s="2" t="n">
        <f aca="false">COUNTIF(Map!$D:$D,$A11)</f>
        <v>0</v>
      </c>
    </row>
    <row r="12" customFormat="false" ht="15" hidden="false" customHeight="false" outlineLevel="0" collapsed="false">
      <c r="A12" s="2" t="n">
        <v>11</v>
      </c>
      <c r="B12" s="2" t="s">
        <v>25</v>
      </c>
      <c r="C12" s="2" t="s">
        <v>26</v>
      </c>
      <c r="D12" s="2" t="s">
        <v>13</v>
      </c>
      <c r="E12" s="2"/>
      <c r="F12" s="2" t="n">
        <v>11</v>
      </c>
      <c r="G12" s="2" t="n">
        <f aca="false">COUNTIFS(Map!$D:$D,$A12,Map!$F:$F,"Y")</f>
        <v>0</v>
      </c>
      <c r="H12" s="2" t="str">
        <f aca="false">IF(G12&gt;=Settings!$B$3,"High",IF(G12&gt;=Settings!$B$5,"Medium","Low"))</f>
        <v>Low</v>
      </c>
      <c r="I12" s="2" t="n">
        <f aca="false">COUNTIFS(Map!$D:$D,$A12,Map!$G:$G,"Y")</f>
        <v>2</v>
      </c>
      <c r="J12" s="2" t="str">
        <f aca="false">IF(I12&gt;=Settings!$B$4,"High",IF(I12&gt;=Settings!$B$5,"Medium","Low"))</f>
        <v>Medium</v>
      </c>
      <c r="K12" s="2" t="n">
        <f aca="false">COUNTIF(Map!$D:$D,$A12)</f>
        <v>6</v>
      </c>
    </row>
    <row r="13" customFormat="false" ht="15" hidden="false" customHeight="false" outlineLevel="0" collapsed="false">
      <c r="A13" s="2" t="n">
        <v>12</v>
      </c>
      <c r="B13" s="2" t="s">
        <v>25</v>
      </c>
      <c r="C13" s="2" t="s">
        <v>27</v>
      </c>
      <c r="D13" s="2" t="s">
        <v>13</v>
      </c>
      <c r="E13" s="2"/>
      <c r="F13" s="2" t="n">
        <v>12</v>
      </c>
      <c r="G13" s="2" t="n">
        <f aca="false">COUNTIFS(Map!$D:$D,$A13,Map!$F:$F,"Y")</f>
        <v>0</v>
      </c>
      <c r="H13" s="2" t="str">
        <f aca="false">IF(G13&gt;=Settings!$B$3,"High",IF(G13&gt;=Settings!$B$5,"Medium","Low"))</f>
        <v>Low</v>
      </c>
      <c r="I13" s="2" t="n">
        <f aca="false">COUNTIFS(Map!$D:$D,$A13,Map!$G:$G,"Y")</f>
        <v>0</v>
      </c>
      <c r="J13" s="2" t="str">
        <f aca="false">IF(I13&gt;=Settings!$B$4,"High",IF(I13&gt;=Settings!$B$5,"Medium","Low"))</f>
        <v>Low</v>
      </c>
      <c r="K13" s="2" t="n">
        <f aca="false">COUNTIF(Map!$D:$D,$A13)</f>
        <v>0</v>
      </c>
    </row>
    <row r="14" customFormat="false" ht="15" hidden="false" customHeight="false" outlineLevel="0" collapsed="false">
      <c r="A14" s="2" t="n">
        <v>13</v>
      </c>
      <c r="B14" s="2" t="s">
        <v>25</v>
      </c>
      <c r="C14" s="2" t="s">
        <v>28</v>
      </c>
      <c r="D14" s="2" t="s">
        <v>13</v>
      </c>
      <c r="E14" s="2"/>
      <c r="F14" s="2" t="n">
        <v>13</v>
      </c>
      <c r="G14" s="2" t="n">
        <f aca="false">COUNTIFS(Map!$D:$D,$A14,Map!$F:$F,"Y")</f>
        <v>25</v>
      </c>
      <c r="H14" s="2" t="str">
        <f aca="false">IF(G14&gt;=Settings!$B$3,"High",IF(G14&gt;=Settings!$B$5,"Medium","Low"))</f>
        <v>High</v>
      </c>
      <c r="I14" s="2" t="n">
        <f aca="false">COUNTIFS(Map!$D:$D,$A14,Map!$G:$G,"Y")</f>
        <v>21</v>
      </c>
      <c r="J14" s="2" t="str">
        <f aca="false">IF(I14&gt;=Settings!$B$4,"High",IF(I14&gt;=Settings!$B$5,"Medium","Low"))</f>
        <v>High</v>
      </c>
      <c r="K14" s="2" t="n">
        <f aca="false">COUNTIF(Map!$D:$D,$A14)</f>
        <v>81</v>
      </c>
    </row>
    <row r="15" customFormat="false" ht="23.85" hidden="false" customHeight="false" outlineLevel="0" collapsed="false">
      <c r="A15" s="2" t="n">
        <v>14</v>
      </c>
      <c r="B15" s="2" t="s">
        <v>25</v>
      </c>
      <c r="C15" s="2" t="s">
        <v>29</v>
      </c>
      <c r="D15" s="2" t="s">
        <v>13</v>
      </c>
      <c r="E15" s="2"/>
      <c r="F15" s="2" t="n">
        <v>14</v>
      </c>
      <c r="G15" s="2" t="n">
        <f aca="false">COUNTIFS(Map!$D:$D,$A15,Map!$F:$F,"Y")</f>
        <v>1</v>
      </c>
      <c r="H15" s="2" t="str">
        <f aca="false">IF(G15&gt;=Settings!$B$3,"High",IF(G15&gt;=Settings!$B$5,"Medium","Low"))</f>
        <v>Medium</v>
      </c>
      <c r="I15" s="2" t="n">
        <f aca="false">COUNTIFS(Map!$D:$D,$A15,Map!$G:$G,"Y")</f>
        <v>0</v>
      </c>
      <c r="J15" s="2" t="str">
        <f aca="false">IF(I15&gt;=Settings!$B$4,"High",IF(I15&gt;=Settings!$B$5,"Medium","Low"))</f>
        <v>Low</v>
      </c>
      <c r="K15" s="2" t="n">
        <f aca="false">COUNTIF(Map!$D:$D,$A15)</f>
        <v>3</v>
      </c>
    </row>
    <row r="16" customFormat="false" ht="15" hidden="false" customHeight="false" outlineLevel="0" collapsed="false">
      <c r="A16" s="2" t="n">
        <v>15</v>
      </c>
      <c r="B16" s="2" t="s">
        <v>25</v>
      </c>
      <c r="C16" s="2" t="s">
        <v>30</v>
      </c>
      <c r="D16" s="2" t="s">
        <v>13</v>
      </c>
      <c r="E16" s="2"/>
      <c r="F16" s="2" t="n">
        <v>15</v>
      </c>
      <c r="G16" s="2" t="n">
        <f aca="false">COUNTIFS(Map!$D:$D,$A16,Map!$F:$F,"Y")</f>
        <v>4</v>
      </c>
      <c r="H16" s="2" t="str">
        <f aca="false">IF(G16&gt;=Settings!$B$3,"High",IF(G16&gt;=Settings!$B$5,"Medium","Low"))</f>
        <v>Medium</v>
      </c>
      <c r="I16" s="2" t="n">
        <f aca="false">COUNTIFS(Map!$D:$D,$A16,Map!$G:$G,"Y")</f>
        <v>2</v>
      </c>
      <c r="J16" s="2" t="str">
        <f aca="false">IF(I16&gt;=Settings!$B$4,"High",IF(I16&gt;=Settings!$B$5,"Medium","Low"))</f>
        <v>Medium</v>
      </c>
      <c r="K16" s="2" t="n">
        <f aca="false">COUNTIF(Map!$D:$D,$A16)</f>
        <v>13</v>
      </c>
    </row>
    <row r="17" customFormat="false" ht="15" hidden="false" customHeight="false" outlineLevel="0" collapsed="false">
      <c r="A17" s="2" t="n">
        <v>16</v>
      </c>
      <c r="B17" s="2" t="s">
        <v>25</v>
      </c>
      <c r="C17" s="2" t="s">
        <v>31</v>
      </c>
      <c r="D17" s="2" t="s">
        <v>13</v>
      </c>
      <c r="E17" s="2"/>
      <c r="F17" s="2" t="n">
        <v>16</v>
      </c>
      <c r="G17" s="2" t="n">
        <f aca="false">COUNTIFS(Map!$D:$D,$A17,Map!$F:$F,"Y")</f>
        <v>2</v>
      </c>
      <c r="H17" s="2" t="str">
        <f aca="false">IF(G17&gt;=Settings!$B$3,"High",IF(G17&gt;=Settings!$B$5,"Medium","Low"))</f>
        <v>Medium</v>
      </c>
      <c r="I17" s="2" t="n">
        <f aca="false">COUNTIFS(Map!$D:$D,$A17,Map!$G:$G,"Y")</f>
        <v>0</v>
      </c>
      <c r="J17" s="2" t="str">
        <f aca="false">IF(I17&gt;=Settings!$B$4,"High",IF(I17&gt;=Settings!$B$5,"Medium","Low"))</f>
        <v>Low</v>
      </c>
      <c r="K17" s="2" t="n">
        <f aca="false">COUNTIF(Map!$D:$D,$A17)</f>
        <v>3</v>
      </c>
    </row>
    <row r="18" customFormat="false" ht="15" hidden="false" customHeight="false" outlineLevel="0" collapsed="false">
      <c r="A18" s="2" t="n">
        <v>17</v>
      </c>
      <c r="B18" s="2" t="s">
        <v>32</v>
      </c>
      <c r="C18" s="2" t="s">
        <v>33</v>
      </c>
      <c r="D18" s="2" t="s">
        <v>13</v>
      </c>
      <c r="E18" s="2"/>
      <c r="F18" s="2" t="n">
        <v>17</v>
      </c>
      <c r="G18" s="2" t="n">
        <f aca="false">COUNTIFS(Map!$D:$D,$A18,Map!$F:$F,"Y")</f>
        <v>3</v>
      </c>
      <c r="H18" s="2" t="str">
        <f aca="false">IF(G18&gt;=Settings!$B$3,"High",IF(G18&gt;=Settings!$B$5,"Medium","Low"))</f>
        <v>Medium</v>
      </c>
      <c r="I18" s="2" t="n">
        <f aca="false">COUNTIFS(Map!$D:$D,$A18,Map!$G:$G,"Y")</f>
        <v>3</v>
      </c>
      <c r="J18" s="2" t="str">
        <f aca="false">IF(I18&gt;=Settings!$B$4,"High",IF(I18&gt;=Settings!$B$5,"Medium","Low"))</f>
        <v>Medium</v>
      </c>
      <c r="K18" s="2" t="n">
        <f aca="false">COUNTIF(Map!$D:$D,$A18)</f>
        <v>12</v>
      </c>
    </row>
    <row r="19" customFormat="false" ht="15" hidden="false" customHeight="false" outlineLevel="0" collapsed="false">
      <c r="A19" s="2" t="n">
        <v>18</v>
      </c>
      <c r="B19" s="2" t="s">
        <v>32</v>
      </c>
      <c r="C19" s="2" t="s">
        <v>34</v>
      </c>
      <c r="D19" s="2" t="s">
        <v>13</v>
      </c>
      <c r="E19" s="2"/>
      <c r="F19" s="2" t="n">
        <v>18</v>
      </c>
      <c r="G19" s="2" t="n">
        <f aca="false">COUNTIFS(Map!$D:$D,$A19,Map!$F:$F,"Y")</f>
        <v>0</v>
      </c>
      <c r="H19" s="2" t="str">
        <f aca="false">IF(G19&gt;=Settings!$B$3,"High",IF(G19&gt;=Settings!$B$5,"Medium","Low"))</f>
        <v>Low</v>
      </c>
      <c r="I19" s="2" t="n">
        <f aca="false">COUNTIFS(Map!$D:$D,$A19,Map!$G:$G,"Y")</f>
        <v>0</v>
      </c>
      <c r="J19" s="2" t="str">
        <f aca="false">IF(I19&gt;=Settings!$B$4,"High",IF(I19&gt;=Settings!$B$5,"Medium","Low"))</f>
        <v>Low</v>
      </c>
      <c r="K19" s="2" t="n">
        <f aca="false">COUNTIF(Map!$D:$D,$A19)</f>
        <v>2</v>
      </c>
    </row>
    <row r="20" customFormat="false" ht="15" hidden="false" customHeight="false" outlineLevel="0" collapsed="false">
      <c r="A20" s="2" t="n">
        <v>19</v>
      </c>
      <c r="B20" s="2" t="s">
        <v>35</v>
      </c>
      <c r="C20" s="2" t="s">
        <v>36</v>
      </c>
      <c r="D20" s="2" t="s">
        <v>13</v>
      </c>
      <c r="E20" s="2"/>
      <c r="F20" s="2" t="n">
        <v>19</v>
      </c>
      <c r="G20" s="2" t="n">
        <f aca="false">COUNTIFS(Map!$D:$D,$A20,Map!$F:$F,"Y")</f>
        <v>4</v>
      </c>
      <c r="H20" s="2" t="str">
        <f aca="false">IF(G20&gt;=Settings!$B$3,"High",IF(G20&gt;=Settings!$B$5,"Medium","Low"))</f>
        <v>Medium</v>
      </c>
      <c r="I20" s="2" t="n">
        <f aca="false">COUNTIFS(Map!$D:$D,$A20,Map!$G:$G,"Y")</f>
        <v>1</v>
      </c>
      <c r="J20" s="2" t="str">
        <f aca="false">IF(I20&gt;=Settings!$B$4,"High",IF(I20&gt;=Settings!$B$5,"Medium","Low"))</f>
        <v>Medium</v>
      </c>
      <c r="K20" s="2" t="n">
        <f aca="false">COUNTIF(Map!$D:$D,$A20)</f>
        <v>18</v>
      </c>
    </row>
    <row r="21" customFormat="false" ht="15" hidden="false" customHeight="false" outlineLevel="0" collapsed="false">
      <c r="A21" s="2" t="n">
        <v>20</v>
      </c>
      <c r="B21" s="2" t="s">
        <v>35</v>
      </c>
      <c r="C21" s="2" t="s">
        <v>37</v>
      </c>
      <c r="D21" s="2" t="s">
        <v>13</v>
      </c>
      <c r="E21" s="2"/>
      <c r="F21" s="2" t="n">
        <v>20</v>
      </c>
      <c r="G21" s="2" t="n">
        <f aca="false">COUNTIFS(Map!$D:$D,$A21,Map!$F:$F,"Y")</f>
        <v>2</v>
      </c>
      <c r="H21" s="2" t="str">
        <f aca="false">IF(G21&gt;=Settings!$B$3,"High",IF(G21&gt;=Settings!$B$5,"Medium","Low"))</f>
        <v>Medium</v>
      </c>
      <c r="I21" s="2" t="n">
        <f aca="false">COUNTIFS(Map!$D:$D,$A21,Map!$G:$G,"Y")</f>
        <v>1</v>
      </c>
      <c r="J21" s="2" t="str">
        <f aca="false">IF(I21&gt;=Settings!$B$4,"High",IF(I21&gt;=Settings!$B$5,"Medium","Low"))</f>
        <v>Medium</v>
      </c>
      <c r="K21" s="2" t="n">
        <f aca="false">COUNTIF(Map!$D:$D,$A21)</f>
        <v>7</v>
      </c>
    </row>
    <row r="22" customFormat="false" ht="23.85" hidden="false" customHeight="false" outlineLevel="0" collapsed="false">
      <c r="A22" s="2" t="n">
        <v>21</v>
      </c>
      <c r="B22" s="2" t="s">
        <v>38</v>
      </c>
      <c r="C22" s="2" t="s">
        <v>39</v>
      </c>
      <c r="D22" s="2" t="s">
        <v>13</v>
      </c>
      <c r="E22" s="2"/>
      <c r="F22" s="2" t="n">
        <v>21</v>
      </c>
      <c r="G22" s="2" t="n">
        <f aca="false">COUNTIFS(Map!$D:$D,$A22,Map!$F:$F,"Y")</f>
        <v>3</v>
      </c>
      <c r="H22" s="2" t="str">
        <f aca="false">IF(G22&gt;=Settings!$B$3,"High",IF(G22&gt;=Settings!$B$5,"Medium","Low"))</f>
        <v>Medium</v>
      </c>
      <c r="I22" s="2" t="n">
        <f aca="false">COUNTIFS(Map!$D:$D,$A22,Map!$G:$G,"Y")</f>
        <v>2</v>
      </c>
      <c r="J22" s="2" t="str">
        <f aca="false">IF(I22&gt;=Settings!$B$4,"High",IF(I22&gt;=Settings!$B$5,"Medium","Low"))</f>
        <v>Medium</v>
      </c>
      <c r="K22" s="2" t="n">
        <f aca="false">COUNTIF(Map!$D:$D,$A22)</f>
        <v>13</v>
      </c>
    </row>
    <row r="23" customFormat="false" ht="15" hidden="false" customHeight="false" outlineLevel="0" collapsed="false">
      <c r="A23" s="2" t="n">
        <v>22</v>
      </c>
      <c r="B23" s="2" t="s">
        <v>38</v>
      </c>
      <c r="C23" s="2" t="s">
        <v>40</v>
      </c>
      <c r="D23" s="2" t="s">
        <v>13</v>
      </c>
      <c r="E23" s="2"/>
      <c r="F23" s="2" t="n">
        <v>22</v>
      </c>
      <c r="G23" s="2" t="n">
        <f aca="false">COUNTIFS(Map!$D:$D,$A23,Map!$F:$F,"Y")</f>
        <v>1</v>
      </c>
      <c r="H23" s="2" t="str">
        <f aca="false">IF(G23&gt;=Settings!$B$3,"High",IF(G23&gt;=Settings!$B$5,"Medium","Low"))</f>
        <v>Medium</v>
      </c>
      <c r="I23" s="2" t="n">
        <f aca="false">COUNTIFS(Map!$D:$D,$A23,Map!$G:$G,"Y")</f>
        <v>1</v>
      </c>
      <c r="J23" s="2" t="str">
        <f aca="false">IF(I23&gt;=Settings!$B$4,"High",IF(I23&gt;=Settings!$B$5,"Medium","Low"))</f>
        <v>Medium</v>
      </c>
      <c r="K23" s="2" t="n">
        <f aca="false">COUNTIF(Map!$D:$D,$A23)</f>
        <v>5</v>
      </c>
    </row>
    <row r="24" customFormat="false" ht="15" hidden="false" customHeight="false" outlineLevel="0" collapsed="false">
      <c r="A24" s="2" t="n">
        <v>23</v>
      </c>
      <c r="B24" s="2" t="s">
        <v>38</v>
      </c>
      <c r="C24" s="2" t="s">
        <v>41</v>
      </c>
      <c r="D24" s="2" t="s">
        <v>42</v>
      </c>
      <c r="E24" s="2"/>
      <c r="F24" s="2" t="n">
        <v>23</v>
      </c>
      <c r="G24" s="2" t="n">
        <f aca="false">COUNTIFS(Map!$D:$D,$A24,Map!$F:$F,"Y")</f>
        <v>0</v>
      </c>
      <c r="H24" s="2" t="str">
        <f aca="false">IF(G24&gt;=Settings!$B$3,"High",IF(G24&gt;=Settings!$B$5,"Medium","Low"))</f>
        <v>Low</v>
      </c>
      <c r="I24" s="2" t="n">
        <f aca="false">COUNTIFS(Map!$D:$D,$A24,Map!$G:$G,"Y")</f>
        <v>0</v>
      </c>
      <c r="J24" s="2" t="str">
        <f aca="false">IF(I24&gt;=Settings!$B$4,"High",IF(I24&gt;=Settings!$B$5,"Medium","Low"))</f>
        <v>Low</v>
      </c>
      <c r="K24" s="2" t="n">
        <f aca="false">COUNTIF(Map!$D:$D,$A24)</f>
        <v>0</v>
      </c>
    </row>
    <row r="25" customFormat="false" ht="15" hidden="false" customHeight="false" outlineLevel="0" collapsed="false">
      <c r="A25" s="2" t="n">
        <v>24</v>
      </c>
      <c r="B25" s="2" t="s">
        <v>38</v>
      </c>
      <c r="C25" s="2" t="s">
        <v>43</v>
      </c>
      <c r="D25" s="2" t="s">
        <v>13</v>
      </c>
      <c r="E25" s="2"/>
      <c r="F25" s="2" t="n">
        <v>24</v>
      </c>
      <c r="G25" s="2" t="n">
        <f aca="false">COUNTIFS(Map!$D:$D,$A25,Map!$F:$F,"Y")</f>
        <v>0</v>
      </c>
      <c r="H25" s="2" t="str">
        <f aca="false">IF(G25&gt;=Settings!$B$3,"High",IF(G25&gt;=Settings!$B$5,"Medium","Low"))</f>
        <v>Low</v>
      </c>
      <c r="I25" s="2" t="n">
        <f aca="false">COUNTIFS(Map!$D:$D,$A25,Map!$G:$G,"Y")</f>
        <v>0</v>
      </c>
      <c r="J25" s="2" t="str">
        <f aca="false">IF(I25&gt;=Settings!$B$4,"High",IF(I25&gt;=Settings!$B$5,"Medium","Low"))</f>
        <v>Low</v>
      </c>
      <c r="K25" s="2" t="n">
        <f aca="false">COUNTIF(Map!$D:$D,$A25)</f>
        <v>0</v>
      </c>
    </row>
    <row r="26" customFormat="false" ht="15" hidden="false" customHeight="false" outlineLevel="0" collapsed="false">
      <c r="A26" s="2" t="n">
        <v>25</v>
      </c>
      <c r="B26" s="2" t="s">
        <v>44</v>
      </c>
      <c r="C26" s="2" t="s">
        <v>45</v>
      </c>
      <c r="D26" s="2" t="s">
        <v>13</v>
      </c>
      <c r="E26" s="2"/>
      <c r="F26" s="2" t="n">
        <v>25</v>
      </c>
      <c r="G26" s="2" t="n">
        <f aca="false">COUNTIFS(Map!$D:$D,$A26,Map!$F:$F,"Y")</f>
        <v>3</v>
      </c>
      <c r="H26" s="2" t="str">
        <f aca="false">IF(G26&gt;=Settings!$B$3,"High",IF(G26&gt;=Settings!$B$5,"Medium","Low"))</f>
        <v>Medium</v>
      </c>
      <c r="I26" s="2" t="n">
        <f aca="false">COUNTIFS(Map!$D:$D,$A26,Map!$G:$G,"Y")</f>
        <v>3</v>
      </c>
      <c r="J26" s="2" t="str">
        <f aca="false">IF(I26&gt;=Settings!$B$4,"High",IF(I26&gt;=Settings!$B$5,"Medium","Low"))</f>
        <v>Medium</v>
      </c>
      <c r="K26" s="2" t="n">
        <f aca="false">COUNTIF(Map!$D:$D,$A26)</f>
        <v>16</v>
      </c>
    </row>
    <row r="27" customFormat="false" ht="15" hidden="false" customHeight="false" outlineLevel="0" collapsed="false">
      <c r="A27" s="2" t="n">
        <v>26</v>
      </c>
      <c r="B27" s="2" t="s">
        <v>46</v>
      </c>
      <c r="C27" s="2" t="s">
        <v>47</v>
      </c>
      <c r="D27" s="2" t="s">
        <v>13</v>
      </c>
      <c r="E27" s="2"/>
      <c r="F27" s="2" t="n">
        <v>26</v>
      </c>
      <c r="G27" s="2" t="n">
        <f aca="false">COUNTIFS(Map!$D:$D,$A27,Map!$F:$F,"Y")</f>
        <v>0</v>
      </c>
      <c r="H27" s="2" t="str">
        <f aca="false">IF(G27&gt;=Settings!$B$3,"High",IF(G27&gt;=Settings!$B$5,"Medium","Low"))</f>
        <v>Low</v>
      </c>
      <c r="I27" s="2" t="n">
        <f aca="false">COUNTIFS(Map!$D:$D,$A27,Map!$G:$G,"Y")</f>
        <v>0</v>
      </c>
      <c r="J27" s="2" t="str">
        <f aca="false">IF(I27&gt;=Settings!$B$4,"High",IF(I27&gt;=Settings!$B$5,"Medium","Low"))</f>
        <v>Low</v>
      </c>
      <c r="K27" s="2" t="n">
        <f aca="false">COUNTIF(Map!$D:$D,$A27)</f>
        <v>3</v>
      </c>
    </row>
    <row r="28" customFormat="false" ht="15" hidden="false" customHeight="false" outlineLevel="0" collapsed="false">
      <c r="A28" s="2" t="n">
        <v>27</v>
      </c>
      <c r="B28" s="2" t="s">
        <v>46</v>
      </c>
      <c r="C28" s="2" t="s">
        <v>48</v>
      </c>
      <c r="D28" s="2" t="s">
        <v>13</v>
      </c>
      <c r="E28" s="2"/>
      <c r="F28" s="2" t="n">
        <v>27</v>
      </c>
      <c r="G28" s="2" t="n">
        <f aca="false">COUNTIFS(Map!$D:$D,$A28,Map!$F:$F,"Y")</f>
        <v>0</v>
      </c>
      <c r="H28" s="2" t="str">
        <f aca="false">IF(G28&gt;=Settings!$B$3,"High",IF(G28&gt;=Settings!$B$5,"Medium","Low"))</f>
        <v>Low</v>
      </c>
      <c r="I28" s="2" t="n">
        <f aca="false">COUNTIFS(Map!$D:$D,$A28,Map!$G:$G,"Y")</f>
        <v>0</v>
      </c>
      <c r="J28" s="2" t="str">
        <f aca="false">IF(I28&gt;=Settings!$B$4,"High",IF(I28&gt;=Settings!$B$5,"Medium","Low"))</f>
        <v>Low</v>
      </c>
      <c r="K28" s="2" t="n">
        <f aca="false">COUNTIF(Map!$D:$D,$A28)</f>
        <v>3</v>
      </c>
    </row>
    <row r="29" customFormat="false" ht="15" hidden="false" customHeight="false" outlineLevel="0" collapsed="false">
      <c r="A29" s="2" t="n">
        <v>28</v>
      </c>
      <c r="B29" s="2" t="s">
        <v>46</v>
      </c>
      <c r="C29" s="2" t="s">
        <v>49</v>
      </c>
      <c r="D29" s="2" t="s">
        <v>13</v>
      </c>
      <c r="E29" s="2"/>
      <c r="F29" s="2" t="n">
        <v>28</v>
      </c>
      <c r="G29" s="2" t="n">
        <f aca="false">COUNTIFS(Map!$D:$D,$A29,Map!$F:$F,"Y")</f>
        <v>1</v>
      </c>
      <c r="H29" s="2" t="str">
        <f aca="false">IF(G29&gt;=Settings!$B$3,"High",IF(G29&gt;=Settings!$B$5,"Medium","Low"))</f>
        <v>Medium</v>
      </c>
      <c r="I29" s="2" t="n">
        <f aca="false">COUNTIFS(Map!$D:$D,$A29,Map!$G:$G,"Y")</f>
        <v>0</v>
      </c>
      <c r="J29" s="2" t="str">
        <f aca="false">IF(I29&gt;=Settings!$B$4,"High",IF(I29&gt;=Settings!$B$5,"Medium","Low"))</f>
        <v>Low</v>
      </c>
      <c r="K29" s="2" t="n">
        <f aca="false">COUNTIF(Map!$D:$D,$A29)</f>
        <v>4</v>
      </c>
    </row>
    <row r="30" customFormat="false" ht="15" hidden="false" customHeight="false" outlineLevel="0" collapsed="false">
      <c r="A30" s="2" t="n">
        <v>29</v>
      </c>
      <c r="B30" s="2" t="s">
        <v>46</v>
      </c>
      <c r="C30" s="2" t="s">
        <v>50</v>
      </c>
      <c r="D30" s="2" t="s">
        <v>13</v>
      </c>
      <c r="E30" s="2"/>
      <c r="F30" s="2" t="n">
        <v>29</v>
      </c>
      <c r="G30" s="2" t="n">
        <f aca="false">COUNTIFS(Map!$D:$D,$A30,Map!$F:$F,"Y")</f>
        <v>0</v>
      </c>
      <c r="H30" s="2" t="str">
        <f aca="false">IF(G30&gt;=Settings!$B$3,"High",IF(G30&gt;=Settings!$B$5,"Medium","Low"))</f>
        <v>Low</v>
      </c>
      <c r="I30" s="2" t="n">
        <f aca="false">COUNTIFS(Map!$D:$D,$A30,Map!$G:$G,"Y")</f>
        <v>0</v>
      </c>
      <c r="J30" s="2" t="str">
        <f aca="false">IF(I30&gt;=Settings!$B$4,"High",IF(I30&gt;=Settings!$B$5,"Medium","Low"))</f>
        <v>Low</v>
      </c>
      <c r="K30" s="2" t="n">
        <f aca="false">COUNTIF(Map!$D:$D,$A30)</f>
        <v>0</v>
      </c>
    </row>
    <row r="31" customFormat="false" ht="15" hidden="false" customHeight="false" outlineLevel="0" collapsed="false">
      <c r="A31" s="2" t="n">
        <v>30</v>
      </c>
      <c r="B31" s="2" t="s">
        <v>46</v>
      </c>
      <c r="C31" s="2" t="s">
        <v>51</v>
      </c>
      <c r="D31" s="2" t="s">
        <v>13</v>
      </c>
      <c r="E31" s="2"/>
      <c r="F31" s="2" t="n">
        <v>30</v>
      </c>
      <c r="G31" s="2" t="n">
        <f aca="false">COUNTIFS(Map!$D:$D,$A31,Map!$F:$F,"Y")</f>
        <v>0</v>
      </c>
      <c r="H31" s="2" t="str">
        <f aca="false">IF(G31&gt;=Settings!$B$3,"High",IF(G31&gt;=Settings!$B$5,"Medium","Low"))</f>
        <v>Low</v>
      </c>
      <c r="I31" s="2" t="n">
        <f aca="false">COUNTIFS(Map!$D:$D,$A31,Map!$G:$G,"Y")</f>
        <v>0</v>
      </c>
      <c r="J31" s="2" t="str">
        <f aca="false">IF(I31&gt;=Settings!$B$4,"High",IF(I31&gt;=Settings!$B$5,"Medium","Low"))</f>
        <v>Low</v>
      </c>
      <c r="K31" s="2" t="n">
        <f aca="false">COUNTIF(Map!$D:$D,$A31)</f>
        <v>3</v>
      </c>
    </row>
    <row r="32" customFormat="false" ht="15" hidden="false" customHeight="false" outlineLevel="0" collapsed="false">
      <c r="A32" s="2" t="n">
        <v>31</v>
      </c>
      <c r="B32" s="2" t="s">
        <v>46</v>
      </c>
      <c r="C32" s="2" t="s">
        <v>52</v>
      </c>
      <c r="D32" s="2" t="s">
        <v>13</v>
      </c>
      <c r="E32" s="2"/>
      <c r="F32" s="2" t="n">
        <v>31</v>
      </c>
      <c r="G32" s="2" t="n">
        <f aca="false">COUNTIFS(Map!$D:$D,$A32,Map!$F:$F,"Y")</f>
        <v>0</v>
      </c>
      <c r="H32" s="2" t="str">
        <f aca="false">IF(G32&gt;=Settings!$B$3,"High",IF(G32&gt;=Settings!$B$5,"Medium","Low"))</f>
        <v>Low</v>
      </c>
      <c r="I32" s="2" t="n">
        <f aca="false">COUNTIFS(Map!$D:$D,$A32,Map!$G:$G,"Y")</f>
        <v>0</v>
      </c>
      <c r="J32" s="2" t="str">
        <f aca="false">IF(I32&gt;=Settings!$B$4,"High",IF(I32&gt;=Settings!$B$5,"Medium","Low"))</f>
        <v>Low</v>
      </c>
      <c r="K32" s="2" t="n">
        <f aca="false">COUNTIF(Map!$D:$D,$A32)</f>
        <v>0</v>
      </c>
    </row>
    <row r="33" customFormat="false" ht="15" hidden="false" customHeight="false" outlineLevel="0" collapsed="false">
      <c r="A33" s="2" t="n">
        <v>32</v>
      </c>
      <c r="B33" s="2" t="s">
        <v>46</v>
      </c>
      <c r="C33" s="2" t="s">
        <v>53</v>
      </c>
      <c r="D33" s="2" t="s">
        <v>13</v>
      </c>
      <c r="E33" s="2"/>
      <c r="F33" s="2" t="n">
        <v>32</v>
      </c>
      <c r="G33" s="2" t="n">
        <f aca="false">COUNTIFS(Map!$D:$D,$A33,Map!$F:$F,"Y")</f>
        <v>0</v>
      </c>
      <c r="H33" s="2" t="str">
        <f aca="false">IF(G33&gt;=Settings!$B$3,"High",IF(G33&gt;=Settings!$B$5,"Medium","Low"))</f>
        <v>Low</v>
      </c>
      <c r="I33" s="2" t="n">
        <f aca="false">COUNTIFS(Map!$D:$D,$A33,Map!$G:$G,"Y")</f>
        <v>0</v>
      </c>
      <c r="J33" s="2" t="str">
        <f aca="false">IF(I33&gt;=Settings!$B$4,"High",IF(I33&gt;=Settings!$B$5,"Medium","Low"))</f>
        <v>Low</v>
      </c>
      <c r="K33" s="2" t="n">
        <f aca="false">COUNTIF(Map!$D:$D,$A33)</f>
        <v>5</v>
      </c>
    </row>
    <row r="34" customFormat="false" ht="15" hidden="false" customHeight="false" outlineLevel="0" collapsed="false">
      <c r="A34" s="2" t="n">
        <v>33</v>
      </c>
      <c r="B34" s="2" t="s">
        <v>46</v>
      </c>
      <c r="C34" s="2" t="s">
        <v>54</v>
      </c>
      <c r="D34" s="2" t="s">
        <v>42</v>
      </c>
      <c r="E34" s="2"/>
      <c r="F34" s="2" t="n">
        <v>33</v>
      </c>
      <c r="G34" s="2" t="n">
        <f aca="false">COUNTIFS(Map!$D:$D,$A34,Map!$F:$F,"Y")</f>
        <v>7</v>
      </c>
      <c r="H34" s="2" t="str">
        <f aca="false">IF(G34&gt;=Settings!$B$3,"High",IF(G34&gt;=Settings!$B$5,"Medium","Low"))</f>
        <v>High</v>
      </c>
      <c r="I34" s="2" t="n">
        <f aca="false">COUNTIFS(Map!$D:$D,$A34,Map!$G:$G,"Y")</f>
        <v>4</v>
      </c>
      <c r="J34" s="2" t="str">
        <f aca="false">IF(I34&gt;=Settings!$B$4,"High",IF(I34&gt;=Settings!$B$5,"Medium","Low"))</f>
        <v>High</v>
      </c>
      <c r="K34" s="2" t="n">
        <f aca="false">COUNTIF(Map!$D:$D,$A34)</f>
        <v>13</v>
      </c>
    </row>
    <row r="35" customFormat="false" ht="15" hidden="false" customHeight="false" outlineLevel="0" collapsed="false">
      <c r="A35" s="2" t="n">
        <v>34</v>
      </c>
      <c r="B35" s="2" t="s">
        <v>46</v>
      </c>
      <c r="C35" s="2" t="s">
        <v>55</v>
      </c>
      <c r="D35" s="2" t="s">
        <v>42</v>
      </c>
      <c r="E35" s="2"/>
      <c r="F35" s="2" t="n">
        <v>34</v>
      </c>
      <c r="G35" s="2" t="n">
        <f aca="false">COUNTIFS(Map!$D:$D,$A35,Map!$F:$F,"Y")</f>
        <v>0</v>
      </c>
      <c r="H35" s="2" t="str">
        <f aca="false">IF(G35&gt;=Settings!$B$3,"High",IF(G35&gt;=Settings!$B$5,"Medium","Low"))</f>
        <v>Low</v>
      </c>
      <c r="I35" s="2" t="n">
        <f aca="false">COUNTIFS(Map!$D:$D,$A35,Map!$G:$G,"Y")</f>
        <v>0</v>
      </c>
      <c r="J35" s="2" t="str">
        <f aca="false">IF(I35&gt;=Settings!$B$4,"High",IF(I35&gt;=Settings!$B$5,"Medium","Low"))</f>
        <v>Low</v>
      </c>
      <c r="K35" s="2" t="n">
        <f aca="false">COUNTIF(Map!$D:$D,$A35)</f>
        <v>1</v>
      </c>
    </row>
    <row r="36" customFormat="false" ht="15" hidden="false" customHeight="false" outlineLevel="0" collapsed="false">
      <c r="A36" s="2" t="n">
        <v>35</v>
      </c>
      <c r="B36" s="2" t="s">
        <v>46</v>
      </c>
      <c r="C36" s="2" t="s">
        <v>56</v>
      </c>
      <c r="D36" s="2" t="s">
        <v>13</v>
      </c>
      <c r="E36" s="2"/>
      <c r="F36" s="2" t="n">
        <v>35</v>
      </c>
      <c r="G36" s="2" t="n">
        <f aca="false">COUNTIFS(Map!$D:$D,$A36,Map!$F:$F,"Y")</f>
        <v>0</v>
      </c>
      <c r="H36" s="2" t="str">
        <f aca="false">IF(G36&gt;=Settings!$B$3,"High",IF(G36&gt;=Settings!$B$5,"Medium","Low"))</f>
        <v>Low</v>
      </c>
      <c r="I36" s="2" t="n">
        <f aca="false">COUNTIFS(Map!$D:$D,$A36,Map!$G:$G,"Y")</f>
        <v>0</v>
      </c>
      <c r="J36" s="2" t="str">
        <f aca="false">IF(I36&gt;=Settings!$B$4,"High",IF(I36&gt;=Settings!$B$5,"Medium","Low"))</f>
        <v>Low</v>
      </c>
      <c r="K36" s="2" t="n">
        <f aca="false">COUNTIF(Map!$D:$D,$A36)</f>
        <v>0</v>
      </c>
    </row>
    <row r="37" customFormat="false" ht="23.85" hidden="false" customHeight="false" outlineLevel="0" collapsed="false">
      <c r="A37" s="2" t="n">
        <v>36</v>
      </c>
      <c r="B37" s="2" t="s">
        <v>46</v>
      </c>
      <c r="C37" s="2" t="s">
        <v>57</v>
      </c>
      <c r="D37" s="2" t="s">
        <v>13</v>
      </c>
      <c r="E37" s="2"/>
      <c r="F37" s="2" t="n">
        <v>36</v>
      </c>
      <c r="G37" s="2" t="n">
        <f aca="false">COUNTIFS(Map!$D:$D,$A37,Map!$F:$F,"Y")</f>
        <v>5</v>
      </c>
      <c r="H37" s="2" t="str">
        <f aca="false">IF(G37&gt;=Settings!$B$3,"High",IF(G37&gt;=Settings!$B$5,"Medium","Low"))</f>
        <v>High</v>
      </c>
      <c r="I37" s="2" t="n">
        <f aca="false">COUNTIFS(Map!$D:$D,$A37,Map!$G:$G,"Y")</f>
        <v>4</v>
      </c>
      <c r="J37" s="2" t="str">
        <f aca="false">IF(I37&gt;=Settings!$B$4,"High",IF(I37&gt;=Settings!$B$5,"Medium","Low"))</f>
        <v>High</v>
      </c>
      <c r="K37" s="2" t="n">
        <f aca="false">COUNTIF(Map!$D:$D,$A37)</f>
        <v>22</v>
      </c>
    </row>
    <row r="38" customFormat="false" ht="23.85" hidden="false" customHeight="false" outlineLevel="0" collapsed="false">
      <c r="A38" s="2" t="n">
        <v>37</v>
      </c>
      <c r="B38" s="2" t="s">
        <v>58</v>
      </c>
      <c r="C38" s="2" t="s">
        <v>59</v>
      </c>
      <c r="D38" s="2" t="s">
        <v>13</v>
      </c>
      <c r="E38" s="2"/>
      <c r="F38" s="2" t="n">
        <v>37</v>
      </c>
      <c r="G38" s="2" t="n">
        <f aca="false">COUNTIFS(Map!$D:$D,$A38,Map!$F:$F,"Y")</f>
        <v>4</v>
      </c>
      <c r="H38" s="2" t="str">
        <f aca="false">IF(G38&gt;=Settings!$B$3,"High",IF(G38&gt;=Settings!$B$5,"Medium","Low"))</f>
        <v>Medium</v>
      </c>
      <c r="I38" s="2" t="n">
        <f aca="false">COUNTIFS(Map!$D:$D,$A38,Map!$G:$G,"Y")</f>
        <v>2</v>
      </c>
      <c r="J38" s="2" t="str">
        <f aca="false">IF(I38&gt;=Settings!$B$4,"High",IF(I38&gt;=Settings!$B$5,"Medium","Low"))</f>
        <v>Medium</v>
      </c>
      <c r="K38" s="2" t="n">
        <f aca="false">COUNTIF(Map!$D:$D,$A38)</f>
        <v>8</v>
      </c>
    </row>
    <row r="39" customFormat="false" ht="23.85" hidden="false" customHeight="false" outlineLevel="0" collapsed="false">
      <c r="A39" s="2" t="n">
        <v>38</v>
      </c>
      <c r="B39" s="2" t="s">
        <v>58</v>
      </c>
      <c r="C39" s="2" t="s">
        <v>60</v>
      </c>
      <c r="D39" s="2" t="s">
        <v>13</v>
      </c>
      <c r="E39" s="2"/>
      <c r="F39" s="2" t="n">
        <v>38</v>
      </c>
      <c r="G39" s="2" t="n">
        <f aca="false">COUNTIFS(Map!$D:$D,$A39,Map!$F:$F,"Y")</f>
        <v>0</v>
      </c>
      <c r="H39" s="2" t="str">
        <f aca="false">IF(G39&gt;=Settings!$B$3,"High",IF(G39&gt;=Settings!$B$5,"Medium","Low"))</f>
        <v>Low</v>
      </c>
      <c r="I39" s="2" t="n">
        <f aca="false">COUNTIFS(Map!$D:$D,$A39,Map!$G:$G,"Y")</f>
        <v>0</v>
      </c>
      <c r="J39" s="2" t="str">
        <f aca="false">IF(I39&gt;=Settings!$B$4,"High",IF(I39&gt;=Settings!$B$5,"Medium","Low"))</f>
        <v>Low</v>
      </c>
      <c r="K39" s="2" t="n">
        <f aca="false">COUNTIF(Map!$D:$D,$A39)</f>
        <v>0</v>
      </c>
    </row>
    <row r="40" customFormat="false" ht="23.85" hidden="false" customHeight="false" outlineLevel="0" collapsed="false">
      <c r="A40" s="2" t="n">
        <v>39</v>
      </c>
      <c r="B40" s="2" t="s">
        <v>58</v>
      </c>
      <c r="C40" s="2" t="s">
        <v>61</v>
      </c>
      <c r="D40" s="2" t="s">
        <v>13</v>
      </c>
      <c r="E40" s="2"/>
      <c r="F40" s="2" t="n">
        <v>39</v>
      </c>
      <c r="G40" s="2" t="n">
        <f aca="false">COUNTIFS(Map!$D:$D,$A40,Map!$F:$F,"Y")</f>
        <v>0</v>
      </c>
      <c r="H40" s="2" t="str">
        <f aca="false">IF(G40&gt;=Settings!$B$3,"High",IF(G40&gt;=Settings!$B$5,"Medium","Low"))</f>
        <v>Low</v>
      </c>
      <c r="I40" s="2" t="n">
        <f aca="false">COUNTIFS(Map!$D:$D,$A40,Map!$G:$G,"Y")</f>
        <v>0</v>
      </c>
      <c r="J40" s="2" t="str">
        <f aca="false">IF(I40&gt;=Settings!$B$4,"High",IF(I40&gt;=Settings!$B$5,"Medium","Low"))</f>
        <v>Low</v>
      </c>
      <c r="K40" s="2" t="n">
        <f aca="false">COUNTIF(Map!$D:$D,$A40)</f>
        <v>0</v>
      </c>
    </row>
    <row r="41" customFormat="false" ht="23.85" hidden="false" customHeight="false" outlineLevel="0" collapsed="false">
      <c r="A41" s="2" t="n">
        <v>40</v>
      </c>
      <c r="B41" s="2" t="s">
        <v>58</v>
      </c>
      <c r="C41" s="2" t="s">
        <v>62</v>
      </c>
      <c r="D41" s="2" t="s">
        <v>13</v>
      </c>
      <c r="E41" s="2"/>
      <c r="F41" s="2" t="n">
        <v>40</v>
      </c>
      <c r="G41" s="2" t="n">
        <f aca="false">COUNTIFS(Map!$D:$D,$A41,Map!$F:$F,"Y")</f>
        <v>1</v>
      </c>
      <c r="H41" s="2" t="str">
        <f aca="false">IF(G41&gt;=Settings!$B$3,"High",IF(G41&gt;=Settings!$B$5,"Medium","Low"))</f>
        <v>Medium</v>
      </c>
      <c r="I41" s="2" t="n">
        <f aca="false">COUNTIFS(Map!$D:$D,$A41,Map!$G:$G,"Y")</f>
        <v>0</v>
      </c>
      <c r="J41" s="2" t="str">
        <f aca="false">IF(I41&gt;=Settings!$B$4,"High",IF(I41&gt;=Settings!$B$5,"Medium","Low"))</f>
        <v>Low</v>
      </c>
      <c r="K41" s="2" t="n">
        <f aca="false">COUNTIF(Map!$D:$D,$A41)</f>
        <v>6</v>
      </c>
    </row>
    <row r="42" customFormat="false" ht="23.85" hidden="false" customHeight="false" outlineLevel="0" collapsed="false">
      <c r="A42" s="2" t="n">
        <v>41</v>
      </c>
      <c r="B42" s="2" t="s">
        <v>58</v>
      </c>
      <c r="C42" s="2" t="s">
        <v>63</v>
      </c>
      <c r="D42" s="2" t="s">
        <v>13</v>
      </c>
      <c r="E42" s="2"/>
      <c r="F42" s="2" t="n">
        <v>41</v>
      </c>
      <c r="G42" s="2" t="n">
        <f aca="false">COUNTIFS(Map!$D:$D,$A42,Map!$F:$F,"Y")</f>
        <v>0</v>
      </c>
      <c r="H42" s="2" t="str">
        <f aca="false">IF(G42&gt;=Settings!$B$3,"High",IF(G42&gt;=Settings!$B$5,"Medium","Low"))</f>
        <v>Low</v>
      </c>
      <c r="I42" s="2" t="n">
        <f aca="false">COUNTIFS(Map!$D:$D,$A42,Map!$G:$G,"Y")</f>
        <v>0</v>
      </c>
      <c r="J42" s="2" t="str">
        <f aca="false">IF(I42&gt;=Settings!$B$4,"High",IF(I42&gt;=Settings!$B$5,"Medium","Low"))</f>
        <v>Low</v>
      </c>
      <c r="K42" s="2" t="n">
        <f aca="false">COUNTIF(Map!$D:$D,$A42)</f>
        <v>0</v>
      </c>
    </row>
    <row r="43" customFormat="false" ht="23.85" hidden="false" customHeight="false" outlineLevel="0" collapsed="false">
      <c r="A43" s="2" t="n">
        <v>42</v>
      </c>
      <c r="B43" s="2" t="s">
        <v>58</v>
      </c>
      <c r="C43" s="2" t="s">
        <v>64</v>
      </c>
      <c r="D43" s="2" t="s">
        <v>13</v>
      </c>
      <c r="E43" s="2"/>
      <c r="F43" s="2" t="n">
        <v>42</v>
      </c>
      <c r="G43" s="2" t="n">
        <f aca="false">COUNTIFS(Map!$D:$D,$A43,Map!$F:$F,"Y")</f>
        <v>0</v>
      </c>
      <c r="H43" s="2" t="str">
        <f aca="false">IF(G43&gt;=Settings!$B$3,"High",IF(G43&gt;=Settings!$B$5,"Medium","Low"))</f>
        <v>Low</v>
      </c>
      <c r="I43" s="2" t="n">
        <f aca="false">COUNTIFS(Map!$D:$D,$A43,Map!$G:$G,"Y")</f>
        <v>0</v>
      </c>
      <c r="J43" s="2" t="str">
        <f aca="false">IF(I43&gt;=Settings!$B$4,"High",IF(I43&gt;=Settings!$B$5,"Medium","Low"))</f>
        <v>Low</v>
      </c>
      <c r="K43" s="2" t="n">
        <f aca="false">COUNTIF(Map!$D:$D,$A43)</f>
        <v>3</v>
      </c>
    </row>
    <row r="44" customFormat="false" ht="23.85" hidden="false" customHeight="false" outlineLevel="0" collapsed="false">
      <c r="A44" s="2" t="n">
        <v>43</v>
      </c>
      <c r="B44" s="2" t="s">
        <v>58</v>
      </c>
      <c r="C44" s="2" t="s">
        <v>65</v>
      </c>
      <c r="D44" s="2" t="s">
        <v>13</v>
      </c>
      <c r="E44" s="2"/>
      <c r="F44" s="2" t="n">
        <v>43</v>
      </c>
      <c r="G44" s="2" t="n">
        <f aca="false">COUNTIFS(Map!$D:$D,$A44,Map!$F:$F,"Y")</f>
        <v>0</v>
      </c>
      <c r="H44" s="2" t="str">
        <f aca="false">IF(G44&gt;=Settings!$B$3,"High",IF(G44&gt;=Settings!$B$5,"Medium","Low"))</f>
        <v>Low</v>
      </c>
      <c r="I44" s="2" t="n">
        <f aca="false">COUNTIFS(Map!$D:$D,$A44,Map!$G:$G,"Y")</f>
        <v>0</v>
      </c>
      <c r="J44" s="2" t="str">
        <f aca="false">IF(I44&gt;=Settings!$B$4,"High",IF(I44&gt;=Settings!$B$5,"Medium","Low"))</f>
        <v>Low</v>
      </c>
      <c r="K44" s="2" t="n">
        <f aca="false">COUNTIF(Map!$D:$D,$A44)</f>
        <v>1</v>
      </c>
    </row>
    <row r="45" customFormat="false" ht="23.85" hidden="false" customHeight="false" outlineLevel="0" collapsed="false">
      <c r="A45" s="2" t="n">
        <v>44</v>
      </c>
      <c r="B45" s="2" t="s">
        <v>58</v>
      </c>
      <c r="C45" s="2" t="s">
        <v>66</v>
      </c>
      <c r="D45" s="2" t="s">
        <v>13</v>
      </c>
      <c r="E45" s="2"/>
      <c r="F45" s="2" t="n">
        <v>44</v>
      </c>
      <c r="G45" s="2" t="n">
        <f aca="false">COUNTIFS(Map!$D:$D,$A45,Map!$F:$F,"Y")</f>
        <v>2</v>
      </c>
      <c r="H45" s="2" t="str">
        <f aca="false">IF(G45&gt;=Settings!$B$3,"High",IF(G45&gt;=Settings!$B$5,"Medium","Low"))</f>
        <v>Medium</v>
      </c>
      <c r="I45" s="2" t="n">
        <f aca="false">COUNTIFS(Map!$D:$D,$A45,Map!$G:$G,"Y")</f>
        <v>2</v>
      </c>
      <c r="J45" s="2" t="str">
        <f aca="false">IF(I45&gt;=Settings!$B$4,"High",IF(I45&gt;=Settings!$B$5,"Medium","Low"))</f>
        <v>Medium</v>
      </c>
      <c r="K45" s="2" t="n">
        <f aca="false">COUNTIF(Map!$D:$D,$A45)</f>
        <v>9</v>
      </c>
    </row>
    <row r="46" customFormat="false" ht="15" hidden="false" customHeight="false" outlineLevel="0" collapsed="false">
      <c r="A46" s="2" t="n">
        <v>45</v>
      </c>
      <c r="B46" s="2" t="s">
        <v>67</v>
      </c>
      <c r="C46" s="2" t="s">
        <v>68</v>
      </c>
      <c r="D46" s="2" t="s">
        <v>13</v>
      </c>
      <c r="E46" s="2"/>
      <c r="F46" s="2" t="n">
        <v>45</v>
      </c>
      <c r="G46" s="2" t="n">
        <f aca="false">COUNTIFS(Map!$D:$D,$A46,Map!$F:$F,"Y")</f>
        <v>3</v>
      </c>
      <c r="H46" s="2" t="str">
        <f aca="false">IF(G46&gt;=Settings!$B$3,"High",IF(G46&gt;=Settings!$B$5,"Medium","Low"))</f>
        <v>Medium</v>
      </c>
      <c r="I46" s="2" t="n">
        <f aca="false">COUNTIFS(Map!$D:$D,$A46,Map!$G:$G,"Y")</f>
        <v>3</v>
      </c>
      <c r="J46" s="2" t="str">
        <f aca="false">IF(I46&gt;=Settings!$B$4,"High",IF(I46&gt;=Settings!$B$5,"Medium","Low"))</f>
        <v>Medium</v>
      </c>
      <c r="K46" s="2" t="n">
        <f aca="false">COUNTIF(Map!$D:$D,$A46)</f>
        <v>13</v>
      </c>
    </row>
    <row r="47" customFormat="false" ht="15" hidden="false" customHeight="false" outlineLevel="0" collapsed="false">
      <c r="A47" s="2" t="n">
        <v>46</v>
      </c>
      <c r="B47" s="2" t="s">
        <v>67</v>
      </c>
      <c r="C47" s="2" t="s">
        <v>69</v>
      </c>
      <c r="D47" s="2" t="s">
        <v>13</v>
      </c>
      <c r="E47" s="2"/>
      <c r="F47" s="2" t="n">
        <v>46</v>
      </c>
      <c r="G47" s="2" t="n">
        <f aca="false">COUNTIFS(Map!$D:$D,$A47,Map!$F:$F,"Y")</f>
        <v>0</v>
      </c>
      <c r="H47" s="2" t="str">
        <f aca="false">IF(G47&gt;=Settings!$B$3,"High",IF(G47&gt;=Settings!$B$5,"Medium","Low"))</f>
        <v>Low</v>
      </c>
      <c r="I47" s="2" t="n">
        <f aca="false">COUNTIFS(Map!$D:$D,$A47,Map!$G:$G,"Y")</f>
        <v>0</v>
      </c>
      <c r="J47" s="2" t="str">
        <f aca="false">IF(I47&gt;=Settings!$B$4,"High",IF(I47&gt;=Settings!$B$5,"Medium","Low"))</f>
        <v>Low</v>
      </c>
      <c r="K47" s="2" t="n">
        <f aca="false">COUNTIF(Map!$D:$D,$A47)</f>
        <v>1</v>
      </c>
    </row>
    <row r="48" customFormat="false" ht="15" hidden="false" customHeight="false" outlineLevel="0" collapsed="false">
      <c r="A48" s="2" t="n">
        <v>47</v>
      </c>
      <c r="B48" s="2" t="s">
        <v>67</v>
      </c>
      <c r="C48" s="2" t="s">
        <v>70</v>
      </c>
      <c r="D48" s="2" t="s">
        <v>13</v>
      </c>
      <c r="E48" s="2"/>
      <c r="F48" s="2" t="n">
        <v>47</v>
      </c>
      <c r="G48" s="2" t="n">
        <f aca="false">COUNTIFS(Map!$D:$D,$A48,Map!$F:$F,"Y")</f>
        <v>2</v>
      </c>
      <c r="H48" s="2" t="str">
        <f aca="false">IF(G48&gt;=Settings!$B$3,"High",IF(G48&gt;=Settings!$B$5,"Medium","Low"))</f>
        <v>Medium</v>
      </c>
      <c r="I48" s="2" t="n">
        <f aca="false">COUNTIFS(Map!$D:$D,$A48,Map!$G:$G,"Y")</f>
        <v>2</v>
      </c>
      <c r="J48" s="2" t="str">
        <f aca="false">IF(I48&gt;=Settings!$B$4,"High",IF(I48&gt;=Settings!$B$5,"Medium","Low"))</f>
        <v>Medium</v>
      </c>
      <c r="K48" s="2" t="n">
        <f aca="false">COUNTIF(Map!$D:$D,$A48)</f>
        <v>7</v>
      </c>
    </row>
    <row r="49" customFormat="false" ht="15" hidden="false" customHeight="false" outlineLevel="0" collapsed="false">
      <c r="A49" s="2" t="n">
        <v>48</v>
      </c>
      <c r="B49" s="2" t="s">
        <v>71</v>
      </c>
      <c r="C49" s="2" t="s">
        <v>72</v>
      </c>
      <c r="D49" s="2" t="s">
        <v>13</v>
      </c>
      <c r="E49" s="2"/>
      <c r="F49" s="2" t="n">
        <v>48</v>
      </c>
      <c r="G49" s="2" t="n">
        <f aca="false">COUNTIFS(Map!$D:$D,$A49,Map!$F:$F,"Y")</f>
        <v>0</v>
      </c>
      <c r="H49" s="2" t="str">
        <f aca="false">IF(G49&gt;=Settings!$B$3,"High",IF(G49&gt;=Settings!$B$5,"Medium","Low"))</f>
        <v>Low</v>
      </c>
      <c r="I49" s="2" t="n">
        <f aca="false">COUNTIFS(Map!$D:$D,$A49,Map!$G:$G,"Y")</f>
        <v>0</v>
      </c>
      <c r="J49" s="2" t="str">
        <f aca="false">IF(I49&gt;=Settings!$B$4,"High",IF(I49&gt;=Settings!$B$5,"Medium","Low"))</f>
        <v>Low</v>
      </c>
      <c r="K49" s="2" t="n">
        <f aca="false">COUNTIF(Map!$D:$D,$A49)</f>
        <v>1</v>
      </c>
    </row>
    <row r="50" customFormat="false" ht="15" hidden="false" customHeight="false" outlineLevel="0" collapsed="false">
      <c r="A50" s="2" t="n">
        <v>49</v>
      </c>
      <c r="B50" s="2" t="s">
        <v>71</v>
      </c>
      <c r="C50" s="2" t="s">
        <v>73</v>
      </c>
      <c r="D50" s="2" t="s">
        <v>13</v>
      </c>
      <c r="E50" s="2"/>
      <c r="F50" s="2" t="n">
        <v>49</v>
      </c>
      <c r="G50" s="2" t="n">
        <f aca="false">COUNTIFS(Map!$D:$D,$A50,Map!$F:$F,"Y")</f>
        <v>0</v>
      </c>
      <c r="H50" s="2" t="str">
        <f aca="false">IF(G50&gt;=Settings!$B$3,"High",IF(G50&gt;=Settings!$B$5,"Medium","Low"))</f>
        <v>Low</v>
      </c>
      <c r="I50" s="2" t="n">
        <f aca="false">COUNTIFS(Map!$D:$D,$A50,Map!$G:$G,"Y")</f>
        <v>0</v>
      </c>
      <c r="J50" s="2" t="str">
        <f aca="false">IF(I50&gt;=Settings!$B$4,"High",IF(I50&gt;=Settings!$B$5,"Medium","Low"))</f>
        <v>Low</v>
      </c>
      <c r="K50" s="2" t="n">
        <f aca="false">COUNTIF(Map!$D:$D,$A50)</f>
        <v>2</v>
      </c>
    </row>
    <row r="51" customFormat="false" ht="15" hidden="false" customHeight="false" outlineLevel="0" collapsed="false">
      <c r="A51" s="2" t="n">
        <v>50</v>
      </c>
      <c r="B51" s="2" t="s">
        <v>71</v>
      </c>
      <c r="C51" s="2" t="s">
        <v>74</v>
      </c>
      <c r="D51" s="2" t="s">
        <v>13</v>
      </c>
      <c r="E51" s="2"/>
      <c r="F51" s="2" t="n">
        <v>50</v>
      </c>
      <c r="G51" s="2" t="n">
        <f aca="false">COUNTIFS(Map!$D:$D,$A51,Map!$F:$F,"Y")</f>
        <v>0</v>
      </c>
      <c r="H51" s="2" t="str">
        <f aca="false">IF(G51&gt;=Settings!$B$3,"High",IF(G51&gt;=Settings!$B$5,"Medium","Low"))</f>
        <v>Low</v>
      </c>
      <c r="I51" s="2" t="n">
        <f aca="false">COUNTIFS(Map!$D:$D,$A51,Map!$G:$G,"Y")</f>
        <v>0</v>
      </c>
      <c r="J51" s="2" t="str">
        <f aca="false">IF(I51&gt;=Settings!$B$4,"High",IF(I51&gt;=Settings!$B$5,"Medium","Low"))</f>
        <v>Low</v>
      </c>
      <c r="K51" s="2" t="n">
        <f aca="false">COUNTIF(Map!$D:$D,$A51)</f>
        <v>0</v>
      </c>
    </row>
    <row r="52" customFormat="false" ht="15" hidden="false" customHeight="false" outlineLevel="0" collapsed="false">
      <c r="A52" s="2" t="n">
        <v>51</v>
      </c>
      <c r="B52" s="2" t="s">
        <v>71</v>
      </c>
      <c r="C52" s="2" t="s">
        <v>75</v>
      </c>
      <c r="D52" s="2" t="s">
        <v>13</v>
      </c>
      <c r="E52" s="2"/>
      <c r="F52" s="2" t="n">
        <v>51</v>
      </c>
      <c r="G52" s="2" t="n">
        <f aca="false">COUNTIFS(Map!$D:$D,$A52,Map!$F:$F,"Y")</f>
        <v>0</v>
      </c>
      <c r="H52" s="2" t="str">
        <f aca="false">IF(G52&gt;=Settings!$B$3,"High",IF(G52&gt;=Settings!$B$5,"Medium","Low"))</f>
        <v>Low</v>
      </c>
      <c r="I52" s="2" t="n">
        <f aca="false">COUNTIFS(Map!$D:$D,$A52,Map!$G:$G,"Y")</f>
        <v>0</v>
      </c>
      <c r="J52" s="2" t="str">
        <f aca="false">IF(I52&gt;=Settings!$B$4,"High",IF(I52&gt;=Settings!$B$5,"Medium","Low"))</f>
        <v>Low</v>
      </c>
      <c r="K52" s="2" t="n">
        <f aca="false">COUNTIF(Map!$D:$D,$A52)</f>
        <v>0</v>
      </c>
    </row>
    <row r="53" customFormat="false" ht="23.85" hidden="false" customHeight="false" outlineLevel="0" collapsed="false">
      <c r="A53" s="2" t="n">
        <v>52</v>
      </c>
      <c r="B53" s="2" t="s">
        <v>71</v>
      </c>
      <c r="C53" s="2" t="s">
        <v>76</v>
      </c>
      <c r="D53" s="2" t="s">
        <v>13</v>
      </c>
      <c r="E53" s="2"/>
      <c r="F53" s="2" t="n">
        <v>52</v>
      </c>
      <c r="G53" s="2" t="n">
        <f aca="false">COUNTIFS(Map!$D:$D,$A53,Map!$F:$F,"Y")</f>
        <v>0</v>
      </c>
      <c r="H53" s="2" t="str">
        <f aca="false">IF(G53&gt;=Settings!$B$3,"High",IF(G53&gt;=Settings!$B$5,"Medium","Low"))</f>
        <v>Low</v>
      </c>
      <c r="I53" s="2" t="n">
        <f aca="false">COUNTIFS(Map!$D:$D,$A53,Map!$G:$G,"Y")</f>
        <v>0</v>
      </c>
      <c r="J53" s="2" t="str">
        <f aca="false">IF(I53&gt;=Settings!$B$4,"High",IF(I53&gt;=Settings!$B$5,"Medium","Low"))</f>
        <v>Low</v>
      </c>
      <c r="K53" s="2" t="n">
        <f aca="false">COUNTIF(Map!$D:$D,$A53)</f>
        <v>1</v>
      </c>
    </row>
    <row r="54" customFormat="false" ht="23.85" hidden="false" customHeight="false" outlineLevel="0" collapsed="false">
      <c r="A54" s="2" t="n">
        <v>53</v>
      </c>
      <c r="B54" s="2" t="s">
        <v>71</v>
      </c>
      <c r="C54" s="2" t="s">
        <v>77</v>
      </c>
      <c r="D54" s="2" t="s">
        <v>13</v>
      </c>
      <c r="E54" s="2"/>
      <c r="F54" s="2" t="n">
        <v>53</v>
      </c>
      <c r="G54" s="2" t="n">
        <f aca="false">COUNTIFS(Map!$D:$D,$A54,Map!$F:$F,"Y")</f>
        <v>0</v>
      </c>
      <c r="H54" s="2" t="str">
        <f aca="false">IF(G54&gt;=Settings!$B$3,"High",IF(G54&gt;=Settings!$B$5,"Medium","Low"))</f>
        <v>Low</v>
      </c>
      <c r="I54" s="2" t="n">
        <f aca="false">COUNTIFS(Map!$D:$D,$A54,Map!$G:$G,"Y")</f>
        <v>0</v>
      </c>
      <c r="J54" s="2" t="str">
        <f aca="false">IF(I54&gt;=Settings!$B$4,"High",IF(I54&gt;=Settings!$B$5,"Medium","Low"))</f>
        <v>Low</v>
      </c>
      <c r="K54" s="2" t="n">
        <f aca="false">COUNTIF(Map!$D:$D,$A54)</f>
        <v>0</v>
      </c>
    </row>
    <row r="55" customFormat="false" ht="57.45" hidden="false" customHeight="false" outlineLevel="0" collapsed="false">
      <c r="A55" s="2" t="n">
        <v>54</v>
      </c>
      <c r="B55" s="2" t="s">
        <v>78</v>
      </c>
      <c r="C55" s="2" t="s">
        <v>79</v>
      </c>
      <c r="D55" s="2" t="s">
        <v>80</v>
      </c>
      <c r="E55" s="2" t="s">
        <v>81</v>
      </c>
      <c r="F55" s="2"/>
      <c r="G55" s="2" t="n">
        <f aca="false">COUNTIFS(Map!$D:$D,$A55,Map!$F:$F,"Y")</f>
        <v>16</v>
      </c>
      <c r="H55" s="2" t="str">
        <f aca="false">IF(G55&gt;=Settings!$B$3,"High",IF(G55&gt;=Settings!$B$5,"Medium","Low"))</f>
        <v>High</v>
      </c>
      <c r="I55" s="2" t="n">
        <f aca="false">COUNTIFS(Map!$D:$D,$A55,Map!$G:$G,"Y")</f>
        <v>9</v>
      </c>
      <c r="J55" s="2" t="str">
        <f aca="false">IF(I55&gt;=Settings!$B$4,"High",IF(I55&gt;=Settings!$B$5,"Medium","Low"))</f>
        <v>High</v>
      </c>
      <c r="K55" s="2" t="n">
        <f aca="false">COUNTIF(Map!$D:$D,$A55)</f>
        <v>26</v>
      </c>
    </row>
    <row r="56" customFormat="false" ht="15" hidden="false" customHeight="false" outlineLevel="0" collapsed="false">
      <c r="A56" s="2" t="n">
        <v>55</v>
      </c>
      <c r="B56" s="2" t="s">
        <v>78</v>
      </c>
      <c r="C56" s="2" t="s">
        <v>82</v>
      </c>
      <c r="D56" s="2" t="s">
        <v>80</v>
      </c>
      <c r="E56" s="2" t="s">
        <v>83</v>
      </c>
      <c r="F56" s="2"/>
      <c r="G56" s="2" t="n">
        <f aca="false">COUNTIFS(Map!$D:$D,$A56,Map!$F:$F,"Y")</f>
        <v>1</v>
      </c>
      <c r="H56" s="2" t="str">
        <f aca="false">IF(G56&gt;=Settings!$B$3,"High",IF(G56&gt;=Settings!$B$5,"Medium","Low"))</f>
        <v>Medium</v>
      </c>
      <c r="I56" s="2" t="n">
        <f aca="false">COUNTIFS(Map!$D:$D,$A56,Map!$G:$G,"Y")</f>
        <v>0</v>
      </c>
      <c r="J56" s="2" t="str">
        <f aca="false">IF(I56&gt;=Settings!$B$4,"High",IF(I56&gt;=Settings!$B$5,"Medium","Low"))</f>
        <v>Low</v>
      </c>
      <c r="K56" s="2" t="n">
        <f aca="false">COUNTIF(Map!$D:$D,$A56)</f>
        <v>4</v>
      </c>
    </row>
  </sheetData>
  <autoFilter ref="A1:K56"/>
  <conditionalFormatting sqref="H2:H56">
    <cfRule type="cellIs" priority="2" operator="equal" aboveAverage="0" equalAverage="0" bottom="0" percent="0" rank="0" text="" dxfId="6">
      <formula>"High"</formula>
    </cfRule>
    <cfRule type="cellIs" priority="3" operator="equal" aboveAverage="0" equalAverage="0" bottom="0" percent="0" rank="0" text="" dxfId="7">
      <formula>"Medium"</formula>
    </cfRule>
    <cfRule type="cellIs" priority="4" operator="equal" aboveAverage="0" equalAverage="0" bottom="0" percent="0" rank="0" text="" dxfId="8">
      <formula>"Low"</formula>
    </cfRule>
  </conditionalFormatting>
  <conditionalFormatting sqref="J2:J56">
    <cfRule type="cellIs" priority="5" operator="equal" aboveAverage="0" equalAverage="0" bottom="0" percent="0" rank="0" text="" dxfId="6">
      <formula>"High"</formula>
    </cfRule>
    <cfRule type="cellIs" priority="6" operator="equal" aboveAverage="0" equalAverage="0" bottom="0" percent="0" rank="0" text="" dxfId="7">
      <formula>"Medium"</formula>
    </cfRule>
    <cfRule type="cellIs" priority="7" operator="equal" aboveAverage="0" equalAverage="0" bottom="0" percent="0" rank="0" text="" dxfId="8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8" style="0" width="100"/>
  </cols>
  <sheetData>
    <row r="1" customFormat="false" ht="23.85" hidden="false" customHeight="false" outlineLevel="0" collapsed="false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</row>
    <row r="2" customFormat="false" ht="15" hidden="false" customHeight="false" outlineLevel="0" collapsed="false">
      <c r="A2" s="3" t="s">
        <v>92</v>
      </c>
      <c r="B2" s="3" t="n">
        <v>24</v>
      </c>
      <c r="C2" s="3" t="s">
        <v>93</v>
      </c>
      <c r="D2" s="3" t="n">
        <v>13</v>
      </c>
      <c r="E2" s="3" t="s">
        <v>94</v>
      </c>
      <c r="F2" s="3" t="s">
        <v>95</v>
      </c>
      <c r="G2" s="3" t="s">
        <v>95</v>
      </c>
      <c r="H2" s="3" t="s">
        <v>96</v>
      </c>
    </row>
    <row r="3" customFormat="false" ht="15" hidden="false" customHeight="false" outlineLevel="0" collapsed="false">
      <c r="A3" s="3" t="s">
        <v>92</v>
      </c>
      <c r="B3" s="3" t="n">
        <v>25</v>
      </c>
      <c r="C3" s="3" t="s">
        <v>93</v>
      </c>
      <c r="D3" s="3" t="n">
        <v>13</v>
      </c>
      <c r="E3" s="3" t="s">
        <v>94</v>
      </c>
      <c r="F3" s="3" t="s">
        <v>95</v>
      </c>
      <c r="G3" s="3" t="s">
        <v>95</v>
      </c>
      <c r="H3" s="3" t="s">
        <v>97</v>
      </c>
    </row>
    <row r="4" customFormat="false" ht="15" hidden="false" customHeight="false" outlineLevel="0" collapsed="false">
      <c r="A4" s="3" t="s">
        <v>92</v>
      </c>
      <c r="B4" s="3" t="n">
        <v>26</v>
      </c>
      <c r="C4" s="3" t="s">
        <v>93</v>
      </c>
      <c r="D4" s="3" t="n">
        <v>13</v>
      </c>
      <c r="E4" s="3" t="s">
        <v>94</v>
      </c>
      <c r="F4" s="3" t="s">
        <v>95</v>
      </c>
      <c r="G4" s="3" t="s">
        <v>95</v>
      </c>
      <c r="H4" s="3" t="s">
        <v>98</v>
      </c>
    </row>
    <row r="5" customFormat="false" ht="15" hidden="false" customHeight="false" outlineLevel="0" collapsed="false">
      <c r="A5" s="3" t="s">
        <v>92</v>
      </c>
      <c r="B5" s="3" t="n">
        <v>27</v>
      </c>
      <c r="C5" s="3" t="s">
        <v>93</v>
      </c>
      <c r="D5" s="3" t="n">
        <v>16</v>
      </c>
      <c r="E5" s="3" t="s">
        <v>94</v>
      </c>
      <c r="F5" s="3" t="s">
        <v>95</v>
      </c>
      <c r="G5" s="3" t="s">
        <v>95</v>
      </c>
      <c r="H5" s="3" t="s">
        <v>99</v>
      </c>
    </row>
    <row r="6" customFormat="false" ht="15" hidden="false" customHeight="false" outlineLevel="0" collapsed="false">
      <c r="A6" s="3" t="s">
        <v>92</v>
      </c>
      <c r="B6" s="3" t="n">
        <v>27</v>
      </c>
      <c r="C6" s="3" t="s">
        <v>93</v>
      </c>
      <c r="D6" s="3" t="n">
        <v>13</v>
      </c>
      <c r="E6" s="3" t="s">
        <v>100</v>
      </c>
      <c r="F6" s="3" t="s">
        <v>95</v>
      </c>
      <c r="G6" s="3" t="s">
        <v>95</v>
      </c>
      <c r="H6" s="3" t="s">
        <v>99</v>
      </c>
    </row>
    <row r="7" customFormat="false" ht="15" hidden="false" customHeight="false" outlineLevel="0" collapsed="false">
      <c r="A7" s="3" t="s">
        <v>92</v>
      </c>
      <c r="B7" s="3" t="n">
        <v>28</v>
      </c>
      <c r="C7" s="3" t="s">
        <v>93</v>
      </c>
      <c r="D7" s="3" t="n">
        <v>13</v>
      </c>
      <c r="E7" s="3" t="s">
        <v>94</v>
      </c>
      <c r="F7" s="3" t="s">
        <v>95</v>
      </c>
      <c r="G7" s="3" t="s">
        <v>95</v>
      </c>
      <c r="H7" s="3" t="s">
        <v>101</v>
      </c>
    </row>
    <row r="8" customFormat="false" ht="15" hidden="false" customHeight="false" outlineLevel="0" collapsed="false">
      <c r="A8" s="3" t="s">
        <v>92</v>
      </c>
      <c r="B8" s="3" t="n">
        <v>28</v>
      </c>
      <c r="C8" s="3" t="s">
        <v>93</v>
      </c>
      <c r="D8" s="3" t="n">
        <v>14</v>
      </c>
      <c r="E8" s="3" t="s">
        <v>100</v>
      </c>
      <c r="F8" s="3" t="s">
        <v>95</v>
      </c>
      <c r="G8" s="3" t="s">
        <v>95</v>
      </c>
      <c r="H8" s="3" t="s">
        <v>101</v>
      </c>
    </row>
    <row r="9" customFormat="false" ht="15" hidden="false" customHeight="false" outlineLevel="0" collapsed="false">
      <c r="A9" s="3" t="s">
        <v>92</v>
      </c>
      <c r="B9" s="3" t="n">
        <v>29</v>
      </c>
      <c r="C9" s="3" t="s">
        <v>93</v>
      </c>
      <c r="D9" s="3" t="n">
        <v>13</v>
      </c>
      <c r="E9" s="3" t="s">
        <v>94</v>
      </c>
      <c r="F9" s="3" t="s">
        <v>95</v>
      </c>
      <c r="G9" s="3" t="s">
        <v>95</v>
      </c>
      <c r="H9" s="3" t="s">
        <v>102</v>
      </c>
    </row>
    <row r="10" customFormat="false" ht="15" hidden="false" customHeight="false" outlineLevel="0" collapsed="false">
      <c r="A10" s="3" t="s">
        <v>92</v>
      </c>
      <c r="B10" s="3" t="n">
        <v>30</v>
      </c>
      <c r="C10" s="3" t="s">
        <v>93</v>
      </c>
      <c r="D10" s="3" t="n">
        <v>19</v>
      </c>
      <c r="E10" s="3" t="s">
        <v>94</v>
      </c>
      <c r="F10" s="3" t="s">
        <v>95</v>
      </c>
      <c r="G10" s="3" t="s">
        <v>95</v>
      </c>
      <c r="H10" s="3" t="s">
        <v>103</v>
      </c>
    </row>
    <row r="11" customFormat="false" ht="15" hidden="false" customHeight="false" outlineLevel="0" collapsed="false">
      <c r="A11" s="3" t="s">
        <v>92</v>
      </c>
      <c r="B11" s="3" t="n">
        <v>30</v>
      </c>
      <c r="C11" s="3" t="s">
        <v>93</v>
      </c>
      <c r="D11" s="3" t="n">
        <v>14</v>
      </c>
      <c r="E11" s="3" t="s">
        <v>100</v>
      </c>
      <c r="F11" s="3" t="s">
        <v>95</v>
      </c>
      <c r="G11" s="3" t="s">
        <v>95</v>
      </c>
      <c r="H11" s="3" t="s">
        <v>103</v>
      </c>
    </row>
    <row r="12" customFormat="false" ht="15" hidden="false" customHeight="false" outlineLevel="0" collapsed="false">
      <c r="A12" s="3" t="s">
        <v>92</v>
      </c>
      <c r="B12" s="3" t="n">
        <v>31</v>
      </c>
      <c r="C12" s="3" t="s">
        <v>93</v>
      </c>
      <c r="D12" s="3" t="n">
        <v>15</v>
      </c>
      <c r="E12" s="3" t="s">
        <v>94</v>
      </c>
      <c r="F12" s="3" t="s">
        <v>95</v>
      </c>
      <c r="G12" s="3" t="s">
        <v>95</v>
      </c>
      <c r="H12" s="3" t="s">
        <v>104</v>
      </c>
    </row>
    <row r="13" customFormat="false" ht="15" hidden="false" customHeight="false" outlineLevel="0" collapsed="false">
      <c r="A13" s="3" t="s">
        <v>92</v>
      </c>
      <c r="B13" s="3" t="n">
        <v>32</v>
      </c>
      <c r="C13" s="3" t="s">
        <v>93</v>
      </c>
      <c r="D13" s="3" t="n">
        <v>13</v>
      </c>
      <c r="E13" s="3" t="s">
        <v>94</v>
      </c>
      <c r="F13" s="3" t="s">
        <v>95</v>
      </c>
      <c r="G13" s="3" t="s">
        <v>95</v>
      </c>
      <c r="H13" s="3" t="s">
        <v>105</v>
      </c>
    </row>
    <row r="14" customFormat="false" ht="15" hidden="false" customHeight="false" outlineLevel="0" collapsed="false">
      <c r="A14" s="3" t="s">
        <v>92</v>
      </c>
      <c r="B14" s="3" t="n">
        <v>33</v>
      </c>
      <c r="C14" s="3" t="s">
        <v>93</v>
      </c>
      <c r="D14" s="3" t="n">
        <v>17</v>
      </c>
      <c r="E14" s="3" t="s">
        <v>94</v>
      </c>
      <c r="F14" s="3" t="s">
        <v>95</v>
      </c>
      <c r="G14" s="3" t="s">
        <v>95</v>
      </c>
      <c r="H14" s="3" t="s">
        <v>106</v>
      </c>
    </row>
    <row r="15" customFormat="false" ht="15" hidden="false" customHeight="false" outlineLevel="0" collapsed="false">
      <c r="A15" s="3" t="s">
        <v>92</v>
      </c>
      <c r="B15" s="3" t="n">
        <v>34</v>
      </c>
      <c r="C15" s="3" t="s">
        <v>93</v>
      </c>
      <c r="D15" s="3" t="n">
        <v>17</v>
      </c>
      <c r="E15" s="3" t="s">
        <v>94</v>
      </c>
      <c r="F15" s="3" t="s">
        <v>95</v>
      </c>
      <c r="G15" s="3" t="s">
        <v>95</v>
      </c>
      <c r="H15" s="3" t="s">
        <v>107</v>
      </c>
    </row>
    <row r="16" customFormat="false" ht="15" hidden="false" customHeight="false" outlineLevel="0" collapsed="false">
      <c r="A16" s="3" t="s">
        <v>92</v>
      </c>
      <c r="B16" s="3" t="n">
        <v>34</v>
      </c>
      <c r="C16" s="3" t="s">
        <v>93</v>
      </c>
      <c r="D16" s="3" t="n">
        <v>15</v>
      </c>
      <c r="E16" s="3" t="s">
        <v>100</v>
      </c>
      <c r="F16" s="3" t="s">
        <v>95</v>
      </c>
      <c r="G16" s="3" t="s">
        <v>95</v>
      </c>
      <c r="H16" s="3" t="s">
        <v>107</v>
      </c>
    </row>
    <row r="17" customFormat="false" ht="15" hidden="false" customHeight="false" outlineLevel="0" collapsed="false">
      <c r="A17" s="3" t="s">
        <v>92</v>
      </c>
      <c r="B17" s="3" t="n">
        <v>35</v>
      </c>
      <c r="C17" s="3" t="s">
        <v>93</v>
      </c>
      <c r="D17" s="3" t="n">
        <v>17</v>
      </c>
      <c r="E17" s="3" t="s">
        <v>94</v>
      </c>
      <c r="F17" s="3" t="s">
        <v>95</v>
      </c>
      <c r="G17" s="3" t="s">
        <v>95</v>
      </c>
      <c r="H17" s="3" t="s">
        <v>108</v>
      </c>
    </row>
    <row r="18" customFormat="false" ht="15" hidden="false" customHeight="false" outlineLevel="0" collapsed="false">
      <c r="A18" s="3" t="s">
        <v>92</v>
      </c>
      <c r="B18" s="3" t="n">
        <v>35</v>
      </c>
      <c r="C18" s="3" t="s">
        <v>93</v>
      </c>
      <c r="D18" s="3" t="n">
        <v>15</v>
      </c>
      <c r="E18" s="3" t="s">
        <v>100</v>
      </c>
      <c r="F18" s="3" t="s">
        <v>95</v>
      </c>
      <c r="G18" s="3" t="s">
        <v>95</v>
      </c>
      <c r="H18" s="3" t="s">
        <v>108</v>
      </c>
    </row>
    <row r="19" customFormat="false" ht="15" hidden="false" customHeight="false" outlineLevel="0" collapsed="false">
      <c r="A19" s="3" t="s">
        <v>92</v>
      </c>
      <c r="B19" s="3" t="n">
        <v>36</v>
      </c>
      <c r="C19" s="3" t="s">
        <v>93</v>
      </c>
      <c r="D19" s="3" t="n">
        <v>18</v>
      </c>
      <c r="E19" s="3" t="s">
        <v>94</v>
      </c>
      <c r="F19" s="3" t="s">
        <v>95</v>
      </c>
      <c r="G19" s="3" t="s">
        <v>95</v>
      </c>
      <c r="H19" s="3" t="s">
        <v>109</v>
      </c>
    </row>
    <row r="20" customFormat="false" ht="15" hidden="false" customHeight="false" outlineLevel="0" collapsed="false">
      <c r="A20" s="3" t="s">
        <v>92</v>
      </c>
      <c r="B20" s="3" t="n">
        <v>36</v>
      </c>
      <c r="C20" s="3" t="s">
        <v>93</v>
      </c>
      <c r="D20" s="3" t="n">
        <v>20</v>
      </c>
      <c r="E20" s="3" t="s">
        <v>100</v>
      </c>
      <c r="F20" s="3" t="s">
        <v>95</v>
      </c>
      <c r="G20" s="3" t="s">
        <v>95</v>
      </c>
      <c r="H20" s="3" t="s">
        <v>109</v>
      </c>
    </row>
    <row r="21" customFormat="false" ht="15" hidden="false" customHeight="false" outlineLevel="0" collapsed="false">
      <c r="A21" s="3" t="s">
        <v>92</v>
      </c>
      <c r="B21" s="3" t="n">
        <v>37</v>
      </c>
      <c r="C21" s="3" t="s">
        <v>93</v>
      </c>
      <c r="D21" s="3" t="n">
        <v>17</v>
      </c>
      <c r="E21" s="3" t="s">
        <v>94</v>
      </c>
      <c r="F21" s="3" t="s">
        <v>95</v>
      </c>
      <c r="G21" s="3" t="s">
        <v>95</v>
      </c>
      <c r="H21" s="3" t="s">
        <v>110</v>
      </c>
    </row>
    <row r="22" customFormat="false" ht="15" hidden="false" customHeight="false" outlineLevel="0" collapsed="false">
      <c r="A22" s="3" t="s">
        <v>92</v>
      </c>
      <c r="B22" s="3" t="n">
        <v>37</v>
      </c>
      <c r="C22" s="3" t="s">
        <v>93</v>
      </c>
      <c r="D22" s="3" t="n">
        <v>19</v>
      </c>
      <c r="E22" s="3" t="s">
        <v>100</v>
      </c>
      <c r="F22" s="3" t="s">
        <v>95</v>
      </c>
      <c r="G22" s="3" t="s">
        <v>95</v>
      </c>
      <c r="H22" s="3" t="s">
        <v>110</v>
      </c>
    </row>
    <row r="23" customFormat="false" ht="15" hidden="false" customHeight="false" outlineLevel="0" collapsed="false">
      <c r="A23" s="3" t="s">
        <v>92</v>
      </c>
      <c r="B23" s="3" t="n">
        <v>38</v>
      </c>
      <c r="C23" s="3" t="s">
        <v>93</v>
      </c>
      <c r="D23" s="3" t="n">
        <v>25</v>
      </c>
      <c r="E23" s="3" t="s">
        <v>94</v>
      </c>
      <c r="F23" s="3" t="s">
        <v>95</v>
      </c>
      <c r="G23" s="3" t="s">
        <v>95</v>
      </c>
      <c r="H23" s="3" t="s">
        <v>111</v>
      </c>
    </row>
    <row r="24" customFormat="false" ht="15" hidden="false" customHeight="false" outlineLevel="0" collapsed="false">
      <c r="A24" s="3" t="s">
        <v>92</v>
      </c>
      <c r="B24" s="3" t="n">
        <v>39</v>
      </c>
      <c r="C24" s="3" t="s">
        <v>93</v>
      </c>
      <c r="D24" s="3" t="n">
        <v>25</v>
      </c>
      <c r="E24" s="3" t="s">
        <v>94</v>
      </c>
      <c r="F24" s="3" t="s">
        <v>95</v>
      </c>
      <c r="G24" s="3" t="s">
        <v>95</v>
      </c>
      <c r="H24" s="3" t="s">
        <v>112</v>
      </c>
    </row>
    <row r="25" customFormat="false" ht="15" hidden="false" customHeight="false" outlineLevel="0" collapsed="false">
      <c r="A25" s="3" t="s">
        <v>92</v>
      </c>
      <c r="B25" s="3" t="n">
        <v>40</v>
      </c>
      <c r="C25" s="3" t="s">
        <v>93</v>
      </c>
      <c r="D25" s="3" t="n">
        <v>25</v>
      </c>
      <c r="E25" s="3" t="s">
        <v>94</v>
      </c>
      <c r="F25" s="3" t="s">
        <v>95</v>
      </c>
      <c r="G25" s="3" t="s">
        <v>95</v>
      </c>
      <c r="H25" s="3" t="s">
        <v>113</v>
      </c>
    </row>
    <row r="26" customFormat="false" ht="15" hidden="false" customHeight="false" outlineLevel="0" collapsed="false">
      <c r="A26" s="3" t="s">
        <v>92</v>
      </c>
      <c r="B26" s="3" t="n">
        <v>41</v>
      </c>
      <c r="C26" s="3" t="s">
        <v>93</v>
      </c>
      <c r="D26" s="3" t="n">
        <v>36</v>
      </c>
      <c r="E26" s="3" t="s">
        <v>94</v>
      </c>
      <c r="F26" s="3" t="s">
        <v>95</v>
      </c>
      <c r="G26" s="3" t="s">
        <v>95</v>
      </c>
      <c r="H26" s="3" t="s">
        <v>114</v>
      </c>
    </row>
    <row r="27" customFormat="false" ht="15" hidden="false" customHeight="false" outlineLevel="0" collapsed="false">
      <c r="A27" s="3" t="s">
        <v>92</v>
      </c>
      <c r="B27" s="3" t="n">
        <v>41</v>
      </c>
      <c r="C27" s="3" t="s">
        <v>93</v>
      </c>
      <c r="D27" s="3" t="n">
        <v>32</v>
      </c>
      <c r="E27" s="3" t="s">
        <v>100</v>
      </c>
      <c r="F27" s="3" t="s">
        <v>95</v>
      </c>
      <c r="G27" s="3" t="s">
        <v>95</v>
      </c>
      <c r="H27" s="3" t="s">
        <v>114</v>
      </c>
    </row>
    <row r="28" customFormat="false" ht="15" hidden="false" customHeight="false" outlineLevel="0" collapsed="false">
      <c r="A28" s="3" t="s">
        <v>92</v>
      </c>
      <c r="B28" s="3" t="n">
        <v>42</v>
      </c>
      <c r="C28" s="3" t="s">
        <v>93</v>
      </c>
      <c r="D28" s="3" t="n">
        <v>33</v>
      </c>
      <c r="E28" s="3" t="s">
        <v>94</v>
      </c>
      <c r="F28" s="3" t="s">
        <v>95</v>
      </c>
      <c r="G28" s="3" t="s">
        <v>95</v>
      </c>
      <c r="H28" s="3" t="s">
        <v>115</v>
      </c>
    </row>
    <row r="29" customFormat="false" ht="15" hidden="false" customHeight="false" outlineLevel="0" collapsed="false">
      <c r="A29" s="3" t="s">
        <v>92</v>
      </c>
      <c r="B29" s="3" t="n">
        <v>43</v>
      </c>
      <c r="C29" s="3" t="s">
        <v>93</v>
      </c>
      <c r="D29" s="3" t="n">
        <v>36</v>
      </c>
      <c r="E29" s="3" t="s">
        <v>94</v>
      </c>
      <c r="F29" s="3" t="s">
        <v>95</v>
      </c>
      <c r="G29" s="3" t="s">
        <v>95</v>
      </c>
      <c r="H29" s="3" t="s">
        <v>116</v>
      </c>
    </row>
    <row r="30" customFormat="false" ht="15" hidden="false" customHeight="false" outlineLevel="0" collapsed="false">
      <c r="A30" s="3" t="s">
        <v>92</v>
      </c>
      <c r="B30" s="3" t="n">
        <v>44</v>
      </c>
      <c r="C30" s="3" t="s">
        <v>93</v>
      </c>
      <c r="D30" s="3" t="n">
        <v>32</v>
      </c>
      <c r="E30" s="3" t="s">
        <v>94</v>
      </c>
      <c r="F30" s="3" t="s">
        <v>95</v>
      </c>
      <c r="G30" s="3" t="s">
        <v>95</v>
      </c>
      <c r="H30" s="3" t="s">
        <v>117</v>
      </c>
    </row>
    <row r="31" customFormat="false" ht="15" hidden="false" customHeight="false" outlineLevel="0" collapsed="false">
      <c r="A31" s="3" t="s">
        <v>92</v>
      </c>
      <c r="B31" s="3" t="n">
        <v>44</v>
      </c>
      <c r="C31" s="3" t="s">
        <v>93</v>
      </c>
      <c r="D31" s="3" t="n">
        <v>36</v>
      </c>
      <c r="E31" s="3" t="s">
        <v>100</v>
      </c>
      <c r="F31" s="3" t="s">
        <v>95</v>
      </c>
      <c r="G31" s="3" t="s">
        <v>95</v>
      </c>
      <c r="H31" s="3" t="s">
        <v>117</v>
      </c>
    </row>
    <row r="32" customFormat="false" ht="15" hidden="false" customHeight="false" outlineLevel="0" collapsed="false">
      <c r="A32" s="3" t="s">
        <v>92</v>
      </c>
      <c r="B32" s="3" t="n">
        <v>45</v>
      </c>
      <c r="C32" s="3" t="s">
        <v>93</v>
      </c>
      <c r="D32" s="3" t="n">
        <v>36</v>
      </c>
      <c r="E32" s="3" t="s">
        <v>94</v>
      </c>
      <c r="F32" s="3" t="s">
        <v>95</v>
      </c>
      <c r="G32" s="3" t="s">
        <v>95</v>
      </c>
      <c r="H32" s="3" t="s">
        <v>118</v>
      </c>
    </row>
    <row r="33" customFormat="false" ht="15" hidden="false" customHeight="false" outlineLevel="0" collapsed="false">
      <c r="A33" s="3" t="s">
        <v>92</v>
      </c>
      <c r="B33" s="3" t="n">
        <v>46</v>
      </c>
      <c r="C33" s="3" t="s">
        <v>93</v>
      </c>
      <c r="D33" s="3" t="n">
        <v>40</v>
      </c>
      <c r="E33" s="3" t="s">
        <v>94</v>
      </c>
      <c r="F33" s="3" t="s">
        <v>95</v>
      </c>
      <c r="G33" s="3" t="s">
        <v>95</v>
      </c>
      <c r="H33" s="3" t="s">
        <v>119</v>
      </c>
    </row>
    <row r="34" customFormat="false" ht="15" hidden="false" customHeight="false" outlineLevel="0" collapsed="false">
      <c r="A34" s="3" t="s">
        <v>92</v>
      </c>
      <c r="B34" s="3" t="n">
        <v>47</v>
      </c>
      <c r="C34" s="3" t="s">
        <v>93</v>
      </c>
      <c r="D34" s="3" t="n">
        <v>44</v>
      </c>
      <c r="E34" s="3" t="s">
        <v>94</v>
      </c>
      <c r="F34" s="3" t="s">
        <v>95</v>
      </c>
      <c r="G34" s="3" t="s">
        <v>95</v>
      </c>
      <c r="H34" s="3" t="s">
        <v>120</v>
      </c>
    </row>
    <row r="35" customFormat="false" ht="15" hidden="false" customHeight="false" outlineLevel="0" collapsed="false">
      <c r="A35" s="3" t="s">
        <v>92</v>
      </c>
      <c r="B35" s="3" t="n">
        <v>48</v>
      </c>
      <c r="C35" s="3" t="s">
        <v>93</v>
      </c>
      <c r="D35" s="3" t="n">
        <v>40</v>
      </c>
      <c r="E35" s="3" t="s">
        <v>94</v>
      </c>
      <c r="F35" s="3" t="s">
        <v>95</v>
      </c>
      <c r="G35" s="3" t="s">
        <v>95</v>
      </c>
      <c r="H35" s="3" t="s">
        <v>121</v>
      </c>
    </row>
    <row r="36" customFormat="false" ht="15" hidden="false" customHeight="false" outlineLevel="0" collapsed="false">
      <c r="A36" s="3" t="s">
        <v>92</v>
      </c>
      <c r="B36" s="3" t="n">
        <v>50</v>
      </c>
      <c r="C36" s="3" t="s">
        <v>93</v>
      </c>
      <c r="D36" s="3" t="n">
        <v>13</v>
      </c>
      <c r="E36" s="3" t="s">
        <v>94</v>
      </c>
      <c r="F36" s="3" t="s">
        <v>95</v>
      </c>
      <c r="G36" s="3" t="s">
        <v>95</v>
      </c>
      <c r="H36" s="3" t="s">
        <v>122</v>
      </c>
    </row>
    <row r="37" customFormat="false" ht="15" hidden="false" customHeight="false" outlineLevel="0" collapsed="false">
      <c r="A37" s="3" t="s">
        <v>123</v>
      </c>
      <c r="B37" s="3" t="n">
        <v>28</v>
      </c>
      <c r="C37" s="3" t="s">
        <v>93</v>
      </c>
      <c r="D37" s="3" t="n">
        <v>13</v>
      </c>
      <c r="E37" s="3" t="s">
        <v>94</v>
      </c>
      <c r="F37" s="3" t="s">
        <v>95</v>
      </c>
      <c r="G37" s="3" t="s">
        <v>95</v>
      </c>
      <c r="H37" s="3" t="s">
        <v>124</v>
      </c>
    </row>
    <row r="38" customFormat="false" ht="15" hidden="false" customHeight="false" outlineLevel="0" collapsed="false">
      <c r="A38" s="3" t="s">
        <v>123</v>
      </c>
      <c r="B38" s="3" t="n">
        <v>28</v>
      </c>
      <c r="C38" s="3" t="s">
        <v>93</v>
      </c>
      <c r="D38" s="3" t="n">
        <v>45</v>
      </c>
      <c r="E38" s="3" t="s">
        <v>100</v>
      </c>
      <c r="F38" s="3" t="s">
        <v>95</v>
      </c>
      <c r="G38" s="3" t="s">
        <v>95</v>
      </c>
      <c r="H38" s="3" t="s">
        <v>124</v>
      </c>
    </row>
    <row r="39" customFormat="false" ht="15" hidden="false" customHeight="false" outlineLevel="0" collapsed="false">
      <c r="A39" s="3" t="s">
        <v>123</v>
      </c>
      <c r="B39" s="3" t="n">
        <v>29</v>
      </c>
      <c r="C39" s="3" t="s">
        <v>93</v>
      </c>
      <c r="D39" s="3" t="n">
        <v>13</v>
      </c>
      <c r="E39" s="3" t="s">
        <v>94</v>
      </c>
      <c r="F39" s="3" t="s">
        <v>95</v>
      </c>
      <c r="G39" s="3" t="s">
        <v>95</v>
      </c>
      <c r="H39" s="3" t="s">
        <v>125</v>
      </c>
    </row>
    <row r="40" customFormat="false" ht="15" hidden="false" customHeight="false" outlineLevel="0" collapsed="false">
      <c r="A40" s="3" t="s">
        <v>123</v>
      </c>
      <c r="B40" s="3" t="n">
        <v>30</v>
      </c>
      <c r="C40" s="3" t="s">
        <v>93</v>
      </c>
      <c r="D40" s="3" t="n">
        <v>15</v>
      </c>
      <c r="E40" s="3" t="s">
        <v>94</v>
      </c>
      <c r="F40" s="3" t="s">
        <v>95</v>
      </c>
      <c r="G40" s="3" t="s">
        <v>95</v>
      </c>
      <c r="H40" s="3" t="s">
        <v>126</v>
      </c>
    </row>
    <row r="41" customFormat="false" ht="15" hidden="false" customHeight="false" outlineLevel="0" collapsed="false">
      <c r="A41" s="3" t="s">
        <v>123</v>
      </c>
      <c r="B41" s="3" t="n">
        <v>30</v>
      </c>
      <c r="C41" s="3" t="s">
        <v>93</v>
      </c>
      <c r="D41" s="3" t="n">
        <v>13</v>
      </c>
      <c r="E41" s="3" t="s">
        <v>100</v>
      </c>
      <c r="F41" s="3" t="s">
        <v>95</v>
      </c>
      <c r="G41" s="3" t="s">
        <v>95</v>
      </c>
      <c r="H41" s="3" t="s">
        <v>126</v>
      </c>
    </row>
    <row r="42" customFormat="false" ht="15" hidden="false" customHeight="false" outlineLevel="0" collapsed="false">
      <c r="A42" s="3" t="s">
        <v>123</v>
      </c>
      <c r="B42" s="3" t="n">
        <v>31</v>
      </c>
      <c r="C42" s="3" t="s">
        <v>93</v>
      </c>
      <c r="D42" s="3" t="n">
        <v>55</v>
      </c>
      <c r="E42" s="3" t="s">
        <v>94</v>
      </c>
      <c r="F42" s="3" t="s">
        <v>95</v>
      </c>
      <c r="G42" s="3" t="s">
        <v>95</v>
      </c>
      <c r="H42" s="3" t="s">
        <v>127</v>
      </c>
    </row>
    <row r="43" customFormat="false" ht="15" hidden="false" customHeight="false" outlineLevel="0" collapsed="false">
      <c r="A43" s="3" t="s">
        <v>123</v>
      </c>
      <c r="B43" s="3" t="n">
        <v>32</v>
      </c>
      <c r="C43" s="3" t="s">
        <v>93</v>
      </c>
      <c r="D43" s="3" t="n">
        <v>55</v>
      </c>
      <c r="E43" s="3" t="s">
        <v>94</v>
      </c>
      <c r="F43" s="3" t="s">
        <v>95</v>
      </c>
      <c r="G43" s="3" t="s">
        <v>95</v>
      </c>
      <c r="H43" s="3" t="s">
        <v>128</v>
      </c>
    </row>
    <row r="44" customFormat="false" ht="15" hidden="false" customHeight="false" outlineLevel="0" collapsed="false">
      <c r="A44" s="3" t="s">
        <v>123</v>
      </c>
      <c r="B44" s="3" t="n">
        <v>33</v>
      </c>
      <c r="C44" s="3" t="s">
        <v>93</v>
      </c>
      <c r="D44" s="3" t="n">
        <v>19</v>
      </c>
      <c r="E44" s="3" t="s">
        <v>94</v>
      </c>
      <c r="F44" s="3" t="s">
        <v>95</v>
      </c>
      <c r="G44" s="3" t="s">
        <v>95</v>
      </c>
      <c r="H44" s="3" t="s">
        <v>129</v>
      </c>
    </row>
    <row r="45" customFormat="false" ht="15" hidden="false" customHeight="false" outlineLevel="0" collapsed="false">
      <c r="A45" s="3" t="s">
        <v>123</v>
      </c>
      <c r="B45" s="3" t="n">
        <v>33</v>
      </c>
      <c r="C45" s="3" t="s">
        <v>93</v>
      </c>
      <c r="D45" s="3" t="n">
        <v>17</v>
      </c>
      <c r="E45" s="3" t="s">
        <v>100</v>
      </c>
      <c r="F45" s="3" t="s">
        <v>95</v>
      </c>
      <c r="G45" s="3" t="s">
        <v>95</v>
      </c>
      <c r="H45" s="3" t="s">
        <v>129</v>
      </c>
    </row>
    <row r="46" customFormat="false" ht="15" hidden="false" customHeight="false" outlineLevel="0" collapsed="false">
      <c r="A46" s="3" t="s">
        <v>123</v>
      </c>
      <c r="B46" s="3" t="n">
        <v>34</v>
      </c>
      <c r="C46" s="3" t="s">
        <v>93</v>
      </c>
      <c r="D46" s="3" t="n">
        <v>19</v>
      </c>
      <c r="E46" s="3" t="s">
        <v>94</v>
      </c>
      <c r="F46" s="3" t="s">
        <v>95</v>
      </c>
      <c r="G46" s="3" t="s">
        <v>95</v>
      </c>
      <c r="H46" s="3" t="s">
        <v>130</v>
      </c>
    </row>
    <row r="47" customFormat="false" ht="15" hidden="false" customHeight="false" outlineLevel="0" collapsed="false">
      <c r="A47" s="3" t="s">
        <v>123</v>
      </c>
      <c r="B47" s="3" t="n">
        <v>34</v>
      </c>
      <c r="C47" s="3" t="s">
        <v>93</v>
      </c>
      <c r="D47" s="3" t="n">
        <v>17</v>
      </c>
      <c r="E47" s="3" t="s">
        <v>100</v>
      </c>
      <c r="F47" s="3" t="s">
        <v>95</v>
      </c>
      <c r="G47" s="3" t="s">
        <v>95</v>
      </c>
      <c r="H47" s="3" t="s">
        <v>130</v>
      </c>
    </row>
    <row r="48" customFormat="false" ht="15" hidden="false" customHeight="false" outlineLevel="0" collapsed="false">
      <c r="A48" s="3" t="s">
        <v>123</v>
      </c>
      <c r="B48" s="3" t="n">
        <v>35</v>
      </c>
      <c r="C48" s="3" t="s">
        <v>93</v>
      </c>
      <c r="D48" s="3" t="n">
        <v>17</v>
      </c>
      <c r="E48" s="3" t="s">
        <v>94</v>
      </c>
      <c r="F48" s="3" t="s">
        <v>95</v>
      </c>
      <c r="G48" s="3" t="s">
        <v>95</v>
      </c>
      <c r="H48" s="3" t="s">
        <v>131</v>
      </c>
    </row>
    <row r="49" customFormat="false" ht="15" hidden="false" customHeight="false" outlineLevel="0" collapsed="false">
      <c r="A49" s="3" t="s">
        <v>123</v>
      </c>
      <c r="B49" s="3" t="n">
        <v>35</v>
      </c>
      <c r="C49" s="3" t="s">
        <v>93</v>
      </c>
      <c r="D49" s="3" t="n">
        <v>19</v>
      </c>
      <c r="E49" s="3" t="s">
        <v>100</v>
      </c>
      <c r="F49" s="3" t="s">
        <v>95</v>
      </c>
      <c r="G49" s="3" t="s">
        <v>95</v>
      </c>
      <c r="H49" s="3" t="s">
        <v>131</v>
      </c>
    </row>
    <row r="50" customFormat="false" ht="15" hidden="false" customHeight="false" outlineLevel="0" collapsed="false">
      <c r="A50" s="3" t="s">
        <v>123</v>
      </c>
      <c r="B50" s="3" t="n">
        <v>36</v>
      </c>
      <c r="C50" s="3" t="s">
        <v>93</v>
      </c>
      <c r="D50" s="3" t="n">
        <v>19</v>
      </c>
      <c r="E50" s="3" t="s">
        <v>94</v>
      </c>
      <c r="F50" s="3" t="s">
        <v>95</v>
      </c>
      <c r="G50" s="3" t="s">
        <v>95</v>
      </c>
      <c r="H50" s="3" t="s">
        <v>132</v>
      </c>
    </row>
    <row r="51" customFormat="false" ht="15" hidden="false" customHeight="false" outlineLevel="0" collapsed="false">
      <c r="A51" s="3" t="s">
        <v>123</v>
      </c>
      <c r="B51" s="3" t="n">
        <v>37</v>
      </c>
      <c r="C51" s="3" t="s">
        <v>93</v>
      </c>
      <c r="D51" s="3" t="n">
        <v>19</v>
      </c>
      <c r="E51" s="3" t="s">
        <v>94</v>
      </c>
      <c r="F51" s="3" t="s">
        <v>95</v>
      </c>
      <c r="G51" s="3" t="s">
        <v>95</v>
      </c>
      <c r="H51" s="3" t="s">
        <v>133</v>
      </c>
    </row>
    <row r="52" customFormat="false" ht="15" hidden="false" customHeight="false" outlineLevel="0" collapsed="false">
      <c r="A52" s="3" t="s">
        <v>123</v>
      </c>
      <c r="B52" s="3" t="n">
        <v>38</v>
      </c>
      <c r="C52" s="3" t="s">
        <v>93</v>
      </c>
      <c r="D52" s="3" t="n">
        <v>19</v>
      </c>
      <c r="E52" s="3" t="s">
        <v>94</v>
      </c>
      <c r="F52" s="3" t="s">
        <v>95</v>
      </c>
      <c r="G52" s="3" t="s">
        <v>95</v>
      </c>
      <c r="H52" s="3" t="s">
        <v>134</v>
      </c>
    </row>
    <row r="53" customFormat="false" ht="15" hidden="false" customHeight="false" outlineLevel="0" collapsed="false">
      <c r="A53" s="3" t="s">
        <v>123</v>
      </c>
      <c r="B53" s="3" t="n">
        <v>39</v>
      </c>
      <c r="C53" s="3" t="s">
        <v>93</v>
      </c>
      <c r="D53" s="3" t="n">
        <v>25</v>
      </c>
      <c r="E53" s="3" t="s">
        <v>94</v>
      </c>
      <c r="F53" s="3" t="s">
        <v>95</v>
      </c>
      <c r="G53" s="3" t="s">
        <v>95</v>
      </c>
      <c r="H53" s="3" t="s">
        <v>135</v>
      </c>
    </row>
    <row r="54" customFormat="false" ht="15" hidden="false" customHeight="false" outlineLevel="0" collapsed="false">
      <c r="A54" s="3" t="s">
        <v>123</v>
      </c>
      <c r="B54" s="3" t="n">
        <v>40</v>
      </c>
      <c r="C54" s="3" t="s">
        <v>93</v>
      </c>
      <c r="D54" s="3" t="n">
        <v>25</v>
      </c>
      <c r="E54" s="3" t="s">
        <v>94</v>
      </c>
      <c r="F54" s="3" t="s">
        <v>95</v>
      </c>
      <c r="G54" s="3" t="s">
        <v>95</v>
      </c>
      <c r="H54" s="3" t="s">
        <v>136</v>
      </c>
    </row>
    <row r="55" customFormat="false" ht="15" hidden="false" customHeight="false" outlineLevel="0" collapsed="false">
      <c r="A55" s="3" t="s">
        <v>123</v>
      </c>
      <c r="B55" s="3" t="n">
        <v>41</v>
      </c>
      <c r="C55" s="3" t="s">
        <v>93</v>
      </c>
      <c r="D55" s="3" t="n">
        <v>25</v>
      </c>
      <c r="E55" s="3" t="s">
        <v>94</v>
      </c>
      <c r="F55" s="3" t="s">
        <v>95</v>
      </c>
      <c r="G55" s="3" t="s">
        <v>95</v>
      </c>
      <c r="H55" s="3" t="s">
        <v>137</v>
      </c>
    </row>
    <row r="56" customFormat="false" ht="15" hidden="false" customHeight="false" outlineLevel="0" collapsed="false">
      <c r="A56" s="3" t="s">
        <v>123</v>
      </c>
      <c r="B56" s="3" t="n">
        <v>42</v>
      </c>
      <c r="C56" s="3" t="s">
        <v>93</v>
      </c>
      <c r="D56" s="3" t="n">
        <v>54</v>
      </c>
      <c r="E56" s="3" t="s">
        <v>94</v>
      </c>
      <c r="F56" s="3" t="s">
        <v>95</v>
      </c>
      <c r="G56" s="3" t="s">
        <v>95</v>
      </c>
      <c r="H56" s="3" t="s">
        <v>138</v>
      </c>
    </row>
    <row r="57" customFormat="false" ht="15" hidden="false" customHeight="false" outlineLevel="0" collapsed="false">
      <c r="A57" s="3" t="s">
        <v>123</v>
      </c>
      <c r="B57" s="3" t="n">
        <v>43</v>
      </c>
      <c r="C57" s="3" t="s">
        <v>93</v>
      </c>
      <c r="D57" s="3" t="n">
        <v>21</v>
      </c>
      <c r="E57" s="3" t="s">
        <v>94</v>
      </c>
      <c r="F57" s="3" t="s">
        <v>95</v>
      </c>
      <c r="G57" s="3" t="s">
        <v>95</v>
      </c>
      <c r="H57" s="3" t="s">
        <v>139</v>
      </c>
    </row>
    <row r="58" customFormat="false" ht="15" hidden="false" customHeight="false" outlineLevel="0" collapsed="false">
      <c r="A58" s="3" t="s">
        <v>123</v>
      </c>
      <c r="B58" s="3" t="n">
        <v>43</v>
      </c>
      <c r="C58" s="3" t="s">
        <v>93</v>
      </c>
      <c r="D58" s="3" t="n">
        <v>22</v>
      </c>
      <c r="E58" s="3" t="s">
        <v>100</v>
      </c>
      <c r="F58" s="3" t="s">
        <v>95</v>
      </c>
      <c r="G58" s="3" t="s">
        <v>95</v>
      </c>
      <c r="H58" s="3" t="s">
        <v>139</v>
      </c>
    </row>
    <row r="59" customFormat="false" ht="15" hidden="false" customHeight="false" outlineLevel="0" collapsed="false">
      <c r="A59" s="3" t="s">
        <v>123</v>
      </c>
      <c r="B59" s="3" t="n">
        <v>44</v>
      </c>
      <c r="C59" s="3" t="s">
        <v>93</v>
      </c>
      <c r="D59" s="3" t="n">
        <v>21</v>
      </c>
      <c r="E59" s="3" t="s">
        <v>94</v>
      </c>
      <c r="F59" s="3" t="s">
        <v>95</v>
      </c>
      <c r="G59" s="3" t="s">
        <v>95</v>
      </c>
      <c r="H59" s="3" t="s">
        <v>140</v>
      </c>
    </row>
    <row r="60" customFormat="false" ht="15" hidden="false" customHeight="false" outlineLevel="0" collapsed="false">
      <c r="A60" s="3" t="s">
        <v>123</v>
      </c>
      <c r="B60" s="3" t="n">
        <v>45</v>
      </c>
      <c r="C60" s="3" t="s">
        <v>93</v>
      </c>
      <c r="D60" s="3" t="n">
        <v>21</v>
      </c>
      <c r="E60" s="3" t="s">
        <v>94</v>
      </c>
      <c r="F60" s="3" t="s">
        <v>95</v>
      </c>
      <c r="G60" s="3" t="s">
        <v>95</v>
      </c>
      <c r="H60" s="3" t="s">
        <v>141</v>
      </c>
    </row>
    <row r="61" customFormat="false" ht="15" hidden="false" customHeight="false" outlineLevel="0" collapsed="false">
      <c r="A61" s="3" t="s">
        <v>123</v>
      </c>
      <c r="B61" s="3" t="n">
        <v>46</v>
      </c>
      <c r="C61" s="3" t="s">
        <v>93</v>
      </c>
      <c r="D61" s="3" t="n">
        <v>36</v>
      </c>
      <c r="E61" s="3" t="s">
        <v>94</v>
      </c>
      <c r="F61" s="3" t="s">
        <v>95</v>
      </c>
      <c r="G61" s="3" t="s">
        <v>95</v>
      </c>
      <c r="H61" s="3" t="s">
        <v>142</v>
      </c>
    </row>
    <row r="62" customFormat="false" ht="15" hidden="false" customHeight="false" outlineLevel="0" collapsed="false">
      <c r="A62" s="3" t="s">
        <v>123</v>
      </c>
      <c r="B62" s="3" t="n">
        <v>46</v>
      </c>
      <c r="C62" s="3" t="s">
        <v>93</v>
      </c>
      <c r="D62" s="3" t="n">
        <v>27</v>
      </c>
      <c r="E62" s="3" t="s">
        <v>100</v>
      </c>
      <c r="F62" s="3" t="s">
        <v>95</v>
      </c>
      <c r="G62" s="3" t="s">
        <v>95</v>
      </c>
      <c r="H62" s="3" t="s">
        <v>142</v>
      </c>
    </row>
    <row r="63" customFormat="false" ht="15" hidden="false" customHeight="false" outlineLevel="0" collapsed="false">
      <c r="A63" s="3" t="s">
        <v>123</v>
      </c>
      <c r="B63" s="3" t="n">
        <v>47</v>
      </c>
      <c r="C63" s="3" t="s">
        <v>93</v>
      </c>
      <c r="D63" s="3" t="n">
        <v>36</v>
      </c>
      <c r="E63" s="3" t="s">
        <v>94</v>
      </c>
      <c r="F63" s="3" t="s">
        <v>95</v>
      </c>
      <c r="G63" s="3" t="s">
        <v>95</v>
      </c>
      <c r="H63" s="3" t="s">
        <v>143</v>
      </c>
    </row>
    <row r="64" customFormat="false" ht="15" hidden="false" customHeight="false" outlineLevel="0" collapsed="false">
      <c r="A64" s="3" t="s">
        <v>123</v>
      </c>
      <c r="B64" s="3" t="n">
        <v>48</v>
      </c>
      <c r="C64" s="3" t="s">
        <v>93</v>
      </c>
      <c r="D64" s="3" t="n">
        <v>36</v>
      </c>
      <c r="E64" s="3" t="s">
        <v>94</v>
      </c>
      <c r="F64" s="3" t="s">
        <v>95</v>
      </c>
      <c r="G64" s="3" t="s">
        <v>95</v>
      </c>
      <c r="H64" s="3" t="s">
        <v>144</v>
      </c>
    </row>
    <row r="65" customFormat="false" ht="15" hidden="false" customHeight="false" outlineLevel="0" collapsed="false">
      <c r="A65" s="3" t="s">
        <v>123</v>
      </c>
      <c r="B65" s="3" t="n">
        <v>49</v>
      </c>
      <c r="C65" s="3" t="s">
        <v>93</v>
      </c>
      <c r="D65" s="3" t="n">
        <v>36</v>
      </c>
      <c r="E65" s="3" t="s">
        <v>94</v>
      </c>
      <c r="F65" s="3" t="s">
        <v>95</v>
      </c>
      <c r="G65" s="3" t="s">
        <v>95</v>
      </c>
      <c r="H65" s="3" t="s">
        <v>145</v>
      </c>
    </row>
    <row r="66" customFormat="false" ht="15" hidden="false" customHeight="false" outlineLevel="0" collapsed="false">
      <c r="A66" s="3" t="s">
        <v>123</v>
      </c>
      <c r="B66" s="3" t="n">
        <v>50</v>
      </c>
      <c r="C66" s="3" t="s">
        <v>93</v>
      </c>
      <c r="D66" s="3" t="n">
        <v>36</v>
      </c>
      <c r="E66" s="3" t="s">
        <v>94</v>
      </c>
      <c r="F66" s="3" t="s">
        <v>95</v>
      </c>
      <c r="G66" s="3" t="s">
        <v>95</v>
      </c>
      <c r="H66" s="3" t="s">
        <v>146</v>
      </c>
    </row>
    <row r="67" customFormat="false" ht="15" hidden="false" customHeight="false" outlineLevel="0" collapsed="false">
      <c r="A67" s="3" t="s">
        <v>123</v>
      </c>
      <c r="B67" s="3" t="n">
        <v>51</v>
      </c>
      <c r="C67" s="3" t="s">
        <v>93</v>
      </c>
      <c r="D67" s="3" t="n">
        <v>33</v>
      </c>
      <c r="E67" s="3" t="s">
        <v>94</v>
      </c>
      <c r="F67" s="3" t="s">
        <v>95</v>
      </c>
      <c r="G67" s="3" t="s">
        <v>95</v>
      </c>
      <c r="H67" s="3" t="s">
        <v>147</v>
      </c>
    </row>
    <row r="68" customFormat="false" ht="15" hidden="false" customHeight="false" outlineLevel="0" collapsed="false">
      <c r="A68" s="3" t="s">
        <v>123</v>
      </c>
      <c r="B68" s="3" t="n">
        <v>51</v>
      </c>
      <c r="C68" s="3" t="s">
        <v>93</v>
      </c>
      <c r="D68" s="3" t="n">
        <v>36</v>
      </c>
      <c r="E68" s="3" t="s">
        <v>100</v>
      </c>
      <c r="F68" s="3" t="s">
        <v>95</v>
      </c>
      <c r="G68" s="3" t="s">
        <v>95</v>
      </c>
      <c r="H68" s="3" t="s">
        <v>147</v>
      </c>
    </row>
    <row r="69" customFormat="false" ht="15" hidden="false" customHeight="false" outlineLevel="0" collapsed="false">
      <c r="A69" s="3" t="s">
        <v>123</v>
      </c>
      <c r="B69" s="3" t="n">
        <v>52</v>
      </c>
      <c r="C69" s="3" t="s">
        <v>93</v>
      </c>
      <c r="D69" s="3" t="n">
        <v>37</v>
      </c>
      <c r="E69" s="3" t="s">
        <v>94</v>
      </c>
      <c r="F69" s="3" t="s">
        <v>95</v>
      </c>
      <c r="G69" s="3" t="s">
        <v>95</v>
      </c>
      <c r="H69" s="3" t="s">
        <v>148</v>
      </c>
    </row>
    <row r="70" customFormat="false" ht="15" hidden="false" customHeight="false" outlineLevel="0" collapsed="false">
      <c r="A70" s="3" t="s">
        <v>123</v>
      </c>
      <c r="B70" s="3" t="n">
        <v>53</v>
      </c>
      <c r="C70" s="3" t="s">
        <v>93</v>
      </c>
      <c r="D70" s="3" t="n">
        <v>42</v>
      </c>
      <c r="E70" s="3" t="s">
        <v>94</v>
      </c>
      <c r="F70" s="3" t="s">
        <v>95</v>
      </c>
      <c r="G70" s="3" t="s">
        <v>95</v>
      </c>
      <c r="H70" s="3" t="s">
        <v>149</v>
      </c>
    </row>
    <row r="71" customFormat="false" ht="15" hidden="false" customHeight="false" outlineLevel="0" collapsed="false">
      <c r="A71" s="3" t="s">
        <v>123</v>
      </c>
      <c r="B71" s="3" t="n">
        <v>53</v>
      </c>
      <c r="C71" s="3" t="s">
        <v>93</v>
      </c>
      <c r="D71" s="3" t="n">
        <v>15</v>
      </c>
      <c r="E71" s="3" t="s">
        <v>100</v>
      </c>
      <c r="F71" s="3" t="s">
        <v>95</v>
      </c>
      <c r="G71" s="3" t="s">
        <v>95</v>
      </c>
      <c r="H71" s="3" t="s">
        <v>149</v>
      </c>
    </row>
    <row r="72" customFormat="false" ht="15" hidden="false" customHeight="false" outlineLevel="0" collapsed="false">
      <c r="A72" s="3" t="s">
        <v>123</v>
      </c>
      <c r="B72" s="3" t="n">
        <v>54</v>
      </c>
      <c r="C72" s="3" t="s">
        <v>93</v>
      </c>
      <c r="D72" s="3" t="n">
        <v>44</v>
      </c>
      <c r="E72" s="3" t="s">
        <v>94</v>
      </c>
      <c r="F72" s="3" t="s">
        <v>95</v>
      </c>
      <c r="G72" s="3" t="s">
        <v>95</v>
      </c>
      <c r="H72" s="3" t="s">
        <v>150</v>
      </c>
    </row>
    <row r="73" customFormat="false" ht="15" hidden="false" customHeight="false" outlineLevel="0" collapsed="false">
      <c r="A73" s="3" t="s">
        <v>123</v>
      </c>
      <c r="B73" s="3" t="n">
        <v>55</v>
      </c>
      <c r="C73" s="3" t="s">
        <v>93</v>
      </c>
      <c r="D73" s="3" t="n">
        <v>44</v>
      </c>
      <c r="E73" s="3" t="s">
        <v>94</v>
      </c>
      <c r="F73" s="3" t="s">
        <v>95</v>
      </c>
      <c r="G73" s="3" t="s">
        <v>95</v>
      </c>
      <c r="H73" s="3" t="s">
        <v>151</v>
      </c>
    </row>
    <row r="74" customFormat="false" ht="15" hidden="false" customHeight="false" outlineLevel="0" collapsed="false">
      <c r="A74" s="3" t="s">
        <v>123</v>
      </c>
      <c r="B74" s="3" t="n">
        <v>56</v>
      </c>
      <c r="C74" s="3" t="s">
        <v>93</v>
      </c>
      <c r="D74" s="3" t="n">
        <v>21</v>
      </c>
      <c r="E74" s="3" t="s">
        <v>94</v>
      </c>
      <c r="F74" s="3" t="s">
        <v>95</v>
      </c>
      <c r="G74" s="3" t="s">
        <v>95</v>
      </c>
      <c r="H74" s="3" t="s">
        <v>152</v>
      </c>
    </row>
    <row r="75" customFormat="false" ht="15" hidden="false" customHeight="false" outlineLevel="0" collapsed="false">
      <c r="A75" s="3" t="s">
        <v>123</v>
      </c>
      <c r="B75" s="3" t="n">
        <v>56</v>
      </c>
      <c r="C75" s="3" t="s">
        <v>93</v>
      </c>
      <c r="D75" s="3" t="n">
        <v>22</v>
      </c>
      <c r="E75" s="3" t="s">
        <v>100</v>
      </c>
      <c r="F75" s="3" t="s">
        <v>95</v>
      </c>
      <c r="G75" s="3" t="s">
        <v>95</v>
      </c>
      <c r="H75" s="3" t="s">
        <v>152</v>
      </c>
    </row>
    <row r="76" customFormat="false" ht="15" hidden="false" customHeight="false" outlineLevel="0" collapsed="false">
      <c r="A76" s="3" t="s">
        <v>123</v>
      </c>
      <c r="B76" s="3" t="n">
        <v>75</v>
      </c>
      <c r="C76" s="3" t="s">
        <v>93</v>
      </c>
      <c r="D76" s="3" t="n">
        <v>25</v>
      </c>
      <c r="E76" s="3" t="s">
        <v>94</v>
      </c>
      <c r="F76" s="3" t="s">
        <v>95</v>
      </c>
      <c r="G76" s="3" t="s">
        <v>95</v>
      </c>
      <c r="H76" s="3" t="s">
        <v>153</v>
      </c>
    </row>
    <row r="77" customFormat="false" ht="15" hidden="false" customHeight="false" outlineLevel="0" collapsed="false">
      <c r="A77" s="3" t="s">
        <v>123</v>
      </c>
      <c r="B77" s="3" t="n">
        <v>76</v>
      </c>
      <c r="C77" s="3" t="s">
        <v>93</v>
      </c>
      <c r="D77" s="3" t="n">
        <v>54</v>
      </c>
      <c r="E77" s="3" t="s">
        <v>94</v>
      </c>
      <c r="F77" s="3" t="s">
        <v>95</v>
      </c>
      <c r="G77" s="3" t="s">
        <v>95</v>
      </c>
      <c r="H77" s="3" t="s">
        <v>154</v>
      </c>
    </row>
    <row r="78" customFormat="false" ht="15" hidden="false" customHeight="false" outlineLevel="0" collapsed="false">
      <c r="A78" s="3" t="s">
        <v>123</v>
      </c>
      <c r="B78" s="3" t="n">
        <v>76</v>
      </c>
      <c r="C78" s="3" t="s">
        <v>93</v>
      </c>
      <c r="D78" s="3" t="n">
        <v>33</v>
      </c>
      <c r="E78" s="3" t="s">
        <v>100</v>
      </c>
      <c r="F78" s="3" t="s">
        <v>95</v>
      </c>
      <c r="G78" s="3" t="s">
        <v>95</v>
      </c>
      <c r="H78" s="3" t="s">
        <v>154</v>
      </c>
    </row>
    <row r="79" customFormat="false" ht="15" hidden="false" customHeight="false" outlineLevel="0" collapsed="false">
      <c r="A79" s="3" t="s">
        <v>123</v>
      </c>
      <c r="B79" s="3" t="n">
        <v>77</v>
      </c>
      <c r="C79" s="3" t="s">
        <v>93</v>
      </c>
      <c r="D79" s="3" t="n">
        <v>13</v>
      </c>
      <c r="E79" s="3" t="s">
        <v>94</v>
      </c>
      <c r="F79" s="3" t="s">
        <v>95</v>
      </c>
      <c r="G79" s="3" t="s">
        <v>95</v>
      </c>
      <c r="H79" s="3" t="s">
        <v>155</v>
      </c>
    </row>
    <row r="80" customFormat="false" ht="15" hidden="false" customHeight="false" outlineLevel="0" collapsed="false">
      <c r="A80" s="3" t="s">
        <v>123</v>
      </c>
      <c r="B80" s="3" t="n">
        <v>77</v>
      </c>
      <c r="C80" s="3" t="s">
        <v>93</v>
      </c>
      <c r="D80" s="3" t="n">
        <v>45</v>
      </c>
      <c r="E80" s="3" t="s">
        <v>100</v>
      </c>
      <c r="F80" s="3" t="s">
        <v>95</v>
      </c>
      <c r="G80" s="3" t="s">
        <v>95</v>
      </c>
      <c r="H80" s="3" t="s">
        <v>155</v>
      </c>
    </row>
    <row r="81" customFormat="false" ht="15" hidden="false" customHeight="false" outlineLevel="0" collapsed="false">
      <c r="A81" s="3" t="s">
        <v>123</v>
      </c>
      <c r="B81" s="3" t="n">
        <v>78</v>
      </c>
      <c r="C81" s="3" t="s">
        <v>93</v>
      </c>
      <c r="D81" s="3" t="n">
        <v>13</v>
      </c>
      <c r="E81" s="3" t="s">
        <v>94</v>
      </c>
      <c r="F81" s="3" t="s">
        <v>95</v>
      </c>
      <c r="G81" s="3" t="s">
        <v>95</v>
      </c>
      <c r="H81" s="3" t="s">
        <v>156</v>
      </c>
    </row>
    <row r="82" customFormat="false" ht="15" hidden="false" customHeight="false" outlineLevel="0" collapsed="false">
      <c r="A82" s="3" t="s">
        <v>123</v>
      </c>
      <c r="B82" s="3" t="n">
        <v>78</v>
      </c>
      <c r="C82" s="3" t="s">
        <v>93</v>
      </c>
      <c r="D82" s="3" t="n">
        <v>45</v>
      </c>
      <c r="E82" s="3" t="s">
        <v>100</v>
      </c>
      <c r="F82" s="3" t="s">
        <v>95</v>
      </c>
      <c r="G82" s="3" t="s">
        <v>95</v>
      </c>
      <c r="H82" s="3" t="s">
        <v>156</v>
      </c>
    </row>
    <row r="83" customFormat="false" ht="15" hidden="false" customHeight="false" outlineLevel="0" collapsed="false">
      <c r="A83" s="3" t="s">
        <v>123</v>
      </c>
      <c r="B83" s="3" t="n">
        <v>83</v>
      </c>
      <c r="C83" s="3" t="s">
        <v>93</v>
      </c>
      <c r="D83" s="3" t="n">
        <v>20</v>
      </c>
      <c r="E83" s="3" t="s">
        <v>94</v>
      </c>
      <c r="F83" s="3" t="s">
        <v>95</v>
      </c>
      <c r="G83" s="3" t="s">
        <v>95</v>
      </c>
      <c r="H83" s="3" t="s">
        <v>157</v>
      </c>
    </row>
    <row r="84" customFormat="false" ht="15" hidden="false" customHeight="false" outlineLevel="0" collapsed="false">
      <c r="A84" s="3" t="s">
        <v>123</v>
      </c>
      <c r="B84" s="3" t="n">
        <v>83</v>
      </c>
      <c r="C84" s="3" t="s">
        <v>93</v>
      </c>
      <c r="D84" s="3" t="n">
        <v>19</v>
      </c>
      <c r="E84" s="3" t="s">
        <v>100</v>
      </c>
      <c r="F84" s="3" t="s">
        <v>95</v>
      </c>
      <c r="G84" s="3" t="s">
        <v>95</v>
      </c>
      <c r="H84" s="3" t="s">
        <v>157</v>
      </c>
    </row>
    <row r="85" customFormat="false" ht="15" hidden="false" customHeight="false" outlineLevel="0" collapsed="false">
      <c r="A85" s="3" t="s">
        <v>123</v>
      </c>
      <c r="B85" s="3" t="n">
        <v>84</v>
      </c>
      <c r="C85" s="3" t="s">
        <v>93</v>
      </c>
      <c r="D85" s="3" t="n">
        <v>20</v>
      </c>
      <c r="E85" s="3" t="s">
        <v>94</v>
      </c>
      <c r="F85" s="3" t="s">
        <v>95</v>
      </c>
      <c r="G85" s="3" t="s">
        <v>95</v>
      </c>
      <c r="H85" s="3" t="s">
        <v>158</v>
      </c>
    </row>
    <row r="86" customFormat="false" ht="15" hidden="false" customHeight="false" outlineLevel="0" collapsed="false">
      <c r="A86" s="3" t="s">
        <v>123</v>
      </c>
      <c r="B86" s="3" t="n">
        <v>89</v>
      </c>
      <c r="C86" s="3" t="s">
        <v>93</v>
      </c>
      <c r="D86" s="3" t="n">
        <v>13</v>
      </c>
      <c r="E86" s="3" t="s">
        <v>94</v>
      </c>
      <c r="F86" s="3" t="s">
        <v>95</v>
      </c>
      <c r="G86" s="3" t="s">
        <v>95</v>
      </c>
      <c r="H86" s="3" t="s">
        <v>159</v>
      </c>
    </row>
    <row r="87" customFormat="false" ht="15" hidden="false" customHeight="false" outlineLevel="0" collapsed="false">
      <c r="A87" s="3" t="s">
        <v>123</v>
      </c>
      <c r="B87" s="3" t="n">
        <v>90</v>
      </c>
      <c r="C87" s="3" t="s">
        <v>93</v>
      </c>
      <c r="D87" s="3" t="n">
        <v>47</v>
      </c>
      <c r="E87" s="3" t="s">
        <v>94</v>
      </c>
      <c r="F87" s="3" t="s">
        <v>95</v>
      </c>
      <c r="G87" s="3" t="s">
        <v>95</v>
      </c>
      <c r="H87" s="3" t="s">
        <v>160</v>
      </c>
    </row>
    <row r="88" customFormat="false" ht="15" hidden="false" customHeight="false" outlineLevel="0" collapsed="false">
      <c r="A88" s="3" t="s">
        <v>123</v>
      </c>
      <c r="B88" s="3" t="n">
        <v>90</v>
      </c>
      <c r="C88" s="3" t="s">
        <v>93</v>
      </c>
      <c r="D88" s="3" t="n">
        <v>13</v>
      </c>
      <c r="E88" s="3" t="s">
        <v>100</v>
      </c>
      <c r="F88" s="3" t="s">
        <v>95</v>
      </c>
      <c r="G88" s="3" t="s">
        <v>95</v>
      </c>
      <c r="H88" s="3" t="s">
        <v>160</v>
      </c>
    </row>
    <row r="89" customFormat="false" ht="15" hidden="false" customHeight="false" outlineLevel="0" collapsed="false">
      <c r="A89" s="3" t="s">
        <v>123</v>
      </c>
      <c r="B89" s="3" t="n">
        <v>92</v>
      </c>
      <c r="C89" s="3" t="s">
        <v>93</v>
      </c>
      <c r="D89" s="3" t="n">
        <v>47</v>
      </c>
      <c r="E89" s="3" t="s">
        <v>94</v>
      </c>
      <c r="F89" s="3" t="s">
        <v>95</v>
      </c>
      <c r="G89" s="3" t="s">
        <v>95</v>
      </c>
      <c r="H89" s="3" t="s">
        <v>161</v>
      </c>
    </row>
    <row r="90" customFormat="false" ht="15" hidden="false" customHeight="false" outlineLevel="0" collapsed="false">
      <c r="A90" s="3" t="s">
        <v>123</v>
      </c>
      <c r="B90" s="3" t="n">
        <v>92</v>
      </c>
      <c r="C90" s="3" t="s">
        <v>93</v>
      </c>
      <c r="D90" s="3" t="n">
        <v>52</v>
      </c>
      <c r="E90" s="3" t="s">
        <v>100</v>
      </c>
      <c r="F90" s="3" t="s">
        <v>95</v>
      </c>
      <c r="G90" s="3" t="s">
        <v>95</v>
      </c>
      <c r="H90" s="3" t="s">
        <v>161</v>
      </c>
    </row>
    <row r="91" customFormat="false" ht="15" hidden="false" customHeight="false" outlineLevel="0" collapsed="false">
      <c r="A91" s="3" t="s">
        <v>123</v>
      </c>
      <c r="B91" s="3" t="n">
        <v>93</v>
      </c>
      <c r="C91" s="3" t="s">
        <v>93</v>
      </c>
      <c r="D91" s="3" t="n">
        <v>47</v>
      </c>
      <c r="E91" s="3" t="s">
        <v>94</v>
      </c>
      <c r="F91" s="3" t="s">
        <v>95</v>
      </c>
      <c r="G91" s="3" t="s">
        <v>95</v>
      </c>
      <c r="H91" s="3" t="s">
        <v>162</v>
      </c>
    </row>
    <row r="92" customFormat="false" ht="15" hidden="false" customHeight="false" outlineLevel="0" collapsed="false">
      <c r="A92" s="3" t="s">
        <v>123</v>
      </c>
      <c r="B92" s="3" t="n">
        <v>94</v>
      </c>
      <c r="C92" s="3" t="s">
        <v>93</v>
      </c>
      <c r="D92" s="3" t="n">
        <v>47</v>
      </c>
      <c r="E92" s="3" t="s">
        <v>94</v>
      </c>
      <c r="F92" s="3" t="s">
        <v>95</v>
      </c>
      <c r="G92" s="3" t="s">
        <v>95</v>
      </c>
      <c r="H92" s="3" t="s">
        <v>163</v>
      </c>
    </row>
    <row r="93" customFormat="false" ht="15" hidden="false" customHeight="false" outlineLevel="0" collapsed="false">
      <c r="A93" s="3" t="s">
        <v>123</v>
      </c>
      <c r="B93" s="3" t="n">
        <v>96</v>
      </c>
      <c r="C93" s="3" t="s">
        <v>93</v>
      </c>
      <c r="D93" s="3" t="n">
        <v>13</v>
      </c>
      <c r="E93" s="3" t="s">
        <v>94</v>
      </c>
      <c r="F93" s="3" t="s">
        <v>95</v>
      </c>
      <c r="G93" s="3" t="s">
        <v>95</v>
      </c>
      <c r="H93" s="3" t="s">
        <v>164</v>
      </c>
    </row>
    <row r="94" customFormat="false" ht="15" hidden="false" customHeight="false" outlineLevel="0" collapsed="false">
      <c r="A94" s="3" t="s">
        <v>123</v>
      </c>
      <c r="B94" s="3" t="n">
        <v>97</v>
      </c>
      <c r="C94" s="3" t="s">
        <v>93</v>
      </c>
      <c r="D94" s="3" t="n">
        <v>13</v>
      </c>
      <c r="E94" s="3" t="s">
        <v>94</v>
      </c>
      <c r="F94" s="3" t="s">
        <v>95</v>
      </c>
      <c r="G94" s="3" t="s">
        <v>95</v>
      </c>
      <c r="H94" s="3" t="s">
        <v>165</v>
      </c>
    </row>
    <row r="95" customFormat="false" ht="15" hidden="false" customHeight="false" outlineLevel="0" collapsed="false">
      <c r="A95" s="3" t="s">
        <v>123</v>
      </c>
      <c r="B95" s="3" t="n">
        <v>99</v>
      </c>
      <c r="C95" s="3" t="s">
        <v>93</v>
      </c>
      <c r="D95" s="3" t="n">
        <v>13</v>
      </c>
      <c r="E95" s="3" t="s">
        <v>94</v>
      </c>
      <c r="F95" s="3" t="s">
        <v>95</v>
      </c>
      <c r="G95" s="3" t="s">
        <v>95</v>
      </c>
      <c r="H95" s="3" t="s">
        <v>166</v>
      </c>
    </row>
    <row r="96" customFormat="false" ht="15" hidden="false" customHeight="false" outlineLevel="0" collapsed="false">
      <c r="A96" s="3" t="s">
        <v>123</v>
      </c>
      <c r="B96" s="3" t="n">
        <v>101</v>
      </c>
      <c r="C96" s="3" t="s">
        <v>93</v>
      </c>
      <c r="D96" s="3" t="n">
        <v>30</v>
      </c>
      <c r="E96" s="3" t="s">
        <v>94</v>
      </c>
      <c r="F96" s="3" t="s">
        <v>95</v>
      </c>
      <c r="G96" s="3" t="s">
        <v>95</v>
      </c>
      <c r="H96" s="3" t="s">
        <v>167</v>
      </c>
    </row>
    <row r="97" customFormat="false" ht="15" hidden="false" customHeight="false" outlineLevel="0" collapsed="false">
      <c r="A97" s="3" t="s">
        <v>123</v>
      </c>
      <c r="B97" s="3" t="n">
        <v>102</v>
      </c>
      <c r="C97" s="3" t="s">
        <v>93</v>
      </c>
      <c r="D97" s="3" t="n">
        <v>32</v>
      </c>
      <c r="E97" s="3" t="s">
        <v>94</v>
      </c>
      <c r="F97" s="3" t="s">
        <v>95</v>
      </c>
      <c r="G97" s="3" t="s">
        <v>95</v>
      </c>
      <c r="H97" s="3" t="s">
        <v>168</v>
      </c>
    </row>
    <row r="98" customFormat="false" ht="15" hidden="false" customHeight="false" outlineLevel="0" collapsed="false">
      <c r="A98" s="3" t="s">
        <v>123</v>
      </c>
      <c r="B98" s="3" t="n">
        <v>102</v>
      </c>
      <c r="C98" s="3" t="s">
        <v>93</v>
      </c>
      <c r="D98" s="3" t="n">
        <v>36</v>
      </c>
      <c r="E98" s="3" t="s">
        <v>100</v>
      </c>
      <c r="F98" s="3" t="s">
        <v>95</v>
      </c>
      <c r="G98" s="3" t="s">
        <v>95</v>
      </c>
      <c r="H98" s="3" t="s">
        <v>168</v>
      </c>
    </row>
    <row r="99" customFormat="false" ht="15" hidden="false" customHeight="false" outlineLevel="0" collapsed="false">
      <c r="A99" s="3" t="s">
        <v>123</v>
      </c>
      <c r="B99" s="3" t="n">
        <v>103</v>
      </c>
      <c r="C99" s="3" t="s">
        <v>93</v>
      </c>
      <c r="D99" s="3" t="n">
        <v>45</v>
      </c>
      <c r="E99" s="3" t="s">
        <v>94</v>
      </c>
      <c r="F99" s="3" t="s">
        <v>95</v>
      </c>
      <c r="G99" s="3" t="s">
        <v>95</v>
      </c>
      <c r="H99" s="3" t="s">
        <v>169</v>
      </c>
    </row>
    <row r="100" customFormat="false" ht="15" hidden="false" customHeight="false" outlineLevel="0" collapsed="false">
      <c r="A100" s="3" t="s">
        <v>123</v>
      </c>
      <c r="B100" s="3" t="n">
        <v>104</v>
      </c>
      <c r="C100" s="3" t="s">
        <v>93</v>
      </c>
      <c r="D100" s="3" t="n">
        <v>15</v>
      </c>
      <c r="E100" s="3" t="s">
        <v>94</v>
      </c>
      <c r="F100" s="3" t="s">
        <v>95</v>
      </c>
      <c r="G100" s="3" t="s">
        <v>95</v>
      </c>
      <c r="H100" s="3" t="s">
        <v>170</v>
      </c>
    </row>
    <row r="101" customFormat="false" ht="15" hidden="false" customHeight="false" outlineLevel="0" collapsed="false">
      <c r="A101" s="3" t="s">
        <v>123</v>
      </c>
      <c r="B101" s="3" t="n">
        <v>105</v>
      </c>
      <c r="C101" s="3" t="s">
        <v>93</v>
      </c>
      <c r="D101" s="3" t="n">
        <v>13</v>
      </c>
      <c r="E101" s="3" t="s">
        <v>94</v>
      </c>
      <c r="F101" s="3" t="s">
        <v>95</v>
      </c>
      <c r="G101" s="3" t="s">
        <v>95</v>
      </c>
      <c r="H101" s="3" t="s">
        <v>171</v>
      </c>
    </row>
    <row r="102" customFormat="false" ht="15" hidden="false" customHeight="false" outlineLevel="0" collapsed="false">
      <c r="A102" s="3" t="s">
        <v>123</v>
      </c>
      <c r="B102" s="3" t="n">
        <v>106</v>
      </c>
      <c r="C102" s="3" t="s">
        <v>93</v>
      </c>
      <c r="D102" s="3" t="n">
        <v>34</v>
      </c>
      <c r="E102" s="3" t="s">
        <v>94</v>
      </c>
      <c r="F102" s="3" t="s">
        <v>95</v>
      </c>
      <c r="G102" s="3" t="s">
        <v>95</v>
      </c>
      <c r="H102" s="3" t="s">
        <v>172</v>
      </c>
    </row>
    <row r="103" customFormat="false" ht="15" hidden="false" customHeight="false" outlineLevel="0" collapsed="false">
      <c r="A103" s="3" t="s">
        <v>123</v>
      </c>
      <c r="B103" s="3" t="n">
        <v>107</v>
      </c>
      <c r="C103" s="3" t="s">
        <v>93</v>
      </c>
      <c r="D103" s="3" t="n">
        <v>11</v>
      </c>
      <c r="E103" s="3" t="s">
        <v>94</v>
      </c>
      <c r="F103" s="3" t="s">
        <v>95</v>
      </c>
      <c r="G103" s="3" t="s">
        <v>95</v>
      </c>
      <c r="H103" s="3" t="s">
        <v>173</v>
      </c>
    </row>
    <row r="104" customFormat="false" ht="15" hidden="false" customHeight="false" outlineLevel="0" collapsed="false">
      <c r="A104" s="3" t="s">
        <v>123</v>
      </c>
      <c r="B104" s="3" t="n">
        <v>107</v>
      </c>
      <c r="C104" s="3" t="s">
        <v>93</v>
      </c>
      <c r="D104" s="3" t="n">
        <v>18</v>
      </c>
      <c r="E104" s="3" t="s">
        <v>100</v>
      </c>
      <c r="F104" s="3" t="s">
        <v>95</v>
      </c>
      <c r="G104" s="3" t="s">
        <v>95</v>
      </c>
      <c r="H104" s="3" t="s">
        <v>173</v>
      </c>
    </row>
    <row r="105" customFormat="false" ht="15" hidden="false" customHeight="false" outlineLevel="0" collapsed="false">
      <c r="A105" s="3" t="s">
        <v>123</v>
      </c>
      <c r="B105" s="3" t="n">
        <v>112</v>
      </c>
      <c r="C105" s="3" t="s">
        <v>93</v>
      </c>
      <c r="D105" s="3" t="n">
        <v>13</v>
      </c>
      <c r="E105" s="3" t="s">
        <v>94</v>
      </c>
      <c r="F105" s="3" t="s">
        <v>95</v>
      </c>
      <c r="G105" s="3" t="s">
        <v>95</v>
      </c>
      <c r="H105" s="3" t="s">
        <v>174</v>
      </c>
    </row>
    <row r="106" customFormat="false" ht="15" hidden="false" customHeight="false" outlineLevel="0" collapsed="false">
      <c r="A106" s="3" t="s">
        <v>123</v>
      </c>
      <c r="B106" s="3" t="n">
        <v>113</v>
      </c>
      <c r="C106" s="3" t="s">
        <v>93</v>
      </c>
      <c r="D106" s="3" t="n">
        <v>13</v>
      </c>
      <c r="E106" s="3" t="s">
        <v>94</v>
      </c>
      <c r="F106" s="3" t="s">
        <v>95</v>
      </c>
      <c r="G106" s="3" t="s">
        <v>95</v>
      </c>
      <c r="H106" s="3" t="s">
        <v>175</v>
      </c>
    </row>
    <row r="107" customFormat="false" ht="15" hidden="false" customHeight="false" outlineLevel="0" collapsed="false">
      <c r="A107" s="3" t="s">
        <v>123</v>
      </c>
      <c r="B107" s="3" t="n">
        <v>114</v>
      </c>
      <c r="C107" s="3" t="s">
        <v>93</v>
      </c>
      <c r="D107" s="3" t="n">
        <v>13</v>
      </c>
      <c r="E107" s="3" t="s">
        <v>94</v>
      </c>
      <c r="F107" s="3" t="s">
        <v>95</v>
      </c>
      <c r="G107" s="3" t="s">
        <v>95</v>
      </c>
      <c r="H107" s="3" t="s">
        <v>176</v>
      </c>
    </row>
    <row r="108" customFormat="false" ht="15" hidden="false" customHeight="false" outlineLevel="0" collapsed="false">
      <c r="A108" s="3" t="s">
        <v>123</v>
      </c>
      <c r="B108" s="3" t="n">
        <v>114</v>
      </c>
      <c r="C108" s="3" t="s">
        <v>93</v>
      </c>
      <c r="D108" s="3" t="n">
        <v>11</v>
      </c>
      <c r="E108" s="3" t="s">
        <v>100</v>
      </c>
      <c r="F108" s="3" t="s">
        <v>95</v>
      </c>
      <c r="G108" s="3" t="s">
        <v>95</v>
      </c>
      <c r="H108" s="3" t="s">
        <v>176</v>
      </c>
    </row>
    <row r="109" customFormat="false" ht="15" hidden="false" customHeight="false" outlineLevel="0" collapsed="false">
      <c r="A109" s="3" t="s">
        <v>123</v>
      </c>
      <c r="B109" s="3" t="n">
        <v>115</v>
      </c>
      <c r="C109" s="3" t="s">
        <v>93</v>
      </c>
      <c r="D109" s="3" t="n">
        <v>21</v>
      </c>
      <c r="E109" s="3" t="s">
        <v>94</v>
      </c>
      <c r="F109" s="3" t="s">
        <v>95</v>
      </c>
      <c r="G109" s="3" t="s">
        <v>95</v>
      </c>
      <c r="H109" s="3" t="s">
        <v>177</v>
      </c>
    </row>
    <row r="110" customFormat="false" ht="15" hidden="false" customHeight="false" outlineLevel="0" collapsed="false">
      <c r="A110" s="3" t="s">
        <v>123</v>
      </c>
      <c r="B110" s="3" t="n">
        <v>115</v>
      </c>
      <c r="C110" s="3" t="s">
        <v>93</v>
      </c>
      <c r="D110" s="3" t="n">
        <v>13</v>
      </c>
      <c r="E110" s="3" t="s">
        <v>100</v>
      </c>
      <c r="F110" s="3" t="s">
        <v>95</v>
      </c>
      <c r="G110" s="3" t="s">
        <v>95</v>
      </c>
      <c r="H110" s="3" t="s">
        <v>177</v>
      </c>
    </row>
    <row r="111" customFormat="false" ht="15" hidden="false" customHeight="false" outlineLevel="0" collapsed="false">
      <c r="A111" s="3" t="s">
        <v>123</v>
      </c>
      <c r="B111" s="3" t="n">
        <v>116</v>
      </c>
      <c r="C111" s="3" t="s">
        <v>93</v>
      </c>
      <c r="D111" s="3" t="n">
        <v>13</v>
      </c>
      <c r="E111" s="3" t="s">
        <v>94</v>
      </c>
      <c r="F111" s="3" t="s">
        <v>95</v>
      </c>
      <c r="G111" s="3" t="s">
        <v>95</v>
      </c>
      <c r="H111" s="3" t="s">
        <v>178</v>
      </c>
    </row>
    <row r="112" customFormat="false" ht="15" hidden="false" customHeight="false" outlineLevel="0" collapsed="false">
      <c r="A112" s="3" t="s">
        <v>123</v>
      </c>
      <c r="B112" s="3" t="n">
        <v>119</v>
      </c>
      <c r="C112" s="3" t="s">
        <v>93</v>
      </c>
      <c r="D112" s="3" t="n">
        <v>15</v>
      </c>
      <c r="E112" s="3" t="s">
        <v>94</v>
      </c>
      <c r="F112" s="3" t="s">
        <v>95</v>
      </c>
      <c r="G112" s="3" t="s">
        <v>95</v>
      </c>
      <c r="H112" s="3" t="s">
        <v>179</v>
      </c>
    </row>
    <row r="113" customFormat="false" ht="15" hidden="false" customHeight="false" outlineLevel="0" collapsed="false">
      <c r="A113" s="3" t="s">
        <v>123</v>
      </c>
      <c r="B113" s="3" t="n">
        <v>120</v>
      </c>
      <c r="C113" s="3" t="s">
        <v>93</v>
      </c>
      <c r="D113" s="3" t="n">
        <v>49</v>
      </c>
      <c r="E113" s="3" t="s">
        <v>94</v>
      </c>
      <c r="F113" s="3" t="s">
        <v>95</v>
      </c>
      <c r="G113" s="3" t="s">
        <v>95</v>
      </c>
      <c r="H113" s="3" t="s">
        <v>180</v>
      </c>
    </row>
    <row r="114" customFormat="false" ht="15" hidden="false" customHeight="false" outlineLevel="0" collapsed="false">
      <c r="A114" s="3" t="s">
        <v>123</v>
      </c>
      <c r="B114" s="3" t="n">
        <v>120</v>
      </c>
      <c r="C114" s="3" t="s">
        <v>93</v>
      </c>
      <c r="D114" s="3" t="n">
        <v>45</v>
      </c>
      <c r="E114" s="3" t="s">
        <v>100</v>
      </c>
      <c r="F114" s="3" t="s">
        <v>95</v>
      </c>
      <c r="G114" s="3" t="s">
        <v>95</v>
      </c>
      <c r="H114" s="3" t="s">
        <v>180</v>
      </c>
    </row>
    <row r="115" customFormat="false" ht="15" hidden="false" customHeight="false" outlineLevel="0" collapsed="false">
      <c r="A115" s="3" t="s">
        <v>123</v>
      </c>
      <c r="B115" s="3" t="n">
        <v>122</v>
      </c>
      <c r="C115" s="3" t="s">
        <v>93</v>
      </c>
      <c r="D115" s="3" t="n">
        <v>11</v>
      </c>
      <c r="E115" s="3" t="s">
        <v>94</v>
      </c>
      <c r="F115" s="3" t="s">
        <v>95</v>
      </c>
      <c r="G115" s="3" t="s">
        <v>95</v>
      </c>
      <c r="H115" s="3" t="s">
        <v>181</v>
      </c>
    </row>
    <row r="116" customFormat="false" ht="15" hidden="false" customHeight="false" outlineLevel="0" collapsed="false">
      <c r="A116" s="3" t="s">
        <v>123</v>
      </c>
      <c r="B116" s="3" t="n">
        <v>122</v>
      </c>
      <c r="C116" s="3" t="s">
        <v>93</v>
      </c>
      <c r="D116" s="3" t="n">
        <v>9</v>
      </c>
      <c r="E116" s="3" t="s">
        <v>100</v>
      </c>
      <c r="F116" s="3" t="s">
        <v>95</v>
      </c>
      <c r="G116" s="3" t="s">
        <v>95</v>
      </c>
      <c r="H116" s="3" t="s">
        <v>181</v>
      </c>
    </row>
    <row r="117" customFormat="false" ht="15" hidden="false" customHeight="false" outlineLevel="0" collapsed="false">
      <c r="A117" s="3" t="s">
        <v>123</v>
      </c>
      <c r="B117" s="3" t="n">
        <v>124</v>
      </c>
      <c r="C117" s="3" t="s">
        <v>93</v>
      </c>
      <c r="D117" s="3" t="n">
        <v>13</v>
      </c>
      <c r="E117" s="3" t="s">
        <v>94</v>
      </c>
      <c r="F117" s="3" t="s">
        <v>95</v>
      </c>
      <c r="G117" s="3" t="s">
        <v>95</v>
      </c>
      <c r="H117" s="3" t="s">
        <v>182</v>
      </c>
    </row>
    <row r="118" customFormat="false" ht="15" hidden="false" customHeight="false" outlineLevel="0" collapsed="false">
      <c r="A118" s="3" t="s">
        <v>123</v>
      </c>
      <c r="B118" s="3" t="n">
        <v>125</v>
      </c>
      <c r="C118" s="3" t="s">
        <v>93</v>
      </c>
      <c r="D118" s="3" t="n">
        <v>44</v>
      </c>
      <c r="E118" s="3" t="s">
        <v>94</v>
      </c>
      <c r="F118" s="3" t="s">
        <v>95</v>
      </c>
      <c r="G118" s="3" t="s">
        <v>95</v>
      </c>
      <c r="H118" s="3" t="s">
        <v>183</v>
      </c>
    </row>
    <row r="119" customFormat="false" ht="15" hidden="false" customHeight="false" outlineLevel="0" collapsed="false">
      <c r="A119" s="3" t="s">
        <v>123</v>
      </c>
      <c r="B119" s="3" t="n">
        <v>126</v>
      </c>
      <c r="C119" s="3" t="s">
        <v>93</v>
      </c>
      <c r="D119" s="3" t="n">
        <v>42</v>
      </c>
      <c r="E119" s="3" t="s">
        <v>94</v>
      </c>
      <c r="F119" s="3" t="s">
        <v>95</v>
      </c>
      <c r="G119" s="3" t="s">
        <v>95</v>
      </c>
      <c r="H119" s="3" t="s">
        <v>184</v>
      </c>
    </row>
    <row r="120" customFormat="false" ht="15" hidden="false" customHeight="false" outlineLevel="0" collapsed="false">
      <c r="A120" s="3" t="s">
        <v>123</v>
      </c>
      <c r="B120" s="3" t="n">
        <v>127</v>
      </c>
      <c r="C120" s="3" t="s">
        <v>93</v>
      </c>
      <c r="D120" s="3" t="n">
        <v>15</v>
      </c>
      <c r="E120" s="3" t="s">
        <v>94</v>
      </c>
      <c r="F120" s="3" t="s">
        <v>95</v>
      </c>
      <c r="G120" s="3" t="s">
        <v>95</v>
      </c>
      <c r="H120" s="3" t="s">
        <v>185</v>
      </c>
    </row>
    <row r="121" customFormat="false" ht="15" hidden="false" customHeight="false" outlineLevel="0" collapsed="false">
      <c r="A121" s="3" t="s">
        <v>123</v>
      </c>
      <c r="B121" s="3" t="n">
        <v>127</v>
      </c>
      <c r="C121" s="3" t="s">
        <v>93</v>
      </c>
      <c r="D121" s="3" t="n">
        <v>13</v>
      </c>
      <c r="E121" s="3" t="s">
        <v>100</v>
      </c>
      <c r="F121" s="3" t="s">
        <v>95</v>
      </c>
      <c r="G121" s="3" t="s">
        <v>95</v>
      </c>
      <c r="H121" s="3" t="s">
        <v>185</v>
      </c>
    </row>
    <row r="122" customFormat="false" ht="15" hidden="false" customHeight="false" outlineLevel="0" collapsed="false">
      <c r="A122" s="3" t="s">
        <v>186</v>
      </c>
      <c r="B122" s="3" t="s">
        <v>187</v>
      </c>
      <c r="C122" s="3" t="s">
        <v>93</v>
      </c>
      <c r="D122" s="3" t="n">
        <v>13</v>
      </c>
      <c r="E122" s="3" t="s">
        <v>94</v>
      </c>
      <c r="F122" s="3" t="s">
        <v>188</v>
      </c>
      <c r="G122" s="3" t="s">
        <v>188</v>
      </c>
      <c r="H122" s="3" t="s">
        <v>189</v>
      </c>
    </row>
    <row r="123" customFormat="false" ht="15" hidden="false" customHeight="false" outlineLevel="0" collapsed="false">
      <c r="A123" s="3" t="s">
        <v>186</v>
      </c>
      <c r="B123" s="3" t="s">
        <v>187</v>
      </c>
      <c r="C123" s="3" t="s">
        <v>93</v>
      </c>
      <c r="D123" s="3" t="n">
        <v>25</v>
      </c>
      <c r="E123" s="3" t="s">
        <v>100</v>
      </c>
      <c r="F123" s="3" t="s">
        <v>188</v>
      </c>
      <c r="G123" s="3" t="s">
        <v>188</v>
      </c>
      <c r="H123" s="3" t="s">
        <v>189</v>
      </c>
    </row>
    <row r="124" customFormat="false" ht="15" hidden="false" customHeight="false" outlineLevel="0" collapsed="false">
      <c r="A124" s="3" t="s">
        <v>186</v>
      </c>
      <c r="B124" s="3" t="s">
        <v>190</v>
      </c>
      <c r="C124" s="3" t="s">
        <v>93</v>
      </c>
      <c r="D124" s="3" t="n">
        <v>54</v>
      </c>
      <c r="E124" s="3" t="s">
        <v>94</v>
      </c>
      <c r="F124" s="3" t="s">
        <v>188</v>
      </c>
      <c r="G124" s="3" t="s">
        <v>188</v>
      </c>
      <c r="H124" s="3" t="s">
        <v>191</v>
      </c>
    </row>
    <row r="125" customFormat="false" ht="15" hidden="false" customHeight="false" outlineLevel="0" collapsed="false">
      <c r="A125" s="3" t="s">
        <v>186</v>
      </c>
      <c r="B125" s="3" t="s">
        <v>192</v>
      </c>
      <c r="C125" s="3" t="s">
        <v>93</v>
      </c>
      <c r="D125" s="3" t="n">
        <v>54</v>
      </c>
      <c r="E125" s="3" t="s">
        <v>94</v>
      </c>
      <c r="F125" s="3" t="s">
        <v>188</v>
      </c>
      <c r="G125" s="3" t="s">
        <v>188</v>
      </c>
      <c r="H125" s="3" t="s">
        <v>193</v>
      </c>
    </row>
    <row r="126" customFormat="false" ht="15" hidden="false" customHeight="false" outlineLevel="0" collapsed="false">
      <c r="A126" s="3" t="s">
        <v>186</v>
      </c>
      <c r="B126" s="3" t="s">
        <v>194</v>
      </c>
      <c r="C126" s="3" t="s">
        <v>93</v>
      </c>
      <c r="D126" s="3" t="n">
        <v>22</v>
      </c>
      <c r="E126" s="3" t="s">
        <v>94</v>
      </c>
      <c r="F126" s="3" t="s">
        <v>188</v>
      </c>
      <c r="G126" s="3" t="s">
        <v>188</v>
      </c>
      <c r="H126" s="3" t="s">
        <v>195</v>
      </c>
    </row>
    <row r="127" customFormat="false" ht="15" hidden="false" customHeight="false" outlineLevel="0" collapsed="false">
      <c r="A127" s="3" t="s">
        <v>186</v>
      </c>
      <c r="B127" s="3" t="s">
        <v>196</v>
      </c>
      <c r="C127" s="3" t="s">
        <v>93</v>
      </c>
      <c r="D127" s="3" t="n">
        <v>33</v>
      </c>
      <c r="E127" s="3" t="s">
        <v>94</v>
      </c>
      <c r="F127" s="3" t="s">
        <v>188</v>
      </c>
      <c r="G127" s="3" t="s">
        <v>188</v>
      </c>
      <c r="H127" s="3" t="s">
        <v>197</v>
      </c>
    </row>
    <row r="128" customFormat="false" ht="15" hidden="false" customHeight="false" outlineLevel="0" collapsed="false">
      <c r="A128" s="3" t="s">
        <v>186</v>
      </c>
      <c r="B128" s="3" t="s">
        <v>196</v>
      </c>
      <c r="C128" s="3" t="s">
        <v>93</v>
      </c>
      <c r="D128" s="3" t="n">
        <v>36</v>
      </c>
      <c r="E128" s="3" t="s">
        <v>100</v>
      </c>
      <c r="F128" s="3" t="s">
        <v>188</v>
      </c>
      <c r="G128" s="3" t="s">
        <v>188</v>
      </c>
      <c r="H128" s="3" t="s">
        <v>197</v>
      </c>
    </row>
    <row r="129" customFormat="false" ht="15" hidden="false" customHeight="false" outlineLevel="0" collapsed="false">
      <c r="A129" s="3" t="s">
        <v>186</v>
      </c>
      <c r="B129" s="3" t="s">
        <v>198</v>
      </c>
      <c r="C129" s="3" t="s">
        <v>93</v>
      </c>
      <c r="D129" s="3" t="n">
        <v>13</v>
      </c>
      <c r="E129" s="3" t="s">
        <v>94</v>
      </c>
      <c r="F129" s="3" t="s">
        <v>188</v>
      </c>
      <c r="G129" s="3" t="s">
        <v>188</v>
      </c>
      <c r="H129" s="3" t="s">
        <v>199</v>
      </c>
    </row>
    <row r="130" customFormat="false" ht="15" hidden="false" customHeight="false" outlineLevel="0" collapsed="false">
      <c r="A130" s="3" t="s">
        <v>186</v>
      </c>
      <c r="B130" s="3" t="s">
        <v>198</v>
      </c>
      <c r="C130" s="3" t="s">
        <v>93</v>
      </c>
      <c r="D130" s="3" t="n">
        <v>45</v>
      </c>
      <c r="E130" s="3" t="s">
        <v>100</v>
      </c>
      <c r="F130" s="3" t="s">
        <v>188</v>
      </c>
      <c r="G130" s="3" t="s">
        <v>188</v>
      </c>
      <c r="H130" s="3" t="s">
        <v>199</v>
      </c>
    </row>
    <row r="131" customFormat="false" ht="15" hidden="false" customHeight="false" outlineLevel="0" collapsed="false">
      <c r="A131" s="3" t="s">
        <v>186</v>
      </c>
      <c r="B131" s="3" t="s">
        <v>200</v>
      </c>
      <c r="C131" s="3" t="s">
        <v>93</v>
      </c>
      <c r="D131" s="3" t="n">
        <v>13</v>
      </c>
      <c r="E131" s="3" t="s">
        <v>94</v>
      </c>
      <c r="F131" s="3" t="s">
        <v>188</v>
      </c>
      <c r="G131" s="3" t="s">
        <v>188</v>
      </c>
      <c r="H131" s="3" t="s">
        <v>201</v>
      </c>
    </row>
    <row r="132" customFormat="false" ht="15" hidden="false" customHeight="false" outlineLevel="0" collapsed="false">
      <c r="A132" s="3" t="s">
        <v>186</v>
      </c>
      <c r="B132" s="3" t="s">
        <v>200</v>
      </c>
      <c r="C132" s="3" t="s">
        <v>93</v>
      </c>
      <c r="D132" s="3" t="n">
        <v>45</v>
      </c>
      <c r="E132" s="3" t="s">
        <v>100</v>
      </c>
      <c r="F132" s="3" t="s">
        <v>188</v>
      </c>
      <c r="G132" s="3" t="s">
        <v>188</v>
      </c>
      <c r="H132" s="3" t="s">
        <v>201</v>
      </c>
    </row>
    <row r="133" customFormat="false" ht="15" hidden="false" customHeight="false" outlineLevel="0" collapsed="false">
      <c r="A133" s="3" t="s">
        <v>186</v>
      </c>
      <c r="B133" s="3" t="s">
        <v>202</v>
      </c>
      <c r="C133" s="3" t="s">
        <v>93</v>
      </c>
      <c r="D133" s="3" t="n">
        <v>13</v>
      </c>
      <c r="E133" s="3" t="s">
        <v>94</v>
      </c>
      <c r="F133" s="3" t="s">
        <v>188</v>
      </c>
      <c r="G133" s="3" t="s">
        <v>188</v>
      </c>
      <c r="H133" s="3" t="s">
        <v>203</v>
      </c>
    </row>
    <row r="134" customFormat="false" ht="15" hidden="false" customHeight="false" outlineLevel="0" collapsed="false">
      <c r="A134" s="3" t="s">
        <v>186</v>
      </c>
      <c r="B134" s="3" t="s">
        <v>202</v>
      </c>
      <c r="C134" s="3" t="s">
        <v>93</v>
      </c>
      <c r="D134" s="3" t="n">
        <v>45</v>
      </c>
      <c r="E134" s="3" t="s">
        <v>100</v>
      </c>
      <c r="F134" s="3" t="s">
        <v>188</v>
      </c>
      <c r="G134" s="3" t="s">
        <v>188</v>
      </c>
      <c r="H134" s="3" t="s">
        <v>203</v>
      </c>
    </row>
    <row r="135" customFormat="false" ht="15" hidden="false" customHeight="false" outlineLevel="0" collapsed="false">
      <c r="A135" s="3" t="s">
        <v>186</v>
      </c>
      <c r="B135" s="3" t="s">
        <v>204</v>
      </c>
      <c r="C135" s="3" t="s">
        <v>93</v>
      </c>
      <c r="D135" s="3" t="n">
        <v>44</v>
      </c>
      <c r="E135" s="3" t="s">
        <v>94</v>
      </c>
      <c r="F135" s="3" t="s">
        <v>188</v>
      </c>
      <c r="G135" s="3" t="s">
        <v>188</v>
      </c>
      <c r="H135" s="3" t="s">
        <v>205</v>
      </c>
    </row>
    <row r="136" customFormat="false" ht="15" hidden="false" customHeight="false" outlineLevel="0" collapsed="false">
      <c r="A136" s="3" t="s">
        <v>186</v>
      </c>
      <c r="B136" s="3" t="s">
        <v>204</v>
      </c>
      <c r="C136" s="3" t="s">
        <v>93</v>
      </c>
      <c r="D136" s="3" t="n">
        <v>37</v>
      </c>
      <c r="E136" s="3" t="s">
        <v>100</v>
      </c>
      <c r="F136" s="3" t="s">
        <v>188</v>
      </c>
      <c r="G136" s="3" t="s">
        <v>188</v>
      </c>
      <c r="H136" s="3" t="s">
        <v>205</v>
      </c>
    </row>
    <row r="137" customFormat="false" ht="15" hidden="false" customHeight="false" outlineLevel="0" collapsed="false">
      <c r="A137" s="3" t="s">
        <v>186</v>
      </c>
      <c r="B137" s="3" t="s">
        <v>206</v>
      </c>
      <c r="C137" s="3" t="s">
        <v>93</v>
      </c>
      <c r="D137" s="3" t="n">
        <v>44</v>
      </c>
      <c r="E137" s="3" t="s">
        <v>94</v>
      </c>
      <c r="F137" s="3" t="s">
        <v>188</v>
      </c>
      <c r="G137" s="3" t="s">
        <v>188</v>
      </c>
      <c r="H137" s="3" t="s">
        <v>207</v>
      </c>
    </row>
    <row r="138" customFormat="false" ht="15" hidden="false" customHeight="false" outlineLevel="0" collapsed="false">
      <c r="A138" s="3" t="s">
        <v>186</v>
      </c>
      <c r="B138" s="3" t="s">
        <v>206</v>
      </c>
      <c r="C138" s="3" t="s">
        <v>93</v>
      </c>
      <c r="D138" s="3" t="n">
        <v>37</v>
      </c>
      <c r="E138" s="3" t="s">
        <v>100</v>
      </c>
      <c r="F138" s="3" t="s">
        <v>188</v>
      </c>
      <c r="G138" s="3" t="s">
        <v>188</v>
      </c>
      <c r="H138" s="3" t="s">
        <v>207</v>
      </c>
    </row>
    <row r="139" customFormat="false" ht="15" hidden="false" customHeight="false" outlineLevel="0" collapsed="false">
      <c r="A139" s="3" t="s">
        <v>186</v>
      </c>
      <c r="B139" s="3" t="s">
        <v>208</v>
      </c>
      <c r="C139" s="3" t="s">
        <v>93</v>
      </c>
      <c r="D139" s="3" t="n">
        <v>13</v>
      </c>
      <c r="E139" s="3" t="s">
        <v>94</v>
      </c>
      <c r="F139" s="3" t="s">
        <v>188</v>
      </c>
      <c r="G139" s="3" t="s">
        <v>188</v>
      </c>
      <c r="H139" s="3" t="s">
        <v>209</v>
      </c>
    </row>
    <row r="140" customFormat="false" ht="15" hidden="false" customHeight="false" outlineLevel="0" collapsed="false">
      <c r="A140" s="3" t="s">
        <v>186</v>
      </c>
      <c r="B140" s="3" t="s">
        <v>208</v>
      </c>
      <c r="C140" s="3" t="s">
        <v>93</v>
      </c>
      <c r="D140" s="3" t="n">
        <v>47</v>
      </c>
      <c r="E140" s="3" t="s">
        <v>100</v>
      </c>
      <c r="F140" s="3" t="s">
        <v>188</v>
      </c>
      <c r="G140" s="3" t="s">
        <v>188</v>
      </c>
      <c r="H140" s="3" t="s">
        <v>209</v>
      </c>
    </row>
    <row r="141" customFormat="false" ht="15" hidden="false" customHeight="false" outlineLevel="0" collapsed="false">
      <c r="A141" s="3" t="s">
        <v>186</v>
      </c>
      <c r="B141" s="3" t="s">
        <v>210</v>
      </c>
      <c r="C141" s="3" t="s">
        <v>93</v>
      </c>
      <c r="D141" s="3" t="n">
        <v>33</v>
      </c>
      <c r="E141" s="3" t="s">
        <v>94</v>
      </c>
      <c r="F141" s="3" t="s">
        <v>188</v>
      </c>
      <c r="G141" s="3" t="s">
        <v>188</v>
      </c>
      <c r="H141" s="3" t="s">
        <v>211</v>
      </c>
    </row>
    <row r="142" customFormat="false" ht="15" hidden="false" customHeight="false" outlineLevel="0" collapsed="false">
      <c r="A142" s="3" t="s">
        <v>186</v>
      </c>
      <c r="B142" s="3" t="s">
        <v>210</v>
      </c>
      <c r="C142" s="3" t="s">
        <v>93</v>
      </c>
      <c r="D142" s="3" t="n">
        <v>36</v>
      </c>
      <c r="E142" s="3" t="s">
        <v>100</v>
      </c>
      <c r="F142" s="3" t="s">
        <v>188</v>
      </c>
      <c r="G142" s="3" t="s">
        <v>188</v>
      </c>
      <c r="H142" s="3" t="s">
        <v>211</v>
      </c>
    </row>
    <row r="143" customFormat="false" ht="15" hidden="false" customHeight="false" outlineLevel="0" collapsed="false">
      <c r="A143" s="3" t="s">
        <v>186</v>
      </c>
      <c r="B143" s="3" t="s">
        <v>212</v>
      </c>
      <c r="C143" s="3" t="s">
        <v>93</v>
      </c>
      <c r="D143" s="3" t="n">
        <v>54</v>
      </c>
      <c r="E143" s="3" t="s">
        <v>94</v>
      </c>
      <c r="F143" s="3" t="s">
        <v>188</v>
      </c>
      <c r="G143" s="3" t="s">
        <v>188</v>
      </c>
      <c r="H143" s="3" t="s">
        <v>213</v>
      </c>
    </row>
    <row r="144" customFormat="false" ht="15" hidden="false" customHeight="false" outlineLevel="0" collapsed="false">
      <c r="A144" s="3" t="s">
        <v>186</v>
      </c>
      <c r="B144" s="3" t="s">
        <v>214</v>
      </c>
      <c r="C144" s="3" t="s">
        <v>93</v>
      </c>
      <c r="D144" s="3" t="n">
        <v>13</v>
      </c>
      <c r="E144" s="3" t="s">
        <v>94</v>
      </c>
      <c r="F144" s="3" t="s">
        <v>188</v>
      </c>
      <c r="G144" s="3" t="s">
        <v>188</v>
      </c>
      <c r="H144" s="3" t="s">
        <v>215</v>
      </c>
    </row>
    <row r="145" customFormat="false" ht="15" hidden="false" customHeight="false" outlineLevel="0" collapsed="false">
      <c r="A145" s="3" t="s">
        <v>186</v>
      </c>
      <c r="B145" s="3" t="s">
        <v>214</v>
      </c>
      <c r="C145" s="3" t="s">
        <v>93</v>
      </c>
      <c r="D145" s="3" t="n">
        <v>17</v>
      </c>
      <c r="E145" s="3" t="s">
        <v>100</v>
      </c>
      <c r="F145" s="3" t="s">
        <v>188</v>
      </c>
      <c r="G145" s="3" t="s">
        <v>188</v>
      </c>
      <c r="H145" s="3" t="s">
        <v>215</v>
      </c>
    </row>
    <row r="146" customFormat="false" ht="15" hidden="false" customHeight="false" outlineLevel="0" collapsed="false">
      <c r="A146" s="3" t="s">
        <v>186</v>
      </c>
      <c r="B146" s="3" t="s">
        <v>216</v>
      </c>
      <c r="C146" s="3" t="s">
        <v>93</v>
      </c>
      <c r="D146" s="3" t="n">
        <v>15</v>
      </c>
      <c r="E146" s="3" t="s">
        <v>94</v>
      </c>
      <c r="F146" s="3" t="s">
        <v>188</v>
      </c>
      <c r="G146" s="3" t="s">
        <v>188</v>
      </c>
      <c r="H146" s="3" t="s">
        <v>217</v>
      </c>
    </row>
    <row r="147" customFormat="false" ht="15" hidden="false" customHeight="false" outlineLevel="0" collapsed="false">
      <c r="A147" s="3" t="s">
        <v>186</v>
      </c>
      <c r="B147" s="3" t="s">
        <v>216</v>
      </c>
      <c r="C147" s="3" t="s">
        <v>93</v>
      </c>
      <c r="D147" s="3" t="n">
        <v>13</v>
      </c>
      <c r="E147" s="3" t="s">
        <v>100</v>
      </c>
      <c r="F147" s="3" t="s">
        <v>188</v>
      </c>
      <c r="G147" s="3" t="s">
        <v>188</v>
      </c>
      <c r="H147" s="3" t="s">
        <v>217</v>
      </c>
    </row>
    <row r="148" customFormat="false" ht="15" hidden="false" customHeight="false" outlineLevel="0" collapsed="false">
      <c r="A148" s="3" t="s">
        <v>218</v>
      </c>
      <c r="B148" s="3" t="n">
        <v>7</v>
      </c>
      <c r="C148" s="3" t="s">
        <v>93</v>
      </c>
      <c r="D148" s="3" t="n">
        <v>15</v>
      </c>
      <c r="E148" s="3" t="s">
        <v>94</v>
      </c>
      <c r="F148" s="3" t="s">
        <v>95</v>
      </c>
      <c r="G148" s="3" t="s">
        <v>95</v>
      </c>
      <c r="H148" s="3" t="s">
        <v>219</v>
      </c>
    </row>
    <row r="149" customFormat="false" ht="15" hidden="false" customHeight="false" outlineLevel="0" collapsed="false">
      <c r="A149" s="3" t="s">
        <v>218</v>
      </c>
      <c r="B149" s="3" t="n">
        <v>7</v>
      </c>
      <c r="C149" s="3" t="s">
        <v>93</v>
      </c>
      <c r="D149" s="3" t="n">
        <v>13</v>
      </c>
      <c r="E149" s="3" t="s">
        <v>100</v>
      </c>
      <c r="F149" s="3" t="s">
        <v>95</v>
      </c>
      <c r="G149" s="3" t="s">
        <v>95</v>
      </c>
      <c r="H149" s="3" t="s">
        <v>219</v>
      </c>
    </row>
    <row r="150" customFormat="false" ht="15" hidden="false" customHeight="false" outlineLevel="0" collapsed="false">
      <c r="A150" s="3" t="s">
        <v>218</v>
      </c>
      <c r="B150" s="3" t="n">
        <v>8</v>
      </c>
      <c r="C150" s="3" t="s">
        <v>93</v>
      </c>
      <c r="D150" s="3" t="n">
        <v>54</v>
      </c>
      <c r="E150" s="3" t="s">
        <v>94</v>
      </c>
      <c r="F150" s="3" t="s">
        <v>95</v>
      </c>
      <c r="G150" s="3" t="s">
        <v>95</v>
      </c>
      <c r="H150" s="3" t="s">
        <v>220</v>
      </c>
    </row>
    <row r="151" customFormat="false" ht="15" hidden="false" customHeight="false" outlineLevel="0" collapsed="false">
      <c r="A151" s="3" t="s">
        <v>218</v>
      </c>
      <c r="B151" s="3" t="n">
        <v>8</v>
      </c>
      <c r="C151" s="3" t="s">
        <v>93</v>
      </c>
      <c r="D151" s="3" t="n">
        <v>46</v>
      </c>
      <c r="E151" s="3" t="s">
        <v>100</v>
      </c>
      <c r="F151" s="3" t="s">
        <v>95</v>
      </c>
      <c r="G151" s="3" t="s">
        <v>95</v>
      </c>
      <c r="H151" s="3" t="s">
        <v>220</v>
      </c>
    </row>
    <row r="152" customFormat="false" ht="15" hidden="false" customHeight="false" outlineLevel="0" collapsed="false">
      <c r="A152" s="3" t="s">
        <v>218</v>
      </c>
      <c r="B152" s="3" t="n">
        <v>9</v>
      </c>
      <c r="C152" s="3" t="s">
        <v>93</v>
      </c>
      <c r="D152" s="3" t="n">
        <v>55</v>
      </c>
      <c r="E152" s="3" t="s">
        <v>94</v>
      </c>
      <c r="F152" s="3" t="s">
        <v>95</v>
      </c>
      <c r="G152" s="3" t="s">
        <v>95</v>
      </c>
      <c r="H152" s="3" t="s">
        <v>221</v>
      </c>
    </row>
    <row r="153" customFormat="false" ht="15" hidden="false" customHeight="false" outlineLevel="0" collapsed="false">
      <c r="A153" s="3" t="s">
        <v>218</v>
      </c>
      <c r="B153" s="3" t="n">
        <v>10</v>
      </c>
      <c r="C153" s="3" t="s">
        <v>93</v>
      </c>
      <c r="D153" s="3" t="n">
        <v>44</v>
      </c>
      <c r="E153" s="3" t="s">
        <v>94</v>
      </c>
      <c r="F153" s="3" t="s">
        <v>95</v>
      </c>
      <c r="G153" s="3" t="s">
        <v>95</v>
      </c>
      <c r="H153" s="3" t="s">
        <v>222</v>
      </c>
    </row>
    <row r="154" customFormat="false" ht="15" hidden="false" customHeight="false" outlineLevel="0" collapsed="false">
      <c r="A154" s="3" t="s">
        <v>218</v>
      </c>
      <c r="B154" s="3" t="n">
        <v>10</v>
      </c>
      <c r="C154" s="3" t="s">
        <v>93</v>
      </c>
      <c r="D154" s="3" t="n">
        <v>37</v>
      </c>
      <c r="E154" s="3" t="s">
        <v>100</v>
      </c>
      <c r="F154" s="3" t="s">
        <v>95</v>
      </c>
      <c r="G154" s="3" t="s">
        <v>95</v>
      </c>
      <c r="H154" s="3" t="s">
        <v>222</v>
      </c>
    </row>
    <row r="155" customFormat="false" ht="15" hidden="false" customHeight="false" outlineLevel="0" collapsed="false">
      <c r="A155" s="3" t="s">
        <v>218</v>
      </c>
      <c r="B155" s="3" t="n">
        <v>11</v>
      </c>
      <c r="C155" s="3" t="s">
        <v>93</v>
      </c>
      <c r="D155" s="3" t="n">
        <v>13</v>
      </c>
      <c r="E155" s="3" t="s">
        <v>94</v>
      </c>
      <c r="F155" s="3" t="s">
        <v>95</v>
      </c>
      <c r="G155" s="3" t="s">
        <v>95</v>
      </c>
      <c r="H155" s="3" t="s">
        <v>223</v>
      </c>
    </row>
    <row r="156" customFormat="false" ht="15" hidden="false" customHeight="false" outlineLevel="0" collapsed="false">
      <c r="A156" s="3" t="s">
        <v>218</v>
      </c>
      <c r="B156" s="3" t="n">
        <v>11</v>
      </c>
      <c r="C156" s="3" t="s">
        <v>93</v>
      </c>
      <c r="D156" s="3" t="n">
        <v>25</v>
      </c>
      <c r="E156" s="3" t="s">
        <v>100</v>
      </c>
      <c r="F156" s="3" t="s">
        <v>95</v>
      </c>
      <c r="G156" s="3" t="s">
        <v>95</v>
      </c>
      <c r="H156" s="3" t="s">
        <v>223</v>
      </c>
    </row>
    <row r="157" customFormat="false" ht="15" hidden="false" customHeight="false" outlineLevel="0" collapsed="false">
      <c r="A157" s="3" t="s">
        <v>218</v>
      </c>
      <c r="B157" s="3" t="n">
        <v>12</v>
      </c>
      <c r="C157" s="3" t="s">
        <v>93</v>
      </c>
      <c r="D157" s="3" t="n">
        <v>30</v>
      </c>
      <c r="E157" s="3" t="s">
        <v>94</v>
      </c>
      <c r="F157" s="3" t="s">
        <v>95</v>
      </c>
      <c r="G157" s="3" t="s">
        <v>95</v>
      </c>
      <c r="H157" s="3" t="s">
        <v>224</v>
      </c>
    </row>
    <row r="158" customFormat="false" ht="15" hidden="false" customHeight="false" outlineLevel="0" collapsed="false">
      <c r="A158" s="3" t="s">
        <v>218</v>
      </c>
      <c r="B158" s="3" t="n">
        <v>13</v>
      </c>
      <c r="C158" s="3" t="s">
        <v>93</v>
      </c>
      <c r="D158" s="3" t="n">
        <v>7</v>
      </c>
      <c r="E158" s="3" t="s">
        <v>94</v>
      </c>
      <c r="F158" s="3" t="s">
        <v>95</v>
      </c>
      <c r="G158" s="3" t="s">
        <v>95</v>
      </c>
      <c r="H158" s="3" t="s">
        <v>225</v>
      </c>
    </row>
    <row r="159" customFormat="false" ht="15" hidden="false" customHeight="false" outlineLevel="0" collapsed="false">
      <c r="A159" s="3" t="s">
        <v>218</v>
      </c>
      <c r="B159" s="3" t="n">
        <v>14</v>
      </c>
      <c r="C159" s="3" t="s">
        <v>93</v>
      </c>
      <c r="D159" s="3" t="n">
        <v>22</v>
      </c>
      <c r="E159" s="3" t="s">
        <v>94</v>
      </c>
      <c r="F159" s="3" t="s">
        <v>95</v>
      </c>
      <c r="G159" s="3" t="s">
        <v>95</v>
      </c>
      <c r="H159" s="3" t="s">
        <v>226</v>
      </c>
    </row>
    <row r="160" customFormat="false" ht="15" hidden="false" customHeight="false" outlineLevel="0" collapsed="false">
      <c r="A160" s="3" t="s">
        <v>218</v>
      </c>
      <c r="B160" s="3" t="n">
        <v>14</v>
      </c>
      <c r="C160" s="3" t="s">
        <v>93</v>
      </c>
      <c r="D160" s="3" t="n">
        <v>26</v>
      </c>
      <c r="E160" s="3" t="s">
        <v>100</v>
      </c>
      <c r="F160" s="3" t="s">
        <v>95</v>
      </c>
      <c r="G160" s="3" t="s">
        <v>95</v>
      </c>
      <c r="H160" s="3" t="s">
        <v>226</v>
      </c>
    </row>
    <row r="161" customFormat="false" ht="15" hidden="false" customHeight="false" outlineLevel="0" collapsed="false">
      <c r="A161" s="3" t="s">
        <v>218</v>
      </c>
      <c r="B161" s="3" t="n">
        <v>17</v>
      </c>
      <c r="C161" s="3" t="s">
        <v>93</v>
      </c>
      <c r="D161" s="3" t="n">
        <v>13</v>
      </c>
      <c r="E161" s="3" t="s">
        <v>94</v>
      </c>
      <c r="F161" s="3" t="s">
        <v>95</v>
      </c>
      <c r="G161" s="3" t="s">
        <v>95</v>
      </c>
      <c r="H161" s="3" t="s">
        <v>227</v>
      </c>
    </row>
    <row r="162" customFormat="false" ht="15" hidden="false" customHeight="false" outlineLevel="0" collapsed="false">
      <c r="A162" s="3" t="s">
        <v>218</v>
      </c>
      <c r="B162" s="3" t="n">
        <v>22</v>
      </c>
      <c r="C162" s="3" t="s">
        <v>93</v>
      </c>
      <c r="D162" s="3" t="n">
        <v>21</v>
      </c>
      <c r="E162" s="3" t="s">
        <v>94</v>
      </c>
      <c r="F162" s="3" t="s">
        <v>95</v>
      </c>
      <c r="G162" s="3" t="s">
        <v>95</v>
      </c>
      <c r="H162" s="3" t="s">
        <v>228</v>
      </c>
    </row>
    <row r="163" customFormat="false" ht="15" hidden="false" customHeight="false" outlineLevel="0" collapsed="false">
      <c r="A163" s="3" t="s">
        <v>218</v>
      </c>
      <c r="B163" s="3" t="n">
        <v>26</v>
      </c>
      <c r="C163" s="3" t="s">
        <v>93</v>
      </c>
      <c r="D163" s="3" t="n">
        <v>30</v>
      </c>
      <c r="E163" s="3" t="s">
        <v>94</v>
      </c>
      <c r="F163" s="3" t="s">
        <v>95</v>
      </c>
      <c r="G163" s="3" t="s">
        <v>95</v>
      </c>
      <c r="H163" s="3" t="s">
        <v>229</v>
      </c>
    </row>
    <row r="164" customFormat="false" ht="15" hidden="false" customHeight="false" outlineLevel="0" collapsed="false">
      <c r="A164" s="3" t="s">
        <v>218</v>
      </c>
      <c r="B164" s="3" t="n">
        <v>27</v>
      </c>
      <c r="C164" s="3" t="s">
        <v>93</v>
      </c>
      <c r="D164" s="3" t="n">
        <v>13</v>
      </c>
      <c r="E164" s="3" t="s">
        <v>94</v>
      </c>
      <c r="F164" s="3" t="s">
        <v>95</v>
      </c>
      <c r="G164" s="3" t="s">
        <v>95</v>
      </c>
      <c r="H164" s="3" t="s">
        <v>230</v>
      </c>
    </row>
    <row r="165" customFormat="false" ht="15" hidden="false" customHeight="false" outlineLevel="0" collapsed="false">
      <c r="A165" s="3" t="s">
        <v>218</v>
      </c>
      <c r="B165" s="3" t="n">
        <v>29</v>
      </c>
      <c r="C165" s="3" t="s">
        <v>93</v>
      </c>
      <c r="D165" s="3" t="n">
        <v>49</v>
      </c>
      <c r="E165" s="3" t="s">
        <v>94</v>
      </c>
      <c r="F165" s="3" t="s">
        <v>95</v>
      </c>
      <c r="G165" s="3" t="s">
        <v>95</v>
      </c>
      <c r="H165" s="3" t="s">
        <v>231</v>
      </c>
    </row>
    <row r="166" customFormat="false" ht="15" hidden="false" customHeight="false" outlineLevel="0" collapsed="false">
      <c r="A166" s="3" t="s">
        <v>218</v>
      </c>
      <c r="B166" s="3" t="n">
        <v>29</v>
      </c>
      <c r="C166" s="3" t="s">
        <v>93</v>
      </c>
      <c r="D166" s="3" t="n">
        <v>48</v>
      </c>
      <c r="E166" s="3" t="s">
        <v>100</v>
      </c>
      <c r="F166" s="3" t="s">
        <v>95</v>
      </c>
      <c r="G166" s="3" t="s">
        <v>95</v>
      </c>
      <c r="H166" s="3" t="s">
        <v>231</v>
      </c>
    </row>
    <row r="167" customFormat="false" ht="15" hidden="false" customHeight="false" outlineLevel="0" collapsed="false">
      <c r="A167" s="3" t="s">
        <v>218</v>
      </c>
      <c r="B167" s="3" t="n">
        <v>30</v>
      </c>
      <c r="C167" s="3" t="s">
        <v>93</v>
      </c>
      <c r="D167" s="3" t="n">
        <v>21</v>
      </c>
      <c r="E167" s="3" t="s">
        <v>94</v>
      </c>
      <c r="F167" s="3" t="s">
        <v>95</v>
      </c>
      <c r="G167" s="3" t="s">
        <v>95</v>
      </c>
      <c r="H167" s="3" t="s">
        <v>232</v>
      </c>
    </row>
    <row r="168" customFormat="false" ht="15" hidden="false" customHeight="false" outlineLevel="0" collapsed="false">
      <c r="A168" s="3" t="s">
        <v>218</v>
      </c>
      <c r="B168" s="3" t="n">
        <v>30</v>
      </c>
      <c r="C168" s="3" t="s">
        <v>93</v>
      </c>
      <c r="D168" s="3" t="n">
        <v>26</v>
      </c>
      <c r="E168" s="3" t="s">
        <v>100</v>
      </c>
      <c r="F168" s="3" t="s">
        <v>95</v>
      </c>
      <c r="G168" s="3" t="s">
        <v>95</v>
      </c>
      <c r="H168" s="3" t="s">
        <v>232</v>
      </c>
    </row>
    <row r="169" customFormat="false" ht="15" hidden="false" customHeight="false" outlineLevel="0" collapsed="false">
      <c r="A169" s="3" t="s">
        <v>218</v>
      </c>
      <c r="B169" s="3" t="n">
        <v>32</v>
      </c>
      <c r="C169" s="3" t="s">
        <v>93</v>
      </c>
      <c r="D169" s="3" t="n">
        <v>54</v>
      </c>
      <c r="E169" s="3" t="s">
        <v>94</v>
      </c>
      <c r="F169" s="3" t="s">
        <v>95</v>
      </c>
      <c r="G169" s="3" t="s">
        <v>95</v>
      </c>
      <c r="H169" s="3" t="s">
        <v>233</v>
      </c>
    </row>
    <row r="170" customFormat="false" ht="15" hidden="false" customHeight="false" outlineLevel="0" collapsed="false">
      <c r="A170" s="3" t="s">
        <v>218</v>
      </c>
      <c r="B170" s="3" t="n">
        <v>32</v>
      </c>
      <c r="C170" s="3" t="s">
        <v>93</v>
      </c>
      <c r="D170" s="3" t="n">
        <v>45</v>
      </c>
      <c r="E170" s="3" t="s">
        <v>100</v>
      </c>
      <c r="F170" s="3" t="s">
        <v>95</v>
      </c>
      <c r="G170" s="3" t="s">
        <v>95</v>
      </c>
      <c r="H170" s="3" t="s">
        <v>233</v>
      </c>
    </row>
    <row r="171" customFormat="false" ht="15" hidden="false" customHeight="false" outlineLevel="0" collapsed="false">
      <c r="A171" s="3" t="s">
        <v>218</v>
      </c>
      <c r="B171" s="3" t="n">
        <v>33</v>
      </c>
      <c r="C171" s="3" t="s">
        <v>93</v>
      </c>
      <c r="D171" s="3" t="n">
        <v>13</v>
      </c>
      <c r="E171" s="3" t="s">
        <v>94</v>
      </c>
      <c r="F171" s="3" t="s">
        <v>95</v>
      </c>
      <c r="G171" s="3" t="s">
        <v>95</v>
      </c>
      <c r="H171" s="3" t="s">
        <v>234</v>
      </c>
    </row>
    <row r="172" customFormat="false" ht="15" hidden="false" customHeight="false" outlineLevel="0" collapsed="false">
      <c r="A172" s="3" t="s">
        <v>218</v>
      </c>
      <c r="B172" s="3" t="n">
        <v>34</v>
      </c>
      <c r="C172" s="3" t="s">
        <v>93</v>
      </c>
      <c r="D172" s="3" t="n">
        <v>22</v>
      </c>
      <c r="E172" s="3" t="s">
        <v>94</v>
      </c>
      <c r="F172" s="3" t="s">
        <v>95</v>
      </c>
      <c r="G172" s="3" t="s">
        <v>95</v>
      </c>
      <c r="H172" s="3" t="s">
        <v>235</v>
      </c>
    </row>
    <row r="173" customFormat="false" ht="15" hidden="false" customHeight="false" outlineLevel="0" collapsed="false">
      <c r="A173" s="3" t="s">
        <v>236</v>
      </c>
      <c r="B173" s="3" t="n">
        <v>17</v>
      </c>
      <c r="C173" s="3" t="s">
        <v>93</v>
      </c>
      <c r="D173" s="3" t="n">
        <v>13</v>
      </c>
      <c r="E173" s="3" t="s">
        <v>94</v>
      </c>
      <c r="F173" s="3" t="s">
        <v>95</v>
      </c>
      <c r="G173" s="3" t="s">
        <v>95</v>
      </c>
      <c r="H173" s="3" t="s">
        <v>237</v>
      </c>
    </row>
    <row r="174" customFormat="false" ht="15" hidden="false" customHeight="false" outlineLevel="0" collapsed="false">
      <c r="A174" s="3" t="s">
        <v>236</v>
      </c>
      <c r="B174" s="3" t="n">
        <v>17</v>
      </c>
      <c r="C174" s="3" t="s">
        <v>93</v>
      </c>
      <c r="D174" s="3" t="n">
        <v>25</v>
      </c>
      <c r="E174" s="3" t="s">
        <v>100</v>
      </c>
      <c r="F174" s="3" t="s">
        <v>95</v>
      </c>
      <c r="G174" s="3" t="s">
        <v>95</v>
      </c>
      <c r="H174" s="3" t="s">
        <v>237</v>
      </c>
    </row>
    <row r="175" customFormat="false" ht="15" hidden="false" customHeight="false" outlineLevel="0" collapsed="false">
      <c r="A175" s="3" t="s">
        <v>236</v>
      </c>
      <c r="B175" s="3" t="n">
        <v>18</v>
      </c>
      <c r="C175" s="3" t="s">
        <v>93</v>
      </c>
      <c r="D175" s="3" t="n">
        <v>25</v>
      </c>
      <c r="E175" s="3" t="s">
        <v>94</v>
      </c>
      <c r="F175" s="3" t="s">
        <v>95</v>
      </c>
      <c r="G175" s="3" t="s">
        <v>95</v>
      </c>
      <c r="H175" s="3" t="s">
        <v>238</v>
      </c>
    </row>
    <row r="176" customFormat="false" ht="15" hidden="false" customHeight="false" outlineLevel="0" collapsed="false">
      <c r="A176" s="3" t="s">
        <v>236</v>
      </c>
      <c r="B176" s="3" t="n">
        <v>19</v>
      </c>
      <c r="C176" s="3" t="s">
        <v>93</v>
      </c>
      <c r="D176" s="3" t="n">
        <v>36</v>
      </c>
      <c r="E176" s="3" t="s">
        <v>94</v>
      </c>
      <c r="F176" s="3" t="s">
        <v>95</v>
      </c>
      <c r="G176" s="3" t="s">
        <v>95</v>
      </c>
      <c r="H176" s="3" t="s">
        <v>239</v>
      </c>
    </row>
    <row r="177" customFormat="false" ht="15" hidden="false" customHeight="false" outlineLevel="0" collapsed="false">
      <c r="A177" s="3" t="s">
        <v>236</v>
      </c>
      <c r="B177" s="3" t="n">
        <v>20</v>
      </c>
      <c r="C177" s="3" t="s">
        <v>93</v>
      </c>
      <c r="D177" s="3" t="n">
        <v>44</v>
      </c>
      <c r="E177" s="3" t="s">
        <v>94</v>
      </c>
      <c r="F177" s="3" t="s">
        <v>95</v>
      </c>
      <c r="G177" s="3" t="s">
        <v>95</v>
      </c>
      <c r="H177" s="3" t="s">
        <v>240</v>
      </c>
    </row>
    <row r="178" customFormat="false" ht="15" hidden="false" customHeight="false" outlineLevel="0" collapsed="false">
      <c r="A178" s="3" t="s">
        <v>236</v>
      </c>
      <c r="B178" s="3" t="n">
        <v>21</v>
      </c>
      <c r="C178" s="3" t="s">
        <v>93</v>
      </c>
      <c r="D178" s="3" t="n">
        <v>44</v>
      </c>
      <c r="E178" s="3" t="s">
        <v>94</v>
      </c>
      <c r="F178" s="3" t="s">
        <v>95</v>
      </c>
      <c r="G178" s="3" t="s">
        <v>95</v>
      </c>
      <c r="H178" s="3" t="s">
        <v>241</v>
      </c>
    </row>
    <row r="179" customFormat="false" ht="15" hidden="false" customHeight="false" outlineLevel="0" collapsed="false">
      <c r="A179" s="3" t="s">
        <v>236</v>
      </c>
      <c r="B179" s="3" t="n">
        <v>21</v>
      </c>
      <c r="C179" s="3" t="s">
        <v>93</v>
      </c>
      <c r="D179" s="3" t="n">
        <v>26</v>
      </c>
      <c r="E179" s="3" t="s">
        <v>100</v>
      </c>
      <c r="F179" s="3" t="s">
        <v>95</v>
      </c>
      <c r="G179" s="3" t="s">
        <v>95</v>
      </c>
      <c r="H179" s="3" t="s">
        <v>241</v>
      </c>
    </row>
    <row r="180" customFormat="false" ht="15" hidden="false" customHeight="false" outlineLevel="0" collapsed="false">
      <c r="A180" s="3" t="s">
        <v>236</v>
      </c>
      <c r="B180" s="3" t="n">
        <v>22</v>
      </c>
      <c r="C180" s="3" t="s">
        <v>93</v>
      </c>
      <c r="D180" s="3" t="n">
        <v>33</v>
      </c>
      <c r="E180" s="3" t="s">
        <v>94</v>
      </c>
      <c r="F180" s="3" t="s">
        <v>95</v>
      </c>
      <c r="G180" s="3" t="s">
        <v>95</v>
      </c>
      <c r="H180" s="3" t="s">
        <v>242</v>
      </c>
    </row>
    <row r="181" customFormat="false" ht="15" hidden="false" customHeight="false" outlineLevel="0" collapsed="false">
      <c r="A181" s="3" t="s">
        <v>236</v>
      </c>
      <c r="B181" s="3" t="n">
        <v>22</v>
      </c>
      <c r="C181" s="3" t="s">
        <v>93</v>
      </c>
      <c r="D181" s="3" t="n">
        <v>37</v>
      </c>
      <c r="E181" s="3" t="s">
        <v>100</v>
      </c>
      <c r="F181" s="3" t="s">
        <v>95</v>
      </c>
      <c r="G181" s="3" t="s">
        <v>95</v>
      </c>
      <c r="H181" s="3" t="s">
        <v>242</v>
      </c>
    </row>
    <row r="182" customFormat="false" ht="15" hidden="false" customHeight="false" outlineLevel="0" collapsed="false">
      <c r="A182" s="3" t="s">
        <v>236</v>
      </c>
      <c r="B182" s="3" t="n">
        <v>23</v>
      </c>
      <c r="C182" s="3" t="s">
        <v>93</v>
      </c>
      <c r="D182" s="3" t="n">
        <v>54</v>
      </c>
      <c r="E182" s="3" t="s">
        <v>94</v>
      </c>
      <c r="F182" s="3" t="s">
        <v>95</v>
      </c>
      <c r="G182" s="3" t="s">
        <v>95</v>
      </c>
      <c r="H182" s="3" t="s">
        <v>243</v>
      </c>
    </row>
    <row r="183" customFormat="false" ht="15" hidden="false" customHeight="false" outlineLevel="0" collapsed="false">
      <c r="A183" s="3" t="s">
        <v>236</v>
      </c>
      <c r="B183" s="3" t="n">
        <v>24</v>
      </c>
      <c r="C183" s="3" t="s">
        <v>93</v>
      </c>
      <c r="D183" s="3" t="n">
        <v>25</v>
      </c>
      <c r="E183" s="3" t="s">
        <v>94</v>
      </c>
      <c r="F183" s="3" t="s">
        <v>95</v>
      </c>
      <c r="G183" s="3" t="s">
        <v>95</v>
      </c>
      <c r="H183" s="3" t="s">
        <v>244</v>
      </c>
    </row>
    <row r="184" customFormat="false" ht="15" hidden="false" customHeight="false" outlineLevel="0" collapsed="false">
      <c r="A184" s="3" t="s">
        <v>236</v>
      </c>
      <c r="B184" s="3" t="n">
        <v>25</v>
      </c>
      <c r="C184" s="3" t="s">
        <v>93</v>
      </c>
      <c r="D184" s="3" t="n">
        <v>37</v>
      </c>
      <c r="E184" s="3" t="s">
        <v>94</v>
      </c>
      <c r="F184" s="3" t="s">
        <v>95</v>
      </c>
      <c r="G184" s="3" t="s">
        <v>95</v>
      </c>
      <c r="H184" s="3" t="s">
        <v>245</v>
      </c>
    </row>
    <row r="185" customFormat="false" ht="15" hidden="false" customHeight="false" outlineLevel="0" collapsed="false">
      <c r="A185" s="3" t="s">
        <v>236</v>
      </c>
      <c r="B185" s="3" t="n">
        <v>25</v>
      </c>
      <c r="C185" s="3" t="s">
        <v>93</v>
      </c>
      <c r="D185" s="3" t="n">
        <v>40</v>
      </c>
      <c r="E185" s="3" t="s">
        <v>100</v>
      </c>
      <c r="F185" s="3" t="s">
        <v>95</v>
      </c>
      <c r="G185" s="3" t="s">
        <v>95</v>
      </c>
      <c r="H185" s="3" t="s">
        <v>245</v>
      </c>
    </row>
    <row r="186" customFormat="false" ht="15" hidden="false" customHeight="false" outlineLevel="0" collapsed="false">
      <c r="A186" s="3" t="s">
        <v>236</v>
      </c>
      <c r="B186" s="3" t="n">
        <v>26</v>
      </c>
      <c r="C186" s="3" t="s">
        <v>93</v>
      </c>
      <c r="D186" s="3" t="n">
        <v>28</v>
      </c>
      <c r="E186" s="3" t="s">
        <v>94</v>
      </c>
      <c r="F186" s="3" t="s">
        <v>95</v>
      </c>
      <c r="G186" s="3" t="s">
        <v>95</v>
      </c>
      <c r="H186" s="3" t="s">
        <v>246</v>
      </c>
    </row>
    <row r="187" customFormat="false" ht="15" hidden="false" customHeight="false" outlineLevel="0" collapsed="false">
      <c r="A187" s="3" t="s">
        <v>236</v>
      </c>
      <c r="B187" s="3" t="n">
        <v>26</v>
      </c>
      <c r="C187" s="3" t="s">
        <v>93</v>
      </c>
      <c r="D187" s="3" t="n">
        <v>27</v>
      </c>
      <c r="E187" s="3" t="s">
        <v>100</v>
      </c>
      <c r="F187" s="3" t="s">
        <v>95</v>
      </c>
      <c r="G187" s="3" t="s">
        <v>95</v>
      </c>
      <c r="H187" s="3" t="s">
        <v>246</v>
      </c>
    </row>
    <row r="188" customFormat="false" ht="15" hidden="false" customHeight="false" outlineLevel="0" collapsed="false">
      <c r="A188" s="3" t="s">
        <v>236</v>
      </c>
      <c r="B188" s="3" t="n">
        <v>47</v>
      </c>
      <c r="C188" s="3" t="s">
        <v>93</v>
      </c>
      <c r="D188" s="3" t="n">
        <v>45</v>
      </c>
      <c r="E188" s="3" t="s">
        <v>94</v>
      </c>
      <c r="F188" s="3" t="s">
        <v>95</v>
      </c>
      <c r="G188" s="3" t="s">
        <v>95</v>
      </c>
      <c r="H188" s="3" t="s">
        <v>247</v>
      </c>
    </row>
    <row r="189" customFormat="false" ht="15" hidden="false" customHeight="false" outlineLevel="0" collapsed="false">
      <c r="A189" s="3" t="s">
        <v>236</v>
      </c>
      <c r="B189" s="3" t="n">
        <v>48</v>
      </c>
      <c r="C189" s="3" t="s">
        <v>93</v>
      </c>
      <c r="D189" s="3" t="n">
        <v>45</v>
      </c>
      <c r="E189" s="3" t="s">
        <v>94</v>
      </c>
      <c r="F189" s="3" t="s">
        <v>95</v>
      </c>
      <c r="G189" s="3" t="s">
        <v>95</v>
      </c>
      <c r="H189" s="3" t="s">
        <v>248</v>
      </c>
    </row>
    <row r="190" customFormat="false" ht="15" hidden="false" customHeight="false" outlineLevel="0" collapsed="false">
      <c r="A190" s="3" t="s">
        <v>236</v>
      </c>
      <c r="B190" s="3" t="n">
        <v>50</v>
      </c>
      <c r="C190" s="3" t="s">
        <v>93</v>
      </c>
      <c r="D190" s="3" t="n">
        <v>45</v>
      </c>
      <c r="E190" s="3" t="s">
        <v>94</v>
      </c>
      <c r="F190" s="3" t="s">
        <v>95</v>
      </c>
      <c r="G190" s="3" t="s">
        <v>95</v>
      </c>
      <c r="H190" s="3" t="s">
        <v>249</v>
      </c>
    </row>
    <row r="191" customFormat="false" ht="15" hidden="false" customHeight="false" outlineLevel="0" collapsed="false">
      <c r="A191" s="3" t="s">
        <v>236</v>
      </c>
      <c r="B191" s="3" t="n">
        <v>52</v>
      </c>
      <c r="C191" s="3" t="s">
        <v>93</v>
      </c>
      <c r="D191" s="3" t="n">
        <v>13</v>
      </c>
      <c r="E191" s="3" t="s">
        <v>94</v>
      </c>
      <c r="F191" s="3" t="s">
        <v>95</v>
      </c>
      <c r="G191" s="3" t="s">
        <v>95</v>
      </c>
      <c r="H191" s="3" t="s">
        <v>250</v>
      </c>
    </row>
    <row r="192" customFormat="false" ht="15" hidden="false" customHeight="false" outlineLevel="0" collapsed="false">
      <c r="A192" s="3" t="s">
        <v>251</v>
      </c>
      <c r="B192" s="3" t="n">
        <v>2</v>
      </c>
      <c r="C192" s="3" t="s">
        <v>93</v>
      </c>
      <c r="D192" s="3" t="n">
        <v>15</v>
      </c>
      <c r="E192" s="3" t="s">
        <v>94</v>
      </c>
      <c r="F192" s="3" t="s">
        <v>188</v>
      </c>
      <c r="G192" s="3" t="s">
        <v>95</v>
      </c>
      <c r="H192" s="3" t="s">
        <v>252</v>
      </c>
    </row>
    <row r="193" customFormat="false" ht="15" hidden="false" customHeight="false" outlineLevel="0" collapsed="false">
      <c r="A193" s="3" t="s">
        <v>251</v>
      </c>
      <c r="B193" s="3" t="n">
        <v>2</v>
      </c>
      <c r="C193" s="3" t="s">
        <v>93</v>
      </c>
      <c r="D193" s="3" t="n">
        <v>13</v>
      </c>
      <c r="E193" s="3" t="s">
        <v>100</v>
      </c>
      <c r="F193" s="3" t="s">
        <v>188</v>
      </c>
      <c r="G193" s="3" t="s">
        <v>95</v>
      </c>
      <c r="H193" s="3" t="s">
        <v>252</v>
      </c>
    </row>
    <row r="194" customFormat="false" ht="15" hidden="false" customHeight="false" outlineLevel="0" collapsed="false">
      <c r="A194" s="3" t="s">
        <v>251</v>
      </c>
      <c r="B194" s="3" t="n">
        <v>3</v>
      </c>
      <c r="C194" s="3" t="s">
        <v>93</v>
      </c>
      <c r="D194" s="3" t="n">
        <v>13</v>
      </c>
      <c r="E194" s="3" t="s">
        <v>94</v>
      </c>
      <c r="F194" s="3" t="s">
        <v>188</v>
      </c>
      <c r="G194" s="3" t="s">
        <v>95</v>
      </c>
      <c r="H194" s="3" t="s">
        <v>253</v>
      </c>
    </row>
    <row r="195" customFormat="false" ht="15" hidden="false" customHeight="false" outlineLevel="0" collapsed="false">
      <c r="A195" s="3" t="s">
        <v>251</v>
      </c>
      <c r="B195" s="3" t="n">
        <v>3</v>
      </c>
      <c r="C195" s="3" t="s">
        <v>93</v>
      </c>
      <c r="D195" s="3" t="n">
        <v>16</v>
      </c>
      <c r="E195" s="3" t="s">
        <v>100</v>
      </c>
      <c r="F195" s="3" t="s">
        <v>188</v>
      </c>
      <c r="G195" s="3" t="s">
        <v>95</v>
      </c>
      <c r="H195" s="3" t="s">
        <v>253</v>
      </c>
    </row>
    <row r="196" customFormat="false" ht="15" hidden="false" customHeight="false" outlineLevel="0" collapsed="false">
      <c r="A196" s="3" t="s">
        <v>251</v>
      </c>
      <c r="B196" s="3" t="n">
        <v>5</v>
      </c>
      <c r="C196" s="3" t="s">
        <v>93</v>
      </c>
      <c r="D196" s="3" t="n">
        <v>13</v>
      </c>
      <c r="E196" s="3" t="s">
        <v>94</v>
      </c>
      <c r="F196" s="3" t="s">
        <v>188</v>
      </c>
      <c r="G196" s="3" t="s">
        <v>95</v>
      </c>
      <c r="H196" s="3" t="s">
        <v>254</v>
      </c>
    </row>
    <row r="197" customFormat="false" ht="15" hidden="false" customHeight="false" outlineLevel="0" collapsed="false">
      <c r="A197" s="3" t="s">
        <v>251</v>
      </c>
      <c r="B197" s="3" t="n">
        <v>7</v>
      </c>
      <c r="C197" s="3" t="s">
        <v>93</v>
      </c>
      <c r="D197" s="3" t="n">
        <v>54</v>
      </c>
      <c r="E197" s="3" t="s">
        <v>94</v>
      </c>
      <c r="F197" s="3" t="s">
        <v>188</v>
      </c>
      <c r="G197" s="3" t="s">
        <v>95</v>
      </c>
      <c r="H197" s="3" t="s">
        <v>255</v>
      </c>
    </row>
    <row r="198" customFormat="false" ht="15" hidden="false" customHeight="false" outlineLevel="0" collapsed="false">
      <c r="A198" s="3" t="s">
        <v>251</v>
      </c>
      <c r="B198" s="3" t="n">
        <v>11</v>
      </c>
      <c r="C198" s="3" t="s">
        <v>93</v>
      </c>
      <c r="D198" s="3" t="n">
        <v>54</v>
      </c>
      <c r="E198" s="3" t="s">
        <v>94</v>
      </c>
      <c r="F198" s="3" t="s">
        <v>188</v>
      </c>
      <c r="G198" s="3" t="s">
        <v>95</v>
      </c>
      <c r="H198" s="3" t="s">
        <v>256</v>
      </c>
    </row>
    <row r="199" customFormat="false" ht="15" hidden="false" customHeight="false" outlineLevel="0" collapsed="false">
      <c r="A199" s="3" t="s">
        <v>251</v>
      </c>
      <c r="B199" s="3" t="n">
        <v>12</v>
      </c>
      <c r="C199" s="3" t="s">
        <v>93</v>
      </c>
      <c r="D199" s="3" t="n">
        <v>37</v>
      </c>
      <c r="E199" s="3" t="s">
        <v>94</v>
      </c>
      <c r="F199" s="3" t="s">
        <v>188</v>
      </c>
      <c r="G199" s="3" t="s">
        <v>95</v>
      </c>
      <c r="H199" s="3" t="s">
        <v>257</v>
      </c>
    </row>
    <row r="200" customFormat="false" ht="15" hidden="false" customHeight="false" outlineLevel="0" collapsed="false">
      <c r="A200" s="3" t="s">
        <v>251</v>
      </c>
      <c r="B200" s="3" t="n">
        <v>12</v>
      </c>
      <c r="C200" s="3" t="s">
        <v>93</v>
      </c>
      <c r="D200" s="3" t="n">
        <v>33</v>
      </c>
      <c r="E200" s="3" t="s">
        <v>100</v>
      </c>
      <c r="F200" s="3" t="s">
        <v>188</v>
      </c>
      <c r="G200" s="3" t="s">
        <v>95</v>
      </c>
      <c r="H200" s="3" t="s">
        <v>257</v>
      </c>
    </row>
    <row r="201" customFormat="false" ht="15" hidden="false" customHeight="false" outlineLevel="0" collapsed="false">
      <c r="A201" s="3" t="s">
        <v>251</v>
      </c>
      <c r="B201" s="3" t="n">
        <v>13</v>
      </c>
      <c r="C201" s="3" t="s">
        <v>93</v>
      </c>
      <c r="D201" s="3" t="n">
        <v>28</v>
      </c>
      <c r="E201" s="3" t="s">
        <v>94</v>
      </c>
      <c r="F201" s="3" t="s">
        <v>188</v>
      </c>
      <c r="G201" s="3" t="s">
        <v>95</v>
      </c>
      <c r="H201" s="3" t="s">
        <v>258</v>
      </c>
    </row>
    <row r="202" customFormat="false" ht="15" hidden="false" customHeight="false" outlineLevel="0" collapsed="false">
      <c r="A202" s="3" t="s">
        <v>251</v>
      </c>
      <c r="B202" s="3" t="n">
        <v>13</v>
      </c>
      <c r="C202" s="3" t="s">
        <v>93</v>
      </c>
      <c r="D202" s="3" t="n">
        <v>40</v>
      </c>
      <c r="E202" s="3" t="s">
        <v>100</v>
      </c>
      <c r="F202" s="3" t="s">
        <v>188</v>
      </c>
      <c r="G202" s="3" t="s">
        <v>95</v>
      </c>
      <c r="H202" s="3" t="s">
        <v>258</v>
      </c>
    </row>
    <row r="203" customFormat="false" ht="15" hidden="false" customHeight="false" outlineLevel="0" collapsed="false">
      <c r="A203" s="3" t="s">
        <v>251</v>
      </c>
      <c r="B203" s="3" t="n">
        <v>14</v>
      </c>
      <c r="C203" s="3" t="s">
        <v>93</v>
      </c>
      <c r="D203" s="3" t="n">
        <v>54</v>
      </c>
      <c r="E203" s="3" t="s">
        <v>94</v>
      </c>
      <c r="F203" s="3" t="s">
        <v>188</v>
      </c>
      <c r="G203" s="3" t="s">
        <v>95</v>
      </c>
      <c r="H203" s="3" t="s">
        <v>259</v>
      </c>
    </row>
    <row r="204" customFormat="false" ht="15" hidden="false" customHeight="false" outlineLevel="0" collapsed="false">
      <c r="A204" s="3" t="s">
        <v>251</v>
      </c>
      <c r="B204" s="3" t="n">
        <v>15</v>
      </c>
      <c r="C204" s="3" t="s">
        <v>93</v>
      </c>
      <c r="D204" s="3" t="n">
        <v>19</v>
      </c>
      <c r="E204" s="3" t="s">
        <v>94</v>
      </c>
      <c r="F204" s="3" t="s">
        <v>188</v>
      </c>
      <c r="G204" s="3" t="s">
        <v>95</v>
      </c>
      <c r="H204" s="3" t="s">
        <v>260</v>
      </c>
    </row>
    <row r="205" customFormat="false" ht="15" hidden="false" customHeight="false" outlineLevel="0" collapsed="false">
      <c r="A205" s="3" t="s">
        <v>251</v>
      </c>
      <c r="B205" s="3" t="n">
        <v>15</v>
      </c>
      <c r="C205" s="3" t="s">
        <v>93</v>
      </c>
      <c r="D205" s="3" t="n">
        <v>14</v>
      </c>
      <c r="E205" s="3" t="s">
        <v>100</v>
      </c>
      <c r="F205" s="3" t="s">
        <v>188</v>
      </c>
      <c r="G205" s="3" t="s">
        <v>95</v>
      </c>
      <c r="H205" s="3" t="s">
        <v>260</v>
      </c>
    </row>
    <row r="206" customFormat="false" ht="15" hidden="false" customHeight="false" outlineLevel="0" collapsed="false">
      <c r="A206" s="3" t="s">
        <v>251</v>
      </c>
      <c r="B206" s="3" t="n">
        <v>28</v>
      </c>
      <c r="C206" s="3" t="s">
        <v>93</v>
      </c>
      <c r="D206" s="3" t="n">
        <v>13</v>
      </c>
      <c r="E206" s="3" t="s">
        <v>94</v>
      </c>
      <c r="F206" s="3" t="s">
        <v>188</v>
      </c>
      <c r="G206" s="3" t="s">
        <v>95</v>
      </c>
      <c r="H206" s="3" t="s">
        <v>261</v>
      </c>
    </row>
    <row r="207" customFormat="false" ht="15" hidden="false" customHeight="false" outlineLevel="0" collapsed="false">
      <c r="A207" s="3" t="s">
        <v>251</v>
      </c>
      <c r="B207" s="3" t="n">
        <v>29</v>
      </c>
      <c r="C207" s="3" t="s">
        <v>93</v>
      </c>
      <c r="D207" s="3" t="n">
        <v>54</v>
      </c>
      <c r="E207" s="3" t="s">
        <v>94</v>
      </c>
      <c r="F207" s="3" t="s">
        <v>188</v>
      </c>
      <c r="G207" s="3" t="s">
        <v>95</v>
      </c>
      <c r="H207" s="3" t="s">
        <v>262</v>
      </c>
    </row>
    <row r="208" customFormat="false" ht="15" hidden="false" customHeight="false" outlineLevel="0" collapsed="false">
      <c r="A208" s="3" t="s">
        <v>251</v>
      </c>
      <c r="B208" s="3" t="n">
        <v>30</v>
      </c>
      <c r="C208" s="3" t="s">
        <v>93</v>
      </c>
      <c r="D208" s="3" t="n">
        <v>20</v>
      </c>
      <c r="E208" s="3" t="s">
        <v>94</v>
      </c>
      <c r="F208" s="3" t="s">
        <v>188</v>
      </c>
      <c r="G208" s="3" t="s">
        <v>95</v>
      </c>
      <c r="H208" s="3" t="s">
        <v>263</v>
      </c>
    </row>
    <row r="209" customFormat="false" ht="15" hidden="false" customHeight="false" outlineLevel="0" collapsed="false">
      <c r="A209" s="3" t="s">
        <v>251</v>
      </c>
      <c r="B209" s="3" t="n">
        <v>30</v>
      </c>
      <c r="C209" s="3" t="s">
        <v>93</v>
      </c>
      <c r="D209" s="3" t="n">
        <v>19</v>
      </c>
      <c r="E209" s="3" t="s">
        <v>100</v>
      </c>
      <c r="F209" s="3" t="s">
        <v>188</v>
      </c>
      <c r="G209" s="3" t="s">
        <v>95</v>
      </c>
      <c r="H209" s="3" t="s">
        <v>263</v>
      </c>
    </row>
    <row r="210" customFormat="false" ht="15" hidden="false" customHeight="false" outlineLevel="0" collapsed="false">
      <c r="A210" s="3" t="s">
        <v>251</v>
      </c>
      <c r="B210" s="3" t="n">
        <v>31</v>
      </c>
      <c r="C210" s="3" t="s">
        <v>93</v>
      </c>
      <c r="D210" s="3" t="n">
        <v>55</v>
      </c>
      <c r="E210" s="3" t="s">
        <v>94</v>
      </c>
      <c r="F210" s="3" t="s">
        <v>188</v>
      </c>
      <c r="G210" s="3" t="s">
        <v>95</v>
      </c>
      <c r="H210" s="3" t="s">
        <v>264</v>
      </c>
    </row>
    <row r="211" customFormat="false" ht="15" hidden="false" customHeight="false" outlineLevel="0" collapsed="false">
      <c r="A211" s="3" t="s">
        <v>251</v>
      </c>
      <c r="B211" s="3" t="n">
        <v>31</v>
      </c>
      <c r="C211" s="3" t="s">
        <v>93</v>
      </c>
      <c r="D211" s="3" t="n">
        <v>16</v>
      </c>
      <c r="E211" s="3" t="s">
        <v>100</v>
      </c>
      <c r="F211" s="3" t="s">
        <v>188</v>
      </c>
      <c r="G211" s="3" t="s">
        <v>95</v>
      </c>
      <c r="H211" s="3" t="s">
        <v>264</v>
      </c>
    </row>
    <row r="212" customFormat="false" ht="15" hidden="false" customHeight="false" outlineLevel="0" collapsed="false">
      <c r="A212" s="3" t="s">
        <v>251</v>
      </c>
      <c r="B212" s="3" t="n">
        <v>32</v>
      </c>
      <c r="C212" s="3" t="s">
        <v>93</v>
      </c>
      <c r="D212" s="3" t="n">
        <v>21</v>
      </c>
      <c r="E212" s="3" t="s">
        <v>94</v>
      </c>
      <c r="F212" s="3" t="s">
        <v>188</v>
      </c>
      <c r="G212" s="3" t="s">
        <v>95</v>
      </c>
      <c r="H212" s="3" t="s">
        <v>265</v>
      </c>
    </row>
    <row r="213" customFormat="false" ht="15" hidden="false" customHeight="false" outlineLevel="0" collapsed="false">
      <c r="A213" s="3" t="s">
        <v>251</v>
      </c>
      <c r="B213" s="3" t="n">
        <v>33</v>
      </c>
      <c r="C213" s="3" t="s">
        <v>93</v>
      </c>
      <c r="D213" s="3" t="n">
        <v>54</v>
      </c>
      <c r="E213" s="3" t="s">
        <v>94</v>
      </c>
      <c r="F213" s="3" t="s">
        <v>188</v>
      </c>
      <c r="G213" s="3" t="s">
        <v>95</v>
      </c>
      <c r="H213" s="3" t="s">
        <v>266</v>
      </c>
    </row>
    <row r="214" customFormat="false" ht="15" hidden="false" customHeight="false" outlineLevel="0" collapsed="false">
      <c r="A214" s="3" t="s">
        <v>251</v>
      </c>
      <c r="B214" s="3" t="n">
        <v>34</v>
      </c>
      <c r="C214" s="3" t="s">
        <v>93</v>
      </c>
      <c r="D214" s="3" t="n">
        <v>54</v>
      </c>
      <c r="E214" s="3" t="s">
        <v>94</v>
      </c>
      <c r="F214" s="3" t="s">
        <v>188</v>
      </c>
      <c r="G214" s="3" t="s">
        <v>95</v>
      </c>
      <c r="H214" s="3" t="s">
        <v>267</v>
      </c>
    </row>
    <row r="215" customFormat="false" ht="15" hidden="false" customHeight="false" outlineLevel="0" collapsed="false">
      <c r="A215" s="3" t="s">
        <v>251</v>
      </c>
      <c r="B215" s="3" t="n">
        <v>35</v>
      </c>
      <c r="C215" s="3" t="s">
        <v>93</v>
      </c>
      <c r="D215" s="3" t="n">
        <v>33</v>
      </c>
      <c r="E215" s="3" t="s">
        <v>94</v>
      </c>
      <c r="F215" s="3" t="s">
        <v>188</v>
      </c>
      <c r="G215" s="3" t="s">
        <v>95</v>
      </c>
      <c r="H215" s="3" t="s">
        <v>268</v>
      </c>
    </row>
    <row r="216" customFormat="false" ht="15" hidden="false" customHeight="false" outlineLevel="0" collapsed="false">
      <c r="A216" s="3" t="s">
        <v>251</v>
      </c>
      <c r="B216" s="3" t="n">
        <v>35</v>
      </c>
      <c r="C216" s="3" t="s">
        <v>93</v>
      </c>
      <c r="D216" s="3" t="n">
        <v>36</v>
      </c>
      <c r="E216" s="3" t="s">
        <v>100</v>
      </c>
      <c r="F216" s="3" t="s">
        <v>188</v>
      </c>
      <c r="G216" s="3" t="s">
        <v>95</v>
      </c>
      <c r="H216" s="3" t="s">
        <v>268</v>
      </c>
    </row>
    <row r="217" customFormat="false" ht="15" hidden="false" customHeight="false" outlineLevel="0" collapsed="false">
      <c r="A217" s="3" t="s">
        <v>251</v>
      </c>
      <c r="B217" s="3" t="n">
        <v>48</v>
      </c>
      <c r="C217" s="3" t="s">
        <v>93</v>
      </c>
      <c r="D217" s="3" t="n">
        <v>19</v>
      </c>
      <c r="E217" s="3" t="s">
        <v>94</v>
      </c>
      <c r="F217" s="3" t="s">
        <v>188</v>
      </c>
      <c r="G217" s="3" t="s">
        <v>95</v>
      </c>
      <c r="H217" s="3" t="s">
        <v>269</v>
      </c>
    </row>
    <row r="218" customFormat="false" ht="15" hidden="false" customHeight="false" outlineLevel="0" collapsed="false">
      <c r="A218" s="3" t="s">
        <v>251</v>
      </c>
      <c r="B218" s="3" t="n">
        <v>48</v>
      </c>
      <c r="C218" s="3" t="s">
        <v>93</v>
      </c>
      <c r="D218" s="3" t="n">
        <v>9</v>
      </c>
      <c r="E218" s="3" t="s">
        <v>100</v>
      </c>
      <c r="F218" s="3" t="s">
        <v>188</v>
      </c>
      <c r="G218" s="3" t="s">
        <v>95</v>
      </c>
      <c r="H218" s="3" t="s">
        <v>269</v>
      </c>
    </row>
    <row r="219" customFormat="false" ht="15" hidden="false" customHeight="false" outlineLevel="0" collapsed="false">
      <c r="A219" s="3" t="s">
        <v>251</v>
      </c>
      <c r="B219" s="3" t="n">
        <v>49</v>
      </c>
      <c r="C219" s="3" t="s">
        <v>93</v>
      </c>
      <c r="D219" s="3" t="n">
        <v>15</v>
      </c>
      <c r="E219" s="3" t="s">
        <v>94</v>
      </c>
      <c r="F219" s="3" t="s">
        <v>188</v>
      </c>
      <c r="G219" s="3" t="s">
        <v>95</v>
      </c>
      <c r="H219" s="3" t="s">
        <v>270</v>
      </c>
    </row>
    <row r="220" customFormat="false" ht="15" hidden="false" customHeight="false" outlineLevel="0" collapsed="false">
      <c r="A220" s="3" t="s">
        <v>251</v>
      </c>
      <c r="B220" s="3" t="n">
        <v>49</v>
      </c>
      <c r="C220" s="3" t="s">
        <v>93</v>
      </c>
      <c r="D220" s="3" t="n">
        <v>13</v>
      </c>
      <c r="E220" s="3" t="s">
        <v>100</v>
      </c>
      <c r="F220" s="3" t="s">
        <v>188</v>
      </c>
      <c r="G220" s="3" t="s">
        <v>95</v>
      </c>
      <c r="H220" s="3" t="s">
        <v>270</v>
      </c>
    </row>
    <row r="221" customFormat="false" ht="15" hidden="false" customHeight="false" outlineLevel="0" collapsed="false">
      <c r="A221" s="3" t="s">
        <v>251</v>
      </c>
      <c r="B221" s="3" t="n">
        <v>50</v>
      </c>
      <c r="C221" s="3" t="s">
        <v>93</v>
      </c>
      <c r="D221" s="3" t="n">
        <v>13</v>
      </c>
      <c r="E221" s="3" t="s">
        <v>94</v>
      </c>
      <c r="F221" s="3" t="s">
        <v>188</v>
      </c>
      <c r="G221" s="3" t="s">
        <v>95</v>
      </c>
      <c r="H221" s="3" t="s">
        <v>271</v>
      </c>
    </row>
    <row r="222" customFormat="false" ht="15" hidden="false" customHeight="false" outlineLevel="0" collapsed="false">
      <c r="A222" s="3" t="s">
        <v>251</v>
      </c>
      <c r="B222" s="3" t="n">
        <v>51</v>
      </c>
      <c r="C222" s="3" t="s">
        <v>93</v>
      </c>
      <c r="D222" s="3" t="n">
        <v>54</v>
      </c>
      <c r="E222" s="3" t="s">
        <v>94</v>
      </c>
      <c r="F222" s="3" t="s">
        <v>188</v>
      </c>
      <c r="G222" s="3" t="s">
        <v>95</v>
      </c>
      <c r="H222" s="3" t="s">
        <v>272</v>
      </c>
    </row>
    <row r="223" customFormat="false" ht="15" hidden="false" customHeight="false" outlineLevel="0" collapsed="false">
      <c r="A223" s="3" t="s">
        <v>251</v>
      </c>
      <c r="B223" s="3" t="n">
        <v>52</v>
      </c>
      <c r="C223" s="3" t="s">
        <v>93</v>
      </c>
      <c r="D223" s="3" t="n">
        <v>13</v>
      </c>
      <c r="E223" s="3" t="s">
        <v>94</v>
      </c>
      <c r="F223" s="3" t="s">
        <v>188</v>
      </c>
      <c r="G223" s="3" t="s">
        <v>95</v>
      </c>
      <c r="H223" s="3" t="s">
        <v>273</v>
      </c>
    </row>
    <row r="224" customFormat="false" ht="15" hidden="false" customHeight="false" outlineLevel="0" collapsed="false">
      <c r="A224" s="3" t="s">
        <v>251</v>
      </c>
      <c r="B224" s="3" t="n">
        <v>53</v>
      </c>
      <c r="C224" s="3" t="s">
        <v>93</v>
      </c>
      <c r="D224" s="3" t="n">
        <v>37</v>
      </c>
      <c r="E224" s="3" t="s">
        <v>94</v>
      </c>
      <c r="F224" s="3" t="s">
        <v>188</v>
      </c>
      <c r="G224" s="3" t="s">
        <v>95</v>
      </c>
      <c r="H224" s="3" t="s">
        <v>274</v>
      </c>
    </row>
    <row r="225" customFormat="false" ht="15" hidden="false" customHeight="false" outlineLevel="0" collapsed="false">
      <c r="A225" s="3" t="s">
        <v>251</v>
      </c>
      <c r="B225" s="3" t="n">
        <v>53</v>
      </c>
      <c r="C225" s="3" t="s">
        <v>93</v>
      </c>
      <c r="D225" s="3" t="n">
        <v>33</v>
      </c>
      <c r="E225" s="3" t="s">
        <v>100</v>
      </c>
      <c r="F225" s="3" t="s">
        <v>188</v>
      </c>
      <c r="G225" s="3" t="s">
        <v>95</v>
      </c>
      <c r="H225" s="3" t="s">
        <v>274</v>
      </c>
    </row>
    <row r="226" customFormat="false" ht="15" hidden="false" customHeight="false" outlineLevel="0" collapsed="false">
      <c r="A226" s="3" t="s">
        <v>275</v>
      </c>
      <c r="B226" s="3" t="n">
        <v>4</v>
      </c>
      <c r="C226" s="3" t="s">
        <v>93</v>
      </c>
      <c r="D226" s="3" t="n">
        <v>13</v>
      </c>
      <c r="E226" s="3" t="s">
        <v>94</v>
      </c>
      <c r="F226" s="3" t="s">
        <v>95</v>
      </c>
      <c r="G226" s="3" t="s">
        <v>188</v>
      </c>
      <c r="H226" s="3" t="s">
        <v>276</v>
      </c>
    </row>
    <row r="227" customFormat="false" ht="15" hidden="false" customHeight="false" outlineLevel="0" collapsed="false">
      <c r="A227" s="3" t="s">
        <v>275</v>
      </c>
      <c r="B227" s="3" t="n">
        <v>5</v>
      </c>
      <c r="C227" s="3" t="s">
        <v>93</v>
      </c>
      <c r="D227" s="3" t="n">
        <v>13</v>
      </c>
      <c r="E227" s="3" t="s">
        <v>94</v>
      </c>
      <c r="F227" s="3" t="s">
        <v>95</v>
      </c>
      <c r="G227" s="3" t="s">
        <v>188</v>
      </c>
      <c r="H227" s="3" t="s">
        <v>277</v>
      </c>
    </row>
    <row r="228" customFormat="false" ht="15" hidden="false" customHeight="false" outlineLevel="0" collapsed="false">
      <c r="A228" s="3" t="s">
        <v>275</v>
      </c>
      <c r="B228" s="3" t="n">
        <v>5</v>
      </c>
      <c r="C228" s="3" t="s">
        <v>93</v>
      </c>
      <c r="D228" s="3" t="n">
        <v>47</v>
      </c>
      <c r="E228" s="3" t="s">
        <v>100</v>
      </c>
      <c r="F228" s="3" t="s">
        <v>95</v>
      </c>
      <c r="G228" s="3" t="s">
        <v>188</v>
      </c>
      <c r="H228" s="3" t="s">
        <v>277</v>
      </c>
    </row>
    <row r="229" customFormat="false" ht="15" hidden="false" customHeight="false" outlineLevel="0" collapsed="false">
      <c r="A229" s="3" t="s">
        <v>275</v>
      </c>
      <c r="B229" s="3" t="n">
        <v>6</v>
      </c>
      <c r="C229" s="3" t="s">
        <v>93</v>
      </c>
      <c r="D229" s="3" t="n">
        <v>13</v>
      </c>
      <c r="E229" s="3" t="s">
        <v>94</v>
      </c>
      <c r="F229" s="3" t="s">
        <v>95</v>
      </c>
      <c r="G229" s="3" t="s">
        <v>188</v>
      </c>
      <c r="H229" s="3" t="s">
        <v>278</v>
      </c>
    </row>
    <row r="230" customFormat="false" ht="15" hidden="false" customHeight="false" outlineLevel="0" collapsed="false">
      <c r="A230" s="3" t="s">
        <v>275</v>
      </c>
      <c r="B230" s="3" t="n">
        <v>15</v>
      </c>
      <c r="C230" s="3" t="s">
        <v>93</v>
      </c>
      <c r="D230" s="3" t="n">
        <v>13</v>
      </c>
      <c r="E230" s="3" t="s">
        <v>94</v>
      </c>
      <c r="F230" s="3" t="s">
        <v>95</v>
      </c>
      <c r="G230" s="3" t="s">
        <v>188</v>
      </c>
      <c r="H230" s="3" t="s">
        <v>279</v>
      </c>
    </row>
    <row r="231" customFormat="false" ht="15" hidden="false" customHeight="false" outlineLevel="0" collapsed="false">
      <c r="A231" s="3" t="s">
        <v>275</v>
      </c>
      <c r="B231" s="3" t="n">
        <v>15</v>
      </c>
      <c r="C231" s="3" t="s">
        <v>93</v>
      </c>
      <c r="D231" s="3" t="n">
        <v>11</v>
      </c>
      <c r="E231" s="3" t="s">
        <v>100</v>
      </c>
      <c r="F231" s="3" t="s">
        <v>95</v>
      </c>
      <c r="G231" s="3" t="s">
        <v>188</v>
      </c>
      <c r="H231" s="3" t="s">
        <v>279</v>
      </c>
    </row>
    <row r="232" customFormat="false" ht="15" hidden="false" customHeight="false" outlineLevel="0" collapsed="false">
      <c r="A232" s="3" t="s">
        <v>275</v>
      </c>
      <c r="B232" s="3" t="n">
        <v>16</v>
      </c>
      <c r="C232" s="3" t="s">
        <v>93</v>
      </c>
      <c r="D232" s="3" t="n">
        <v>25</v>
      </c>
      <c r="E232" s="3" t="s">
        <v>94</v>
      </c>
      <c r="F232" s="3" t="s">
        <v>95</v>
      </c>
      <c r="G232" s="3" t="s">
        <v>188</v>
      </c>
      <c r="H232" s="3" t="s">
        <v>280</v>
      </c>
    </row>
    <row r="233" customFormat="false" ht="15" hidden="false" customHeight="false" outlineLevel="0" collapsed="false">
      <c r="A233" s="3" t="s">
        <v>275</v>
      </c>
      <c r="B233" s="3" t="n">
        <v>16</v>
      </c>
      <c r="C233" s="3" t="s">
        <v>93</v>
      </c>
      <c r="D233" s="3" t="n">
        <v>13</v>
      </c>
      <c r="E233" s="3" t="s">
        <v>100</v>
      </c>
      <c r="F233" s="3" t="s">
        <v>95</v>
      </c>
      <c r="G233" s="3" t="s">
        <v>188</v>
      </c>
      <c r="H233" s="3" t="s">
        <v>280</v>
      </c>
    </row>
    <row r="234" customFormat="false" ht="15" hidden="false" customHeight="false" outlineLevel="0" collapsed="false">
      <c r="A234" s="3" t="s">
        <v>275</v>
      </c>
      <c r="B234" s="3" t="n">
        <v>17</v>
      </c>
      <c r="C234" s="3" t="s">
        <v>93</v>
      </c>
      <c r="D234" s="3" t="n">
        <v>54</v>
      </c>
      <c r="E234" s="3" t="s">
        <v>94</v>
      </c>
      <c r="F234" s="3" t="s">
        <v>95</v>
      </c>
      <c r="G234" s="3" t="s">
        <v>188</v>
      </c>
      <c r="H234" s="3" t="s">
        <v>281</v>
      </c>
    </row>
    <row r="235" customFormat="false" ht="15" hidden="false" customHeight="false" outlineLevel="0" collapsed="false">
      <c r="A235" s="3" t="s">
        <v>275</v>
      </c>
      <c r="B235" s="3" t="n">
        <v>18</v>
      </c>
      <c r="C235" s="3" t="s">
        <v>93</v>
      </c>
      <c r="D235" s="3" t="n">
        <v>21</v>
      </c>
      <c r="E235" s="3" t="s">
        <v>94</v>
      </c>
      <c r="F235" s="3" t="s">
        <v>95</v>
      </c>
      <c r="G235" s="3" t="s">
        <v>188</v>
      </c>
      <c r="H235" s="3" t="s">
        <v>282</v>
      </c>
    </row>
    <row r="236" customFormat="false" ht="15" hidden="false" customHeight="false" outlineLevel="0" collapsed="false">
      <c r="A236" s="3" t="s">
        <v>275</v>
      </c>
      <c r="B236" s="3" t="n">
        <v>19</v>
      </c>
      <c r="C236" s="3" t="s">
        <v>93</v>
      </c>
      <c r="D236" s="3" t="n">
        <v>54</v>
      </c>
      <c r="E236" s="3" t="s">
        <v>94</v>
      </c>
      <c r="F236" s="3" t="s">
        <v>95</v>
      </c>
      <c r="G236" s="3" t="s">
        <v>188</v>
      </c>
      <c r="H236" s="3" t="s">
        <v>283</v>
      </c>
    </row>
    <row r="237" customFormat="false" ht="15" hidden="false" customHeight="false" outlineLevel="0" collapsed="false">
      <c r="A237" s="3" t="s">
        <v>275</v>
      </c>
      <c r="B237" s="3" t="n">
        <v>23</v>
      </c>
      <c r="C237" s="3" t="s">
        <v>93</v>
      </c>
      <c r="D237" s="3" t="n">
        <v>13</v>
      </c>
      <c r="E237" s="3" t="s">
        <v>94</v>
      </c>
      <c r="F237" s="3" t="s">
        <v>95</v>
      </c>
      <c r="G237" s="3" t="s">
        <v>188</v>
      </c>
      <c r="H237" s="3" t="s">
        <v>284</v>
      </c>
    </row>
    <row r="238" customFormat="false" ht="15" hidden="false" customHeight="false" outlineLevel="0" collapsed="false">
      <c r="A238" s="3" t="s">
        <v>275</v>
      </c>
      <c r="B238" s="3" t="n">
        <v>23</v>
      </c>
      <c r="C238" s="3" t="s">
        <v>93</v>
      </c>
      <c r="D238" s="3" t="n">
        <v>11</v>
      </c>
      <c r="E238" s="3" t="s">
        <v>100</v>
      </c>
      <c r="F238" s="3" t="s">
        <v>95</v>
      </c>
      <c r="G238" s="3" t="s">
        <v>188</v>
      </c>
      <c r="H238" s="3" t="s">
        <v>284</v>
      </c>
    </row>
    <row r="239" customFormat="false" ht="15" hidden="false" customHeight="false" outlineLevel="0" collapsed="false">
      <c r="A239" s="3" t="s">
        <v>275</v>
      </c>
      <c r="B239" s="3" t="n">
        <v>24</v>
      </c>
      <c r="C239" s="3" t="s">
        <v>93</v>
      </c>
      <c r="D239" s="3" t="n">
        <v>54</v>
      </c>
      <c r="E239" s="3" t="s">
        <v>94</v>
      </c>
      <c r="F239" s="3" t="s">
        <v>95</v>
      </c>
      <c r="G239" s="3" t="s">
        <v>188</v>
      </c>
      <c r="H239" s="3" t="s">
        <v>285</v>
      </c>
    </row>
    <row r="240" customFormat="false" ht="15" hidden="false" customHeight="false" outlineLevel="0" collapsed="false">
      <c r="A240" s="3" t="s">
        <v>275</v>
      </c>
      <c r="B240" s="3" t="n">
        <v>24</v>
      </c>
      <c r="C240" s="3" t="s">
        <v>93</v>
      </c>
      <c r="D240" s="3" t="n">
        <v>20</v>
      </c>
      <c r="E240" s="3" t="s">
        <v>100</v>
      </c>
      <c r="F240" s="3" t="s">
        <v>95</v>
      </c>
      <c r="G240" s="3" t="s">
        <v>188</v>
      </c>
      <c r="H240" s="3" t="s">
        <v>285</v>
      </c>
    </row>
    <row r="241" customFormat="false" ht="15" hidden="false" customHeight="false" outlineLevel="0" collapsed="false">
      <c r="A241" s="3" t="s">
        <v>275</v>
      </c>
      <c r="B241" s="3" t="n">
        <v>25</v>
      </c>
      <c r="C241" s="3" t="s">
        <v>93</v>
      </c>
      <c r="D241" s="3" t="n">
        <v>13</v>
      </c>
      <c r="E241" s="3" t="s">
        <v>94</v>
      </c>
      <c r="F241" s="3" t="s">
        <v>95</v>
      </c>
      <c r="G241" s="3" t="s">
        <v>188</v>
      </c>
      <c r="H241" s="3" t="s">
        <v>286</v>
      </c>
    </row>
    <row r="242" customFormat="false" ht="15" hidden="false" customHeight="false" outlineLevel="0" collapsed="false">
      <c r="A242" s="3" t="s">
        <v>275</v>
      </c>
      <c r="B242" s="3" t="n">
        <v>26</v>
      </c>
      <c r="C242" s="3" t="s">
        <v>93</v>
      </c>
      <c r="D242" s="3" t="n">
        <v>33</v>
      </c>
      <c r="E242" s="3" t="s">
        <v>94</v>
      </c>
      <c r="F242" s="3" t="s">
        <v>95</v>
      </c>
      <c r="G242" s="3" t="s">
        <v>188</v>
      </c>
      <c r="H242" s="3" t="s">
        <v>287</v>
      </c>
    </row>
    <row r="243" customFormat="false" ht="15" hidden="false" customHeight="false" outlineLevel="0" collapsed="false">
      <c r="A243" s="3" t="s">
        <v>275</v>
      </c>
      <c r="B243" s="3" t="n">
        <v>26</v>
      </c>
      <c r="C243" s="3" t="s">
        <v>93</v>
      </c>
      <c r="D243" s="3" t="n">
        <v>36</v>
      </c>
      <c r="E243" s="3" t="s">
        <v>100</v>
      </c>
      <c r="F243" s="3" t="s">
        <v>95</v>
      </c>
      <c r="G243" s="3" t="s">
        <v>188</v>
      </c>
      <c r="H243" s="3" t="s">
        <v>287</v>
      </c>
    </row>
    <row r="244" customFormat="false" ht="15" hidden="false" customHeight="false" outlineLevel="0" collapsed="false">
      <c r="A244" s="3" t="s">
        <v>275</v>
      </c>
      <c r="B244" s="3" t="n">
        <v>27</v>
      </c>
      <c r="C244" s="3" t="s">
        <v>93</v>
      </c>
      <c r="D244" s="3" t="n">
        <v>13</v>
      </c>
      <c r="E244" s="3" t="s">
        <v>94</v>
      </c>
      <c r="F244" s="3" t="s">
        <v>95</v>
      </c>
      <c r="G244" s="3" t="s">
        <v>188</v>
      </c>
      <c r="H244" s="3" t="s">
        <v>288</v>
      </c>
    </row>
    <row r="245" customFormat="false" ht="15" hidden="false" customHeight="false" outlineLevel="0" collapsed="false">
      <c r="A245" s="3" t="s">
        <v>275</v>
      </c>
      <c r="B245" s="3" t="n">
        <v>27</v>
      </c>
      <c r="C245" s="3" t="s">
        <v>93</v>
      </c>
      <c r="D245" s="3" t="n">
        <v>21</v>
      </c>
      <c r="E245" s="3" t="s">
        <v>100</v>
      </c>
      <c r="F245" s="3" t="s">
        <v>95</v>
      </c>
      <c r="G245" s="3" t="s">
        <v>188</v>
      </c>
      <c r="H245" s="3" t="s">
        <v>288</v>
      </c>
    </row>
    <row r="246" customFormat="false" ht="15" hidden="false" customHeight="false" outlineLevel="0" collapsed="false">
      <c r="A246" s="3" t="s">
        <v>275</v>
      </c>
      <c r="B246" s="3" t="n">
        <v>28</v>
      </c>
      <c r="C246" s="3" t="s">
        <v>93</v>
      </c>
      <c r="D246" s="3" t="n">
        <v>13</v>
      </c>
      <c r="E246" s="3" t="s">
        <v>94</v>
      </c>
      <c r="F246" s="3" t="s">
        <v>95</v>
      </c>
      <c r="G246" s="3" t="s">
        <v>188</v>
      </c>
      <c r="H246" s="3" t="s">
        <v>289</v>
      </c>
    </row>
    <row r="247" customFormat="false" ht="15" hidden="false" customHeight="false" outlineLevel="0" collapsed="false">
      <c r="A247" s="3" t="s">
        <v>275</v>
      </c>
      <c r="B247" s="3" t="n">
        <v>29</v>
      </c>
      <c r="C247" s="3" t="s">
        <v>93</v>
      </c>
      <c r="D247" s="3" t="n">
        <v>54</v>
      </c>
      <c r="E247" s="3" t="s">
        <v>94</v>
      </c>
      <c r="F247" s="3" t="s">
        <v>95</v>
      </c>
      <c r="G247" s="3" t="s">
        <v>188</v>
      </c>
      <c r="H247" s="3" t="s">
        <v>290</v>
      </c>
    </row>
    <row r="248" customFormat="false" ht="15" hidden="false" customHeight="false" outlineLevel="0" collapsed="false">
      <c r="A248" s="3" t="s">
        <v>275</v>
      </c>
      <c r="B248" s="3" t="n">
        <v>37</v>
      </c>
      <c r="C248" s="3" t="s">
        <v>93</v>
      </c>
      <c r="D248" s="3" t="n">
        <v>13</v>
      </c>
      <c r="E248" s="3" t="s">
        <v>94</v>
      </c>
      <c r="F248" s="3" t="s">
        <v>95</v>
      </c>
      <c r="G248" s="3" t="s">
        <v>188</v>
      </c>
      <c r="H248" s="3" t="s">
        <v>291</v>
      </c>
    </row>
    <row r="249" customFormat="false" ht="15" hidden="false" customHeight="false" outlineLevel="0" collapsed="false">
      <c r="A249" s="3" t="s">
        <v>275</v>
      </c>
      <c r="B249" s="3" t="n">
        <v>37</v>
      </c>
      <c r="C249" s="3" t="s">
        <v>93</v>
      </c>
      <c r="D249" s="3" t="n">
        <v>25</v>
      </c>
      <c r="E249" s="3" t="s">
        <v>100</v>
      </c>
      <c r="F249" s="3" t="s">
        <v>95</v>
      </c>
      <c r="G249" s="3" t="s">
        <v>188</v>
      </c>
      <c r="H249" s="3" t="s">
        <v>291</v>
      </c>
    </row>
    <row r="250" customFormat="false" ht="15" hidden="false" customHeight="false" outlineLevel="0" collapsed="false">
      <c r="A250" s="3" t="s">
        <v>275</v>
      </c>
      <c r="B250" s="3" t="n">
        <v>38</v>
      </c>
      <c r="C250" s="3" t="s">
        <v>93</v>
      </c>
      <c r="D250" s="3" t="n">
        <v>13</v>
      </c>
      <c r="E250" s="3" t="s">
        <v>94</v>
      </c>
      <c r="F250" s="3" t="s">
        <v>95</v>
      </c>
      <c r="G250" s="3" t="s">
        <v>188</v>
      </c>
      <c r="H250" s="3" t="s">
        <v>292</v>
      </c>
    </row>
    <row r="251" customFormat="false" ht="15" hidden="false" customHeight="false" outlineLevel="0" collapsed="false">
      <c r="A251" s="3" t="s">
        <v>275</v>
      </c>
      <c r="B251" s="3" t="n">
        <v>39</v>
      </c>
      <c r="C251" s="3" t="s">
        <v>93</v>
      </c>
      <c r="D251" s="3" t="n">
        <v>17</v>
      </c>
      <c r="E251" s="3" t="s">
        <v>94</v>
      </c>
      <c r="F251" s="3" t="s">
        <v>95</v>
      </c>
      <c r="G251" s="3" t="s">
        <v>188</v>
      </c>
      <c r="H251" s="3" t="s">
        <v>293</v>
      </c>
    </row>
    <row r="252" customFormat="false" ht="15" hidden="false" customHeight="false" outlineLevel="0" collapsed="false">
      <c r="A252" s="3" t="s">
        <v>275</v>
      </c>
      <c r="B252" s="3" t="n">
        <v>40</v>
      </c>
      <c r="C252" s="3" t="s">
        <v>93</v>
      </c>
      <c r="D252" s="3" t="n">
        <v>54</v>
      </c>
      <c r="E252" s="3" t="s">
        <v>94</v>
      </c>
      <c r="F252" s="3" t="s">
        <v>95</v>
      </c>
      <c r="G252" s="3" t="s">
        <v>188</v>
      </c>
      <c r="H252" s="3" t="s">
        <v>294</v>
      </c>
    </row>
    <row r="253" customFormat="false" ht="15" hidden="false" customHeight="false" outlineLevel="0" collapsed="false">
      <c r="A253" s="3" t="s">
        <v>275</v>
      </c>
      <c r="B253" s="3" t="n">
        <v>40</v>
      </c>
      <c r="C253" s="3" t="s">
        <v>93</v>
      </c>
      <c r="D253" s="3" t="n">
        <v>13</v>
      </c>
      <c r="E253" s="3" t="s">
        <v>100</v>
      </c>
      <c r="F253" s="3" t="s">
        <v>95</v>
      </c>
      <c r="G253" s="3" t="s">
        <v>188</v>
      </c>
      <c r="H253" s="3" t="s">
        <v>294</v>
      </c>
    </row>
    <row r="254" customFormat="false" ht="15" hidden="false" customHeight="false" outlineLevel="0" collapsed="false">
      <c r="A254" s="3" t="s">
        <v>275</v>
      </c>
      <c r="B254" s="3" t="n">
        <v>41</v>
      </c>
      <c r="C254" s="3" t="s">
        <v>93</v>
      </c>
      <c r="D254" s="3" t="n">
        <v>33</v>
      </c>
      <c r="E254" s="3" t="s">
        <v>94</v>
      </c>
      <c r="F254" s="3" t="s">
        <v>95</v>
      </c>
      <c r="G254" s="3" t="s">
        <v>188</v>
      </c>
      <c r="H254" s="3" t="s">
        <v>295</v>
      </c>
    </row>
    <row r="255" customFormat="false" ht="15" hidden="false" customHeight="false" outlineLevel="0" collapsed="false">
      <c r="A255" s="3" t="s">
        <v>275</v>
      </c>
      <c r="B255" s="3" t="n">
        <v>41</v>
      </c>
      <c r="C255" s="3" t="s">
        <v>93</v>
      </c>
      <c r="D255" s="3" t="n">
        <v>36</v>
      </c>
      <c r="E255" s="3" t="s">
        <v>100</v>
      </c>
      <c r="F255" s="3" t="s">
        <v>95</v>
      </c>
      <c r="G255" s="3" t="s">
        <v>188</v>
      </c>
      <c r="H255" s="3" t="s">
        <v>295</v>
      </c>
    </row>
    <row r="256" customFormat="false" ht="15" hidden="false" customHeight="false" outlineLevel="0" collapsed="false">
      <c r="A256" s="3" t="s">
        <v>275</v>
      </c>
      <c r="B256" s="3" t="n">
        <v>42</v>
      </c>
      <c r="C256" s="3" t="s">
        <v>93</v>
      </c>
      <c r="D256" s="3" t="n">
        <v>17</v>
      </c>
      <c r="E256" s="3" t="s">
        <v>94</v>
      </c>
      <c r="F256" s="3" t="s">
        <v>95</v>
      </c>
      <c r="G256" s="3" t="s">
        <v>188</v>
      </c>
      <c r="H256" s="3" t="s">
        <v>296</v>
      </c>
    </row>
    <row r="257" customFormat="false" ht="15" hidden="false" customHeight="false" outlineLevel="0" collapsed="false">
      <c r="A257" s="3" t="s">
        <v>275</v>
      </c>
      <c r="B257" s="3" t="n">
        <v>42</v>
      </c>
      <c r="C257" s="3" t="s">
        <v>93</v>
      </c>
      <c r="D257" s="3" t="n">
        <v>19</v>
      </c>
      <c r="E257" s="3" t="s">
        <v>100</v>
      </c>
      <c r="F257" s="3" t="s">
        <v>95</v>
      </c>
      <c r="G257" s="3" t="s">
        <v>188</v>
      </c>
      <c r="H257" s="3" t="s">
        <v>296</v>
      </c>
    </row>
    <row r="258" customFormat="false" ht="15" hidden="false" customHeight="false" outlineLevel="0" collapsed="false">
      <c r="A258" s="3" t="s">
        <v>297</v>
      </c>
      <c r="B258" s="3" t="n">
        <v>1</v>
      </c>
      <c r="C258" s="3" t="s">
        <v>298</v>
      </c>
      <c r="D258" s="3" t="n">
        <v>13</v>
      </c>
      <c r="E258" s="3" t="s">
        <v>94</v>
      </c>
      <c r="F258" s="3" t="s">
        <v>95</v>
      </c>
      <c r="G258" s="3" t="s">
        <v>95</v>
      </c>
      <c r="H258" s="3" t="s">
        <v>299</v>
      </c>
    </row>
    <row r="259" customFormat="false" ht="15" hidden="false" customHeight="false" outlineLevel="0" collapsed="false">
      <c r="A259" s="3" t="s">
        <v>297</v>
      </c>
      <c r="B259" s="3" t="n">
        <v>2</v>
      </c>
      <c r="C259" s="3" t="s">
        <v>298</v>
      </c>
      <c r="D259" s="3" t="n">
        <v>13</v>
      </c>
      <c r="E259" s="3" t="s">
        <v>94</v>
      </c>
      <c r="F259" s="3" t="s">
        <v>95</v>
      </c>
      <c r="G259" s="3" t="s">
        <v>95</v>
      </c>
      <c r="H259" s="3" t="s">
        <v>300</v>
      </c>
    </row>
    <row r="260" customFormat="false" ht="15" hidden="false" customHeight="false" outlineLevel="0" collapsed="false">
      <c r="A260" s="3" t="s">
        <v>297</v>
      </c>
      <c r="B260" s="3" t="n">
        <v>3</v>
      </c>
      <c r="C260" s="3" t="s">
        <v>298</v>
      </c>
      <c r="D260" s="3" t="n">
        <v>13</v>
      </c>
      <c r="E260" s="3" t="s">
        <v>94</v>
      </c>
      <c r="F260" s="3" t="s">
        <v>95</v>
      </c>
      <c r="G260" s="3" t="s">
        <v>95</v>
      </c>
      <c r="H260" s="3" t="s">
        <v>301</v>
      </c>
    </row>
    <row r="261" customFormat="false" ht="15" hidden="false" customHeight="false" outlineLevel="0" collapsed="false">
      <c r="A261" s="3" t="s">
        <v>297</v>
      </c>
      <c r="B261" s="3" t="n">
        <v>4</v>
      </c>
      <c r="C261" s="3" t="s">
        <v>298</v>
      </c>
      <c r="D261" s="3" t="n">
        <v>19</v>
      </c>
      <c r="E261" s="3" t="s">
        <v>94</v>
      </c>
      <c r="F261" s="3" t="s">
        <v>95</v>
      </c>
      <c r="G261" s="3" t="s">
        <v>95</v>
      </c>
      <c r="H261" s="3" t="s">
        <v>302</v>
      </c>
    </row>
    <row r="262" customFormat="false" ht="15" hidden="false" customHeight="false" outlineLevel="0" collapsed="false">
      <c r="A262" s="3" t="s">
        <v>297</v>
      </c>
      <c r="B262" s="3" t="n">
        <v>5</v>
      </c>
      <c r="C262" s="3" t="s">
        <v>298</v>
      </c>
      <c r="D262" s="3" t="n">
        <v>13</v>
      </c>
      <c r="E262" s="3" t="s">
        <v>94</v>
      </c>
      <c r="F262" s="3" t="s">
        <v>95</v>
      </c>
      <c r="G262" s="3" t="s">
        <v>95</v>
      </c>
      <c r="H262" s="3" t="s">
        <v>303</v>
      </c>
    </row>
    <row r="263" customFormat="false" ht="15" hidden="false" customHeight="false" outlineLevel="0" collapsed="false">
      <c r="A263" s="3" t="s">
        <v>297</v>
      </c>
      <c r="B263" s="3" t="n">
        <v>6</v>
      </c>
      <c r="C263" s="3" t="s">
        <v>298</v>
      </c>
      <c r="D263" s="3" t="n">
        <v>1</v>
      </c>
      <c r="E263" s="3" t="s">
        <v>94</v>
      </c>
      <c r="F263" s="3" t="s">
        <v>95</v>
      </c>
      <c r="G263" s="3" t="s">
        <v>95</v>
      </c>
      <c r="H263" s="3" t="s">
        <v>304</v>
      </c>
    </row>
    <row r="264" customFormat="false" ht="15" hidden="false" customHeight="false" outlineLevel="0" collapsed="false">
      <c r="A264" s="3" t="s">
        <v>297</v>
      </c>
      <c r="B264" s="3" t="n">
        <v>7</v>
      </c>
      <c r="C264" s="3" t="s">
        <v>298</v>
      </c>
      <c r="D264" s="3" t="n">
        <v>13</v>
      </c>
      <c r="E264" s="3" t="s">
        <v>94</v>
      </c>
      <c r="F264" s="3" t="s">
        <v>95</v>
      </c>
      <c r="G264" s="3" t="s">
        <v>95</v>
      </c>
      <c r="H264" s="3" t="s">
        <v>305</v>
      </c>
    </row>
    <row r="265" customFormat="false" ht="15" hidden="false" customHeight="false" outlineLevel="0" collapsed="false">
      <c r="A265" s="3" t="s">
        <v>297</v>
      </c>
      <c r="B265" s="3" t="n">
        <v>8</v>
      </c>
      <c r="C265" s="3" t="s">
        <v>298</v>
      </c>
      <c r="D265" s="3" t="n">
        <v>13</v>
      </c>
      <c r="E265" s="3" t="s">
        <v>94</v>
      </c>
      <c r="F265" s="3" t="s">
        <v>95</v>
      </c>
      <c r="G265" s="3" t="s">
        <v>95</v>
      </c>
      <c r="H265" s="3" t="s">
        <v>306</v>
      </c>
    </row>
    <row r="266" customFormat="false" ht="15" hidden="false" customHeight="false" outlineLevel="0" collapsed="false">
      <c r="A266" s="3" t="s">
        <v>297</v>
      </c>
      <c r="B266" s="3" t="n">
        <v>9</v>
      </c>
      <c r="C266" s="3" t="s">
        <v>298</v>
      </c>
      <c r="D266" s="3" t="n">
        <v>3</v>
      </c>
      <c r="E266" s="3" t="s">
        <v>94</v>
      </c>
      <c r="F266" s="3" t="s">
        <v>95</v>
      </c>
      <c r="G266" s="3" t="s">
        <v>95</v>
      </c>
      <c r="H266" s="3" t="s">
        <v>307</v>
      </c>
    </row>
    <row r="267" customFormat="false" ht="15" hidden="false" customHeight="false" outlineLevel="0" collapsed="false">
      <c r="A267" s="3" t="s">
        <v>297</v>
      </c>
      <c r="B267" s="3" t="n">
        <v>10</v>
      </c>
      <c r="C267" s="3" t="s">
        <v>298</v>
      </c>
      <c r="D267" s="3" t="n">
        <v>11</v>
      </c>
      <c r="E267" s="3" t="s">
        <v>94</v>
      </c>
      <c r="F267" s="3" t="s">
        <v>95</v>
      </c>
      <c r="G267" s="3" t="s">
        <v>95</v>
      </c>
      <c r="H267" s="3" t="s">
        <v>308</v>
      </c>
    </row>
    <row r="268" customFormat="false" ht="15" hidden="false" customHeight="false" outlineLevel="0" collapsed="false">
      <c r="A268" s="3" t="s">
        <v>297</v>
      </c>
      <c r="B268" s="3" t="n">
        <v>11</v>
      </c>
      <c r="C268" s="3" t="s">
        <v>298</v>
      </c>
      <c r="D268" s="3" t="n">
        <v>13</v>
      </c>
      <c r="E268" s="3" t="s">
        <v>94</v>
      </c>
      <c r="F268" s="3" t="s">
        <v>95</v>
      </c>
      <c r="G268" s="3" t="s">
        <v>95</v>
      </c>
      <c r="H268" s="3" t="s">
        <v>309</v>
      </c>
    </row>
    <row r="269" customFormat="false" ht="15" hidden="false" customHeight="false" outlineLevel="0" collapsed="false">
      <c r="A269" s="3" t="s">
        <v>297</v>
      </c>
      <c r="B269" s="3" t="n">
        <v>12</v>
      </c>
      <c r="C269" s="3" t="s">
        <v>298</v>
      </c>
      <c r="D269" s="3" t="n">
        <v>20</v>
      </c>
      <c r="E269" s="3" t="s">
        <v>94</v>
      </c>
      <c r="F269" s="3" t="s">
        <v>95</v>
      </c>
      <c r="G269" s="3" t="s">
        <v>95</v>
      </c>
      <c r="H269" s="3" t="s">
        <v>310</v>
      </c>
    </row>
    <row r="270" customFormat="false" ht="15" hidden="false" customHeight="false" outlineLevel="0" collapsed="false">
      <c r="A270" s="3" t="s">
        <v>297</v>
      </c>
      <c r="B270" s="3" t="n">
        <v>12</v>
      </c>
      <c r="C270" s="3" t="s">
        <v>298</v>
      </c>
      <c r="D270" s="3" t="n">
        <v>19</v>
      </c>
      <c r="E270" s="3" t="s">
        <v>100</v>
      </c>
      <c r="F270" s="3" t="s">
        <v>95</v>
      </c>
      <c r="G270" s="3" t="s">
        <v>95</v>
      </c>
      <c r="H270" s="3" t="s">
        <v>310</v>
      </c>
    </row>
    <row r="271" customFormat="false" ht="15" hidden="false" customHeight="false" outlineLevel="0" collapsed="false">
      <c r="A271" s="3" t="s">
        <v>297</v>
      </c>
      <c r="B271" s="3" t="n">
        <v>13</v>
      </c>
      <c r="C271" s="3" t="s">
        <v>298</v>
      </c>
      <c r="D271" s="3" t="n">
        <v>19</v>
      </c>
      <c r="E271" s="3" t="s">
        <v>94</v>
      </c>
      <c r="F271" s="3" t="s">
        <v>95</v>
      </c>
      <c r="G271" s="3" t="s">
        <v>95</v>
      </c>
      <c r="H271" s="3" t="s">
        <v>311</v>
      </c>
    </row>
    <row r="272" customFormat="false" ht="15" hidden="false" customHeight="false" outlineLevel="0" collapsed="false">
      <c r="A272" s="3" t="s">
        <v>297</v>
      </c>
      <c r="B272" s="3" t="n">
        <v>14</v>
      </c>
      <c r="C272" s="3" t="s">
        <v>298</v>
      </c>
      <c r="D272" s="3" t="n">
        <v>19</v>
      </c>
      <c r="E272" s="3" t="s">
        <v>94</v>
      </c>
      <c r="F272" s="3" t="s">
        <v>95</v>
      </c>
      <c r="G272" s="3" t="s">
        <v>95</v>
      </c>
      <c r="H272" s="3" t="s">
        <v>312</v>
      </c>
    </row>
    <row r="273" customFormat="false" ht="15" hidden="false" customHeight="false" outlineLevel="0" collapsed="false">
      <c r="A273" s="3" t="s">
        <v>313</v>
      </c>
      <c r="B273" s="3" t="n">
        <v>1</v>
      </c>
      <c r="C273" s="3" t="s">
        <v>298</v>
      </c>
      <c r="D273" s="3" t="n">
        <v>13</v>
      </c>
      <c r="E273" s="3" t="s">
        <v>94</v>
      </c>
      <c r="F273" s="3" t="s">
        <v>95</v>
      </c>
      <c r="G273" s="3" t="s">
        <v>95</v>
      </c>
      <c r="H273" s="3" t="s">
        <v>314</v>
      </c>
    </row>
    <row r="274" customFormat="false" ht="15" hidden="false" customHeight="false" outlineLevel="0" collapsed="false">
      <c r="A274" s="3" t="s">
        <v>313</v>
      </c>
      <c r="B274" s="3" t="n">
        <v>2</v>
      </c>
      <c r="C274" s="3" t="s">
        <v>298</v>
      </c>
      <c r="D274" s="3" t="n">
        <v>13</v>
      </c>
      <c r="E274" s="3" t="s">
        <v>94</v>
      </c>
      <c r="F274" s="3" t="s">
        <v>95</v>
      </c>
      <c r="G274" s="3" t="s">
        <v>95</v>
      </c>
      <c r="H274" s="3" t="s">
        <v>315</v>
      </c>
    </row>
    <row r="275" customFormat="false" ht="15" hidden="false" customHeight="false" outlineLevel="0" collapsed="false">
      <c r="A275" s="3" t="s">
        <v>313</v>
      </c>
      <c r="B275" s="3" t="n">
        <v>3</v>
      </c>
      <c r="C275" s="3" t="s">
        <v>298</v>
      </c>
      <c r="D275" s="3" t="n">
        <v>13</v>
      </c>
      <c r="E275" s="3" t="s">
        <v>94</v>
      </c>
      <c r="F275" s="3" t="s">
        <v>95</v>
      </c>
      <c r="G275" s="3" t="s">
        <v>95</v>
      </c>
      <c r="H275" s="3" t="s">
        <v>316</v>
      </c>
    </row>
    <row r="276" customFormat="false" ht="15" hidden="false" customHeight="false" outlineLevel="0" collapsed="false">
      <c r="A276" s="3" t="s">
        <v>313</v>
      </c>
      <c r="B276" s="3" t="n">
        <v>4</v>
      </c>
      <c r="C276" s="3" t="s">
        <v>298</v>
      </c>
      <c r="D276" s="3" t="n">
        <v>36</v>
      </c>
      <c r="E276" s="3" t="s">
        <v>94</v>
      </c>
      <c r="F276" s="3" t="s">
        <v>95</v>
      </c>
      <c r="G276" s="3" t="s">
        <v>95</v>
      </c>
      <c r="H276" s="3" t="s">
        <v>317</v>
      </c>
    </row>
    <row r="277" customFormat="false" ht="15" hidden="false" customHeight="false" outlineLevel="0" collapsed="false">
      <c r="A277" s="3" t="s">
        <v>313</v>
      </c>
      <c r="B277" s="3" t="n">
        <v>4</v>
      </c>
      <c r="C277" s="3" t="s">
        <v>298</v>
      </c>
      <c r="D277" s="3" t="n">
        <v>32</v>
      </c>
      <c r="E277" s="3" t="s">
        <v>100</v>
      </c>
      <c r="F277" s="3" t="s">
        <v>95</v>
      </c>
      <c r="G277" s="3" t="s">
        <v>95</v>
      </c>
      <c r="H277" s="3" t="s">
        <v>317</v>
      </c>
    </row>
    <row r="278" customFormat="false" ht="15" hidden="false" customHeight="false" outlineLevel="0" collapsed="false">
      <c r="A278" s="3" t="s">
        <v>313</v>
      </c>
      <c r="B278" s="3" t="n">
        <v>5</v>
      </c>
      <c r="C278" s="3" t="s">
        <v>298</v>
      </c>
      <c r="D278" s="3" t="n">
        <v>36</v>
      </c>
      <c r="E278" s="3" t="s">
        <v>94</v>
      </c>
      <c r="F278" s="3" t="s">
        <v>95</v>
      </c>
      <c r="G278" s="3" t="s">
        <v>95</v>
      </c>
      <c r="H278" s="3" t="s">
        <v>318</v>
      </c>
    </row>
    <row r="279" customFormat="false" ht="15" hidden="false" customHeight="false" outlineLevel="0" collapsed="false">
      <c r="A279" s="3" t="s">
        <v>313</v>
      </c>
      <c r="B279" s="3" t="n">
        <v>6</v>
      </c>
      <c r="C279" s="3" t="s">
        <v>298</v>
      </c>
      <c r="D279" s="3" t="n">
        <v>28</v>
      </c>
      <c r="E279" s="3" t="s">
        <v>94</v>
      </c>
      <c r="F279" s="3" t="s">
        <v>95</v>
      </c>
      <c r="G279" s="3" t="s">
        <v>95</v>
      </c>
      <c r="H279" s="3" t="s">
        <v>319</v>
      </c>
    </row>
    <row r="280" customFormat="false" ht="15" hidden="false" customHeight="false" outlineLevel="0" collapsed="false">
      <c r="A280" s="3" t="s">
        <v>313</v>
      </c>
      <c r="B280" s="3" t="n">
        <v>7</v>
      </c>
      <c r="C280" s="3" t="s">
        <v>298</v>
      </c>
      <c r="D280" s="3" t="n">
        <v>40</v>
      </c>
      <c r="E280" s="3" t="s">
        <v>94</v>
      </c>
      <c r="F280" s="3" t="s">
        <v>95</v>
      </c>
      <c r="G280" s="3" t="s">
        <v>95</v>
      </c>
      <c r="H280" s="3" t="s">
        <v>320</v>
      </c>
    </row>
    <row r="281" customFormat="false" ht="15" hidden="false" customHeight="false" outlineLevel="0" collapsed="false">
      <c r="A281" s="3" t="s">
        <v>313</v>
      </c>
      <c r="B281" s="3" t="n">
        <v>8</v>
      </c>
      <c r="C281" s="3" t="s">
        <v>298</v>
      </c>
      <c r="D281" s="3" t="n">
        <v>36</v>
      </c>
      <c r="E281" s="3" t="s">
        <v>94</v>
      </c>
      <c r="F281" s="3" t="s">
        <v>95</v>
      </c>
      <c r="G281" s="3" t="s">
        <v>95</v>
      </c>
      <c r="H281" s="3" t="s">
        <v>321</v>
      </c>
    </row>
    <row r="282" customFormat="false" ht="15" hidden="false" customHeight="false" outlineLevel="0" collapsed="false">
      <c r="A282" s="3" t="s">
        <v>313</v>
      </c>
      <c r="B282" s="3" t="n">
        <v>8</v>
      </c>
      <c r="C282" s="3" t="s">
        <v>298</v>
      </c>
      <c r="D282" s="3" t="n">
        <v>32</v>
      </c>
      <c r="E282" s="3" t="s">
        <v>100</v>
      </c>
      <c r="F282" s="3" t="s">
        <v>95</v>
      </c>
      <c r="G282" s="3" t="s">
        <v>95</v>
      </c>
      <c r="H282" s="3" t="s">
        <v>321</v>
      </c>
    </row>
    <row r="283" customFormat="false" ht="15" hidden="false" customHeight="false" outlineLevel="0" collapsed="false">
      <c r="A283" s="3" t="s">
        <v>313</v>
      </c>
      <c r="B283" s="3" t="n">
        <v>9</v>
      </c>
      <c r="C283" s="3" t="s">
        <v>298</v>
      </c>
      <c r="D283" s="3" t="n">
        <v>42</v>
      </c>
      <c r="E283" s="3" t="s">
        <v>94</v>
      </c>
      <c r="F283" s="3" t="s">
        <v>95</v>
      </c>
      <c r="G283" s="3" t="s">
        <v>95</v>
      </c>
      <c r="H283" s="3" t="s">
        <v>322</v>
      </c>
    </row>
    <row r="284" customFormat="false" ht="15" hidden="false" customHeight="false" outlineLevel="0" collapsed="false">
      <c r="A284" s="3" t="s">
        <v>313</v>
      </c>
      <c r="B284" s="3" t="n">
        <v>10</v>
      </c>
      <c r="C284" s="3" t="s">
        <v>298</v>
      </c>
      <c r="D284" s="3" t="n">
        <v>27</v>
      </c>
      <c r="E284" s="3" t="s">
        <v>94</v>
      </c>
      <c r="F284" s="3" t="s">
        <v>95</v>
      </c>
      <c r="G284" s="3" t="s">
        <v>95</v>
      </c>
      <c r="H284" s="3" t="s">
        <v>323</v>
      </c>
    </row>
    <row r="285" customFormat="false" ht="15" hidden="false" customHeight="false" outlineLevel="0" collapsed="false">
      <c r="A285" s="3" t="s">
        <v>313</v>
      </c>
      <c r="B285" s="3" t="n">
        <v>11</v>
      </c>
      <c r="C285" s="3" t="s">
        <v>298</v>
      </c>
      <c r="D285" s="3" t="n">
        <v>28</v>
      </c>
      <c r="E285" s="3" t="s">
        <v>94</v>
      </c>
      <c r="F285" s="3" t="s">
        <v>95</v>
      </c>
      <c r="G285" s="3" t="s">
        <v>95</v>
      </c>
      <c r="H285" s="3" t="s">
        <v>324</v>
      </c>
    </row>
    <row r="286" customFormat="false" ht="15" hidden="false" customHeight="false" outlineLevel="0" collapsed="false">
      <c r="A286" s="3" t="s">
        <v>313</v>
      </c>
      <c r="B286" s="3" t="n">
        <v>12</v>
      </c>
      <c r="C286" s="3" t="s">
        <v>298</v>
      </c>
      <c r="D286" s="3" t="n">
        <v>40</v>
      </c>
      <c r="E286" s="3" t="s">
        <v>94</v>
      </c>
      <c r="F286" s="3" t="s">
        <v>95</v>
      </c>
      <c r="G286" s="3" t="s">
        <v>95</v>
      </c>
      <c r="H286" s="3" t="s">
        <v>325</v>
      </c>
    </row>
    <row r="287" customFormat="false" ht="15" hidden="false" customHeight="false" outlineLevel="0" collapsed="false">
      <c r="A287" s="3" t="s">
        <v>313</v>
      </c>
      <c r="B287" s="3" t="n">
        <v>12</v>
      </c>
      <c r="C287" s="3" t="s">
        <v>298</v>
      </c>
      <c r="D287" s="3" t="n">
        <v>43</v>
      </c>
      <c r="E287" s="3" t="s">
        <v>100</v>
      </c>
      <c r="F287" s="3" t="s">
        <v>95</v>
      </c>
      <c r="G287" s="3" t="s">
        <v>95</v>
      </c>
      <c r="H287" s="3" t="s">
        <v>325</v>
      </c>
    </row>
    <row r="288" customFormat="false" ht="15" hidden="false" customHeight="false" outlineLevel="0" collapsed="false">
      <c r="A288" s="3" t="s">
        <v>313</v>
      </c>
      <c r="B288" s="3" t="n">
        <v>13</v>
      </c>
      <c r="C288" s="3" t="s">
        <v>298</v>
      </c>
      <c r="D288" s="3" t="n">
        <v>21</v>
      </c>
      <c r="E288" s="3" t="s">
        <v>94</v>
      </c>
      <c r="F288" s="3" t="s">
        <v>95</v>
      </c>
      <c r="G288" s="3" t="s">
        <v>95</v>
      </c>
      <c r="H288" s="3" t="s">
        <v>326</v>
      </c>
    </row>
    <row r="289" customFormat="false" ht="15" hidden="false" customHeight="false" outlineLevel="0" collapsed="false">
      <c r="A289" s="3" t="s">
        <v>313</v>
      </c>
      <c r="B289" s="3" t="n">
        <v>13</v>
      </c>
      <c r="C289" s="3" t="s">
        <v>298</v>
      </c>
      <c r="D289" s="3" t="n">
        <v>45</v>
      </c>
      <c r="E289" s="3" t="s">
        <v>100</v>
      </c>
      <c r="F289" s="3" t="s">
        <v>95</v>
      </c>
      <c r="G289" s="3" t="s">
        <v>95</v>
      </c>
      <c r="H289" s="3" t="s">
        <v>326</v>
      </c>
    </row>
    <row r="290" customFormat="false" ht="15" hidden="false" customHeight="false" outlineLevel="0" collapsed="false">
      <c r="A290" s="3" t="s">
        <v>327</v>
      </c>
      <c r="B290" s="3" t="n">
        <v>12</v>
      </c>
      <c r="C290" s="3" t="s">
        <v>298</v>
      </c>
      <c r="D290" s="3" t="n">
        <v>13</v>
      </c>
      <c r="E290" s="3" t="s">
        <v>94</v>
      </c>
      <c r="F290" s="3" t="s">
        <v>95</v>
      </c>
      <c r="G290" s="3" t="s">
        <v>95</v>
      </c>
      <c r="H290" s="3" t="s">
        <v>328</v>
      </c>
    </row>
    <row r="291" customFormat="false" ht="15" hidden="false" customHeight="false" outlineLevel="0" collapsed="false">
      <c r="A291" s="3" t="s">
        <v>329</v>
      </c>
      <c r="B291" s="3" t="n">
        <v>153</v>
      </c>
      <c r="C291" s="3" t="s">
        <v>330</v>
      </c>
      <c r="D291" s="3" t="n">
        <v>54</v>
      </c>
      <c r="E291" s="3" t="s">
        <v>94</v>
      </c>
      <c r="F291" s="3" t="s">
        <v>188</v>
      </c>
      <c r="G291" s="3" t="s">
        <v>188</v>
      </c>
      <c r="H291" s="3" t="s">
        <v>331</v>
      </c>
    </row>
    <row r="292" customFormat="false" ht="15" hidden="false" customHeight="false" outlineLevel="0" collapsed="false">
      <c r="A292" s="3" t="s">
        <v>329</v>
      </c>
      <c r="B292" s="3" t="n">
        <v>154</v>
      </c>
      <c r="C292" s="3" t="s">
        <v>330</v>
      </c>
      <c r="D292" s="3" t="n">
        <v>15</v>
      </c>
      <c r="E292" s="3" t="s">
        <v>94</v>
      </c>
      <c r="F292" s="3" t="s">
        <v>188</v>
      </c>
      <c r="G292" s="3" t="s">
        <v>188</v>
      </c>
      <c r="H292" s="3" t="s">
        <v>332</v>
      </c>
    </row>
    <row r="293" customFormat="false" ht="15" hidden="false" customHeight="false" outlineLevel="0" collapsed="false">
      <c r="A293" s="3" t="s">
        <v>329</v>
      </c>
      <c r="B293" s="3" t="n">
        <v>154</v>
      </c>
      <c r="C293" s="3" t="s">
        <v>330</v>
      </c>
      <c r="D293" s="3" t="n">
        <v>13</v>
      </c>
      <c r="E293" s="3" t="s">
        <v>100</v>
      </c>
      <c r="F293" s="3" t="s">
        <v>188</v>
      </c>
      <c r="G293" s="3" t="s">
        <v>188</v>
      </c>
      <c r="H293" s="3" t="s">
        <v>332</v>
      </c>
    </row>
    <row r="294" customFormat="false" ht="15" hidden="false" customHeight="false" outlineLevel="0" collapsed="false">
      <c r="A294" s="3" t="s">
        <v>329</v>
      </c>
      <c r="B294" s="3" t="n">
        <v>155</v>
      </c>
      <c r="C294" s="3" t="s">
        <v>330</v>
      </c>
      <c r="D294" s="3" t="n">
        <v>13</v>
      </c>
      <c r="E294" s="3" t="s">
        <v>94</v>
      </c>
      <c r="F294" s="3" t="s">
        <v>188</v>
      </c>
      <c r="G294" s="3" t="s">
        <v>188</v>
      </c>
      <c r="H294" s="3" t="s">
        <v>333</v>
      </c>
    </row>
    <row r="295" customFormat="false" ht="15" hidden="false" customHeight="false" outlineLevel="0" collapsed="false">
      <c r="A295" s="3" t="s">
        <v>329</v>
      </c>
      <c r="B295" s="3" t="n">
        <v>156</v>
      </c>
      <c r="C295" s="3" t="s">
        <v>330</v>
      </c>
      <c r="D295" s="3" t="n">
        <v>13</v>
      </c>
      <c r="E295" s="3" t="s">
        <v>94</v>
      </c>
      <c r="F295" s="3" t="s">
        <v>188</v>
      </c>
      <c r="G295" s="3" t="s">
        <v>95</v>
      </c>
      <c r="H295" s="3" t="s">
        <v>291</v>
      </c>
    </row>
    <row r="296" customFormat="false" ht="15" hidden="false" customHeight="false" outlineLevel="0" collapsed="false">
      <c r="A296" s="3" t="s">
        <v>329</v>
      </c>
      <c r="B296" s="3" t="n">
        <v>156</v>
      </c>
      <c r="C296" s="3" t="s">
        <v>330</v>
      </c>
      <c r="D296" s="3" t="n">
        <v>25</v>
      </c>
      <c r="E296" s="3" t="s">
        <v>100</v>
      </c>
      <c r="F296" s="3" t="s">
        <v>188</v>
      </c>
      <c r="G296" s="3" t="s">
        <v>95</v>
      </c>
      <c r="H296" s="3" t="s">
        <v>291</v>
      </c>
    </row>
    <row r="297" customFormat="false" ht="15" hidden="false" customHeight="false" outlineLevel="0" collapsed="false">
      <c r="A297" s="3" t="s">
        <v>329</v>
      </c>
      <c r="B297" s="3" t="n">
        <v>157</v>
      </c>
      <c r="C297" s="3" t="s">
        <v>330</v>
      </c>
      <c r="D297" s="3" t="n">
        <v>17</v>
      </c>
      <c r="E297" s="3" t="s">
        <v>94</v>
      </c>
      <c r="F297" s="3" t="s">
        <v>188</v>
      </c>
      <c r="G297" s="3" t="s">
        <v>95</v>
      </c>
      <c r="H297" s="3" t="s">
        <v>334</v>
      </c>
    </row>
    <row r="298" customFormat="false" ht="15" hidden="false" customHeight="false" outlineLevel="0" collapsed="false">
      <c r="A298" s="3" t="s">
        <v>329</v>
      </c>
      <c r="B298" s="3" t="n">
        <v>158</v>
      </c>
      <c r="C298" s="3" t="s">
        <v>330</v>
      </c>
      <c r="D298" s="3" t="n">
        <v>54</v>
      </c>
      <c r="E298" s="3" t="s">
        <v>94</v>
      </c>
      <c r="F298" s="3" t="s">
        <v>188</v>
      </c>
      <c r="G298" s="3" t="s">
        <v>95</v>
      </c>
      <c r="H298" s="3" t="s">
        <v>294</v>
      </c>
    </row>
    <row r="299" customFormat="false" ht="15" hidden="false" customHeight="false" outlineLevel="0" collapsed="false">
      <c r="A299" s="3" t="s">
        <v>329</v>
      </c>
      <c r="B299" s="3" t="n">
        <v>158</v>
      </c>
      <c r="C299" s="3" t="s">
        <v>330</v>
      </c>
      <c r="D299" s="3" t="n">
        <v>13</v>
      </c>
      <c r="E299" s="3" t="s">
        <v>100</v>
      </c>
      <c r="F299" s="3" t="s">
        <v>188</v>
      </c>
      <c r="G299" s="3" t="s">
        <v>95</v>
      </c>
      <c r="H299" s="3" t="s">
        <v>294</v>
      </c>
    </row>
    <row r="300" customFormat="false" ht="15" hidden="false" customHeight="false" outlineLevel="0" collapsed="false">
      <c r="A300" s="3" t="s">
        <v>329</v>
      </c>
      <c r="B300" s="3" t="n">
        <v>159</v>
      </c>
      <c r="C300" s="3" t="s">
        <v>330</v>
      </c>
      <c r="D300" s="3" t="n">
        <v>54</v>
      </c>
      <c r="E300" s="3" t="s">
        <v>94</v>
      </c>
      <c r="F300" s="3" t="s">
        <v>188</v>
      </c>
      <c r="G300" s="3" t="s">
        <v>95</v>
      </c>
      <c r="H300" s="3" t="s">
        <v>285</v>
      </c>
    </row>
    <row r="301" customFormat="false" ht="15" hidden="false" customHeight="false" outlineLevel="0" collapsed="false">
      <c r="A301" s="3" t="s">
        <v>329</v>
      </c>
      <c r="B301" s="3" t="n">
        <v>159</v>
      </c>
      <c r="C301" s="3" t="s">
        <v>330</v>
      </c>
      <c r="D301" s="3" t="n">
        <v>20</v>
      </c>
      <c r="E301" s="3" t="s">
        <v>100</v>
      </c>
      <c r="F301" s="3" t="s">
        <v>188</v>
      </c>
      <c r="G301" s="3" t="s">
        <v>95</v>
      </c>
      <c r="H301" s="3" t="s">
        <v>285</v>
      </c>
    </row>
    <row r="302" customFormat="false" ht="15" hidden="false" customHeight="false" outlineLevel="0" collapsed="false">
      <c r="A302" s="3" t="s">
        <v>329</v>
      </c>
      <c r="B302" s="3" t="n">
        <v>160</v>
      </c>
      <c r="C302" s="3" t="s">
        <v>330</v>
      </c>
      <c r="D302" s="3" t="n">
        <v>13</v>
      </c>
      <c r="E302" s="3" t="s">
        <v>94</v>
      </c>
      <c r="F302" s="3" t="s">
        <v>188</v>
      </c>
      <c r="G302" s="3" t="s">
        <v>95</v>
      </c>
      <c r="H302" s="3" t="s">
        <v>335</v>
      </c>
    </row>
    <row r="303" customFormat="false" ht="15" hidden="false" customHeight="false" outlineLevel="0" collapsed="false">
      <c r="A303" s="3" t="s">
        <v>329</v>
      </c>
      <c r="B303" s="3" t="n">
        <v>161</v>
      </c>
      <c r="C303" s="3" t="s">
        <v>330</v>
      </c>
      <c r="D303" s="3" t="n">
        <v>33</v>
      </c>
      <c r="E303" s="3" t="s">
        <v>94</v>
      </c>
      <c r="F303" s="3" t="s">
        <v>188</v>
      </c>
      <c r="G303" s="3" t="s">
        <v>95</v>
      </c>
      <c r="H303" s="3" t="s">
        <v>287</v>
      </c>
    </row>
    <row r="304" customFormat="false" ht="15" hidden="false" customHeight="false" outlineLevel="0" collapsed="false">
      <c r="A304" s="3" t="s">
        <v>329</v>
      </c>
      <c r="B304" s="3" t="n">
        <v>161</v>
      </c>
      <c r="C304" s="3" t="s">
        <v>330</v>
      </c>
      <c r="D304" s="3" t="n">
        <v>36</v>
      </c>
      <c r="E304" s="3" t="s">
        <v>100</v>
      </c>
      <c r="F304" s="3" t="s">
        <v>188</v>
      </c>
      <c r="G304" s="3" t="s">
        <v>95</v>
      </c>
      <c r="H304" s="3" t="s">
        <v>287</v>
      </c>
    </row>
    <row r="305" customFormat="false" ht="15" hidden="false" customHeight="false" outlineLevel="0" collapsed="false">
      <c r="A305" s="3" t="s">
        <v>329</v>
      </c>
      <c r="B305" s="3" t="n">
        <v>162</v>
      </c>
      <c r="C305" s="3" t="s">
        <v>330</v>
      </c>
      <c r="D305" s="3" t="n">
        <v>13</v>
      </c>
      <c r="E305" s="3" t="s">
        <v>94</v>
      </c>
      <c r="F305" s="3" t="s">
        <v>188</v>
      </c>
      <c r="G305" s="3" t="s">
        <v>95</v>
      </c>
      <c r="H305" s="3" t="s">
        <v>288</v>
      </c>
    </row>
    <row r="306" customFormat="false" ht="15" hidden="false" customHeight="false" outlineLevel="0" collapsed="false">
      <c r="A306" s="3" t="s">
        <v>329</v>
      </c>
      <c r="B306" s="3" t="n">
        <v>162</v>
      </c>
      <c r="C306" s="3" t="s">
        <v>330</v>
      </c>
      <c r="D306" s="3" t="n">
        <v>21</v>
      </c>
      <c r="E306" s="3" t="s">
        <v>100</v>
      </c>
      <c r="F306" s="3" t="s">
        <v>188</v>
      </c>
      <c r="G306" s="3" t="s">
        <v>95</v>
      </c>
      <c r="H306" s="3" t="s">
        <v>288</v>
      </c>
    </row>
    <row r="307" customFormat="false" ht="15" hidden="false" customHeight="false" outlineLevel="0" collapsed="false">
      <c r="A307" s="3" t="s">
        <v>329</v>
      </c>
      <c r="B307" s="3" t="n">
        <v>163</v>
      </c>
      <c r="C307" s="3" t="s">
        <v>330</v>
      </c>
      <c r="D307" s="3" t="n">
        <v>13</v>
      </c>
      <c r="E307" s="3" t="s">
        <v>94</v>
      </c>
      <c r="F307" s="3" t="s">
        <v>188</v>
      </c>
      <c r="G307" s="3" t="s">
        <v>95</v>
      </c>
      <c r="H307" s="3" t="s">
        <v>336</v>
      </c>
    </row>
    <row r="308" customFormat="false" ht="15" hidden="false" customHeight="false" outlineLevel="0" collapsed="false">
      <c r="A308" s="3" t="s">
        <v>329</v>
      </c>
      <c r="B308" s="3" t="n">
        <v>164</v>
      </c>
      <c r="C308" s="3" t="s">
        <v>330</v>
      </c>
      <c r="D308" s="3" t="n">
        <v>25</v>
      </c>
      <c r="E308" s="3" t="s">
        <v>94</v>
      </c>
      <c r="F308" s="3" t="s">
        <v>188</v>
      </c>
      <c r="G308" s="3" t="s">
        <v>95</v>
      </c>
      <c r="H308" s="3" t="s">
        <v>337</v>
      </c>
    </row>
    <row r="309" customFormat="false" ht="15" hidden="false" customHeight="false" outlineLevel="0" collapsed="false">
      <c r="A309" s="3" t="s">
        <v>329</v>
      </c>
      <c r="B309" s="3" t="n">
        <v>164</v>
      </c>
      <c r="C309" s="3" t="s">
        <v>330</v>
      </c>
      <c r="D309" s="3" t="n">
        <v>13</v>
      </c>
      <c r="E309" s="3" t="s">
        <v>100</v>
      </c>
      <c r="F309" s="3" t="s">
        <v>188</v>
      </c>
      <c r="G309" s="3" t="s">
        <v>95</v>
      </c>
      <c r="H309" s="3" t="s">
        <v>337</v>
      </c>
    </row>
    <row r="310" customFormat="false" ht="15" hidden="false" customHeight="false" outlineLevel="0" collapsed="false">
      <c r="A310" s="3" t="s">
        <v>329</v>
      </c>
      <c r="B310" s="3" t="n">
        <v>165</v>
      </c>
      <c r="C310" s="3" t="s">
        <v>330</v>
      </c>
      <c r="D310" s="3" t="n">
        <v>13</v>
      </c>
      <c r="E310" s="3" t="s">
        <v>94</v>
      </c>
      <c r="F310" s="3" t="s">
        <v>188</v>
      </c>
      <c r="G310" s="3" t="s">
        <v>95</v>
      </c>
      <c r="H310" s="3" t="s">
        <v>276</v>
      </c>
    </row>
    <row r="311" customFormat="false" ht="15" hidden="false" customHeight="false" outlineLevel="0" collapsed="false">
      <c r="A311" s="3" t="s">
        <v>329</v>
      </c>
      <c r="B311" s="3" t="n">
        <v>166</v>
      </c>
      <c r="C311" s="3" t="s">
        <v>330</v>
      </c>
      <c r="D311" s="3" t="n">
        <v>13</v>
      </c>
      <c r="E311" s="3" t="s">
        <v>94</v>
      </c>
      <c r="F311" s="3" t="s">
        <v>188</v>
      </c>
      <c r="G311" s="3" t="s">
        <v>95</v>
      </c>
      <c r="H311" s="3" t="s">
        <v>338</v>
      </c>
    </row>
    <row r="312" customFormat="false" ht="15" hidden="false" customHeight="false" outlineLevel="0" collapsed="false">
      <c r="A312" s="3" t="s">
        <v>329</v>
      </c>
      <c r="B312" s="3" t="n">
        <v>166</v>
      </c>
      <c r="C312" s="3" t="s">
        <v>330</v>
      </c>
      <c r="D312" s="3" t="n">
        <v>47</v>
      </c>
      <c r="E312" s="3" t="s">
        <v>100</v>
      </c>
      <c r="F312" s="3" t="s">
        <v>188</v>
      </c>
      <c r="G312" s="3" t="s">
        <v>95</v>
      </c>
      <c r="H312" s="3" t="s">
        <v>338</v>
      </c>
    </row>
    <row r="313" customFormat="false" ht="15" hidden="false" customHeight="false" outlineLevel="0" collapsed="false">
      <c r="A313" s="3" t="s">
        <v>329</v>
      </c>
      <c r="B313" s="3" t="n">
        <v>167</v>
      </c>
      <c r="C313" s="3" t="s">
        <v>330</v>
      </c>
      <c r="D313" s="3" t="n">
        <v>13</v>
      </c>
      <c r="E313" s="3" t="s">
        <v>94</v>
      </c>
      <c r="F313" s="3" t="s">
        <v>188</v>
      </c>
      <c r="G313" s="3" t="s">
        <v>95</v>
      </c>
      <c r="H313" s="3" t="s">
        <v>278</v>
      </c>
    </row>
    <row r="314" customFormat="false" ht="15" hidden="false" customHeight="false" outlineLevel="0" collapsed="false">
      <c r="A314" s="3" t="s">
        <v>329</v>
      </c>
      <c r="B314" s="3" t="n">
        <v>168</v>
      </c>
      <c r="C314" s="3" t="s">
        <v>330</v>
      </c>
      <c r="D314" s="3" t="n">
        <v>33</v>
      </c>
      <c r="E314" s="3" t="s">
        <v>94</v>
      </c>
      <c r="F314" s="3" t="s">
        <v>188</v>
      </c>
      <c r="G314" s="3" t="s">
        <v>95</v>
      </c>
      <c r="H314" s="3" t="s">
        <v>295</v>
      </c>
    </row>
    <row r="315" customFormat="false" ht="15" hidden="false" customHeight="false" outlineLevel="0" collapsed="false">
      <c r="A315" s="3" t="s">
        <v>329</v>
      </c>
      <c r="B315" s="3" t="n">
        <v>168</v>
      </c>
      <c r="C315" s="3" t="s">
        <v>330</v>
      </c>
      <c r="D315" s="3" t="n">
        <v>36</v>
      </c>
      <c r="E315" s="3" t="s">
        <v>100</v>
      </c>
      <c r="F315" s="3" t="s">
        <v>188</v>
      </c>
      <c r="G315" s="3" t="s">
        <v>95</v>
      </c>
      <c r="H315" s="3" t="s">
        <v>295</v>
      </c>
    </row>
    <row r="316" customFormat="false" ht="15" hidden="false" customHeight="false" outlineLevel="0" collapsed="false">
      <c r="A316" s="3" t="s">
        <v>329</v>
      </c>
      <c r="B316" s="3" t="n">
        <v>169</v>
      </c>
      <c r="C316" s="3" t="s">
        <v>330</v>
      </c>
      <c r="D316" s="3" t="n">
        <v>17</v>
      </c>
      <c r="E316" s="3" t="s">
        <v>94</v>
      </c>
      <c r="F316" s="3" t="s">
        <v>188</v>
      </c>
      <c r="G316" s="3" t="s">
        <v>95</v>
      </c>
      <c r="H316" s="3" t="s">
        <v>339</v>
      </c>
    </row>
    <row r="317" customFormat="false" ht="15" hidden="false" customHeight="false" outlineLevel="0" collapsed="false">
      <c r="A317" s="3" t="s">
        <v>329</v>
      </c>
      <c r="B317" s="3" t="n">
        <v>169</v>
      </c>
      <c r="C317" s="3" t="s">
        <v>330</v>
      </c>
      <c r="D317" s="3" t="n">
        <v>19</v>
      </c>
      <c r="E317" s="3" t="s">
        <v>100</v>
      </c>
      <c r="F317" s="3" t="s">
        <v>188</v>
      </c>
      <c r="G317" s="3" t="s">
        <v>95</v>
      </c>
      <c r="H317" s="3" t="s">
        <v>339</v>
      </c>
    </row>
    <row r="318" customFormat="false" ht="15" hidden="false" customHeight="false" outlineLevel="0" collapsed="false">
      <c r="A318" s="3" t="s">
        <v>329</v>
      </c>
      <c r="B318" s="3" t="n">
        <v>170</v>
      </c>
      <c r="C318" s="3" t="s">
        <v>330</v>
      </c>
      <c r="D318" s="3" t="n">
        <v>54</v>
      </c>
      <c r="E318" s="3" t="s">
        <v>94</v>
      </c>
      <c r="F318" s="3" t="s">
        <v>188</v>
      </c>
      <c r="G318" s="3" t="s">
        <v>95</v>
      </c>
      <c r="H318" s="3" t="s">
        <v>290</v>
      </c>
    </row>
    <row r="319" customFormat="false" ht="15" hidden="false" customHeight="false" outlineLevel="0" collapsed="false">
      <c r="A319" s="3" t="s">
        <v>329</v>
      </c>
      <c r="B319" s="3" t="n">
        <v>171</v>
      </c>
      <c r="C319" s="3" t="s">
        <v>330</v>
      </c>
      <c r="D319" s="3" t="n">
        <v>54</v>
      </c>
      <c r="E319" s="3" t="s">
        <v>94</v>
      </c>
      <c r="F319" s="3" t="s">
        <v>188</v>
      </c>
      <c r="G319" s="3" t="s">
        <v>95</v>
      </c>
      <c r="H319" s="3" t="s">
        <v>340</v>
      </c>
    </row>
    <row r="320" customFormat="false" ht="15" hidden="false" customHeight="false" outlineLevel="0" collapsed="false">
      <c r="A320" s="3" t="s">
        <v>329</v>
      </c>
      <c r="B320" s="3" t="n">
        <v>172</v>
      </c>
      <c r="C320" s="3" t="s">
        <v>330</v>
      </c>
      <c r="D320" s="3" t="n">
        <v>21</v>
      </c>
      <c r="E320" s="3" t="s">
        <v>94</v>
      </c>
      <c r="F320" s="3" t="s">
        <v>188</v>
      </c>
      <c r="G320" s="3" t="s">
        <v>95</v>
      </c>
      <c r="H320" s="3" t="s">
        <v>341</v>
      </c>
    </row>
    <row r="321" customFormat="false" ht="15" hidden="false" customHeight="false" outlineLevel="0" collapsed="false">
      <c r="A321" s="3" t="s">
        <v>329</v>
      </c>
      <c r="B321" s="3" t="n">
        <v>173</v>
      </c>
      <c r="C321" s="3" t="s">
        <v>330</v>
      </c>
      <c r="D321" s="3" t="n">
        <v>54</v>
      </c>
      <c r="E321" s="3" t="s">
        <v>94</v>
      </c>
      <c r="F321" s="3" t="s">
        <v>188</v>
      </c>
      <c r="G321" s="3" t="s">
        <v>95</v>
      </c>
      <c r="H321" s="3" t="s">
        <v>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84</v>
      </c>
      <c r="B1" s="1" t="s">
        <v>85</v>
      </c>
      <c r="C1" s="1" t="s">
        <v>91</v>
      </c>
    </row>
    <row r="2" customFormat="false" ht="15" hidden="false" customHeight="false" outlineLevel="0" collapsed="false">
      <c r="A2" s="3" t="s">
        <v>123</v>
      </c>
      <c r="B2" s="3" t="n">
        <v>85</v>
      </c>
      <c r="C2" s="3" t="s">
        <v>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4" t="s">
        <v>344</v>
      </c>
    </row>
    <row r="3" customFormat="false" ht="15" hidden="false" customHeight="false" outlineLevel="0" collapsed="false">
      <c r="A3" s="5" t="s">
        <v>345</v>
      </c>
      <c r="B3" s="6" t="n">
        <v>5</v>
      </c>
    </row>
    <row r="4" customFormat="false" ht="15" hidden="false" customHeight="false" outlineLevel="0" collapsed="false">
      <c r="A4" s="5" t="s">
        <v>346</v>
      </c>
      <c r="B4" s="6" t="n">
        <v>4</v>
      </c>
    </row>
    <row r="5" customFormat="false" ht="15" hidden="false" customHeight="false" outlineLevel="0" collapsed="false">
      <c r="A5" s="5" t="s">
        <v>347</v>
      </c>
      <c r="B5" s="6" t="n">
        <v>1</v>
      </c>
    </row>
    <row r="7" customFormat="false" ht="15" hidden="false" customHeight="false" outlineLevel="0" collapsed="false">
      <c r="A7" s="7" t="s">
        <v>348</v>
      </c>
    </row>
    <row r="8" customFormat="false" ht="15" hidden="false" customHeight="false" outlineLevel="0" collapsed="false">
      <c r="A8" s="7" t="s">
        <v>349</v>
      </c>
    </row>
    <row r="9" customFormat="false" ht="15" hidden="false" customHeight="false" outlineLevel="0" collapsed="false">
      <c r="A9" s="7" t="s">
        <v>350</v>
      </c>
    </row>
    <row r="10" customFormat="false" ht="15" hidden="false" customHeight="false" outlineLevel="0" collapsed="false">
      <c r="A10" s="7" t="s">
        <v>351</v>
      </c>
    </row>
    <row r="11" customFormat="false" ht="15" hidden="false" customHeight="false" outlineLevel="0" collapsed="false">
      <c r="A11" s="7" t="s">
        <v>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2026-10-18T03:10:22Z</dcterms:created>
  <dc:creator>openpyxl</dc:creator>
  <dc:description/>
  <dc:language>en-US</dc:language>
  <cp:lastModifiedBy/>
  <dcterms:modified xsi:type="dcterms:W3CDTF">2026-10-18T03:10:22Z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