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<sst xmlns="http://schemas.openxmlformats.org/spreadsheetml/2006/main" count="3452" uniqueCount="447">
  <si>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</si>
  <si>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</si>
  <si>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</si>
  <si>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</si>
  <si>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</si>
  <si>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</si>
  <si>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</si>
  <si>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</si>
  <si>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</si>
  <si>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</si>
  <si>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</si>
  <si>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</t>
  </si>
  <si>
    <t xml:space="preserve">What do you mean by ordinary differential equation and partial differential equation?</t>
  </si>
  <si>
    <t xml:space="preserve">Original</t>
  </si>
  <si>
    <t xml:space="preserve">What do you mean by general solution, complete integral, complete primitive?</t>
  </si>
  <si>
    <t xml:space="preserve">Define particular solution of a differential equation.</t>
  </si>
  <si>
    <t xml:space="preserve">How to fix the constant when, instead of y(x_0), a limit or boundedness condition is given (e.g. y bounded, y\to0 as x\to\infty)?</t>
  </si>
  <si>
    <t xml:space="preserve">Added</t>
  </si>
  <si>
    <t xml:space="preserve">J-M(XII):14, J-M(XII):63, J-M(XIII):4, J-M(XIII):36, J-M(XIII):65, QB:125, QB:140, J-II:49, C-I:4</t>
  </si>
  <si>
    <t xml:space="preserve">Order and Degree of a Differential Equation</t>
  </si>
  <si>
    <t xml:space="preserve">Define order of a differential equation and how to find it?</t>
  </si>
  <si>
    <t xml:space="preserve">Define degree of a differential equation and how to find it?</t>
  </si>
  <si>
    <t xml:space="preserve">Does every differential equation have a degree and order?</t>
  </si>
  <si>
    <t xml:space="preserve">Formation of Differential Equation</t>
  </si>
  <si>
    <t xml:space="preserve">How to check whether arbitrary constants in the equation of a family of curves are independent?</t>
  </si>
  <si>
    <t xml:space="preserve">How to form a differential equation if the equation of a family of curves is given?</t>
  </si>
  <si>
    <t xml:space="preserve">How to form a differential equation if information about the family of curves is provided instead of its equation?</t>
  </si>
  <si>
    <t xml:space="preserve">Elementary Types</t>
  </si>
  <si>
    <t xml:space="preserve">What are the various types of differential equations?</t>
  </si>
  <si>
    <t xml:space="preserve">Rephrased</t>
  </si>
  <si>
    <t xml:space="preserve">How to solve simple second order differential equations?</t>
  </si>
  <si>
    <t xml:space="preserve">J-I:17, QB:127</t>
  </si>
  <si>
    <t xml:space="preserve">Variable Separable</t>
  </si>
  <si>
    <t xml:space="preserve">How to solve variable separable differential equations?</t>
  </si>
  <si>
    <t xml:space="preserve">How to solve differential equation questions by forming the differential equation with the help of given information about the curve by assuming a point (x,y) on the curve?</t>
  </si>
  <si>
    <t xml:space="preserve">How to solve differential equation questions by forming the differential equation if an identity in a definite integral is given?</t>
  </si>
  <si>
    <t xml:space="preserve">How to solve rate problems (growth and decay, Newton's law of cooling, mixture in a tank) by forming a differential equation?</t>
  </si>
  <si>
    <t xml:space="preserve">J-I:26, J-I:33-36, J-II:8, J-II:9, J-II:36, J-II:37, J-M(XIII):34, C-I:2, C-II:16, C-II:17, C-II:20</t>
  </si>
  <si>
    <t xml:space="preserve">When to assume the integration constant as \ln c?</t>
  </si>
  <si>
    <t xml:space="preserve">What do you mean by initial ordinate of a line (tangent)?</t>
  </si>
  <si>
    <t xml:space="preserve">What do you mean by polar radius of a point?</t>
  </si>
  <si>
    <t xml:space="preserve">How to solve \frac{dy}{dx}=f(ax+by+c)?</t>
  </si>
  <si>
    <t xml:space="preserve">How to solve \frac{dy}{dx}=\frac{a_1x+b_1y+c_1}{a_2x+b_2y+c_2} if a_2+b_1=0?</t>
  </si>
  <si>
    <t xml:space="preserve">What are the two polar substitutions and derive their corresponding results involving differentials?</t>
  </si>
  <si>
    <t xml:space="preserve">When to use polar substitutions in differential equation questions?</t>
  </si>
  <si>
    <t xml:space="preserve">Homogeneous Differential Equation</t>
  </si>
  <si>
    <t xml:space="preserve">How to check whether a given differential equation is a homogeneous differential equation?</t>
  </si>
  <si>
    <t xml:space="preserve">What substitution is to be done in homogeneous differential equations?</t>
  </si>
  <si>
    <t xml:space="preserve">Equations reducible to Homogeneous Differential Equation</t>
  </si>
  <si>
    <t xml:space="preserve">How to solve the equation \frac{dy}{dx}=\frac{L_1}{L_2} if L_1 and L_2 are intersecting lines?</t>
  </si>
  <si>
    <t xml:space="preserve">Linear Differential Equation</t>
  </si>
  <si>
    <t xml:space="preserve">How to check whether a given differential equation is a linear differential equation?</t>
  </si>
  <si>
    <t xml:space="preserve">What is the general form of a linear differential equation?</t>
  </si>
  <si>
    <t xml:space="preserve">Are all differential equations of degree one linear?</t>
  </si>
  <si>
    <t xml:space="preserve">What is the standard form of a first order linear differential equation?</t>
  </si>
  <si>
    <t xml:space="preserve">How to solve a first order linear differential equation?</t>
  </si>
  <si>
    <t xml:space="preserve">How to handle a differential inequality such as f'(x)&gt;2f(x)?</t>
  </si>
  <si>
    <t xml:space="preserve">J-A:9, C-II:21</t>
  </si>
  <si>
    <t xml:space="preserve">Equations reducible to Linear Differential Equation</t>
  </si>
  <si>
    <t xml:space="preserve">Write the standard form of Bernoulli's equation.</t>
  </si>
  <si>
    <t xml:space="preserve">What substitution is to be done in Bernoulli's equation?</t>
  </si>
  <si>
    <t xml:space="preserve">When to check for change of variable to convert into a linear differential equation?</t>
  </si>
  <si>
    <t xml:space="preserve">Orthogonal Trajectory</t>
  </si>
  <si>
    <t xml:space="preserve">Define orthogonal trajectory of a family of curves.</t>
  </si>
  <si>
    <t xml:space="preserve">How to find the orthogonal trajectory of a family of curves?</t>
  </si>
  <si>
    <t xml:space="preserve">Exact Differential</t>
  </si>
  <si>
    <t xml:space="preserve">Write three results of exact differential.</t>
  </si>
  <si>
    <t xml:space="preserve">How to solve exact differential based questions?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</si>
  <si>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</si>
  <si>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</si>
  <si>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</si>
  <si>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</si>
  <si>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</si>
  <si>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</si>
  <si>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</si>
  <si>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</si>
  <si>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QB</t>
  </si>
  <si>
    <t xml:space="preserve">Question Bank</t>
  </si>
  <si>
    <t xml:space="preserve">Main</t>
  </si>
  <si>
    <t xml:space="preserve">Y</t>
  </si>
  <si>
    <t xml:space="preserve">Let f : [1, )  [2, ) be a differentiable function. If 10 f (t)dt  5xf (x)  x 5  9 for all x  1, then the value of 1 f(3) is : x 1</t>
  </si>
  <si>
    <t xml:space="preserve">Also</t>
  </si>
  <si>
    <t xml:space="preserve">Let g be a differentiable function such that  g  t  dt  x   tg  t  dt , x  0 and let y = y(x) satisfy the differential 0 0 dy   </t>
  </si>
  <si>
    <t xml:space="preserve">Let y = y(x) be the solution of the differential equation  3  tan 2 x  y  3y  sec 2 x , y  0    e3 . Then dx 3  y   is equal t</t>
  </si>
  <si>
    <t xml:space="preserve">Let f : [0, )  R be a differentiable function such that f (x)  1  2x   ex  t f (t)dt for all x  [0,  ) . 0 Then the area of the reg</t>
  </si>
  <si>
    <t xml:space="preserve">If a curve y = y(x) passes through the point  1,  and satisfies the different ial equation  2  7x cot y  e cosec y  dx 4 x dy 5  x ,</t>
  </si>
  <si>
    <t xml:space="preserve">Let y = y(x) be the solution curve of the differential equation x(x2 + ex) dy + (ex (x – 2) y – x3) dx = 0, x &gt; 0, passing through the point</t>
  </si>
  <si>
    <t xml:space="preserve">Let y = y(x) be the solution of the differential equation (x2 + 1)y' – 2xy = (x4 + 2x2 + 1)cos x, y(0) = 1. Then 3  y  x  dx is : 3 87 3</t>
  </si>
  <si>
    <t xml:space="preserve">Let f(x) = x – 1 and g(x) = ex for x  R. If dx     e g f f x     , y(0) = 0, then y(1) is : x dy  2 x y  dx     e g f f</t>
  </si>
  <si>
    <t xml:space="preserve">Let x = x(y) be the solution of the differential equation y 2 dx   x   dy  0 . If x(1) = 1, then x   is :  y 2  1 1 y   2 </t>
  </si>
  <si>
    <t xml:space="preserve">Let f(x) be a real differentiable function such that f(0) = 1 and f(x + y) = f(x) f '(y) + f '(x) f(y) for all x, y  R. Then 100  log f (n</t>
  </si>
  <si>
    <t xml:space="preserve"> If x = f(y) is the solution of the differential equation 1  y   x  2e 2 tan y 1  dy dx  0 , y    ,  with  2 2  1  f(0) = 1</t>
  </si>
  <si>
    <t xml:space="preserve">Let x = x(y) be the solution of the differential equation y   x  y  sin   , y &gt; 0 and x 1  . Then cos  dy   y  2 (x(2)) is equa</t>
  </si>
  <si>
    <t xml:space="preserve"> 2 2  Let y = y(x) be the solution of the differential equation xy  5x 1  x dx  1  x  dy = 0, y(0) = 0. Then 2 y  3  is equal to :</t>
  </si>
  <si>
    <t xml:space="preserve">Let for some function y = f(x),  tf  t  dt  x 2f  x  , x &gt; 0 and f(2) = 3. Then f(6) is equal to : 0 94 x</t>
  </si>
  <si>
    <t xml:space="preserve">Let y = y(x) be the solution of the differential equation 2    1  cos x  loge  cos x   dy   sin x  3ysin x loge  cos x  </t>
  </si>
  <si>
    <t xml:space="preserve">If for solution curve y = f(x) of the differential equation dx   tan x  y  2 , x  , ,f    , 1  2sec x   2 2   3  10 96  </t>
  </si>
  <si>
    <t xml:space="preserve">N</t>
  </si>
  <si>
    <t xml:space="preserve">If the solution y = y(x) of the differential equation (x4 + 2x3 + 3x2 + 2x + 2)dy – (2x2 + 2x + 3)dx = 0 satisfies  y  1   , then y(0)</t>
  </si>
  <si>
    <t xml:space="preserve">Let y = y(x) be the solution of the differential equation (x2 + 4)2dy + (2x3y + 8xy – 2)dx = 0. If y(0) = 0, then y(2) is equal to :    3</t>
  </si>
  <si>
    <t xml:space="preserve">The differential equation of the family of circles passing through the origin and having center at the line y = x is:</t>
  </si>
  <si>
    <t xml:space="preserve">Let y = y(x) be the solution of the differential equation  2x log e x  dx x Then, y(e) is equal to : dy 3 dx x 3 3 2 2 2e e e 3e</t>
  </si>
  <si>
    <t xml:space="preserve">Let y = y(x) be the solution of the differential equation 1  x 2   y  e tan x , y(1) = 0. Then y(0) is : dx dy 1 dx 1 1 / 2 1 1 / 2 </t>
  </si>
  <si>
    <t xml:space="preserve">Suppose the solution of the differential equation  represents a circle passing through dx x  2y  (  4) origin. Then the radius of t</t>
  </si>
  <si>
    <t xml:space="preserve">Let y = y(x) be the solution of the differential equation (1 + y2)etan x dx + cos2x (1 + e2tan x)dy = 0, y(0) = 1. Then  y   is equal t</t>
  </si>
  <si>
    <t xml:space="preserve">Let f(x) be a positive function such that the area bounded by y = f(x), y = 0 from x = 0 to x = a &gt; 0 is e–a + 4a2 + a – 1. Then the diffren</t>
  </si>
  <si>
    <t xml:space="preserve">Let y= y(x) be the solution curve of the differential equation sec y dx  2x sin y  x 3 cos y , y(1) = 0. Then y  3 is equal to : dy dx </t>
  </si>
  <si>
    <t xml:space="preserve">The solution curve, of the differential equation 2y  3  5 , passing through the point (0, 1) is a conic, whose dx dx vertex lies on the li</t>
  </si>
  <si>
    <t xml:space="preserve">The solution of the differential equation (x2 + y2)dx – 5xy dy = 0, y (1) = 0, is :</t>
  </si>
  <si>
    <t xml:space="preserve">L et  1   y  t   dt   y  t  dt , 0  x  3, y  0, y(0) = 0. Then at x = 2, y + y + 1 is equal to : 0 0 x x 2 0 0 107 1 2</t>
  </si>
  <si>
    <t xml:space="preserve">Let x = x(t) and y = y(t) be solutions of the differential equations  ax  0 and  by  0 respectively, a, b dt dt  R. Given that x(0) = 2</t>
  </si>
  <si>
    <t xml:space="preserve">If y = y(x) is the solution curve of the differential equation  x 2  4  dy   y 2  3y  dx  0, x  2, y  4   and the 2 slope of the</t>
  </si>
  <si>
    <t xml:space="preserve">A function y = f(x) satisfies f(x) sin 2x + sin x – (1 + cos2 x) f'(x) = 0 with condition f(0) = 0. Then, f   is equal 2 110 to :  2</t>
  </si>
  <si>
    <t xml:space="preserve">If sin    log e x  is the solution of the differential equation x cos    y cos    x and y 1  , x 2  x  dx x 3 2 then  is</t>
  </si>
  <si>
    <t xml:space="preserve">Let y = y(x) be the solution of the differential equation sec xdy  {2(1  x) tan x  x(2  x)}dx  0 such that y(0) = 2. Then y(2) is equal</t>
  </si>
  <si>
    <t xml:space="preserve">Let y = y(x) be the solution of the differential equation dx  sin x sec x  sin x tan x , x   0,  satisfying the    2   condit</t>
  </si>
  <si>
    <t xml:space="preserve">The solution curve of the differential equation y  x  log e x  log e y  1 , x &gt; 0, y &gt; 0 passing through the dy point (e, 1) is : dx dy</t>
  </si>
  <si>
    <t xml:space="preserve">Let y = y(x) be the solution of the differential equation  2x  x  y   x  x  y   1 , y(0) = 1. Then, dx 2  1  1    y   equa</t>
  </si>
  <si>
    <t xml:space="preserve">Let  be a non-zero real number. Suppose f : R  R is a differentiable function such that f(0) = 2 and xlim  f (x)  1. If f '(x)  f (x</t>
  </si>
  <si>
    <t xml:space="preserve">  1 m 1  x  1, y(0)  0. If y    ,m and n are co-prime numbers, then m + n is equal to __________. 2 n 2 3 2   1 m 2 n</t>
  </si>
  <si>
    <t xml:space="preserve">Let f : R  R be a thrice differentiable odd function satisfying f '(x)  0, f ''(x) = f(x), f(0) = 0, f '(0) = 3. Then 9f(loge3) is equal t</t>
  </si>
  <si>
    <t xml:space="preserve">Let y = y(x) be the solution of the differential equation +2y sec2x = 2sec2x + 3tan x. sec2x such that y(0)  . dx 4    Then 12  y  </t>
  </si>
  <si>
    <t xml:space="preserve">Let y = f(x) be the solution of the differential equation   , –1 &lt; x &lt; 1 such that f(0) = 0. If dx x 2  1 1 x2 1/ 2 6 f (x)dx  2   </t>
  </si>
  <si>
    <t xml:space="preserve">Let f be a differentiable function such that 2(x + 2)2 f(x) –3(x + 2)2 = 10  (t  2)f (t)dt , x  0. Then f(2) is equal 0 to ___________. x</t>
  </si>
  <si>
    <t xml:space="preserve">Let y = y(x) be the solution of the differential equation 2 cos x  sin 2x  4y sin x , x   0,  . If dx  2  y   = 0, then y   </t>
  </si>
  <si>
    <t xml:space="preserve">If y = y(x) is the solution of the differential equation, 4x    sin     y  sin 1   , –2  x  2, dx    2    2 2  8 y</t>
  </si>
  <si>
    <t xml:space="preserve">Let the solution y = y(x) of the differential equation  y  1  4 sin x satisfy y() = 1. Then y    10 is equal dx 2 to ___________.</t>
  </si>
  <si>
    <t xml:space="preserve">Let y = y(x) be the solution of the differential equation (x + y + 2)2 dx = dy; y(0) = –2. Let the maximum and   2 minimum values of the </t>
  </si>
  <si>
    <t xml:space="preserve">Let f be a differentiable function in the interval (0, ) such that f(1) = 1 and lim  1 for each t x t x x &gt; 0. Then 2 f(2) + 3 f(3) is e</t>
  </si>
  <si>
    <t xml:space="preserve">Let y = y (x) be the solution of the differential equation  y  xe ; y (0) = 0. Then the area dx 1  x 2  2 1  enclosed by the curve f (</t>
  </si>
  <si>
    <t xml:space="preserve">Let a conic C pass through the point (4, –2) and P(x, y), x  3, be any point on C. Let the slope of the line touching the conic C only at a</t>
  </si>
  <si>
    <t xml:space="preserve">If the solution y(x) of the given differential equation (ey + 1) cos xdx + ey sin x dy = 0 passes through the point  , 0  , 2   y  </t>
  </si>
  <si>
    <t xml:space="preserve">Let  x  y e xy  ,  N be the solution of the differential equation xdy – ydx + xy(xdy + ydx) = 0, y(1) = 2. Then  +  is equal to </t>
  </si>
  <si>
    <t xml:space="preserve">For a differentiable function f : R  R, suppose f '(x)  3f (x)   , where  R, f(0) = 1 and xlim  f (x)  7 . Then 9f   log e 3 i</t>
  </si>
  <si>
    <t xml:space="preserve">If the solution of the differential equation (2x + 3y – 2) dx + (4x + 6y – 7) dy = 0, y(0) = 3, is x + y + 3 loge |2x + 3y – | = 6, then </t>
  </si>
  <si>
    <t xml:space="preserve">If the solution curve, of the differential equation  passing through the point (2, 1) is dx xy 2  y 1  1 1   y 1   tan    log </t>
  </si>
  <si>
    <t xml:space="preserve">If the solution curve y = y(x) of the differential equation (1 + y2) (1+ loge x) dx + x dy = 0, x &gt; 0 passes through the 3   tan   2</t>
  </si>
  <si>
    <t xml:space="preserve">Let f  x   lim   r e  be differentiable in (–, 0)  (0, ) and f(1) = 1. Then r x  r2  x2    the value of ea, such that f(a) = </t>
  </si>
  <si>
    <t xml:space="preserve">Let Y=Y(X) be a curve lying in the first quadrant such that the area enclosed by the line Y – y = Y'(x)(X – x) and y2 the co-ordinate axes,</t>
  </si>
  <si>
    <t xml:space="preserve">Let y = y (x) be the solution of the differential equation    sec 2 xdx   e 2y tan 2 x  tan x  dy  0, 0  x  , y    0 . If y</t>
  </si>
  <si>
    <t xml:space="preserve">If x= x(t) is the solution of the differential equation (t + 1)dx = (2x + (t + 1)4)dt, x(0) = 2, then x(1) equals _______.</t>
  </si>
  <si>
    <t xml:space="preserve">If  , x(1) = 1, then 5x(2) is equal to __________. dy y dx 1  x  y 2 dy y</t>
  </si>
  <si>
    <t xml:space="preserve">J-M(XII)</t>
  </si>
  <si>
    <t xml:space="preserve">Sheet</t>
  </si>
  <si>
    <t xml:space="preserve">Let y = y (x) be the solution of the differential equation e 1  y 2 dx    dy  0, y(1)  1. Then the value of x (y(3))2 is equal to :</t>
  </si>
  <si>
    <t xml:space="preserve">Let y = y(x) satisfies the equation  | A | 0, for all x &gt; 0, where A   0 1  1  . If y() =  + 2, then dx   1 2 0   x  the </t>
  </si>
  <si>
    <t xml:space="preserve">L et y = y (x) be the solution of the differential equation cosec2 x dy + 2dx = (1 + y cos2x) cosec2x dx, with  y   = 0. Then, the valu</t>
  </si>
  <si>
    <t xml:space="preserve">Let y = y(x) be the solution of the differential equation = 1 + x ey–x,  2 &lt; x &lt; 2 , y(0) = 0 then, the minimum dx  value of y(x), x   2</t>
  </si>
  <si>
    <t xml:space="preserve">Let y = y (x) be the solution of the differential equation xdy = (y + x3 cosx) dx with y () = 0, then y   is equla 2 to : [JEE(Main)Jul</t>
  </si>
  <si>
    <t xml:space="preserve">L e t y = y ( x ) b e s o lu t io n o f t h e d if f e r e n t ia b l e e q u a t io n lo g   = 3x + 4y, with y(0) = 0. If y   log e 2 </t>
  </si>
  <si>
    <t xml:space="preserve">Let y = y(x) be the solution of the differential equation (x – x3)dy = (y + yx2 – 3x4)dx, x &gt; 2. If y(3) = 3, then y(4) is equal to : [JEE(M</t>
  </si>
  <si>
    <t xml:space="preserve">Let a curve y = y(x) be given by the solution of the differential equation cos  cos (e )  dx  e  1 dy . If it  2  intersects y-axis at</t>
  </si>
  <si>
    <t xml:space="preserve">Let y = y (x) be solution of the differential equation   x  2  e x  2    y  1  dx = (x + 2)dy, y(1) = 1. If the     domain o</t>
  </si>
  <si>
    <t xml:space="preserve">Let y = y(x) be solution of the follwoing differential equation e y  2e y sin x  sin x cos 2 x  0, y    0 . If dx 2 y(0)  log e ( </t>
  </si>
  <si>
    <t xml:space="preserve">Let a curve y = f(x) pass through the point (2, (loge 2)2) and have slope x log x for all positive real value of x. e Then the value of f(e)</t>
  </si>
  <si>
    <t xml:space="preserve">I f y = y(x), y  0,  is the solution of the differential equation sec y – sin(x + y) – sin(x – y) = 0, with  2 dx   y(0) = 0, then 5</t>
  </si>
  <si>
    <t xml:space="preserve">Let y = y(x) be the solution of the differential equation dy = ex +y dx;   N. If y(loge 2) = loge 2 and 1 y(0) = loge   , then the v</t>
  </si>
  <si>
    <t xml:space="preserve">Let y = y(x) be a solution curve of the differential equation (y  1) tan 2 x dx  tan x dy  ydx  0 , x   0,  .  2  If xlim xy(x) </t>
  </si>
  <si>
    <t xml:space="preserve">Let y(x) be the solution of the differential equation 2x2 dy + (ey – 2x) dx = 0, x &gt; 0. If y(e) = 1, then y(1) is equal to : [JEE(Main)Aug.2</t>
  </si>
  <si>
    <t xml:space="preserve">Let y = y(x) be the solution of the differential equation = 2 (y + 2sinx – 5) x – 2cosx such that y(0) = 7. Then dx y ( ) is equal to : [JE</t>
  </si>
  <si>
    <t xml:space="preserve">Let us consider a curve, y = f(x) passing through the point (–2, 2) and the slope of the tangent to the curve at any point (x, f(x)) is give</t>
  </si>
  <si>
    <t xml:space="preserve">If the solution curve of the differential equation (2x – 10y3)dy + ydx = 0, passes through the points (0, 1) and (2, ), then  is a root of</t>
  </si>
  <si>
    <t xml:space="preserve">A differential equation representing the family of parabolas with axis parallel to y-axis and whose length of latus rectum is the distance o</t>
  </si>
  <si>
    <t xml:space="preserve">Let f be a non-negative function in [0, 1] and twice differentiable in (0, 1). If x x 1 x 1  (f'(t))2 dt =  f (t) dt, 0  x  1 and f(0) =</t>
  </si>
  <si>
    <t xml:space="preserve">If = , y (0) = 1, then y(1) is equal to : [JEE(Main)Aug.2021] dx 2y dy 2 x  y  2 x dx 2y</t>
  </si>
  <si>
    <t xml:space="preserve">If y  x   , x &gt; 0,  &gt; 0, and y(1) = –1, then    is equal to : dx x  y2    4    ' 2     x  [JEE(Main)Aug.2021]   y2 </t>
  </si>
  <si>
    <t xml:space="preserve">If  , y (0) = 0, then for y = 1, the value of x lies in the interval : dx 2x  2x  y log e 2 [JEE(Main)Aug.2021] dy 2x y  2 y  2x dx 2 </t>
  </si>
  <si>
    <t xml:space="preserve">If y = y(x) is the solution curve of the differential equation x dy   y   dx  0 ; x &gt; 0, and y(1) = 1, then y    x 2 is equal to </t>
  </si>
  <si>
    <t xml:space="preserve">If x  (x) =   3t 2  2 '(t)  dt, x &gt; – 2, and  (0) = 4, then  (2) is _______. [JEE(Main)Aug.2021] 5 x 5 [JEE(Main)Aug.2021]</t>
  </si>
  <si>
    <t xml:space="preserve">If x = x(y) is the solution of the differential equation y  2x  y3  y  1 e y , x 1  0 ; then x(e) is equal to : dy [JEE(Main)June202</t>
  </si>
  <si>
    <t xml:space="preserve">A particle is moving in the xy-plane along a curve C passing through the point (3, 3). The tangent to the curve C at the point P meets the x</t>
  </si>
  <si>
    <t xml:space="preserve">The slope of normal at any point (x, y), x &gt; 0, y &gt; 0 on the curve y = y(x) is given by . If the curve xy – x 2 y 2  1 passes through the p</t>
  </si>
  <si>
    <t xml:space="preserve">3 4 x  for the curve y = y(x) is : [JEE(Main)June2022] 3 2 1 4 3 3 ,d : [JEE(Main)June2022]</t>
  </si>
  <si>
    <t xml:space="preserve">If the solution curve y = y(x) of the differential equation y2dx + (x2 – xy + y2)dy = 0, which passes through the point   (1, 1) and inter</t>
  </si>
  <si>
    <t xml:space="preserve">If y = y(x) is the solution of the differential equation 2x 2  2xy  3y 2  0 such that y  e   , then y(1) is equal dx 3 to : [JEE(Main)</t>
  </si>
  <si>
    <t xml:space="preserve">If y = (x) is the solution of the differential equation x  2y  xe x , y(1)  0 then the local maximum value of dx function z(x)  x 2 y(x)</t>
  </si>
  <si>
    <t xml:space="preserve">If the solution of the differential equation  e  x  2 y   x 2  2x  x 2  2 e2x satisfies y(0) = 0, then the dx value of y(2) is : </t>
  </si>
  <si>
    <t xml:space="preserve">Let  , where a,b,c are constants, represent a circle passing through the point (2, 5). Then the dx bx  cy  a shortest distance of the poi</t>
  </si>
  <si>
    <t xml:space="preserve">If  = 0, x, y &gt; 0, y(1) = 1, then y(2) is equal to : [JEE(Main)June2022] dx 2x  1 dy 2  2  1 xy y dx 2x  1</t>
  </si>
  <si>
    <t xml:space="preserve">If the solution curve of the differential equation ((tan–1 y) – x)dy = (1 + y2)dx passes through the point (1, 0), then the abscissa of the </t>
  </si>
  <si>
    <t xml:space="preserve">Let the solution curve y = y(x) of the differential equation   e  x  x    e  y pass  x 2  y 2  dx  x 2  y 2  through the p</t>
  </si>
  <si>
    <t xml:space="preserve">dx 2. Then y(3) is equal to : [JEE(Main)June2022] dy 2 dx : [JEE(Main)June2022]</t>
  </si>
  <si>
    <t xml:space="preserve">Let x = x(y) be the solution of the differential equation 2y e dx   y  4xe  dy  0 such that     x(1) = 0. Then, x(e) is equal to : </t>
  </si>
  <si>
    <t xml:space="preserve">Let the slope of the tangent to a curve y = f(x) at (x, y) be given by 2 tan x(cos x – y). If the curve passes through    2 the point  </t>
  </si>
  <si>
    <t xml:space="preserve">Let the solution curve of the differential equation x  y  y 2  16x 2 , y(1) = 3 be y = y(x). Then y(2) is equal dx to : [JEE(Main)June202</t>
  </si>
  <si>
    <t xml:space="preserve">If y = y(x) is the solution of the differential equation 1  e 2x   2 1  y 2  e x  0 and y(0) = 0, then dx 2   6  y '  0   y l</t>
  </si>
  <si>
    <t xml:space="preserve">Let the solution curve y = y(x) of the differential equation (4 + x2)dy – 2x(x2 + 3y + 4)dx = 0 pass through the origin. Then y(2) is equal </t>
  </si>
  <si>
    <t xml:space="preserve">Let S   0, 2    , , ,  . Let y = y(x), x  S be the solution curve of the differential 2 4 2 4  dy 1  1 equation  , y    . I</t>
  </si>
  <si>
    <t xml:space="preserve">2  3  Let y = y(x) be the solution of the differential equation 1  x  dy  xy   x  2  1  x dx, 1  x  1 and 2 1 2 y(0) = 0. If </t>
  </si>
  <si>
    <t xml:space="preserve">Let y = y(x) be the solution of the differential equation   xe , 0  x  with 4 dx 2 cos x  cos 2x 2 2 2        tan1   y  </t>
  </si>
  <si>
    <t xml:space="preserve">Let y = y(x), x &gt; 1, be the solution of the differential equation  x  1  2xy  , with y  2   1  e . If dx x 1 2e 4 e  1 y  3  </t>
  </si>
  <si>
    <t xml:space="preserve">The general solution of the differential equation (x – y2)dx + y(5x + y2)dy = 0 is : [JEE(Main)July2022] 2 ( C ) |( y + x)3| = C(2y2 + x)4 (</t>
  </si>
  <si>
    <t xml:space="preserve">Let a smooth curve y = f(x) be such that the slope of the tangent at any point (x, y) on it is directly proportional to  y  1   . If </t>
  </si>
  <si>
    <t xml:space="preserve">If  2y tan x  sin x, 0  x  and y    0 , then the maximum value of y(x) is : dx 2 3 [JEE(Main)July2022] dy   dx 2 3 1 3 1 3 8 </t>
  </si>
  <si>
    <t xml:space="preserve">Let the solution curve y = f(x) of the differential equation   , x  (–1, 1) pass through the dx x 2  1 1  x2 3 2 origin. Then  f  x </t>
  </si>
  <si>
    <t xml:space="preserve">Let y = y1(x) and y = y2(x) be two distinct solutions of the differential equation  x  y , with dx y1(0) = 0 and y2(0) = 1 respectively. T</t>
  </si>
  <si>
    <t xml:space="preserve">Let the solution curve of the differential equation xdy   x  y  y  dx , x &gt; 0, intersect the line 2 2 x = 1 at y = 0 and the line x = 2</t>
  </si>
  <si>
    <t xml:space="preserve">If y = y(x), x  (0, /2) be the solution curve of the differential equation dy    sin 2x  dx 2   8sin 2x  2 sin 4x  y  2e  2 si</t>
  </si>
  <si>
    <t xml:space="preserve">The minimum value of the twice differentiable function f  x    e x  t f '  t  dt   x 2  x  1 e x , x  R, is : 0 [JEE(Main)July2</t>
  </si>
  <si>
    <t xml:space="preserve">Let y = y(x) be the solution curve of the differential equation  2 y  , x &gt; 1 passing through the dx x  1  x 1  1 point  2,  . T</t>
  </si>
  <si>
    <t xml:space="preserve">The differential equation of the family of circles passing through the points (0, 2) and (0, –2) is : [JEE(Main)July2022] dy dy dx dx dy dy </t>
  </si>
  <si>
    <t xml:space="preserve">Let the solution curve y = y(x) of the differential equation 1  e    y   1 pass through the point  0,  .  dx   2 x Then, lim e </t>
  </si>
  <si>
    <t xml:space="preserve">If the solution curve of the differential equation  passes through the points (2, 1) and dx xy (k + 1, 2), k &gt; 0, then : [JEE(Main)July202</t>
  </si>
  <si>
    <t xml:space="preserve">Let y = y(x) be the solution curve of the differential equation  3 2  y dx  x  6x  11x  6  x 1 x &gt; – 1, which passes through the p</t>
  </si>
  <si>
    <t xml:space="preserve">L et y = y(x) be the solution of the differential equation  , y 1  1 . If for some n  N, dx 3xy2  x 3 y(2)  [n – 1, n), then n is equ</t>
  </si>
  <si>
    <t xml:space="preserve">Let a curve y = y(x) pass through the point (3, 3) and the area of the region under this curve, above the x-axis and 3 y  between the absci</t>
  </si>
  <si>
    <t xml:space="preserve">Suppose y = y(x) be the solution curve to the differential equation  y  2  e  x such that xlim  dx a and b are respectively the x- and</t>
  </si>
  <si>
    <t xml:space="preserve">Let y = y(x) be the solution curve of the differential equation      sin  2x 2  log e  tan x 2  dy   4xy  4 2x sin  x 2    </t>
  </si>
  <si>
    <t xml:space="preserve">J-I</t>
  </si>
  <si>
    <t xml:space="preserve">The order and degree of the differential equation  4      are :   dx   dx 2 2 2/3   dx   dx 2</t>
  </si>
  <si>
    <t xml:space="preserve">The differential equation of all parabolas having their axis of symmetry coinciding with x-axis : 2 2 d 2 y  dy  d 2 x  dy  d 2 y dy dx </t>
  </si>
  <si>
    <t xml:space="preserve">The differential equation of system of concentric circles with centre (1, 2) is : dy dy dx dx dy dy dx dx</t>
  </si>
  <si>
    <t xml:space="preserve">The order of the differential equation whose general solution is given by y = (c1+c2) cos(x+c3) – c4 e x  c5 , where c1 , c2, c3, c4, c5 ar</t>
  </si>
  <si>
    <t xml:space="preserve">The value of the constant 'm' and 'c' for which y = mx + c is a solution of the differential equation D2y – 3Dy – 4y = – 4x :</t>
  </si>
  <si>
    <t xml:space="preserve">The order &amp; the degree of the differential equation whose general solution is, y = c(x  c)2, are respectively :</t>
  </si>
  <si>
    <t xml:space="preserve">The differential equation, which represents the family of plane curves y = ecx , is :</t>
  </si>
  <si>
    <t xml:space="preserve">The differential equation for the family of curves x2 + y2 – 2ay = 0, where a is an arbitrary constant is :</t>
  </si>
  <si>
    <t xml:space="preserve">The differential equation representing the family of curves y2 =2c (x + c ), where c &gt; 0, is a parameter, is of order and degree as follows </t>
  </si>
  <si>
    <t xml:space="preserve">The differential equation whose solution is Ax2 + By2 = 1, where A and B are arbitrary constants is of :</t>
  </si>
  <si>
    <t xml:space="preserve">The differential equation of all circles passing through the origin and having their centres on the x-axis is : dy dy dy dy dx dx dx dx</t>
  </si>
  <si>
    <t xml:space="preserve">The differential equation of the family of circles with fixed radius 5 units and centre on the line y = 2 is :</t>
  </si>
  <si>
    <t xml:space="preserve">The differential equation which represents the family of curves y = c1 ec2 x where c1 and c2 are arbitrary constants, is : [AIEEE-2009] 2 [A</t>
  </si>
  <si>
    <t xml:space="preserve">The solution of = e (sin x + cos x) is : dx dy dx</t>
  </si>
  <si>
    <t xml:space="preserve">The solution of = x log x is : dx x2 x2 2 2 1 2 1 2 2 2 dy dx x2 x2 2 2 1 2 1 2 2 2</t>
  </si>
  <si>
    <t xml:space="preserve">The solution of the differential equation = (1 + x) (1 + y2) is : dx dy dx  x2   2 </t>
  </si>
  <si>
    <t xml:space="preserve">The general solution of the equation 2 =– is : dx x2 1 x d2 y 1 dx x 1 x</t>
  </si>
  <si>
    <t xml:space="preserve">The solution of = sin (x + y) + cos (x + y) is : dx   x  y    x  y    2    2    x  y    2  dy dx   x  y   </t>
  </si>
  <si>
    <t xml:space="preserve">The solution of (dy/dx) = (4x + y + 1)2 is :</t>
  </si>
  <si>
    <t xml:space="preserve">The solution of the differential equation (sin x + cos x) dy + (cos x – sin x)dx = 0 is :</t>
  </si>
  <si>
    <t xml:space="preserve">    The solution of x 1  y 2 dx  y 1  x 2 dy  0 is :    </t>
  </si>
  <si>
    <t xml:space="preserve">The solution of the differential equation xdy – ydx = x 2  y 2 dx is :</t>
  </si>
  <si>
    <t xml:space="preserve">A curve C has the property that if the tangent drawn at any point P on C meets the coordinate axis at A and B, then P is the midpoint of AB.</t>
  </si>
  <si>
    <t xml:space="preserve">A curve is such that the area of the region bounded by the co-ordinate axes, the curve &amp; the ordinate of any point on it is equal to the cub</t>
  </si>
  <si>
    <t xml:space="preserve">In a chemical reaction a substance changes into another such that the rate of decomposition of a chemical substance x present at instant t i</t>
  </si>
  <si>
    <t xml:space="preserve">The latus rectum of the conic passing through the origin and having the property that normal at each point (x, y) intersects the x  axis at</t>
  </si>
  <si>
    <t xml:space="preserve">The equation of the curve through the point (1, 0), whose slope is , is : x2  x y 1 x2  x</t>
  </si>
  <si>
    <t xml:space="preserve">    sin x and f  2   1 , then f(0) is : dx  y    dy  1  cos x   dx  y  2</t>
  </si>
  <si>
    <t xml:space="preserve">The solution of the differential equation  satisfying the condition y (1) = 1 is : dx x dy x  y dx x</t>
  </si>
  <si>
    <t xml:space="preserve">The differential equation  determines a family of circles with : dx y dy 1  y2 dx y</t>
  </si>
  <si>
    <t xml:space="preserve">If = y + 3 &gt; 0 and y(0) = 2, then y(In 2) is equal to : [AIEEE-2011] dx dy dx</t>
  </si>
  <si>
    <t xml:space="preserve">Let I be the purchase value of an equipment and V(t) be the value after it has been used for t years. The value V(t) dV(t) depreciates at a </t>
  </si>
  <si>
    <t xml:space="preserve">The population p(t) at time t of a certain mouse species satisfies differential equation  0.5p(t)  450 . If dt p(0) = 850, then the time a</t>
  </si>
  <si>
    <t xml:space="preserve">At present a firm is manufacturing 2000 items. It is estimated that the rate of change of production P w.r.t. additional dp number of workes</t>
  </si>
  <si>
    <t xml:space="preserve">Let the population of rabbits surviving at a time t be governed by the differential equation  p(t)  200 . If dt 2 p(0) = 100, then p(t) eq</t>
  </si>
  <si>
    <t xml:space="preserve">If  2  sin x    y  1 cos x  0 and y(0) = 1, then y   is equal to : [JEE(Main)2017] dx 2 dy  dx 2 1 4 1 2 3 3 3 3</t>
  </si>
  <si>
    <t xml:space="preserve">The solution of the equation x = y – x tan   is : dx x y y x x dy y dx x y y x x</t>
  </si>
  <si>
    <t xml:space="preserve">The equation of a curve passing through (1, 0) for which the product of the abscissa of a point P and the intercept made by a normal at P on</t>
  </si>
  <si>
    <t xml:space="preserve">The solution of the differential equation (x2 – y2) dx + 2xy dy = 0 is :</t>
  </si>
  <si>
    <t xml:space="preserve">The x-intercept of the tangent to a curve is equal to the ordinate of the point of contact. The equation of the curve through the point (1, </t>
  </si>
  <si>
    <t xml:space="preserve">Which of the following equation is linear : 2 2 2  d2y   dy  dy  dy   dx   dx  dx  dx  dy y dy dx x dx</t>
  </si>
  <si>
    <t xml:space="preserve">The solution of the differential equation + y cot x = 2 cos x is : dx dy dx</t>
  </si>
  <si>
    <t xml:space="preserve">The solution of (1 + y2) dx = (tan–1 y – x) dy is : 1 1 1 1 1 1 1 1</t>
  </si>
  <si>
    <t xml:space="preserve">The solution of the equation + y tan x = xm cos x is : dx dy dx</t>
  </si>
  <si>
    <t xml:space="preserve">The solution of the differential equation  y  is : dx 1  x 3 1  x3 dy 3x 2 sin 2 x dx 1  x 3 1  x3 1 1 2 2 1 x 1 2 2 4</t>
  </si>
  <si>
    <t xml:space="preserve"> The solution of the differential equation (1 + y2) + x  e tan y 1  dx = 0, is : dy 1 1 1 1 1 1</t>
  </si>
  <si>
    <t xml:space="preserve">A function y = f (x) satisfies the condition f '(x) sin x + f (x) cos x = 1, f (x) being bounded when x  0. If 2 I =  f (x) dx then : 0 </t>
  </si>
  <si>
    <t xml:space="preserve">The general solution of  2y tan x  tan 2 x is : dx dy dx x sin 2x x sin 2x 2 4 2 4 x cos 2x x sin 2x 2 4 2 2</t>
  </si>
  <si>
    <t xml:space="preserve">Let f (x) be differentiable on the interval (0, ) such that f (1) = 1 and Lim = 1 for each x &gt; 0. t x tx Then f (x) is : t 2f (x)  x 2f </t>
  </si>
  <si>
    <t xml:space="preserve">For the differential equation y 2 dx   x   dy  0 . If y(1) = 1, then x is given by : [AIEEE-2011]  y  1 y   1 1 1 1 1 ey 2 e y y </t>
  </si>
  <si>
    <t xml:space="preserve">Let y(x) be the solution of the differential equation (x log x)  y  2x log x, (x  1) . Then y(e) is equal to : dx [JEE(Main)2015] dy dx</t>
  </si>
  <si>
    <t xml:space="preserve">Let y = y(x) be the solution o f the differential equation sin x  y cos x  4x , x  (0, ) . If y    0 , then dx 2  y   is equal</t>
  </si>
  <si>
    <t xml:space="preserve">If the differentiable equation – y = y2(sin x + cos x) with y (0) = 1 then y () has the value equal to : dx dy dx  –</t>
  </si>
  <si>
    <t xml:space="preserve">If a curve y = f(x) passes through the point (1, –1) and satisfies the differential equation, y(1 + xy)dx = x dy, then  1 f    is equal</t>
  </si>
  <si>
    <t xml:space="preserve">The solution of the differential equation, ex(x + 1)dx + (yey – xex)dy = 0 with initial condition f (0) = 0, is :</t>
  </si>
  <si>
    <t xml:space="preserve">The solution of the differential equation, x2 .cos  y sin =  1, where y  1 as x  is : dx x x dy 1 1 dx x x 1 1 x 1 1 1 x 1 x x x x</t>
  </si>
  <si>
    <t xml:space="preserve">If x = y (log y – log x + 1), then the solution of the equation is : dx dy x x x x y y y y</t>
  </si>
  <si>
    <t xml:space="preserve">The solution of the differential equation ydx + (x + x2 y) dy = 0 is : 1 1 1 xy xy xy</t>
  </si>
  <si>
    <t xml:space="preserve">J-II</t>
  </si>
  <si>
    <t xml:space="preserve">Find the curve possessing the property that the intercept , the tangent at any point of a curve cuts off on the yaxis is equal to the squar</t>
  </si>
  <si>
    <t xml:space="preserve">x  y = 2 x2 cosec 2x dx</t>
  </si>
  <si>
    <t xml:space="preserve">(1 + y2) dx = (tan1 y  x)dy</t>
  </si>
  <si>
    <t xml:space="preserve">Find the differentiable function which satisfies the equation f (x) = –  f ( t ) tan t dt   tan( t  x ) dt 0 0 where x    2 ,  2 x</t>
  </si>
  <si>
    <t xml:space="preserve">Find all functions f (x) defined on   ,  with real values and has a primitive F(x) such that  2 2 sin 2 x f (x) + cos x · F(x) = . Find</t>
  </si>
  <si>
    <t xml:space="preserve">A tank contains 100 litres of fresh water. A solution containing 1 gm/litre of soluble lawn fertilizer runs into the tank at the rate of 1 l</t>
  </si>
  <si>
    <t xml:space="preserve">A tank with a capacity of 1000 litres originally contains 100 gms of salt dissolved in 400 litres of water. Beginning at time t = 0 and endi</t>
  </si>
  <si>
    <t xml:space="preserve">A curve passes through (2, 0) and the slope of tangent at point P (x, y) equals . Find the equation ( x  1) of the curve and area enclosed </t>
  </si>
  <si>
    <t xml:space="preserve">If length of tangent at any point on the curve y = f (x) intercepted between the point and the x–axis is of length 1. Find the equation of t</t>
  </si>
  <si>
    <t xml:space="preserve">(a) Let f be a real valued differentiable function on R (the set of all real numbers) such that f (1) = 1. If the y-intercept of the tangent</t>
  </si>
  <si>
    <t xml:space="preserve">2  y sec x = y3 tan x dx 1  x </t>
  </si>
  <si>
    <t xml:space="preserve">y (2 xy + ex) dx  ex dy = 0</t>
  </si>
  <si>
    <t xml:space="preserve">(x  y2) dx + 2xy dy = 0</t>
  </si>
  <si>
    <t xml:space="preserve">x + y lny = xyex dx</t>
  </si>
  <si>
    <t xml:space="preserve"> = (1 + x) ex sec y dx 1 x</t>
  </si>
  <si>
    <t xml:space="preserve">Identify the statement(s) which is/are True : y x y y2 y x x x y x y y2 y x x x</t>
  </si>
  <si>
    <t xml:space="preserve">A function y = f(x) satisfying the differential equation . sin xy cosx+ 2 = 0 is such that, y  0 as x  dx x then the statement which is</t>
  </si>
  <si>
    <t xml:space="preserve">The tangent at any point P on a curve f (x, y) = 0 cuts the y-axis at T. If the distance of the point T from P equals the distance of T from</t>
  </si>
  <si>
    <t xml:space="preserve">Let C be the family of curves f(x, y, c) = 0 (no member of C is x-axis) such that length of subnormal at any point P(x, y) on the curve C is</t>
  </si>
  <si>
    <t xml:space="preserve">Let C be a curve such that the tangent at any point P on it meets x-axis and y-axis at A and B respectively. If BP : PA = 3:1 and the curve </t>
  </si>
  <si>
    <t xml:space="preserve">The function y = f (x) : Qyu y = f (x) gksxk :</t>
  </si>
  <si>
    <t xml:space="preserve">Which one of the following statement is correct?</t>
  </si>
  <si>
    <t xml:space="preserve">Match the following column : Column-I Column-II [3x2y + 2xy – ex (1 + x)] dx + (x3 + x2)dy = 0 is 2 dy x 3 x2 dx y 2 dy 2 3 1 2 dx x 2 (T) </t>
  </si>
  <si>
    <t xml:space="preserve">J-A</t>
  </si>
  <si>
    <t xml:space="preserve">If y (x) satisfies the differential equation y' – y tan x = 2x sec x and y(0) = 0, then : [JEE-2012] 2 2 2 2             4 2</t>
  </si>
  <si>
    <t xml:space="preserve">A curve passes through the point 1,  . Let the slope of the curve at each point (x, y) be + sec   , x &gt; 0.  6 x x Then the equation </t>
  </si>
  <si>
    <t xml:space="preserve">The function y = f(x) is the solution of the differential equation dx  x 2  1  in (–1, 1) satisfying f(0) = 0. 1  x2 3 2 Then :  f (x) </t>
  </si>
  <si>
    <t xml:space="preserve">Let y (x) be a solution of the differential equation (1+ex)y' + yex = 1. If y (0) = 2, then which of the following statements is (are) true?</t>
  </si>
  <si>
    <t xml:space="preserve">Consider the family of all circles whose centers lie on the straight line y = x. If this family of circles is represented by dy d2 y the dif</t>
  </si>
  <si>
    <t xml:space="preserve">A solution curve of the differential equation (x2 + xy + 4x + 2y + 4) – y = 0, x &gt; 0, passes through the point dx (1, 3). Then the solution </t>
  </si>
  <si>
    <t xml:space="preserve">Let f : (0,  )  R be a differentiable function such that f '(x)  2  for all x  (0, ) and f (1)  1.. Then : x [JEE(Adv.)2016] 1  1</t>
  </si>
  <si>
    <t xml:space="preserve">If y = y(x) satisfies the differential equation 8 x     9  x dy   4  9  x  dx , x &gt; 0 and   y(0) = 7 , then y(256) = [JEE(Adv.)2</t>
  </si>
  <si>
    <t xml:space="preserve">If f : RR is a differentiable function such that f'(x) &gt; 2f(x) for all x  R, and f(0) = 1, then : [JEE(Adv.)2017] [JEE(Adv.)2017]</t>
  </si>
  <si>
    <t xml:space="preserve">R and f(1) = g(2) = 1, then which of the following statement(s) is (are) TRUE? [JEE(Adv.)2018]</t>
  </si>
  <si>
    <t xml:space="preserve">Let f : (0, )  R be a twice differentiable function such that lim  sin 2 x for all x  (0, ). If t x tx    f     , then which </t>
  </si>
  <si>
    <t xml:space="preserve">Let f :R  R be a differentiable function with f(0) = 0. If y = f(x) satisfies the differential equation dy  (2  5y)(5 y  2) , then the v</t>
  </si>
  <si>
    <t xml:space="preserve">Let f : R  R be a differentiable function with f(0) = 1 and satisfying the equation f(x + y) = f(x)f'(y) + f'(x)f(y) for all x, y  R. Then</t>
  </si>
  <si>
    <t xml:space="preserve">Let denote a curve y = y (x) which is in the first quadrant and let the point (1,0) on it.Let the tangent to  at a point P intersect the </t>
  </si>
  <si>
    <t xml:space="preserve">Let b be a nonzero real number. Suppose f : R  R is a differentiable function such that f(0) = 1. If the derivative f (x) f ' of f satisfie</t>
  </si>
  <si>
    <t xml:space="preserve">For any real numbers  and let y, , x   , be the solution of the differential equation  y  xex , dx y(1) = 1. Let S = {y,(x) : </t>
  </si>
  <si>
    <t xml:space="preserve">If y(x) is the solution of the differential equation xdy – (y2 – 4y)dx = 0 for x &gt; 0, y(1) = 2, and the slope of the curve y = y(x) is never</t>
  </si>
  <si>
    <t xml:space="preserve">For x  R, let the function y(x) be the solution of the differential equation  12y  cos  x  , y(0)  0 . Then, dx  12  which of the fo</t>
  </si>
  <si>
    <t xml:space="preserve">2  For x  R , let y(x) be a solution of the differential equation x  5  dx  2xy  2x  x  5  such that 2 y(2) = 7. Then the maximum </t>
  </si>
  <si>
    <t xml:space="preserve">Let f(x) be a continuously differentiable function on the interval (0, ) such that f(1) = 2 and lim 1 t x t9  x9 for each x &gt; 0. Then, f</t>
  </si>
  <si>
    <t xml:space="preserve">C-I</t>
  </si>
  <si>
    <t xml:space="preserve">A function y = f (x) satisfies the differential equation f (x) · sin 2x – cos x + (1 + sin2x) f ' (x) = 0 with initial condition  y (0) =</t>
  </si>
  <si>
    <t xml:space="preserve">Water is drained from a vertical cylindrical tank by opening a valve at the base of the tank. It is known that the rate at which the water l</t>
  </si>
  <si>
    <t xml:space="preserve">The equation of the trajectories which is orthogonal to the family of curves cos y = ae–x is :</t>
  </si>
  <si>
    <t xml:space="preserve">A function y = f (x) satisfies the differential equation – y = cos x – sin x, with initial condition that y is bounded dx when x  . The ar</t>
  </si>
  <si>
    <t xml:space="preserve">A function f (x) satisfying  f (tx) dt = n f (x), where x &gt; 0, is : 0 1 0 1 n n 1</t>
  </si>
  <si>
    <t xml:space="preserve">A curve y = f(x) passing through the point  1,  satisfies the differential equation  x e 2 = 0. Then which  e  dx of the following does</t>
  </si>
  <si>
    <t xml:space="preserve">A curve passing through (2, 3) and satisfying the differential equation  t y(t) dt = x2y (x), (x &gt;0) is : 0 x 0 2 2 2 9 x 2 y2 2 8 18</t>
  </si>
  <si>
    <t xml:space="preserve">A function y = f (x) satisfies (x + 1). f (x) – 2 (x + x) f(x) = ,  x   1 If f(0) = 5, then f(x) is : (x  1) 2 ex 2 (x  1)  3x  5  </t>
  </si>
  <si>
    <t xml:space="preserve">The solution of primitive integral equation (x2 + y2)dy = xy dx, is y = y(x). If y(1) = 1 and y(x0) = e, then x0 is : e2  1 2</t>
  </si>
  <si>
    <t xml:space="preserve">For the primitive integral equation ydx + y2dy = xdy; xR, y &gt; 0, y = y(x), y(1) = 1, then y(–3) is :</t>
  </si>
  <si>
    <t xml:space="preserve">The solution of the differential equation 2x2y = tan (x2y2) – 2xy2 given y(1) = is : dx 2 dy  dx 2  2 2 2 </t>
  </si>
  <si>
    <t xml:space="preserve">The general solution of the differential equation  x(x  y)  x(x  y)3  1 is : (where C is arbitary constant.) dx dy dx (x  y  1)(x  y</t>
  </si>
  <si>
    <t xml:space="preserve">The solution of the equation  tan y  2 tan y sin y is : dx x x dy 1 1 dx x x</t>
  </si>
  <si>
    <t xml:space="preserve">The equation of the curve such that the distance between the origin and the tangent line at an arbitrary point is equal to the distance betw</t>
  </si>
  <si>
    <t xml:space="preserve">Let . Which dx e if x  2 of the following hold(s) good : dy ex ; fn 0  x  2 dx e ; fn x  2</t>
  </si>
  <si>
    <t xml:space="preserve">If y(x) satisfies the differential equation  sin 2x  3y cot x and y   = 2 then which of the following dx 2 statement(s) is/are correct</t>
  </si>
  <si>
    <t xml:space="preserve">The solution(s) of the differential equation 9(2 – y)   = 4 (3 – y) is /are :  dx  2  dy   dx </t>
  </si>
  <si>
    <t xml:space="preserve">Let y = f(x) be a real valued function satisfying x = x2 + y – 2, f(1) = 1, then : dx dy dx</t>
  </si>
  <si>
    <t xml:space="preserve">If y = y(x) is solution of differential equation (1  x 2 )  xy  x such that y(1) = 1 and g(x) = (y – 1)2, then : dy g(x) x 1 (x  1) 2 d</t>
  </si>
  <si>
    <t xml:space="preserve">(a) Form the differential equation of the family of curves represented by, c(y + c)2 = x3; where c is any arbitrary constant. (b) Form a dif</t>
  </si>
  <si>
    <t xml:space="preserve">dx = dy cos x cos y</t>
  </si>
  <si>
    <t xml:space="preserve">(1  x2) (1  y) dx = xy (1 + y) dy 1 1</t>
  </si>
  <si>
    <t xml:space="preserve">dy + x  1 y  1 = 0 2 2 dx xy</t>
  </si>
  <si>
    <t xml:space="preserve">(a) + sin  sin (b) sin x . = y . lny if y = e, when x = dx 2 2 dx 2 dy xy xy dy  dx 2 2 dx 2 y x</t>
  </si>
  <si>
    <t xml:space="preserve">The population P of a town decreases at a rate proportional to the number by which the population exceeds 1000, proportionality constant bei</t>
  </si>
  <si>
    <t xml:space="preserve">It is known that the decay rate of radium is directly proportional to its quantity at each given instant. Find the law of variation of a mas</t>
  </si>
  <si>
    <t xml:space="preserve">A normal is drawn at a point P(x , y) of a curve. It meets the x axis at Q. If PQ is of constant length k, then show dy that the differenti</t>
  </si>
  <si>
    <t xml:space="preserve">A curve is such that the length of the polar radius of any point on the curve is equal to the length of the tangent drawn at this point. For</t>
  </si>
  <si>
    <t xml:space="preserve">Tangent is drawn at the point (xi , yi) on the curve y = f (x), which intersects the x-axis at (xi + 1, 0). Now again a tangent is drawn at </t>
  </si>
  <si>
    <t xml:space="preserve">Given y(0) = 2000 and = 32000 – 20y2, then find the value of Lim y(x ) . dx x  dy dx x </t>
  </si>
  <si>
    <t xml:space="preserve">Let f (x) is a continuous function which takes positive values for x  0 and satisfy  f ( t ) dt = x f ( x ) with 0 1 f (1) = 2 . Find the </t>
  </si>
  <si>
    <t xml:space="preserve">Find the equation of a curve such that the projection of its ordinate upon the normal is equal to its abscissa. 2 y 2  y y2  x 2  n  y </t>
  </si>
  <si>
    <t xml:space="preserve">The light rays emanating from a point source situated at origin when reflected from the mirror of a search light are reflected as beam paral</t>
  </si>
  <si>
    <t xml:space="preserve">The perpendicular from the origin to the tangent at any point on a curve is equal to the abscissa of the point of contact. Find the equation</t>
  </si>
  <si>
    <t xml:space="preserve">Show that the equation of the curve intersecting with the x- axis at the point x = 1 and for which the length of the subnormal at any point </t>
  </si>
  <si>
    <t xml:space="preserve"> x cos  y sin y = y sin  x cos x  x x    x x  d x y</t>
  </si>
  <si>
    <t xml:space="preserve">Find the curve for which any tangent intersects the yaxis at the point equidistant from the point of tangency and the origin. lenwjLFk gSA</t>
  </si>
  <si>
    <t xml:space="preserve">(x  y) dy = (x + y + 1) dx 2y  1</t>
  </si>
  <si>
    <t xml:space="preserve">Show that the curve such that the distance between the origin and the tangent at an arbitrary point is equal to the y  tan 1 x distance be</t>
  </si>
  <si>
    <t xml:space="preserve">Let y = y (t) be a solution to the differential equation y ' + 2t y = t2, then find Lim . t  t y t  t 1</t>
  </si>
  <si>
    <t xml:space="preserve">+ y = dx 1  x2 2x(1  x 2 ) 1  1  1 1  x2  1</t>
  </si>
  <si>
    <t xml:space="preserve">(1  x²) + 2xy = x (1  x²)1/2 dx</t>
  </si>
  <si>
    <t xml:space="preserve">Find the curve such that the area of the trapezium formed by the coordinate axes, ordinate of an arbitrary point and the tangent at this po</t>
  </si>
  <si>
    <t xml:space="preserve">A curve in the first quadrant is such that the area of the triangle formed in the first quadrant by the x-axis, a tangent to the curve at an</t>
  </si>
  <si>
    <t xml:space="preserve">J-M(XIII)</t>
  </si>
  <si>
    <t xml:space="preserve">Let y = y(x) be the solution of the differential equation x3 dy + (xy – 1)dx = 0, x &gt; 0, y    3 – e. Then y(1) is 2 equal to : [JEE(Mai</t>
  </si>
  <si>
    <t xml:space="preserve">Let y = y(x) be the solution of the differential equation (x2 – 3y2) dx + 3xy dy = 0, y(1) = 1. Then 6 y2(e) is equal to : [JEE(Main)Jan.202</t>
  </si>
  <si>
    <t xml:space="preserve">Let y = y(x) be the solution curve of the differential equation  1  xy 2 (1  log e x)  , x &gt; 0, dx x 2 y(1) =3. Then y (x) is equal to </t>
  </si>
  <si>
    <t xml:space="preserve">Let y = y(t) be a solution of the differential equation dy  y  et dt where,   0,   0 and   0 . Then lim t  y(t) [JEE(Main)Jan.</t>
  </si>
  <si>
    <t xml:space="preserve">Let y = f(x) be the solution of the differential equation y(x + 1)dx – x2dy = 0, y(1) = e. Then xlim  0 f (x) is equal to: [JEE(Main)Jan.2</t>
  </si>
  <si>
    <t xml:space="preserve">Let y = y(x) be the solution of the differential equation x log e x  y  x 2 log e x , (x &gt; 1). If y(2) = 2, then y(e) dx is equal to : [JE</t>
  </si>
  <si>
    <t xml:space="preserve">Let the solution curve y = y (x) of the differential equation  3 1 3  dy 3x 5 tan 1 (x 3 )  x  tan x   y  2x exp   pass through t</t>
  </si>
  <si>
    <t xml:space="preserve">The solution of the differential equation dx    3x 2  y 2  , y(1) = 0 is : [JEE(Main)Jan.2023]   dy  x 2  3y 2    xy xy (x  y)2</t>
  </si>
  <si>
    <t xml:space="preserve">Let a differentiable function f satisfy f (x)   t dt  x  1, x  3 . Then 12 f (8) is equal to : 3 [JEE(Main)Jan.2023] x f (t) 3 t [JEE(M</t>
  </si>
  <si>
    <t xml:space="preserve">Let y = y(x) be the solution of the differential equation (3y2 - 5x2)y dx + 2x(x2 - y2) dy = 0 such that y(1) = 1. Then |(y(2))3 - 12y(2)| i</t>
  </si>
  <si>
    <t xml:space="preserve">If y = y(x) is the solution curve of the differential equation  y tan x  x sec x , 0  x  ,y(0) = 1, then dx 3  y   is equal to : [J</t>
  </si>
  <si>
    <t xml:space="preserve">Let x  exp x y     be the solution of the differential equation 2x y dy – (1 – xy )dx = 0, x &gt; 0, y(2)  log 2 . 2 2 e Then      </t>
  </si>
  <si>
    <t xml:space="preserve">Let f : R  R be differentiable function such that f '  x   f  x    f  t  dt . If f(0) = e–2, then 2f(0) – f(2) is equal 0 to _____</t>
  </si>
  <si>
    <t xml:space="preserve">If the solution curve f(x, y)=0 of the differential equation 1  log e x   x log e x  e y , x  0 , passes through the dy points (1, 0) </t>
  </si>
  <si>
    <t xml:space="preserve">The slope of tangent at any point (x, y) on a curve y = y(x) is , x  0 . If y(2) = 0, then a value of y(8) is: 2xy [JEE(Main)April,2023] x </t>
  </si>
  <si>
    <t xml:space="preserve">Let y = y(x) be a solution curve of the differential equation (1 – x2y2)dx = ydx + xdy. If the line x = 1 intersects the curve y = y(x) at y</t>
  </si>
  <si>
    <t xml:space="preserve">Let y = y(x) be the solution of the differential equation dy  5 y  x  1 , x  0 . If y(1) = 2, then y(2) 5 dx x  x  1 5 x7 is equal </t>
  </si>
  <si>
    <t xml:space="preserve">Let y = y(x), y &gt; 0, be a solution curve of the differential equation 1  x 2  dy  y(x  y)dx . If y(0) = 1 and y(2 2)   , then : [JEE(</t>
  </si>
  <si>
    <t xml:space="preserve">Let y = y1(x) and y = y2(x) be the solution curves of the differential equation y  7 with initial conditions y1(0) dx = 0 and y2(0) = 1 re</t>
  </si>
  <si>
    <t xml:space="preserve">Let x = x(y) be the solution of the differential equation 2(y  2) log e (y  2)dx   x  4  2log e (y  2)  dy  0, y  1 with x  e 4 </t>
  </si>
  <si>
    <t xml:space="preserve">Let y = y(x) be a solution of the differential equation (x cos x)dy + (xy sin x  y cos x  1)dx  0, 0  x  . If 2      y   </t>
  </si>
  <si>
    <t xml:space="preserve">Let a curve y  f (x), x  (0,  ) pass through the points P 1,  and Q  a,  . If the tangent at any point  2  2 R(b, f(b)) to the gi</t>
  </si>
  <si>
    <t xml:space="preserve">If the solution curve of the differential equation  y  2 log e x  dx   x log e x 2  dy  0, x  1 passes through the  4 points  e, </t>
  </si>
  <si>
    <t xml:space="preserve">Let the solution curve x = x(y), 0 &lt; y &lt; , of the differential equation 2 2  1  log e (cos y)  cos y dx  1  3x log e (cos y)  sin y</t>
  </si>
  <si>
    <t xml:space="preserve">Let the tangent at any point P on a curve passing through the points (1, 1) and  ,100  , intersect positive x-axis  10  and y-axis at th</t>
  </si>
  <si>
    <t xml:space="preserve">If y = y(x) is the solution of the differential equation  2 y , x  1 such that dx  x  1 5  x 1 2 2 2 y(2)  log e (2  3) and y( 2)</t>
  </si>
  <si>
    <t xml:space="preserve">A function y = f(x) satisfies f(x) sin 2x + sin x – (1 + cos2 x) f'(x) = 0 with condition f(0) = 0. Then, f   is equal 2 to : [JEE(Mai</t>
  </si>
  <si>
    <t xml:space="preserve">The solution curve of the differential equation y  x  log e x  log e y  1 , x &gt; 0, y &gt; 0 passing through the dy point (e, 1) is : [JEE(</t>
  </si>
  <si>
    <t xml:space="preserve">The temperature T(t) of a body at time t = 0 is 160º F and it decreases continuously as per the differential equation dT   k  T  80  , </t>
  </si>
  <si>
    <t xml:space="preserve">I f the solution of the differential equation (2x + 3y – 2) dx + (4x + 6y – 7) dy = 0, y(0) = 3, is x + y + 3 loge |2x + 3y – | = 6, then</t>
  </si>
  <si>
    <t xml:space="preserve">If the solution curve, of the differential equation dy x  y  2 passing through the point (2, 1) is  dx xy 2  y 1  1   y 1   tan </t>
  </si>
  <si>
    <t xml:space="preserve">Let f  x   lim  2 2  r e  be differentiable in (–, 0)  (0, ) and f(1) = 1. Then r x  r  x    the value of ea, such that f(a) </t>
  </si>
  <si>
    <t xml:space="preserve">   0x , y    0 . If y     , then e8 is equal to_________. [JEE(Main)Jan.2024] 2 4 6   24    6</t>
  </si>
  <si>
    <t xml:space="preserve">If x= x(t) is the solution of the differential equation (t + 1)dx = (2x + (t + 1)4)dt, x(0) = 2, then x(1) equals _______. [JEE(Main)Jan.202</t>
  </si>
  <si>
    <t xml:space="preserve">If  , x(1) = 1, then 5x(2) is equal to __________. [JEE(Main)Jan.2024] dy y dx 1  x  y 2 dy y</t>
  </si>
  <si>
    <t xml:space="preserve">Let y = y(x) be the solution of the differential equation (x2 + 4)2dy + (2x3y + 8xy – 2)dx = 0. If y(0) = 0, then y(2) is equal to : [JEE(Ma</t>
  </si>
  <si>
    <t xml:space="preserve">If y = y(x) is the solution of the differential equation  2y  sin(2x) , y(0)  , then y   is equal to : dx 4 8 [JEE(Main)April,2024] d</t>
  </si>
  <si>
    <t xml:space="preserve">The differential equation of the family of circles passing through the origin and having center at the line y = x is : [JEE(Main)April,2024]</t>
  </si>
  <si>
    <t xml:space="preserve">Let y = y(x) be the solution of the differential equation  2x log e x  dx x Then, y(e) is equal to : [JEE(Main)April,2024] dy 3 dx x [JEE(</t>
  </si>
  <si>
    <t xml:space="preserve">Let y = y(x) be the solution of the differential equation 1  x 2   y  e tan x , y(1) = 0. Then y(0) is : dx [JEE(Main)April,2024] dy 1</t>
  </si>
  <si>
    <t xml:space="preserve">Let y= y(x) be the solution curve of the differential equation sec y dx  2x sin y  x 3 cos y , y(1) = 0. Then y 3   is equal to : [JEE(M</t>
  </si>
  <si>
    <t xml:space="preserve">The solution of the differential equation (x2 + y2)dx – 5xy dy = 0, y (1) = 0, is : [JEE(Main)April,2024]</t>
  </si>
  <si>
    <t xml:space="preserve">Let  1   y  t   dt   y  t  dt , 0  x  3, y  0, y(0) = 0. Then at x = 2, y + y + 1 is equal to : 0 0 [JEE(Main)April,2024] x </t>
  </si>
  <si>
    <t xml:space="preserve">C-II</t>
  </si>
  <si>
    <t xml:space="preserve">(x3 + y2 + 2) dx + 2y dy = 0</t>
  </si>
  <si>
    <t xml:space="preserve">   (x  y)  xy  0 dx dx x2</t>
  </si>
  <si>
    <t xml:space="preserve">(1  xy + x2 y2) dx = x2 dy 1</t>
  </si>
  <si>
    <t xml:space="preserve">(x2 + y) = 6x dx</t>
  </si>
  <si>
    <t xml:space="preserve"> y ln 2 = 2sin x . (cos x  1) ln 2 , y being bounded when x  + . dx dy dx</t>
  </si>
  <si>
    <t xml:space="preserve">Find the curve which passes through the point (2, 0) such that the segment of the tangent between the point of tangency and the y  axis has</t>
  </si>
  <si>
    <t xml:space="preserve">x dy + y dx + =0 x2  y 2 y</t>
  </si>
  <si>
    <t xml:space="preserve">2  , given that y = 2 when x = 1. x  y 2 1 x 2 sin 1 x y </t>
  </si>
  <si>
    <t xml:space="preserve">Find the equation of the curve passing through the orgin if the middle point of the segment of its normal from any point of the curve to the</t>
  </si>
  <si>
    <t xml:space="preserve">Find the continuous function which satisfies the relation,  t f ( x  t ) dt =  f (t ) dt + sin x + cosx – x –1, for all real 0 0 number x</t>
  </si>
  <si>
    <t xml:space="preserve">Given two curves y = f(x) passing through the point (0, 1) &amp; y =  f (t)dt passing through the point (0, 1/2). The  tangents drawn to both</t>
  </si>
  <si>
    <t xml:space="preserve">Find the integral curve of the differential equation, x (1  x l n y). + y = 0 which passes through 1,  . dx  e dy  1 dx  e</t>
  </si>
  <si>
    <t xml:space="preserve">Find all the curves possessing the following property; the segment of the tangent between the point of tangency &amp; the x-axis is bisected at </t>
  </si>
  <si>
    <t xml:space="preserve">A curve passing through (1 , 0) such that the ratio of the square of the intercept cut by any tangent off the y-axis to the subnormal is equ</t>
  </si>
  <si>
    <t xml:space="preserve">A &amp; B are two separate reservoirs of water. Capacity of reservoir A is double the capacity of reservoir B. Both the reservoirs are filled co</t>
  </si>
  <si>
    <t xml:space="preserve">A tank consists of 50 litres of fresh water. Two litres of brine each litre containing 5 gms of dissolved salt are run into tank per minute;</t>
  </si>
  <si>
    <t xml:space="preserve">Find the curve for which the portion of y-axis cut-off between the origin and the tangent varies as cube of the absissa of the point of cont</t>
  </si>
  <si>
    <t xml:space="preserve">Find the equation of the curve which passes through the origin and the tangent to which at every point x 4  2xy  1 (x, y) has slope equal </t>
  </si>
  <si>
    <t xml:space="preserve">A right circular cone with radius R and height H contains a liquid which evaporates at a rate proportional to its surface area in contact wi</t>
  </si>
  <si>
    <t xml:space="preserve">If P(1) = 0 and &gt; P(x) for all x &gt; 1 then prove that P(x) &gt; 0 for all x &gt; 1. dx dP ( x ) dx</t>
  </si>
  <si>
    <t xml:space="preserve">Let f(x) be a differentiable function in [–1, ) and f(0) = 1 such that Lim  1. Find the t x 1 f (t)  f(x  1) ln(f(x))  ln 2 value of </t>
  </si>
  <si>
    <t xml:space="preserve">Let y = (a sin x + (b + c) cos x) ex+d, where a, b, c and d are parameters represent a family of curves, then differential equation for the </t>
  </si>
  <si>
    <t xml:space="preserve">let y = f(x) satisfies the differential equation xy (1 + y) dx = dy. If f(0) = 1 and f(2) = , then find the value of k  e2 k. e2 k  e2</t>
  </si>
  <si>
    <t xml:space="preserve">The function g(x) is :</t>
  </si>
  <si>
    <t xml:space="preserve">The range of function g(x) is :  2   1   e   e </t>
  </si>
  <si>
    <t xml:space="preserve">The value of xlim  g(x) is : x </t>
  </si>
  <si>
    <t xml:space="preserve">The value of definite integral  f (x) dx is equal to : 0 1 0 e 1 2</t>
  </si>
  <si>
    <t xml:space="preserve">The x-intercept of normal drawn to the curve y = f(x) at point P where y = f(x) crosses the line x = 1, is equal to : e2  e  1 e2  e  1 </t>
  </si>
  <si>
    <t xml:space="preserve">Which one of the following statement is correct for function f(x)?</t>
  </si>
  <si>
    <t xml:space="preserve">Match the following column : Column-I (Differential equation) Column-II (Integral curves) dy dy dx dx dy dx 2  dy   d 3 y   d 2 y   d</t>
  </si>
  <si>
    <t xml:space="preserve">Match the statements/expressions In Column I with the open intervals In Column II : [JEE-2009] Column–I Column –II     2 2 solutions o</t>
  </si>
  <si>
    <t xml:space="preserve">Match the statements/expressions given in Column I with the values given in Column II : [JEE-2009] Column–I Column –II   in the interval </t>
  </si>
  <si>
    <t xml:space="preserve">The area enclosed by y = f –1(x), the x-axis and the ordinate at x = 2/3 is : 4 2 1 3 3 3</t>
  </si>
  <si>
    <t xml:space="preserve">For the function y = f (x) which one of the following does not hold good?</t>
  </si>
  <si>
    <t xml:space="preserve">The area enclosed by the curve C and the co-ordinate axes is equal to : oØ C ,oa funsZ'kka{kks }kjk f?kjk {ks=kQy gksxk : 1 1 2 1 6 2 3 3</t>
  </si>
  <si>
    <t xml:space="preserve">The shortest distance between the curve C and the circle x2 + y2 – 2y = 0 is equal to : 1 2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</si>
  <si>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</si>
  <si>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</si>
  <si>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</si>
  <si>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</si>
  <si>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</si>
  <si>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144 graded questions; High threshold 13 (about 9.1%).</t>
  </si>
  <si>
    <t xml:space="preserve">Batch XIII: 108 graded questions; High threshold 10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</si>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</sst>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1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1</v>
      </c>
    </row>
    <row r="5" customFormat="false" ht="46.2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17</v>
      </c>
      <c r="E5" s="2" t="s">
        <v>18</v>
      </c>
      <c r="F5" s="2"/>
      <c r="G5" s="2" t="n">
        <f aca="false">COUNTIFS(Map!$D:$D,$A5,Map!$F:$F,"Y")</f>
        <v>4</v>
      </c>
      <c r="H5" s="2" t="str">
        <f aca="false">IF(G5&gt;=Settings!$B$3,"High",IF(G5&gt;=Settings!$B$5,"Medium","Low"))</f>
        <v>Medium</v>
      </c>
      <c r="I5" s="2" t="n">
        <f aca="false">COUNTIFS(Map!$D:$D,$A5,Map!$G:$G,"Y")</f>
        <v>3</v>
      </c>
      <c r="J5" s="2" t="str">
        <f aca="false">IF(I5&gt;=Settings!$B$4,"High",IF(I5&gt;=Settings!$B$5,"Medium","Low"))</f>
        <v>Medium</v>
      </c>
      <c r="K5" s="2" t="n">
        <f aca="false">COUNTIF(Map!$D:$D,$A5)</f>
        <v>10</v>
      </c>
    </row>
    <row r="6" customFormat="false" ht="23.85" hidden="false" customHeight="false" outlineLevel="0" collapsed="false">
      <c r="A6" s="2" t="n">
        <v>5</v>
      </c>
      <c r="B6" s="2" t="s">
        <v>19</v>
      </c>
      <c r="C6" s="2" t="s">
        <v>20</v>
      </c>
      <c r="D6" s="2" t="s">
        <v>13</v>
      </c>
      <c r="E6" s="2"/>
      <c r="F6" s="2" t="n">
        <v>4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4</v>
      </c>
    </row>
    <row r="7" customFormat="false" ht="23.85" hidden="false" customHeight="false" outlineLevel="0" collapsed="false">
      <c r="A7" s="2" t="n">
        <v>6</v>
      </c>
      <c r="B7" s="2" t="s">
        <v>19</v>
      </c>
      <c r="C7" s="2" t="s">
        <v>21</v>
      </c>
      <c r="D7" s="2" t="s">
        <v>13</v>
      </c>
      <c r="E7" s="2"/>
      <c r="F7" s="2" t="n">
        <v>5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5</v>
      </c>
    </row>
    <row r="8" customFormat="false" ht="23.85" hidden="false" customHeight="false" outlineLevel="0" collapsed="false">
      <c r="A8" s="2" t="n">
        <v>7</v>
      </c>
      <c r="B8" s="2" t="s">
        <v>19</v>
      </c>
      <c r="C8" s="2" t="s">
        <v>22</v>
      </c>
      <c r="D8" s="2" t="s">
        <v>13</v>
      </c>
      <c r="E8" s="2"/>
      <c r="F8" s="2" t="n">
        <v>6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0</v>
      </c>
    </row>
    <row r="9" customFormat="false" ht="23.85" hidden="false" customHeight="false" outlineLevel="0" collapsed="false">
      <c r="A9" s="2" t="n">
        <v>8</v>
      </c>
      <c r="B9" s="2" t="s">
        <v>23</v>
      </c>
      <c r="C9" s="2" t="s">
        <v>24</v>
      </c>
      <c r="D9" s="2" t="s">
        <v>13</v>
      </c>
      <c r="E9" s="2"/>
      <c r="F9" s="2" t="n">
        <v>7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3</v>
      </c>
    </row>
    <row r="10" customFormat="false" ht="15" hidden="false" customHeight="false" outlineLevel="0" collapsed="false">
      <c r="A10" s="2" t="n">
        <v>9</v>
      </c>
      <c r="B10" s="2" t="s">
        <v>23</v>
      </c>
      <c r="C10" s="2" t="s">
        <v>25</v>
      </c>
      <c r="D10" s="2" t="s">
        <v>13</v>
      </c>
      <c r="E10" s="2"/>
      <c r="F10" s="2" t="n">
        <v>8</v>
      </c>
      <c r="G10" s="2" t="n">
        <f aca="false">COUNTIFS(Map!$D:$D,$A10,Map!$F:$F,"Y")</f>
        <v>2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2</v>
      </c>
      <c r="J10" s="2" t="str">
        <f aca="false">IF(I10&gt;=Settings!$B$4,"High",IF(I10&gt;=Settings!$B$5,"Medium","Low"))</f>
        <v>Medium</v>
      </c>
      <c r="K10" s="2" t="n">
        <f aca="false">COUNTIF(Map!$D:$D,$A10)</f>
        <v>12</v>
      </c>
    </row>
    <row r="11" customFormat="false" ht="23.85" hidden="false" customHeight="false" outlineLevel="0" collapsed="false">
      <c r="A11" s="2" t="n">
        <v>10</v>
      </c>
      <c r="B11" s="2" t="s">
        <v>23</v>
      </c>
      <c r="C11" s="2" t="s">
        <v>26</v>
      </c>
      <c r="D11" s="2" t="s">
        <v>13</v>
      </c>
      <c r="E11" s="2"/>
      <c r="F11" s="2" t="n">
        <v>9</v>
      </c>
      <c r="G11" s="2" t="n">
        <f aca="false">COUNTIFS(Map!$D:$D,$A11,Map!$F:$F,"Y")</f>
        <v>4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2</v>
      </c>
      <c r="J11" s="2" t="str">
        <f aca="false">IF(I11&gt;=Settings!$B$4,"High",IF(I11&gt;=Settings!$B$5,"Medium","Low"))</f>
        <v>Medium</v>
      </c>
      <c r="K11" s="2" t="n">
        <f aca="false">COUNTIF(Map!$D:$D,$A11)</f>
        <v>9</v>
      </c>
    </row>
    <row r="12" customFormat="false" ht="15" hidden="false" customHeight="false" outlineLevel="0" collapsed="false">
      <c r="A12" s="2" t="n">
        <v>11</v>
      </c>
      <c r="B12" s="2" t="s">
        <v>27</v>
      </c>
      <c r="C12" s="2" t="s">
        <v>28</v>
      </c>
      <c r="D12" s="2" t="s">
        <v>29</v>
      </c>
      <c r="E12" s="2"/>
      <c r="F12" s="2" t="n">
        <v>10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1</v>
      </c>
    </row>
    <row r="13" customFormat="false" ht="15" hidden="false" customHeight="false" outlineLevel="0" collapsed="false">
      <c r="A13" s="2" t="n">
        <v>12</v>
      </c>
      <c r="B13" s="2" t="s">
        <v>27</v>
      </c>
      <c r="C13" s="2" t="s">
        <v>30</v>
      </c>
      <c r="D13" s="2" t="s">
        <v>17</v>
      </c>
      <c r="E13" s="2" t="s">
        <v>31</v>
      </c>
      <c r="F13" s="2"/>
      <c r="G13" s="2" t="n">
        <f aca="false">COUNTIFS(Map!$D:$D,$A13,Map!$F:$F,"Y")</f>
        <v>1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1</v>
      </c>
      <c r="J13" s="2" t="str">
        <f aca="false">IF(I13&gt;=Settings!$B$4,"High",IF(I13&gt;=Settings!$B$5,"Medium","Low"))</f>
        <v>Medium</v>
      </c>
      <c r="K13" s="2" t="n">
        <f aca="false">COUNTIF(Map!$D:$D,$A13)</f>
        <v>2</v>
      </c>
    </row>
    <row r="14" customFormat="false" ht="15" hidden="false" customHeight="false" outlineLevel="0" collapsed="false">
      <c r="A14" s="2" t="n">
        <v>13</v>
      </c>
      <c r="B14" s="2" t="s">
        <v>32</v>
      </c>
      <c r="C14" s="2" t="s">
        <v>33</v>
      </c>
      <c r="D14" s="2" t="s">
        <v>13</v>
      </c>
      <c r="E14" s="2"/>
      <c r="F14" s="2" t="n">
        <v>11</v>
      </c>
      <c r="G14" s="2" t="n">
        <f aca="false">COUNTIFS(Map!$D:$D,$A14,Map!$F:$F,"Y")</f>
        <v>38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26</v>
      </c>
      <c r="J14" s="2" t="str">
        <f aca="false">IF(I14&gt;=Settings!$B$4,"High",IF(I14&gt;=Settings!$B$5,"Medium","Low"))</f>
        <v>High</v>
      </c>
      <c r="K14" s="2" t="n">
        <f aca="false">COUNTIF(Map!$D:$D,$A14)</f>
        <v>111</v>
      </c>
    </row>
    <row r="15" customFormat="false" ht="23.85" hidden="false" customHeight="false" outlineLevel="0" collapsed="false">
      <c r="A15" s="2" t="n">
        <v>14</v>
      </c>
      <c r="B15" s="2" t="s">
        <v>32</v>
      </c>
      <c r="C15" s="2" t="s">
        <v>34</v>
      </c>
      <c r="D15" s="2" t="s">
        <v>13</v>
      </c>
      <c r="E15" s="2"/>
      <c r="F15" s="2" t="n">
        <v>12</v>
      </c>
      <c r="G15" s="2" t="n">
        <f aca="false">COUNTIFS(Map!$D:$D,$A15,Map!$F:$F,"Y")</f>
        <v>4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5</v>
      </c>
      <c r="J15" s="2" t="str">
        <f aca="false">IF(I15&gt;=Settings!$B$4,"High",IF(I15&gt;=Settings!$B$5,"Medium","Low"))</f>
        <v>Medium</v>
      </c>
      <c r="K15" s="2" t="n">
        <f aca="false">COUNTIF(Map!$D:$D,$A15)</f>
        <v>38</v>
      </c>
    </row>
    <row r="16" customFormat="false" ht="23.85" hidden="false" customHeight="false" outlineLevel="0" collapsed="false">
      <c r="A16" s="2" t="n">
        <v>15</v>
      </c>
      <c r="B16" s="2" t="s">
        <v>32</v>
      </c>
      <c r="C16" s="2" t="s">
        <v>35</v>
      </c>
      <c r="D16" s="2" t="s">
        <v>13</v>
      </c>
      <c r="E16" s="2"/>
      <c r="F16" s="2" t="n">
        <v>13</v>
      </c>
      <c r="G16" s="2" t="n">
        <f aca="false">COUNTIFS(Map!$D:$D,$A16,Map!$F:$F,"Y")</f>
        <v>10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7</v>
      </c>
      <c r="J16" s="2" t="str">
        <f aca="false">IF(I16&gt;=Settings!$B$4,"High",IF(I16&gt;=Settings!$B$5,"Medium","Low"))</f>
        <v>Medium</v>
      </c>
      <c r="K16" s="2" t="n">
        <f aca="false">COUNTIF(Map!$D:$D,$A16)</f>
        <v>21</v>
      </c>
    </row>
    <row r="17" customFormat="false" ht="35.05" hidden="false" customHeight="false" outlineLevel="0" collapsed="false">
      <c r="A17" s="2" t="n">
        <v>16</v>
      </c>
      <c r="B17" s="2" t="s">
        <v>32</v>
      </c>
      <c r="C17" s="2" t="s">
        <v>36</v>
      </c>
      <c r="D17" s="2" t="s">
        <v>17</v>
      </c>
      <c r="E17" s="2" t="s">
        <v>37</v>
      </c>
      <c r="F17" s="2"/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1</v>
      </c>
      <c r="J17" s="2" t="str">
        <f aca="false">IF(I17&gt;=Settings!$B$4,"High",IF(I17&gt;=Settings!$B$5,"Medium","Low"))</f>
        <v>Medium</v>
      </c>
      <c r="K17" s="2" t="n">
        <f aca="false">COUNTIF(Map!$D:$D,$A17)</f>
        <v>14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38</v>
      </c>
      <c r="D18" s="2" t="s">
        <v>13</v>
      </c>
      <c r="E18" s="2"/>
      <c r="F18" s="2" t="n">
        <v>14</v>
      </c>
      <c r="G18" s="2" t="n">
        <f aca="false">COUNTIFS(Map!$D:$D,$A18,Map!$F:$F,"Y")</f>
        <v>1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1</v>
      </c>
    </row>
    <row r="19" customFormat="false" ht="15" hidden="false" customHeight="false" outlineLevel="0" collapsed="false">
      <c r="A19" s="2" t="n">
        <v>18</v>
      </c>
      <c r="B19" s="2" t="s">
        <v>32</v>
      </c>
      <c r="C19" s="2" t="s">
        <v>39</v>
      </c>
      <c r="D19" s="2" t="s">
        <v>29</v>
      </c>
      <c r="E19" s="2"/>
      <c r="F19" s="2" t="n">
        <v>15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2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s">
        <v>40</v>
      </c>
      <c r="D20" s="2" t="s">
        <v>13</v>
      </c>
      <c r="E20" s="2"/>
      <c r="F20" s="2" t="n">
        <v>16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3</v>
      </c>
    </row>
    <row r="21" customFormat="false" ht="15" hidden="false" customHeight="false" outlineLevel="0" collapsed="false">
      <c r="A21" s="2" t="n">
        <v>20</v>
      </c>
      <c r="B21" s="2" t="s">
        <v>32</v>
      </c>
      <c r="C21" s="2" t="s">
        <v>41</v>
      </c>
      <c r="D21" s="2" t="s">
        <v>29</v>
      </c>
      <c r="E21" s="2"/>
      <c r="F21" s="2" t="n">
        <v>17</v>
      </c>
      <c r="G21" s="2" t="n">
        <f aca="false">COUNTIFS(Map!$D:$D,$A21,Map!$F:$F,"Y")</f>
        <v>3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3</v>
      </c>
      <c r="J21" s="2" t="str">
        <f aca="false">IF(I21&gt;=Settings!$B$4,"High",IF(I21&gt;=Settings!$B$5,"Medium","Low"))</f>
        <v>Medium</v>
      </c>
      <c r="K21" s="2" t="n">
        <f aca="false">COUNTIF(Map!$D:$D,$A21)</f>
        <v>11</v>
      </c>
    </row>
    <row r="22" customFormat="false" ht="15" hidden="false" customHeight="false" outlineLevel="0" collapsed="false">
      <c r="A22" s="2" t="n">
        <v>21</v>
      </c>
      <c r="B22" s="2" t="s">
        <v>32</v>
      </c>
      <c r="C22" s="2" t="s">
        <v>42</v>
      </c>
      <c r="D22" s="2" t="s">
        <v>29</v>
      </c>
      <c r="E22" s="2"/>
      <c r="F22" s="2" t="n">
        <v>18</v>
      </c>
      <c r="G22" s="2" t="n">
        <f aca="false">COUNTIFS(Map!$D:$D,$A22,Map!$F:$F,"Y")</f>
        <v>1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1</v>
      </c>
    </row>
    <row r="23" customFormat="false" ht="23.85" hidden="false" customHeight="false" outlineLevel="0" collapsed="false">
      <c r="A23" s="2" t="n">
        <v>22</v>
      </c>
      <c r="B23" s="2" t="s">
        <v>32</v>
      </c>
      <c r="C23" s="2" t="s">
        <v>43</v>
      </c>
      <c r="D23" s="2" t="s">
        <v>13</v>
      </c>
      <c r="E23" s="2"/>
      <c r="F23" s="2" t="n">
        <v>19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2</v>
      </c>
    </row>
    <row r="24" customFormat="false" ht="15" hidden="false" customHeight="false" outlineLevel="0" collapsed="false">
      <c r="A24" s="2" t="n">
        <v>23</v>
      </c>
      <c r="B24" s="2" t="s">
        <v>32</v>
      </c>
      <c r="C24" s="2" t="s">
        <v>44</v>
      </c>
      <c r="D24" s="2" t="s">
        <v>13</v>
      </c>
      <c r="E24" s="2"/>
      <c r="F24" s="2" t="n">
        <v>20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1</v>
      </c>
    </row>
    <row r="25" customFormat="false" ht="23.85" hidden="false" customHeight="false" outlineLevel="0" collapsed="false">
      <c r="A25" s="2" t="n">
        <v>24</v>
      </c>
      <c r="B25" s="2" t="s">
        <v>45</v>
      </c>
      <c r="C25" s="2" t="s">
        <v>46</v>
      </c>
      <c r="D25" s="2" t="s">
        <v>13</v>
      </c>
      <c r="E25" s="2"/>
      <c r="F25" s="2" t="n">
        <v>21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1</v>
      </c>
    </row>
    <row r="26" customFormat="false" ht="15" hidden="false" customHeight="false" outlineLevel="0" collapsed="false">
      <c r="A26" s="2" t="n">
        <v>25</v>
      </c>
      <c r="B26" s="2" t="s">
        <v>45</v>
      </c>
      <c r="C26" s="2" t="s">
        <v>47</v>
      </c>
      <c r="D26" s="2" t="s">
        <v>13</v>
      </c>
      <c r="E26" s="2"/>
      <c r="F26" s="2" t="n">
        <v>22</v>
      </c>
      <c r="G26" s="2" t="n">
        <f aca="false">COUNTIFS(Map!$D:$D,$A26,Map!$F:$F,"Y")</f>
        <v>12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10</v>
      </c>
      <c r="J26" s="2" t="str">
        <f aca="false">IF(I26&gt;=Settings!$B$4,"High",IF(I26&gt;=Settings!$B$5,"Medium","Low"))</f>
        <v>High</v>
      </c>
      <c r="K26" s="2" t="n">
        <f aca="false">COUNTIF(Map!$D:$D,$A26)</f>
        <v>38</v>
      </c>
    </row>
    <row r="27" customFormat="false" ht="23.85" hidden="false" customHeight="false" outlineLevel="0" collapsed="false">
      <c r="A27" s="2" t="n">
        <v>26</v>
      </c>
      <c r="B27" s="2" t="s">
        <v>48</v>
      </c>
      <c r="C27" s="2" t="s">
        <v>49</v>
      </c>
      <c r="D27" s="2" t="s">
        <v>13</v>
      </c>
      <c r="E27" s="2"/>
      <c r="F27" s="2" t="n">
        <v>23</v>
      </c>
      <c r="G27" s="2" t="n">
        <f aca="false">COUNTIFS(Map!$D:$D,$A27,Map!$F:$F,"Y")</f>
        <v>4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2</v>
      </c>
      <c r="J27" s="2" t="str">
        <f aca="false">IF(I27&gt;=Settings!$B$4,"High",IF(I27&gt;=Settings!$B$5,"Medium","Low"))</f>
        <v>Medium</v>
      </c>
      <c r="K27" s="2" t="n">
        <f aca="false">COUNTIF(Map!$D:$D,$A27)</f>
        <v>6</v>
      </c>
    </row>
    <row r="28" customFormat="false" ht="15" hidden="false" customHeight="false" outlineLevel="0" collapsed="false">
      <c r="A28" s="2" t="n">
        <v>27</v>
      </c>
      <c r="B28" s="2" t="s">
        <v>50</v>
      </c>
      <c r="C28" s="2" t="s">
        <v>51</v>
      </c>
      <c r="D28" s="2" t="s">
        <v>13</v>
      </c>
      <c r="E28" s="2"/>
      <c r="F28" s="2" t="n">
        <v>24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1</v>
      </c>
    </row>
    <row r="29" customFormat="false" ht="15" hidden="false" customHeight="false" outlineLevel="0" collapsed="false">
      <c r="A29" s="2" t="n">
        <v>28</v>
      </c>
      <c r="B29" s="2" t="s">
        <v>50</v>
      </c>
      <c r="C29" s="2" t="s">
        <v>52</v>
      </c>
      <c r="D29" s="2" t="s">
        <v>13</v>
      </c>
      <c r="E29" s="2"/>
      <c r="F29" s="2" t="n">
        <v>25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53</v>
      </c>
      <c r="D30" s="2" t="s">
        <v>13</v>
      </c>
      <c r="E30" s="2"/>
      <c r="F30" s="2" t="n">
        <v>26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50</v>
      </c>
      <c r="C31" s="2" t="s">
        <v>54</v>
      </c>
      <c r="D31" s="2" t="s">
        <v>13</v>
      </c>
      <c r="E31" s="2"/>
      <c r="F31" s="2" t="n">
        <v>27</v>
      </c>
      <c r="G31" s="2" t="n">
        <f aca="false">COUNTIFS(Map!$D:$D,$A31,Map!$F:$F,"Y")</f>
        <v>6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6</v>
      </c>
      <c r="J31" s="2" t="str">
        <f aca="false">IF(I31&gt;=Settings!$B$4,"High",IF(I31&gt;=Settings!$B$5,"Medium","Low"))</f>
        <v>Medium</v>
      </c>
      <c r="K31" s="2" t="n">
        <f aca="false">COUNTIF(Map!$D:$D,$A31)</f>
        <v>19</v>
      </c>
    </row>
    <row r="32" customFormat="false" ht="15" hidden="false" customHeight="false" outlineLevel="0" collapsed="false">
      <c r="A32" s="2" t="n">
        <v>31</v>
      </c>
      <c r="B32" s="2" t="s">
        <v>50</v>
      </c>
      <c r="C32" s="2" t="s">
        <v>55</v>
      </c>
      <c r="D32" s="2" t="s">
        <v>13</v>
      </c>
      <c r="E32" s="2"/>
      <c r="F32" s="2" t="n">
        <v>28</v>
      </c>
      <c r="G32" s="2" t="n">
        <f aca="false">COUNTIFS(Map!$D:$D,$A32,Map!$F:$F,"Y")</f>
        <v>67</v>
      </c>
      <c r="H32" s="2" t="str">
        <f aca="false">IF(G32&gt;=Settings!$B$3,"High",IF(G32&gt;=Settings!$B$5,"Medium","Low"))</f>
        <v>High</v>
      </c>
      <c r="I32" s="2" t="n">
        <f aca="false">COUNTIFS(Map!$D:$D,$A32,Map!$G:$G,"Y")</f>
        <v>59</v>
      </c>
      <c r="J32" s="2" t="str">
        <f aca="false">IF(I32&gt;=Settings!$B$4,"High",IF(I32&gt;=Settings!$B$5,"Medium","Low"))</f>
        <v>High</v>
      </c>
      <c r="K32" s="2" t="n">
        <f aca="false">COUNTIF(Map!$D:$D,$A32)</f>
        <v>161</v>
      </c>
    </row>
    <row r="33" customFormat="false" ht="15" hidden="false" customHeight="false" outlineLevel="0" collapsed="false">
      <c r="A33" s="2" t="n">
        <v>32</v>
      </c>
      <c r="B33" s="2" t="s">
        <v>50</v>
      </c>
      <c r="C33" s="2" t="s">
        <v>56</v>
      </c>
      <c r="D33" s="2" t="s">
        <v>17</v>
      </c>
      <c r="E33" s="2" t="s">
        <v>57</v>
      </c>
      <c r="F33" s="2"/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1</v>
      </c>
      <c r="J33" s="2" t="str">
        <f aca="false">IF(I33&gt;=Settings!$B$4,"High",IF(I33&gt;=Settings!$B$5,"Medium","Low"))</f>
        <v>Medium</v>
      </c>
      <c r="K33" s="2" t="n">
        <f aca="false">COUNTIF(Map!$D:$D,$A33)</f>
        <v>2</v>
      </c>
    </row>
    <row r="34" customFormat="false" ht="23.85" hidden="false" customHeight="false" outlineLevel="0" collapsed="false">
      <c r="A34" s="2" t="n">
        <v>33</v>
      </c>
      <c r="B34" s="2" t="s">
        <v>58</v>
      </c>
      <c r="C34" s="2" t="s">
        <v>59</v>
      </c>
      <c r="D34" s="2" t="s">
        <v>13</v>
      </c>
      <c r="E34" s="2"/>
      <c r="F34" s="2" t="n">
        <v>29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0</v>
      </c>
    </row>
    <row r="35" customFormat="false" ht="23.85" hidden="false" customHeight="false" outlineLevel="0" collapsed="false">
      <c r="A35" s="2" t="n">
        <v>34</v>
      </c>
      <c r="B35" s="2" t="s">
        <v>58</v>
      </c>
      <c r="C35" s="2" t="s">
        <v>60</v>
      </c>
      <c r="D35" s="2" t="s">
        <v>13</v>
      </c>
      <c r="E35" s="2"/>
      <c r="F35" s="2" t="n">
        <v>30</v>
      </c>
      <c r="G35" s="2" t="n">
        <f aca="false">COUNTIFS(Map!$D:$D,$A35,Map!$F:$F,"Y")</f>
        <v>3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4</v>
      </c>
      <c r="J35" s="2" t="str">
        <f aca="false">IF(I35&gt;=Settings!$B$4,"High",IF(I35&gt;=Settings!$B$5,"Medium","Low"))</f>
        <v>Medium</v>
      </c>
      <c r="K35" s="2" t="n">
        <f aca="false">COUNTIF(Map!$D:$D,$A35)</f>
        <v>13</v>
      </c>
    </row>
    <row r="36" customFormat="false" ht="23.85" hidden="false" customHeight="false" outlineLevel="0" collapsed="false">
      <c r="A36" s="2" t="n">
        <v>35</v>
      </c>
      <c r="B36" s="2" t="s">
        <v>58</v>
      </c>
      <c r="C36" s="2" t="s">
        <v>61</v>
      </c>
      <c r="D36" s="2" t="s">
        <v>13</v>
      </c>
      <c r="E36" s="2"/>
      <c r="F36" s="2" t="n">
        <v>31</v>
      </c>
      <c r="G36" s="2" t="n">
        <f aca="false">COUNTIFS(Map!$D:$D,$A36,Map!$F:$F,"Y")</f>
        <v>7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6</v>
      </c>
      <c r="J36" s="2" t="str">
        <f aca="false">IF(I36&gt;=Settings!$B$4,"High",IF(I36&gt;=Settings!$B$5,"Medium","Low"))</f>
        <v>Medium</v>
      </c>
      <c r="K36" s="2" t="n">
        <f aca="false">COUNTIF(Map!$D:$D,$A36)</f>
        <v>23</v>
      </c>
    </row>
    <row r="37" customFormat="false" ht="15" hidden="false" customHeight="false" outlineLevel="0" collapsed="false">
      <c r="A37" s="2" t="n">
        <v>36</v>
      </c>
      <c r="B37" s="2" t="s">
        <v>62</v>
      </c>
      <c r="C37" s="2" t="s">
        <v>63</v>
      </c>
      <c r="D37" s="2" t="s">
        <v>13</v>
      </c>
      <c r="E37" s="2"/>
      <c r="F37" s="2" t="n">
        <v>32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62</v>
      </c>
      <c r="C38" s="2" t="s">
        <v>64</v>
      </c>
      <c r="D38" s="2" t="s">
        <v>13</v>
      </c>
      <c r="E38" s="2"/>
      <c r="F38" s="2" t="n">
        <v>33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2</v>
      </c>
    </row>
    <row r="39" customFormat="false" ht="15" hidden="false" customHeight="false" outlineLevel="0" collapsed="false">
      <c r="A39" s="2" t="n">
        <v>38</v>
      </c>
      <c r="B39" s="2" t="s">
        <v>65</v>
      </c>
      <c r="C39" s="2" t="s">
        <v>66</v>
      </c>
      <c r="D39" s="2" t="s">
        <v>29</v>
      </c>
      <c r="E39" s="2"/>
      <c r="F39" s="2" t="n">
        <v>34</v>
      </c>
      <c r="G39" s="2" t="n">
        <f aca="false">COUNTIFS(Map!$D:$D,$A39,Map!$F:$F,"Y")</f>
        <v>1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1</v>
      </c>
      <c r="J39" s="2" t="str">
        <f aca="false">IF(I39&gt;=Settings!$B$4,"High",IF(I39&gt;=Settings!$B$5,"Medium","Low"))</f>
        <v>Medium</v>
      </c>
      <c r="K39" s="2" t="n">
        <f aca="false">COUNTIF(Map!$D:$D,$A39)</f>
        <v>3</v>
      </c>
    </row>
    <row r="40" customFormat="false" ht="15" hidden="false" customHeight="false" outlineLevel="0" collapsed="false">
      <c r="A40" s="2" t="n">
        <v>39</v>
      </c>
      <c r="B40" s="2" t="s">
        <v>65</v>
      </c>
      <c r="C40" s="2" t="s">
        <v>67</v>
      </c>
      <c r="D40" s="2" t="s">
        <v>13</v>
      </c>
      <c r="E40" s="2"/>
      <c r="F40" s="2" t="n">
        <v>35</v>
      </c>
      <c r="G40" s="2" t="n">
        <f aca="false">COUNTIFS(Map!$D:$D,$A40,Map!$F:$F,"Y")</f>
        <v>16</v>
      </c>
      <c r="H40" s="2" t="str">
        <f aca="false">IF(G40&gt;=Settings!$B$3,"High",IF(G40&gt;=Settings!$B$5,"Medium","Low"))</f>
        <v>High</v>
      </c>
      <c r="I40" s="2" t="n">
        <f aca="false">COUNTIFS(Map!$D:$D,$A40,Map!$G:$G,"Y")</f>
        <v>6</v>
      </c>
      <c r="J40" s="2" t="str">
        <f aca="false">IF(I40&gt;=Settings!$B$4,"High",IF(I40&gt;=Settings!$B$5,"Medium","Low"))</f>
        <v>Medium</v>
      </c>
      <c r="K40" s="2" t="n">
        <f aca="false">COUNTIF(Map!$D:$D,$A40)</f>
        <v>30</v>
      </c>
    </row>
  </sheetData>
  <autoFilter ref="A1:K40"/>
  <conditionalFormatting sqref="H2:H4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4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customFormat="false" ht="15" hidden="false" customHeight="false" outlineLevel="0" collapsed="false">
      <c r="A2" s="3" t="s">
        <v>76</v>
      </c>
      <c r="B2" s="3" t="n">
        <v>89</v>
      </c>
      <c r="C2" s="3" t="s">
        <v>77</v>
      </c>
      <c r="D2" s="3" t="n">
        <v>15</v>
      </c>
      <c r="E2" s="3" t="s">
        <v>78</v>
      </c>
      <c r="F2" s="3" t="s">
        <v>79</v>
      </c>
      <c r="G2" s="3" t="s">
        <v>79</v>
      </c>
      <c r="H2" s="3" t="s">
        <v>80</v>
      </c>
    </row>
    <row r="3" customFormat="false" ht="15" hidden="false" customHeight="false" outlineLevel="0" collapsed="false">
      <c r="A3" s="3" t="s">
        <v>76</v>
      </c>
      <c r="B3" s="3" t="n">
        <v>89</v>
      </c>
      <c r="C3" s="3" t="s">
        <v>77</v>
      </c>
      <c r="D3" s="3" t="n">
        <v>31</v>
      </c>
      <c r="E3" s="3" t="s">
        <v>81</v>
      </c>
      <c r="F3" s="3" t="s">
        <v>79</v>
      </c>
      <c r="G3" s="3" t="s">
        <v>79</v>
      </c>
      <c r="H3" s="3" t="s">
        <v>80</v>
      </c>
    </row>
    <row r="4" customFormat="false" ht="15" hidden="false" customHeight="false" outlineLevel="0" collapsed="false">
      <c r="A4" s="3" t="s">
        <v>76</v>
      </c>
      <c r="B4" s="3" t="n">
        <v>90</v>
      </c>
      <c r="C4" s="3" t="s">
        <v>77</v>
      </c>
      <c r="D4" s="3" t="n">
        <v>31</v>
      </c>
      <c r="E4" s="3" t="s">
        <v>78</v>
      </c>
      <c r="F4" s="3" t="s">
        <v>79</v>
      </c>
      <c r="G4" s="3" t="s">
        <v>79</v>
      </c>
      <c r="H4" s="3" t="s">
        <v>82</v>
      </c>
    </row>
    <row r="5" customFormat="false" ht="15" hidden="false" customHeight="false" outlineLevel="0" collapsed="false">
      <c r="A5" s="3" t="s">
        <v>76</v>
      </c>
      <c r="B5" s="3" t="n">
        <v>90</v>
      </c>
      <c r="C5" s="3" t="s">
        <v>77</v>
      </c>
      <c r="D5" s="3" t="n">
        <v>15</v>
      </c>
      <c r="E5" s="3" t="s">
        <v>81</v>
      </c>
      <c r="F5" s="3" t="s">
        <v>79</v>
      </c>
      <c r="G5" s="3" t="s">
        <v>79</v>
      </c>
      <c r="H5" s="3" t="s">
        <v>82</v>
      </c>
    </row>
    <row r="6" customFormat="false" ht="15" hidden="false" customHeight="false" outlineLevel="0" collapsed="false">
      <c r="A6" s="3" t="s">
        <v>76</v>
      </c>
      <c r="B6" s="3" t="n">
        <v>91</v>
      </c>
      <c r="C6" s="3" t="s">
        <v>77</v>
      </c>
      <c r="D6" s="3" t="n">
        <v>31</v>
      </c>
      <c r="E6" s="3" t="s">
        <v>78</v>
      </c>
      <c r="F6" s="3" t="s">
        <v>79</v>
      </c>
      <c r="G6" s="3" t="s">
        <v>79</v>
      </c>
      <c r="H6" s="3" t="s">
        <v>83</v>
      </c>
    </row>
    <row r="7" customFormat="false" ht="15" hidden="false" customHeight="false" outlineLevel="0" collapsed="false">
      <c r="A7" s="3" t="s">
        <v>76</v>
      </c>
      <c r="B7" s="3" t="n">
        <v>92</v>
      </c>
      <c r="C7" s="3" t="s">
        <v>77</v>
      </c>
      <c r="D7" s="3" t="n">
        <v>15</v>
      </c>
      <c r="E7" s="3" t="s">
        <v>78</v>
      </c>
      <c r="F7" s="3" t="s">
        <v>79</v>
      </c>
      <c r="G7" s="3" t="s">
        <v>79</v>
      </c>
      <c r="H7" s="3" t="s">
        <v>84</v>
      </c>
    </row>
    <row r="8" customFormat="false" ht="15" hidden="false" customHeight="false" outlineLevel="0" collapsed="false">
      <c r="A8" s="3" t="s">
        <v>76</v>
      </c>
      <c r="B8" s="3" t="n">
        <v>92</v>
      </c>
      <c r="C8" s="3" t="s">
        <v>77</v>
      </c>
      <c r="D8" s="3" t="n">
        <v>31</v>
      </c>
      <c r="E8" s="3" t="s">
        <v>81</v>
      </c>
      <c r="F8" s="3" t="s">
        <v>79</v>
      </c>
      <c r="G8" s="3" t="s">
        <v>79</v>
      </c>
      <c r="H8" s="3" t="s">
        <v>84</v>
      </c>
    </row>
    <row r="9" customFormat="false" ht="15" hidden="false" customHeight="false" outlineLevel="0" collapsed="false">
      <c r="A9" s="3" t="s">
        <v>76</v>
      </c>
      <c r="B9" s="3" t="n">
        <v>93</v>
      </c>
      <c r="C9" s="3" t="s">
        <v>77</v>
      </c>
      <c r="D9" s="3" t="n">
        <v>35</v>
      </c>
      <c r="E9" s="3" t="s">
        <v>78</v>
      </c>
      <c r="F9" s="3" t="s">
        <v>79</v>
      </c>
      <c r="G9" s="3" t="s">
        <v>79</v>
      </c>
      <c r="H9" s="3" t="s">
        <v>85</v>
      </c>
    </row>
    <row r="10" customFormat="false" ht="15" hidden="false" customHeight="false" outlineLevel="0" collapsed="false">
      <c r="A10" s="3" t="s">
        <v>76</v>
      </c>
      <c r="B10" s="3" t="n">
        <v>93</v>
      </c>
      <c r="C10" s="3" t="s">
        <v>77</v>
      </c>
      <c r="D10" s="3" t="n">
        <v>31</v>
      </c>
      <c r="E10" s="3" t="s">
        <v>81</v>
      </c>
      <c r="F10" s="3" t="s">
        <v>79</v>
      </c>
      <c r="G10" s="3" t="s">
        <v>79</v>
      </c>
      <c r="H10" s="3" t="s">
        <v>85</v>
      </c>
    </row>
    <row r="11" customFormat="false" ht="15" hidden="false" customHeight="false" outlineLevel="0" collapsed="false">
      <c r="A11" s="3" t="s">
        <v>76</v>
      </c>
      <c r="B11" s="3" t="n">
        <v>94</v>
      </c>
      <c r="C11" s="3" t="s">
        <v>77</v>
      </c>
      <c r="D11" s="3" t="n">
        <v>31</v>
      </c>
      <c r="E11" s="3" t="s">
        <v>78</v>
      </c>
      <c r="F11" s="3" t="s">
        <v>79</v>
      </c>
      <c r="G11" s="3" t="s">
        <v>79</v>
      </c>
      <c r="H11" s="3" t="s">
        <v>86</v>
      </c>
    </row>
    <row r="12" customFormat="false" ht="15" hidden="false" customHeight="false" outlineLevel="0" collapsed="false">
      <c r="A12" s="3" t="s">
        <v>76</v>
      </c>
      <c r="B12" s="3" t="n">
        <v>95</v>
      </c>
      <c r="C12" s="3" t="s">
        <v>77</v>
      </c>
      <c r="D12" s="3" t="n">
        <v>31</v>
      </c>
      <c r="E12" s="3" t="s">
        <v>78</v>
      </c>
      <c r="F12" s="3" t="s">
        <v>79</v>
      </c>
      <c r="G12" s="3" t="s">
        <v>79</v>
      </c>
      <c r="H12" s="3" t="s">
        <v>87</v>
      </c>
    </row>
    <row r="13" customFormat="false" ht="15" hidden="false" customHeight="false" outlineLevel="0" collapsed="false">
      <c r="A13" s="3" t="s">
        <v>76</v>
      </c>
      <c r="B13" s="3" t="n">
        <v>96</v>
      </c>
      <c r="C13" s="3" t="s">
        <v>77</v>
      </c>
      <c r="D13" s="3" t="n">
        <v>31</v>
      </c>
      <c r="E13" s="3" t="s">
        <v>78</v>
      </c>
      <c r="F13" s="3" t="s">
        <v>79</v>
      </c>
      <c r="G13" s="3" t="s">
        <v>79</v>
      </c>
      <c r="H13" s="3" t="s">
        <v>88</v>
      </c>
    </row>
    <row r="14" customFormat="false" ht="15" hidden="false" customHeight="false" outlineLevel="0" collapsed="false">
      <c r="A14" s="3" t="s">
        <v>76</v>
      </c>
      <c r="B14" s="3" t="n">
        <v>97</v>
      </c>
      <c r="C14" s="3" t="s">
        <v>77</v>
      </c>
      <c r="D14" s="3" t="n">
        <v>31</v>
      </c>
      <c r="E14" s="3" t="s">
        <v>78</v>
      </c>
      <c r="F14" s="3" t="s">
        <v>79</v>
      </c>
      <c r="G14" s="3" t="s">
        <v>79</v>
      </c>
      <c r="H14" s="3" t="s">
        <v>89</v>
      </c>
    </row>
    <row r="15" customFormat="false" ht="15" hidden="false" customHeight="false" outlineLevel="0" collapsed="false">
      <c r="A15" s="3" t="s">
        <v>76</v>
      </c>
      <c r="B15" s="3" t="n">
        <v>97</v>
      </c>
      <c r="C15" s="3" t="s">
        <v>77</v>
      </c>
      <c r="D15" s="3" t="n">
        <v>30</v>
      </c>
      <c r="E15" s="3" t="s">
        <v>81</v>
      </c>
      <c r="F15" s="3" t="s">
        <v>79</v>
      </c>
      <c r="G15" s="3" t="s">
        <v>79</v>
      </c>
      <c r="H15" s="3" t="s">
        <v>89</v>
      </c>
    </row>
    <row r="16" customFormat="false" ht="15" hidden="false" customHeight="false" outlineLevel="0" collapsed="false">
      <c r="A16" s="3" t="s">
        <v>76</v>
      </c>
      <c r="B16" s="3" t="n">
        <v>98</v>
      </c>
      <c r="C16" s="3" t="s">
        <v>77</v>
      </c>
      <c r="D16" s="3" t="n">
        <v>13</v>
      </c>
      <c r="E16" s="3" t="s">
        <v>78</v>
      </c>
      <c r="F16" s="3" t="s">
        <v>79</v>
      </c>
      <c r="G16" s="3" t="s">
        <v>79</v>
      </c>
      <c r="H16" s="3" t="s">
        <v>90</v>
      </c>
    </row>
    <row r="17" customFormat="false" ht="15" hidden="false" customHeight="false" outlineLevel="0" collapsed="false">
      <c r="A17" s="3" t="s">
        <v>76</v>
      </c>
      <c r="B17" s="3" t="n">
        <v>99</v>
      </c>
      <c r="C17" s="3" t="s">
        <v>77</v>
      </c>
      <c r="D17" s="3" t="n">
        <v>31</v>
      </c>
      <c r="E17" s="3" t="s">
        <v>78</v>
      </c>
      <c r="F17" s="3" t="s">
        <v>79</v>
      </c>
      <c r="G17" s="3" t="s">
        <v>79</v>
      </c>
      <c r="H17" s="3" t="s">
        <v>91</v>
      </c>
    </row>
    <row r="18" customFormat="false" ht="15" hidden="false" customHeight="false" outlineLevel="0" collapsed="false">
      <c r="A18" s="3" t="s">
        <v>76</v>
      </c>
      <c r="B18" s="3" t="n">
        <v>99</v>
      </c>
      <c r="C18" s="3" t="s">
        <v>77</v>
      </c>
      <c r="D18" s="3" t="n">
        <v>30</v>
      </c>
      <c r="E18" s="3" t="s">
        <v>81</v>
      </c>
      <c r="F18" s="3" t="s">
        <v>79</v>
      </c>
      <c r="G18" s="3" t="s">
        <v>79</v>
      </c>
      <c r="H18" s="3" t="s">
        <v>91</v>
      </c>
    </row>
    <row r="19" customFormat="false" ht="15" hidden="false" customHeight="false" outlineLevel="0" collapsed="false">
      <c r="A19" s="3" t="s">
        <v>76</v>
      </c>
      <c r="B19" s="3" t="n">
        <v>100</v>
      </c>
      <c r="C19" s="3" t="s">
        <v>77</v>
      </c>
      <c r="D19" s="3" t="n">
        <v>39</v>
      </c>
      <c r="E19" s="3" t="s">
        <v>78</v>
      </c>
      <c r="F19" s="3" t="s">
        <v>79</v>
      </c>
      <c r="G19" s="3" t="s">
        <v>79</v>
      </c>
      <c r="H19" s="3" t="s">
        <v>92</v>
      </c>
    </row>
    <row r="20" customFormat="false" ht="15" hidden="false" customHeight="false" outlineLevel="0" collapsed="false">
      <c r="A20" s="3" t="s">
        <v>76</v>
      </c>
      <c r="B20" s="3" t="n">
        <v>101</v>
      </c>
      <c r="C20" s="3" t="s">
        <v>77</v>
      </c>
      <c r="D20" s="3" t="n">
        <v>31</v>
      </c>
      <c r="E20" s="3" t="s">
        <v>78</v>
      </c>
      <c r="F20" s="3" t="s">
        <v>79</v>
      </c>
      <c r="G20" s="3" t="s">
        <v>79</v>
      </c>
      <c r="H20" s="3" t="s">
        <v>93</v>
      </c>
    </row>
    <row r="21" customFormat="false" ht="15" hidden="false" customHeight="false" outlineLevel="0" collapsed="false">
      <c r="A21" s="3" t="s">
        <v>76</v>
      </c>
      <c r="B21" s="3" t="n">
        <v>102</v>
      </c>
      <c r="C21" s="3" t="s">
        <v>77</v>
      </c>
      <c r="D21" s="3" t="n">
        <v>15</v>
      </c>
      <c r="E21" s="3" t="s">
        <v>78</v>
      </c>
      <c r="F21" s="3" t="s">
        <v>79</v>
      </c>
      <c r="G21" s="3" t="s">
        <v>79</v>
      </c>
      <c r="H21" s="3" t="s">
        <v>94</v>
      </c>
    </row>
    <row r="22" customFormat="false" ht="15" hidden="false" customHeight="false" outlineLevel="0" collapsed="false">
      <c r="A22" s="3" t="s">
        <v>76</v>
      </c>
      <c r="B22" s="3" t="n">
        <v>102</v>
      </c>
      <c r="C22" s="3" t="s">
        <v>77</v>
      </c>
      <c r="D22" s="3" t="n">
        <v>13</v>
      </c>
      <c r="E22" s="3" t="s">
        <v>81</v>
      </c>
      <c r="F22" s="3" t="s">
        <v>79</v>
      </c>
      <c r="G22" s="3" t="s">
        <v>79</v>
      </c>
      <c r="H22" s="3" t="s">
        <v>94</v>
      </c>
    </row>
    <row r="23" customFormat="false" ht="15" hidden="false" customHeight="false" outlineLevel="0" collapsed="false">
      <c r="A23" s="3" t="s">
        <v>76</v>
      </c>
      <c r="B23" s="3" t="n">
        <v>103</v>
      </c>
      <c r="C23" s="3" t="s">
        <v>77</v>
      </c>
      <c r="D23" s="3" t="n">
        <v>31</v>
      </c>
      <c r="E23" s="3" t="s">
        <v>78</v>
      </c>
      <c r="F23" s="3" t="s">
        <v>79</v>
      </c>
      <c r="G23" s="3" t="s">
        <v>79</v>
      </c>
      <c r="H23" s="3" t="s">
        <v>95</v>
      </c>
    </row>
    <row r="24" customFormat="false" ht="15" hidden="false" customHeight="false" outlineLevel="0" collapsed="false">
      <c r="A24" s="3" t="s">
        <v>76</v>
      </c>
      <c r="B24" s="3" t="n">
        <v>104</v>
      </c>
      <c r="C24" s="3" t="s">
        <v>77</v>
      </c>
      <c r="D24" s="3" t="n">
        <v>31</v>
      </c>
      <c r="E24" s="3" t="s">
        <v>78</v>
      </c>
      <c r="F24" s="3" t="s">
        <v>79</v>
      </c>
      <c r="G24" s="3" t="s">
        <v>79</v>
      </c>
      <c r="H24" s="3" t="s">
        <v>96</v>
      </c>
    </row>
    <row r="25" customFormat="false" ht="15" hidden="false" customHeight="false" outlineLevel="0" collapsed="false">
      <c r="A25" s="3" t="s">
        <v>76</v>
      </c>
      <c r="B25" s="3" t="n">
        <v>105</v>
      </c>
      <c r="C25" s="3" t="s">
        <v>77</v>
      </c>
      <c r="D25" s="3" t="n">
        <v>13</v>
      </c>
      <c r="E25" s="3" t="s">
        <v>78</v>
      </c>
      <c r="F25" s="3" t="s">
        <v>79</v>
      </c>
      <c r="G25" s="3" t="s">
        <v>97</v>
      </c>
      <c r="H25" s="3" t="s">
        <v>98</v>
      </c>
    </row>
    <row r="26" customFormat="false" ht="15" hidden="false" customHeight="false" outlineLevel="0" collapsed="false">
      <c r="A26" s="3" t="s">
        <v>76</v>
      </c>
      <c r="B26" s="3" t="n">
        <v>106</v>
      </c>
      <c r="C26" s="3" t="s">
        <v>77</v>
      </c>
      <c r="D26" s="3" t="n">
        <v>31</v>
      </c>
      <c r="E26" s="3" t="s">
        <v>78</v>
      </c>
      <c r="F26" s="3" t="s">
        <v>79</v>
      </c>
      <c r="G26" s="3" t="s">
        <v>97</v>
      </c>
      <c r="H26" s="3" t="s">
        <v>99</v>
      </c>
    </row>
    <row r="27" customFormat="false" ht="15" hidden="false" customHeight="false" outlineLevel="0" collapsed="false">
      <c r="A27" s="3" t="s">
        <v>76</v>
      </c>
      <c r="B27" s="3" t="n">
        <v>107</v>
      </c>
      <c r="C27" s="3" t="s">
        <v>77</v>
      </c>
      <c r="D27" s="3" t="n">
        <v>10</v>
      </c>
      <c r="E27" s="3" t="s">
        <v>78</v>
      </c>
      <c r="F27" s="3" t="s">
        <v>79</v>
      </c>
      <c r="G27" s="3" t="s">
        <v>97</v>
      </c>
      <c r="H27" s="3" t="s">
        <v>100</v>
      </c>
    </row>
    <row r="28" customFormat="false" ht="15" hidden="false" customHeight="false" outlineLevel="0" collapsed="false">
      <c r="A28" s="3" t="s">
        <v>76</v>
      </c>
      <c r="B28" s="3" t="n">
        <v>107</v>
      </c>
      <c r="C28" s="3" t="s">
        <v>77</v>
      </c>
      <c r="D28" s="3" t="n">
        <v>9</v>
      </c>
      <c r="E28" s="3" t="s">
        <v>81</v>
      </c>
      <c r="F28" s="3" t="s">
        <v>79</v>
      </c>
      <c r="G28" s="3" t="s">
        <v>97</v>
      </c>
      <c r="H28" s="3" t="s">
        <v>100</v>
      </c>
    </row>
    <row r="29" customFormat="false" ht="15" hidden="false" customHeight="false" outlineLevel="0" collapsed="false">
      <c r="A29" s="3" t="s">
        <v>76</v>
      </c>
      <c r="B29" s="3" t="n">
        <v>108</v>
      </c>
      <c r="C29" s="3" t="s">
        <v>77</v>
      </c>
      <c r="D29" s="3" t="n">
        <v>31</v>
      </c>
      <c r="E29" s="3" t="s">
        <v>78</v>
      </c>
      <c r="F29" s="3" t="s">
        <v>79</v>
      </c>
      <c r="G29" s="3" t="s">
        <v>97</v>
      </c>
      <c r="H29" s="3" t="s">
        <v>101</v>
      </c>
    </row>
    <row r="30" customFormat="false" ht="15" hidden="false" customHeight="false" outlineLevel="0" collapsed="false">
      <c r="A30" s="3" t="s">
        <v>76</v>
      </c>
      <c r="B30" s="3" t="n">
        <v>109</v>
      </c>
      <c r="C30" s="3" t="s">
        <v>77</v>
      </c>
      <c r="D30" s="3" t="n">
        <v>31</v>
      </c>
      <c r="E30" s="3" t="s">
        <v>78</v>
      </c>
      <c r="F30" s="3" t="s">
        <v>79</v>
      </c>
      <c r="G30" s="3" t="s">
        <v>97</v>
      </c>
      <c r="H30" s="3" t="s">
        <v>102</v>
      </c>
    </row>
    <row r="31" customFormat="false" ht="15" hidden="false" customHeight="false" outlineLevel="0" collapsed="false">
      <c r="A31" s="3" t="s">
        <v>76</v>
      </c>
      <c r="B31" s="3" t="n">
        <v>110</v>
      </c>
      <c r="C31" s="3" t="s">
        <v>77</v>
      </c>
      <c r="D31" s="3" t="n">
        <v>39</v>
      </c>
      <c r="E31" s="3" t="s">
        <v>78</v>
      </c>
      <c r="F31" s="3" t="s">
        <v>79</v>
      </c>
      <c r="G31" s="3" t="s">
        <v>97</v>
      </c>
      <c r="H31" s="3" t="s">
        <v>103</v>
      </c>
    </row>
    <row r="32" customFormat="false" ht="15" hidden="false" customHeight="false" outlineLevel="0" collapsed="false">
      <c r="A32" s="3" t="s">
        <v>76</v>
      </c>
      <c r="B32" s="3" t="n">
        <v>111</v>
      </c>
      <c r="C32" s="3" t="s">
        <v>77</v>
      </c>
      <c r="D32" s="3" t="n">
        <v>13</v>
      </c>
      <c r="E32" s="3" t="s">
        <v>78</v>
      </c>
      <c r="F32" s="3" t="s">
        <v>79</v>
      </c>
      <c r="G32" s="3" t="s">
        <v>97</v>
      </c>
      <c r="H32" s="3" t="s">
        <v>104</v>
      </c>
    </row>
    <row r="33" customFormat="false" ht="15" hidden="false" customHeight="false" outlineLevel="0" collapsed="false">
      <c r="A33" s="3" t="s">
        <v>76</v>
      </c>
      <c r="B33" s="3" t="n">
        <v>112</v>
      </c>
      <c r="C33" s="3" t="s">
        <v>77</v>
      </c>
      <c r="D33" s="3" t="n">
        <v>9</v>
      </c>
      <c r="E33" s="3" t="s">
        <v>78</v>
      </c>
      <c r="F33" s="3" t="s">
        <v>79</v>
      </c>
      <c r="G33" s="3" t="s">
        <v>97</v>
      </c>
      <c r="H33" s="3" t="s">
        <v>105</v>
      </c>
    </row>
    <row r="34" customFormat="false" ht="15" hidden="false" customHeight="false" outlineLevel="0" collapsed="false">
      <c r="A34" s="3" t="s">
        <v>76</v>
      </c>
      <c r="B34" s="3" t="n">
        <v>113</v>
      </c>
      <c r="C34" s="3" t="s">
        <v>77</v>
      </c>
      <c r="D34" s="3" t="n">
        <v>35</v>
      </c>
      <c r="E34" s="3" t="s">
        <v>78</v>
      </c>
      <c r="F34" s="3" t="s">
        <v>79</v>
      </c>
      <c r="G34" s="3" t="s">
        <v>97</v>
      </c>
      <c r="H34" s="3" t="s">
        <v>106</v>
      </c>
    </row>
    <row r="35" customFormat="false" ht="15" hidden="false" customHeight="false" outlineLevel="0" collapsed="false">
      <c r="A35" s="3" t="s">
        <v>76</v>
      </c>
      <c r="B35" s="3" t="n">
        <v>113</v>
      </c>
      <c r="C35" s="3" t="s">
        <v>77</v>
      </c>
      <c r="D35" s="3" t="n">
        <v>31</v>
      </c>
      <c r="E35" s="3" t="s">
        <v>81</v>
      </c>
      <c r="F35" s="3" t="s">
        <v>79</v>
      </c>
      <c r="G35" s="3" t="s">
        <v>97</v>
      </c>
      <c r="H35" s="3" t="s">
        <v>106</v>
      </c>
    </row>
    <row r="36" customFormat="false" ht="15" hidden="false" customHeight="false" outlineLevel="0" collapsed="false">
      <c r="A36" s="3" t="s">
        <v>76</v>
      </c>
      <c r="B36" s="3" t="n">
        <v>114</v>
      </c>
      <c r="C36" s="3" t="s">
        <v>77</v>
      </c>
      <c r="D36" s="3" t="n">
        <v>13</v>
      </c>
      <c r="E36" s="3" t="s">
        <v>78</v>
      </c>
      <c r="F36" s="3" t="s">
        <v>79</v>
      </c>
      <c r="G36" s="3" t="s">
        <v>97</v>
      </c>
      <c r="H36" s="3" t="s">
        <v>107</v>
      </c>
    </row>
    <row r="37" customFormat="false" ht="15" hidden="false" customHeight="false" outlineLevel="0" collapsed="false">
      <c r="A37" s="3" t="s">
        <v>76</v>
      </c>
      <c r="B37" s="3" t="n">
        <v>115</v>
      </c>
      <c r="C37" s="3" t="s">
        <v>77</v>
      </c>
      <c r="D37" s="3" t="n">
        <v>25</v>
      </c>
      <c r="E37" s="3" t="s">
        <v>78</v>
      </c>
      <c r="F37" s="3" t="s">
        <v>79</v>
      </c>
      <c r="G37" s="3" t="s">
        <v>97</v>
      </c>
      <c r="H37" s="3" t="s">
        <v>108</v>
      </c>
    </row>
    <row r="38" customFormat="false" ht="15" hidden="false" customHeight="false" outlineLevel="0" collapsed="false">
      <c r="A38" s="3" t="s">
        <v>76</v>
      </c>
      <c r="B38" s="3" t="n">
        <v>116</v>
      </c>
      <c r="C38" s="3" t="s">
        <v>77</v>
      </c>
      <c r="D38" s="3" t="n">
        <v>15</v>
      </c>
      <c r="E38" s="3" t="s">
        <v>78</v>
      </c>
      <c r="F38" s="3" t="s">
        <v>79</v>
      </c>
      <c r="G38" s="3" t="s">
        <v>97</v>
      </c>
      <c r="H38" s="3" t="s">
        <v>109</v>
      </c>
    </row>
    <row r="39" customFormat="false" ht="15" hidden="false" customHeight="false" outlineLevel="0" collapsed="false">
      <c r="A39" s="3" t="s">
        <v>76</v>
      </c>
      <c r="B39" s="3" t="n">
        <v>116</v>
      </c>
      <c r="C39" s="3" t="s">
        <v>77</v>
      </c>
      <c r="D39" s="3" t="n">
        <v>13</v>
      </c>
      <c r="E39" s="3" t="s">
        <v>81</v>
      </c>
      <c r="F39" s="3" t="s">
        <v>79</v>
      </c>
      <c r="G39" s="3" t="s">
        <v>97</v>
      </c>
      <c r="H39" s="3" t="s">
        <v>109</v>
      </c>
    </row>
    <row r="40" customFormat="false" ht="15" hidden="false" customHeight="false" outlineLevel="0" collapsed="false">
      <c r="A40" s="3" t="s">
        <v>76</v>
      </c>
      <c r="B40" s="3" t="n">
        <v>117</v>
      </c>
      <c r="C40" s="3" t="s">
        <v>77</v>
      </c>
      <c r="D40" s="3" t="n">
        <v>13</v>
      </c>
      <c r="E40" s="3" t="s">
        <v>78</v>
      </c>
      <c r="F40" s="3" t="s">
        <v>79</v>
      </c>
      <c r="G40" s="3" t="s">
        <v>97</v>
      </c>
      <c r="H40" s="3" t="s">
        <v>110</v>
      </c>
    </row>
    <row r="41" customFormat="false" ht="15" hidden="false" customHeight="false" outlineLevel="0" collapsed="false">
      <c r="A41" s="3" t="s">
        <v>76</v>
      </c>
      <c r="B41" s="3" t="n">
        <v>118</v>
      </c>
      <c r="C41" s="3" t="s">
        <v>77</v>
      </c>
      <c r="D41" s="3" t="n">
        <v>13</v>
      </c>
      <c r="E41" s="3" t="s">
        <v>78</v>
      </c>
      <c r="F41" s="3" t="s">
        <v>79</v>
      </c>
      <c r="G41" s="3" t="s">
        <v>97</v>
      </c>
      <c r="H41" s="3" t="s">
        <v>111</v>
      </c>
    </row>
    <row r="42" customFormat="false" ht="15" hidden="false" customHeight="false" outlineLevel="0" collapsed="false">
      <c r="A42" s="3" t="s">
        <v>76</v>
      </c>
      <c r="B42" s="3" t="n">
        <v>119</v>
      </c>
      <c r="C42" s="3" t="s">
        <v>77</v>
      </c>
      <c r="D42" s="3" t="n">
        <v>31</v>
      </c>
      <c r="E42" s="3" t="s">
        <v>78</v>
      </c>
      <c r="F42" s="3" t="s">
        <v>79</v>
      </c>
      <c r="G42" s="3" t="s">
        <v>97</v>
      </c>
      <c r="H42" s="3" t="s">
        <v>112</v>
      </c>
    </row>
    <row r="43" customFormat="false" ht="15" hidden="false" customHeight="false" outlineLevel="0" collapsed="false">
      <c r="A43" s="3" t="s">
        <v>76</v>
      </c>
      <c r="B43" s="3" t="n">
        <v>120</v>
      </c>
      <c r="C43" s="3" t="s">
        <v>77</v>
      </c>
      <c r="D43" s="3" t="n">
        <v>25</v>
      </c>
      <c r="E43" s="3" t="s">
        <v>78</v>
      </c>
      <c r="F43" s="3" t="s">
        <v>79</v>
      </c>
      <c r="G43" s="3" t="s">
        <v>97</v>
      </c>
      <c r="H43" s="3" t="s">
        <v>113</v>
      </c>
    </row>
    <row r="44" customFormat="false" ht="15" hidden="false" customHeight="false" outlineLevel="0" collapsed="false">
      <c r="A44" s="3" t="s">
        <v>76</v>
      </c>
      <c r="B44" s="3" t="n">
        <v>121</v>
      </c>
      <c r="C44" s="3" t="s">
        <v>77</v>
      </c>
      <c r="D44" s="3" t="n">
        <v>13</v>
      </c>
      <c r="E44" s="3" t="s">
        <v>78</v>
      </c>
      <c r="F44" s="3" t="s">
        <v>79</v>
      </c>
      <c r="G44" s="3" t="s">
        <v>97</v>
      </c>
      <c r="H44" s="3" t="s">
        <v>114</v>
      </c>
    </row>
    <row r="45" customFormat="false" ht="15" hidden="false" customHeight="false" outlineLevel="0" collapsed="false">
      <c r="A45" s="3" t="s">
        <v>76</v>
      </c>
      <c r="B45" s="3" t="n">
        <v>122</v>
      </c>
      <c r="C45" s="3" t="s">
        <v>77</v>
      </c>
      <c r="D45" s="3" t="n">
        <v>31</v>
      </c>
      <c r="E45" s="3" t="s">
        <v>78</v>
      </c>
      <c r="F45" s="3" t="s">
        <v>79</v>
      </c>
      <c r="G45" s="3" t="s">
        <v>97</v>
      </c>
      <c r="H45" s="3" t="s">
        <v>115</v>
      </c>
    </row>
    <row r="46" customFormat="false" ht="15" hidden="false" customHeight="false" outlineLevel="0" collapsed="false">
      <c r="A46" s="3" t="s">
        <v>76</v>
      </c>
      <c r="B46" s="3" t="n">
        <v>123</v>
      </c>
      <c r="C46" s="3" t="s">
        <v>77</v>
      </c>
      <c r="D46" s="3" t="n">
        <v>25</v>
      </c>
      <c r="E46" s="3" t="s">
        <v>78</v>
      </c>
      <c r="F46" s="3" t="s">
        <v>79</v>
      </c>
      <c r="G46" s="3" t="s">
        <v>97</v>
      </c>
      <c r="H46" s="3" t="s">
        <v>116</v>
      </c>
    </row>
    <row r="47" customFormat="false" ht="15" hidden="false" customHeight="false" outlineLevel="0" collapsed="false">
      <c r="A47" s="3" t="s">
        <v>76</v>
      </c>
      <c r="B47" s="3" t="n">
        <v>124</v>
      </c>
      <c r="C47" s="3" t="s">
        <v>77</v>
      </c>
      <c r="D47" s="3" t="n">
        <v>20</v>
      </c>
      <c r="E47" s="3" t="s">
        <v>78</v>
      </c>
      <c r="F47" s="3" t="s">
        <v>79</v>
      </c>
      <c r="G47" s="3" t="s">
        <v>97</v>
      </c>
      <c r="H47" s="3" t="s">
        <v>117</v>
      </c>
    </row>
    <row r="48" customFormat="false" ht="15" hidden="false" customHeight="false" outlineLevel="0" collapsed="false">
      <c r="A48" s="3" t="s">
        <v>76</v>
      </c>
      <c r="B48" s="3" t="n">
        <v>124</v>
      </c>
      <c r="C48" s="3" t="s">
        <v>77</v>
      </c>
      <c r="D48" s="3" t="n">
        <v>13</v>
      </c>
      <c r="E48" s="3" t="s">
        <v>81</v>
      </c>
      <c r="F48" s="3" t="s">
        <v>79</v>
      </c>
      <c r="G48" s="3" t="s">
        <v>97</v>
      </c>
      <c r="H48" s="3" t="s">
        <v>117</v>
      </c>
    </row>
    <row r="49" customFormat="false" ht="15" hidden="false" customHeight="false" outlineLevel="0" collapsed="false">
      <c r="A49" s="3" t="s">
        <v>76</v>
      </c>
      <c r="B49" s="3" t="n">
        <v>125</v>
      </c>
      <c r="C49" s="3" t="s">
        <v>77</v>
      </c>
      <c r="D49" s="3" t="n">
        <v>13</v>
      </c>
      <c r="E49" s="3" t="s">
        <v>78</v>
      </c>
      <c r="F49" s="3" t="s">
        <v>79</v>
      </c>
      <c r="G49" s="3" t="s">
        <v>97</v>
      </c>
      <c r="H49" s="3" t="s">
        <v>118</v>
      </c>
    </row>
    <row r="50" customFormat="false" ht="15" hidden="false" customHeight="false" outlineLevel="0" collapsed="false">
      <c r="A50" s="3" t="s">
        <v>76</v>
      </c>
      <c r="B50" s="3" t="n">
        <v>125</v>
      </c>
      <c r="C50" s="3" t="s">
        <v>77</v>
      </c>
      <c r="D50" s="3" t="n">
        <v>4</v>
      </c>
      <c r="E50" s="3" t="s">
        <v>81</v>
      </c>
      <c r="F50" s="3" t="s">
        <v>79</v>
      </c>
      <c r="G50" s="3" t="s">
        <v>97</v>
      </c>
      <c r="H50" s="3" t="s">
        <v>118</v>
      </c>
    </row>
    <row r="51" customFormat="false" ht="15" hidden="false" customHeight="false" outlineLevel="0" collapsed="false">
      <c r="A51" s="3" t="s">
        <v>76</v>
      </c>
      <c r="B51" s="3" t="n">
        <v>126</v>
      </c>
      <c r="C51" s="3" t="s">
        <v>77</v>
      </c>
      <c r="D51" s="3" t="n">
        <v>31</v>
      </c>
      <c r="E51" s="3" t="s">
        <v>78</v>
      </c>
      <c r="F51" s="3" t="s">
        <v>79</v>
      </c>
      <c r="G51" s="3" t="s">
        <v>79</v>
      </c>
      <c r="H51" s="3" t="s">
        <v>119</v>
      </c>
    </row>
    <row r="52" customFormat="false" ht="15" hidden="false" customHeight="false" outlineLevel="0" collapsed="false">
      <c r="A52" s="3" t="s">
        <v>76</v>
      </c>
      <c r="B52" s="3" t="n">
        <v>127</v>
      </c>
      <c r="C52" s="3" t="s">
        <v>77</v>
      </c>
      <c r="D52" s="3" t="n">
        <v>12</v>
      </c>
      <c r="E52" s="3" t="s">
        <v>78</v>
      </c>
      <c r="F52" s="3" t="s">
        <v>79</v>
      </c>
      <c r="G52" s="3" t="s">
        <v>79</v>
      </c>
      <c r="H52" s="3" t="s">
        <v>120</v>
      </c>
    </row>
    <row r="53" customFormat="false" ht="15" hidden="false" customHeight="false" outlineLevel="0" collapsed="false">
      <c r="A53" s="3" t="s">
        <v>76</v>
      </c>
      <c r="B53" s="3" t="n">
        <v>127</v>
      </c>
      <c r="C53" s="3" t="s">
        <v>77</v>
      </c>
      <c r="D53" s="3" t="n">
        <v>13</v>
      </c>
      <c r="E53" s="3" t="s">
        <v>81</v>
      </c>
      <c r="F53" s="3" t="s">
        <v>79</v>
      </c>
      <c r="G53" s="3" t="s">
        <v>79</v>
      </c>
      <c r="H53" s="3" t="s">
        <v>120</v>
      </c>
    </row>
    <row r="54" customFormat="false" ht="15" hidden="false" customHeight="false" outlineLevel="0" collapsed="false">
      <c r="A54" s="3" t="s">
        <v>76</v>
      </c>
      <c r="B54" s="3" t="n">
        <v>128</v>
      </c>
      <c r="C54" s="3" t="s">
        <v>77</v>
      </c>
      <c r="D54" s="3" t="n">
        <v>31</v>
      </c>
      <c r="E54" s="3" t="s">
        <v>78</v>
      </c>
      <c r="F54" s="3" t="s">
        <v>79</v>
      </c>
      <c r="G54" s="3" t="s">
        <v>79</v>
      </c>
      <c r="H54" s="3" t="s">
        <v>121</v>
      </c>
    </row>
    <row r="55" customFormat="false" ht="15" hidden="false" customHeight="false" outlineLevel="0" collapsed="false">
      <c r="A55" s="3" t="s">
        <v>76</v>
      </c>
      <c r="B55" s="3" t="n">
        <v>129</v>
      </c>
      <c r="C55" s="3" t="s">
        <v>77</v>
      </c>
      <c r="D55" s="3" t="n">
        <v>31</v>
      </c>
      <c r="E55" s="3" t="s">
        <v>78</v>
      </c>
      <c r="F55" s="3" t="s">
        <v>79</v>
      </c>
      <c r="G55" s="3" t="s">
        <v>79</v>
      </c>
      <c r="H55" s="3" t="s">
        <v>122</v>
      </c>
    </row>
    <row r="56" customFormat="false" ht="15" hidden="false" customHeight="false" outlineLevel="0" collapsed="false">
      <c r="A56" s="3" t="s">
        <v>76</v>
      </c>
      <c r="B56" s="3" t="n">
        <v>130</v>
      </c>
      <c r="C56" s="3" t="s">
        <v>77</v>
      </c>
      <c r="D56" s="3" t="n">
        <v>15</v>
      </c>
      <c r="E56" s="3" t="s">
        <v>78</v>
      </c>
      <c r="F56" s="3" t="s">
        <v>79</v>
      </c>
      <c r="G56" s="3" t="s">
        <v>79</v>
      </c>
      <c r="H56" s="3" t="s">
        <v>123</v>
      </c>
    </row>
    <row r="57" customFormat="false" ht="15" hidden="false" customHeight="false" outlineLevel="0" collapsed="false">
      <c r="A57" s="3" t="s">
        <v>76</v>
      </c>
      <c r="B57" s="3" t="n">
        <v>130</v>
      </c>
      <c r="C57" s="3" t="s">
        <v>77</v>
      </c>
      <c r="D57" s="3" t="n">
        <v>13</v>
      </c>
      <c r="E57" s="3" t="s">
        <v>81</v>
      </c>
      <c r="F57" s="3" t="s">
        <v>79</v>
      </c>
      <c r="G57" s="3" t="s">
        <v>79</v>
      </c>
      <c r="H57" s="3" t="s">
        <v>123</v>
      </c>
    </row>
    <row r="58" customFormat="false" ht="15" hidden="false" customHeight="false" outlineLevel="0" collapsed="false">
      <c r="A58" s="3" t="s">
        <v>76</v>
      </c>
      <c r="B58" s="3" t="n">
        <v>131</v>
      </c>
      <c r="C58" s="3" t="s">
        <v>77</v>
      </c>
      <c r="D58" s="3" t="n">
        <v>31</v>
      </c>
      <c r="E58" s="3" t="s">
        <v>78</v>
      </c>
      <c r="F58" s="3" t="s">
        <v>79</v>
      </c>
      <c r="G58" s="3" t="s">
        <v>79</v>
      </c>
      <c r="H58" s="3" t="s">
        <v>124</v>
      </c>
    </row>
    <row r="59" customFormat="false" ht="15" hidden="false" customHeight="false" outlineLevel="0" collapsed="false">
      <c r="A59" s="3" t="s">
        <v>76</v>
      </c>
      <c r="B59" s="3" t="n">
        <v>132</v>
      </c>
      <c r="C59" s="3" t="s">
        <v>77</v>
      </c>
      <c r="D59" s="3" t="n">
        <v>31</v>
      </c>
      <c r="E59" s="3" t="s">
        <v>78</v>
      </c>
      <c r="F59" s="3" t="s">
        <v>79</v>
      </c>
      <c r="G59" s="3" t="s">
        <v>79</v>
      </c>
      <c r="H59" s="3" t="s">
        <v>125</v>
      </c>
    </row>
    <row r="60" customFormat="false" ht="15" hidden="false" customHeight="false" outlineLevel="0" collapsed="false">
      <c r="A60" s="3" t="s">
        <v>76</v>
      </c>
      <c r="B60" s="3" t="n">
        <v>133</v>
      </c>
      <c r="C60" s="3" t="s">
        <v>77</v>
      </c>
      <c r="D60" s="3" t="n">
        <v>31</v>
      </c>
      <c r="E60" s="3" t="s">
        <v>78</v>
      </c>
      <c r="F60" s="3" t="s">
        <v>79</v>
      </c>
      <c r="G60" s="3" t="s">
        <v>97</v>
      </c>
      <c r="H60" s="3" t="s">
        <v>126</v>
      </c>
    </row>
    <row r="61" customFormat="false" ht="15" hidden="false" customHeight="false" outlineLevel="0" collapsed="false">
      <c r="A61" s="3" t="s">
        <v>76</v>
      </c>
      <c r="B61" s="3" t="n">
        <v>134</v>
      </c>
      <c r="C61" s="3" t="s">
        <v>77</v>
      </c>
      <c r="D61" s="3" t="n">
        <v>20</v>
      </c>
      <c r="E61" s="3" t="s">
        <v>78</v>
      </c>
      <c r="F61" s="3" t="s">
        <v>79</v>
      </c>
      <c r="G61" s="3" t="s">
        <v>97</v>
      </c>
      <c r="H61" s="3" t="s">
        <v>127</v>
      </c>
    </row>
    <row r="62" customFormat="false" ht="15" hidden="false" customHeight="false" outlineLevel="0" collapsed="false">
      <c r="A62" s="3" t="s">
        <v>76</v>
      </c>
      <c r="B62" s="3" t="n">
        <v>135</v>
      </c>
      <c r="C62" s="3" t="s">
        <v>77</v>
      </c>
      <c r="D62" s="3" t="n">
        <v>31</v>
      </c>
      <c r="E62" s="3" t="s">
        <v>78</v>
      </c>
      <c r="F62" s="3" t="s">
        <v>79</v>
      </c>
      <c r="G62" s="3" t="s">
        <v>97</v>
      </c>
      <c r="H62" s="3" t="s">
        <v>128</v>
      </c>
    </row>
    <row r="63" customFormat="false" ht="15" hidden="false" customHeight="false" outlineLevel="0" collapsed="false">
      <c r="A63" s="3" t="s">
        <v>76</v>
      </c>
      <c r="B63" s="3" t="n">
        <v>136</v>
      </c>
      <c r="C63" s="3" t="s">
        <v>77</v>
      </c>
      <c r="D63" s="3" t="n">
        <v>31</v>
      </c>
      <c r="E63" s="3" t="s">
        <v>78</v>
      </c>
      <c r="F63" s="3" t="s">
        <v>79</v>
      </c>
      <c r="G63" s="3" t="s">
        <v>97</v>
      </c>
      <c r="H63" s="3" t="s">
        <v>129</v>
      </c>
    </row>
    <row r="64" customFormat="false" ht="15" hidden="false" customHeight="false" outlineLevel="0" collapsed="false">
      <c r="A64" s="3" t="s">
        <v>76</v>
      </c>
      <c r="B64" s="3" t="n">
        <v>137</v>
      </c>
      <c r="C64" s="3" t="s">
        <v>77</v>
      </c>
      <c r="D64" s="3" t="n">
        <v>14</v>
      </c>
      <c r="E64" s="3" t="s">
        <v>78</v>
      </c>
      <c r="F64" s="3" t="s">
        <v>79</v>
      </c>
      <c r="G64" s="3" t="s">
        <v>97</v>
      </c>
      <c r="H64" s="3" t="s">
        <v>130</v>
      </c>
    </row>
    <row r="65" customFormat="false" ht="15" hidden="false" customHeight="false" outlineLevel="0" collapsed="false">
      <c r="A65" s="3" t="s">
        <v>76</v>
      </c>
      <c r="B65" s="3" t="n">
        <v>137</v>
      </c>
      <c r="C65" s="3" t="s">
        <v>77</v>
      </c>
      <c r="D65" s="3" t="n">
        <v>13</v>
      </c>
      <c r="E65" s="3" t="s">
        <v>81</v>
      </c>
      <c r="F65" s="3" t="s">
        <v>79</v>
      </c>
      <c r="G65" s="3" t="s">
        <v>97</v>
      </c>
      <c r="H65" s="3" t="s">
        <v>130</v>
      </c>
    </row>
    <row r="66" customFormat="false" ht="15" hidden="false" customHeight="false" outlineLevel="0" collapsed="false">
      <c r="A66" s="3" t="s">
        <v>76</v>
      </c>
      <c r="B66" s="3" t="n">
        <v>138</v>
      </c>
      <c r="C66" s="3" t="s">
        <v>77</v>
      </c>
      <c r="D66" s="3" t="n">
        <v>13</v>
      </c>
      <c r="E66" s="3" t="s">
        <v>78</v>
      </c>
      <c r="F66" s="3" t="s">
        <v>79</v>
      </c>
      <c r="G66" s="3" t="s">
        <v>97</v>
      </c>
      <c r="H66" s="3" t="s">
        <v>131</v>
      </c>
    </row>
    <row r="67" customFormat="false" ht="15" hidden="false" customHeight="false" outlineLevel="0" collapsed="false">
      <c r="A67" s="3" t="s">
        <v>76</v>
      </c>
      <c r="B67" s="3" t="n">
        <v>139</v>
      </c>
      <c r="C67" s="3" t="s">
        <v>77</v>
      </c>
      <c r="D67" s="3" t="n">
        <v>39</v>
      </c>
      <c r="E67" s="3" t="s">
        <v>78</v>
      </c>
      <c r="F67" s="3" t="s">
        <v>79</v>
      </c>
      <c r="G67" s="3" t="s">
        <v>97</v>
      </c>
      <c r="H67" s="3" t="s">
        <v>132</v>
      </c>
    </row>
    <row r="68" customFormat="false" ht="15" hidden="false" customHeight="false" outlineLevel="0" collapsed="false">
      <c r="A68" s="3" t="s">
        <v>76</v>
      </c>
      <c r="B68" s="3" t="n">
        <v>139</v>
      </c>
      <c r="C68" s="3" t="s">
        <v>77</v>
      </c>
      <c r="D68" s="3" t="n">
        <v>38</v>
      </c>
      <c r="E68" s="3" t="s">
        <v>81</v>
      </c>
      <c r="F68" s="3" t="s">
        <v>79</v>
      </c>
      <c r="G68" s="3" t="s">
        <v>97</v>
      </c>
      <c r="H68" s="3" t="s">
        <v>132</v>
      </c>
    </row>
    <row r="69" customFormat="false" ht="15" hidden="false" customHeight="false" outlineLevel="0" collapsed="false">
      <c r="A69" s="3" t="s">
        <v>76</v>
      </c>
      <c r="B69" s="3" t="n">
        <v>140</v>
      </c>
      <c r="C69" s="3" t="s">
        <v>77</v>
      </c>
      <c r="D69" s="3" t="n">
        <v>13</v>
      </c>
      <c r="E69" s="3" t="s">
        <v>78</v>
      </c>
      <c r="F69" s="3" t="s">
        <v>79</v>
      </c>
      <c r="G69" s="3" t="s">
        <v>97</v>
      </c>
      <c r="H69" s="3" t="s">
        <v>133</v>
      </c>
    </row>
    <row r="70" customFormat="false" ht="15" hidden="false" customHeight="false" outlineLevel="0" collapsed="false">
      <c r="A70" s="3" t="s">
        <v>76</v>
      </c>
      <c r="B70" s="3" t="n">
        <v>140</v>
      </c>
      <c r="C70" s="3" t="s">
        <v>77</v>
      </c>
      <c r="D70" s="3" t="n">
        <v>4</v>
      </c>
      <c r="E70" s="3" t="s">
        <v>81</v>
      </c>
      <c r="F70" s="3" t="s">
        <v>79</v>
      </c>
      <c r="G70" s="3" t="s">
        <v>97</v>
      </c>
      <c r="H70" s="3" t="s">
        <v>133</v>
      </c>
    </row>
    <row r="71" customFormat="false" ht="15" hidden="false" customHeight="false" outlineLevel="0" collapsed="false">
      <c r="A71" s="3" t="s">
        <v>76</v>
      </c>
      <c r="B71" s="3" t="n">
        <v>141</v>
      </c>
      <c r="C71" s="3" t="s">
        <v>77</v>
      </c>
      <c r="D71" s="3" t="n">
        <v>20</v>
      </c>
      <c r="E71" s="3" t="s">
        <v>78</v>
      </c>
      <c r="F71" s="3" t="s">
        <v>79</v>
      </c>
      <c r="G71" s="3" t="s">
        <v>97</v>
      </c>
      <c r="H71" s="3" t="s">
        <v>134</v>
      </c>
    </row>
    <row r="72" customFormat="false" ht="15" hidden="false" customHeight="false" outlineLevel="0" collapsed="false">
      <c r="A72" s="3" t="s">
        <v>76</v>
      </c>
      <c r="B72" s="3" t="n">
        <v>142</v>
      </c>
      <c r="C72" s="3" t="s">
        <v>77</v>
      </c>
      <c r="D72" s="3" t="n">
        <v>26</v>
      </c>
      <c r="E72" s="3" t="s">
        <v>78</v>
      </c>
      <c r="F72" s="3" t="s">
        <v>79</v>
      </c>
      <c r="G72" s="3" t="s">
        <v>97</v>
      </c>
      <c r="H72" s="3" t="s">
        <v>135</v>
      </c>
    </row>
    <row r="73" customFormat="false" ht="15" hidden="false" customHeight="false" outlineLevel="0" collapsed="false">
      <c r="A73" s="3" t="s">
        <v>76</v>
      </c>
      <c r="B73" s="3" t="n">
        <v>143</v>
      </c>
      <c r="C73" s="3" t="s">
        <v>77</v>
      </c>
      <c r="D73" s="3" t="n">
        <v>13</v>
      </c>
      <c r="E73" s="3" t="s">
        <v>78</v>
      </c>
      <c r="F73" s="3" t="s">
        <v>79</v>
      </c>
      <c r="G73" s="3" t="s">
        <v>97</v>
      </c>
      <c r="H73" s="3" t="s">
        <v>136</v>
      </c>
    </row>
    <row r="74" customFormat="false" ht="15" hidden="false" customHeight="false" outlineLevel="0" collapsed="false">
      <c r="A74" s="3" t="s">
        <v>76</v>
      </c>
      <c r="B74" s="3" t="n">
        <v>144</v>
      </c>
      <c r="C74" s="3" t="s">
        <v>77</v>
      </c>
      <c r="D74" s="3" t="n">
        <v>25</v>
      </c>
      <c r="E74" s="3" t="s">
        <v>78</v>
      </c>
      <c r="F74" s="3" t="s">
        <v>79</v>
      </c>
      <c r="G74" s="3" t="s">
        <v>97</v>
      </c>
      <c r="H74" s="3" t="s">
        <v>137</v>
      </c>
    </row>
    <row r="75" customFormat="false" ht="15" hidden="false" customHeight="false" outlineLevel="0" collapsed="false">
      <c r="A75" s="3" t="s">
        <v>76</v>
      </c>
      <c r="B75" s="3" t="n">
        <v>145</v>
      </c>
      <c r="C75" s="3" t="s">
        <v>77</v>
      </c>
      <c r="D75" s="3" t="n">
        <v>14</v>
      </c>
      <c r="E75" s="3" t="s">
        <v>78</v>
      </c>
      <c r="F75" s="3" t="s">
        <v>79</v>
      </c>
      <c r="G75" s="3" t="s">
        <v>97</v>
      </c>
      <c r="H75" s="3" t="s">
        <v>138</v>
      </c>
    </row>
    <row r="76" customFormat="false" ht="15" hidden="false" customHeight="false" outlineLevel="0" collapsed="false">
      <c r="A76" s="3" t="s">
        <v>76</v>
      </c>
      <c r="B76" s="3" t="n">
        <v>145</v>
      </c>
      <c r="C76" s="3" t="s">
        <v>77</v>
      </c>
      <c r="D76" s="3" t="n">
        <v>31</v>
      </c>
      <c r="E76" s="3" t="s">
        <v>81</v>
      </c>
      <c r="F76" s="3" t="s">
        <v>79</v>
      </c>
      <c r="G76" s="3" t="s">
        <v>97</v>
      </c>
      <c r="H76" s="3" t="s">
        <v>138</v>
      </c>
    </row>
    <row r="77" customFormat="false" ht="15" hidden="false" customHeight="false" outlineLevel="0" collapsed="false">
      <c r="A77" s="3" t="s">
        <v>76</v>
      </c>
      <c r="B77" s="3" t="n">
        <v>146</v>
      </c>
      <c r="C77" s="3" t="s">
        <v>77</v>
      </c>
      <c r="D77" s="3" t="n">
        <v>34</v>
      </c>
      <c r="E77" s="3" t="s">
        <v>78</v>
      </c>
      <c r="F77" s="3" t="s">
        <v>79</v>
      </c>
      <c r="G77" s="3" t="s">
        <v>97</v>
      </c>
      <c r="H77" s="3" t="s">
        <v>139</v>
      </c>
    </row>
    <row r="78" customFormat="false" ht="15" hidden="false" customHeight="false" outlineLevel="0" collapsed="false">
      <c r="A78" s="3" t="s">
        <v>76</v>
      </c>
      <c r="B78" s="3" t="n">
        <v>146</v>
      </c>
      <c r="C78" s="3" t="s">
        <v>77</v>
      </c>
      <c r="D78" s="3" t="n">
        <v>35</v>
      </c>
      <c r="E78" s="3" t="s">
        <v>81</v>
      </c>
      <c r="F78" s="3" t="s">
        <v>79</v>
      </c>
      <c r="G78" s="3" t="s">
        <v>97</v>
      </c>
      <c r="H78" s="3" t="s">
        <v>139</v>
      </c>
    </row>
    <row r="79" customFormat="false" ht="15" hidden="false" customHeight="false" outlineLevel="0" collapsed="false">
      <c r="A79" s="3" t="s">
        <v>76</v>
      </c>
      <c r="B79" s="3" t="n">
        <v>147</v>
      </c>
      <c r="C79" s="3" t="s">
        <v>77</v>
      </c>
      <c r="D79" s="3" t="n">
        <v>31</v>
      </c>
      <c r="E79" s="3" t="s">
        <v>78</v>
      </c>
      <c r="F79" s="3" t="s">
        <v>79</v>
      </c>
      <c r="G79" s="3" t="s">
        <v>97</v>
      </c>
      <c r="H79" s="3" t="s">
        <v>140</v>
      </c>
    </row>
    <row r="80" customFormat="false" ht="15" hidden="false" customHeight="false" outlineLevel="0" collapsed="false">
      <c r="A80" s="3" t="s">
        <v>76</v>
      </c>
      <c r="B80" s="3" t="n">
        <v>148</v>
      </c>
      <c r="C80" s="3" t="s">
        <v>77</v>
      </c>
      <c r="D80" s="3" t="n">
        <v>31</v>
      </c>
      <c r="E80" s="3" t="s">
        <v>78</v>
      </c>
      <c r="F80" s="3" t="s">
        <v>79</v>
      </c>
      <c r="G80" s="3" t="s">
        <v>97</v>
      </c>
      <c r="H80" s="3" t="s">
        <v>141</v>
      </c>
    </row>
    <row r="81" customFormat="false" ht="15" hidden="false" customHeight="false" outlineLevel="0" collapsed="false">
      <c r="A81" s="3" t="s">
        <v>76</v>
      </c>
      <c r="B81" s="3" t="n">
        <v>148</v>
      </c>
      <c r="C81" s="3" t="s">
        <v>77</v>
      </c>
      <c r="D81" s="3" t="n">
        <v>30</v>
      </c>
      <c r="E81" s="3" t="s">
        <v>81</v>
      </c>
      <c r="F81" s="3" t="s">
        <v>79</v>
      </c>
      <c r="G81" s="3" t="s">
        <v>97</v>
      </c>
      <c r="H81" s="3" t="s">
        <v>141</v>
      </c>
    </row>
    <row r="82" customFormat="false" ht="15" hidden="false" customHeight="false" outlineLevel="0" collapsed="false">
      <c r="A82" s="3" t="s">
        <v>142</v>
      </c>
      <c r="B82" s="3" t="n">
        <v>1</v>
      </c>
      <c r="C82" s="3" t="s">
        <v>143</v>
      </c>
      <c r="D82" s="3" t="n">
        <v>13</v>
      </c>
      <c r="E82" s="3" t="s">
        <v>78</v>
      </c>
      <c r="F82" s="3" t="s">
        <v>79</v>
      </c>
      <c r="G82" s="3" t="s">
        <v>97</v>
      </c>
      <c r="H82" s="3" t="s">
        <v>144</v>
      </c>
    </row>
    <row r="83" customFormat="false" ht="15" hidden="false" customHeight="false" outlineLevel="0" collapsed="false">
      <c r="A83" s="3" t="s">
        <v>142</v>
      </c>
      <c r="B83" s="3" t="n">
        <v>2</v>
      </c>
      <c r="C83" s="3" t="s">
        <v>143</v>
      </c>
      <c r="D83" s="3" t="n">
        <v>31</v>
      </c>
      <c r="E83" s="3" t="s">
        <v>78</v>
      </c>
      <c r="F83" s="3" t="s">
        <v>79</v>
      </c>
      <c r="G83" s="3" t="s">
        <v>97</v>
      </c>
      <c r="H83" s="3" t="s">
        <v>145</v>
      </c>
    </row>
    <row r="84" customFormat="false" ht="15" hidden="false" customHeight="false" outlineLevel="0" collapsed="false">
      <c r="A84" s="3" t="s">
        <v>142</v>
      </c>
      <c r="B84" s="3" t="n">
        <v>3</v>
      </c>
      <c r="C84" s="3" t="s">
        <v>143</v>
      </c>
      <c r="D84" s="3" t="n">
        <v>31</v>
      </c>
      <c r="E84" s="3" t="s">
        <v>78</v>
      </c>
      <c r="F84" s="3" t="s">
        <v>79</v>
      </c>
      <c r="G84" s="3" t="s">
        <v>97</v>
      </c>
      <c r="H84" s="3" t="s">
        <v>146</v>
      </c>
    </row>
    <row r="85" customFormat="false" ht="15" hidden="false" customHeight="false" outlineLevel="0" collapsed="false">
      <c r="A85" s="3" t="s">
        <v>142</v>
      </c>
      <c r="B85" s="3" t="n">
        <v>4</v>
      </c>
      <c r="C85" s="3" t="s">
        <v>143</v>
      </c>
      <c r="D85" s="3" t="n">
        <v>35</v>
      </c>
      <c r="E85" s="3" t="s">
        <v>78</v>
      </c>
      <c r="F85" s="3" t="s">
        <v>79</v>
      </c>
      <c r="G85" s="3" t="s">
        <v>97</v>
      </c>
      <c r="H85" s="3" t="s">
        <v>147</v>
      </c>
    </row>
    <row r="86" customFormat="false" ht="15" hidden="false" customHeight="false" outlineLevel="0" collapsed="false">
      <c r="A86" s="3" t="s">
        <v>142</v>
      </c>
      <c r="B86" s="3" t="n">
        <v>4</v>
      </c>
      <c r="C86" s="3" t="s">
        <v>143</v>
      </c>
      <c r="D86" s="3" t="n">
        <v>31</v>
      </c>
      <c r="E86" s="3" t="s">
        <v>81</v>
      </c>
      <c r="F86" s="3" t="s">
        <v>79</v>
      </c>
      <c r="G86" s="3" t="s">
        <v>97</v>
      </c>
      <c r="H86" s="3" t="s">
        <v>147</v>
      </c>
    </row>
    <row r="87" customFormat="false" ht="15" hidden="false" customHeight="false" outlineLevel="0" collapsed="false">
      <c r="A87" s="3" t="s">
        <v>142</v>
      </c>
      <c r="B87" s="3" t="n">
        <v>5</v>
      </c>
      <c r="C87" s="3" t="s">
        <v>143</v>
      </c>
      <c r="D87" s="3" t="n">
        <v>39</v>
      </c>
      <c r="E87" s="3" t="s">
        <v>78</v>
      </c>
      <c r="F87" s="3" t="s">
        <v>79</v>
      </c>
      <c r="G87" s="3" t="s">
        <v>97</v>
      </c>
      <c r="H87" s="3" t="s">
        <v>148</v>
      </c>
    </row>
    <row r="88" customFormat="false" ht="15" hidden="false" customHeight="false" outlineLevel="0" collapsed="false">
      <c r="A88" s="3" t="s">
        <v>142</v>
      </c>
      <c r="B88" s="3" t="n">
        <v>6</v>
      </c>
      <c r="C88" s="3" t="s">
        <v>143</v>
      </c>
      <c r="D88" s="3" t="n">
        <v>13</v>
      </c>
      <c r="E88" s="3" t="s">
        <v>78</v>
      </c>
      <c r="F88" s="3" t="s">
        <v>79</v>
      </c>
      <c r="G88" s="3" t="s">
        <v>97</v>
      </c>
      <c r="H88" s="3" t="s">
        <v>149</v>
      </c>
    </row>
    <row r="89" customFormat="false" ht="15" hidden="false" customHeight="false" outlineLevel="0" collapsed="false">
      <c r="A89" s="3" t="s">
        <v>142</v>
      </c>
      <c r="B89" s="3" t="n">
        <v>7</v>
      </c>
      <c r="C89" s="3" t="s">
        <v>143</v>
      </c>
      <c r="D89" s="3" t="n">
        <v>39</v>
      </c>
      <c r="E89" s="3" t="s">
        <v>78</v>
      </c>
      <c r="F89" s="3" t="s">
        <v>79</v>
      </c>
      <c r="G89" s="3" t="s">
        <v>97</v>
      </c>
      <c r="H89" s="3" t="s">
        <v>150</v>
      </c>
    </row>
    <row r="90" customFormat="false" ht="15" hidden="false" customHeight="false" outlineLevel="0" collapsed="false">
      <c r="A90" s="3" t="s">
        <v>142</v>
      </c>
      <c r="B90" s="3" t="n">
        <v>8</v>
      </c>
      <c r="C90" s="3" t="s">
        <v>143</v>
      </c>
      <c r="D90" s="3" t="n">
        <v>13</v>
      </c>
      <c r="E90" s="3" t="s">
        <v>78</v>
      </c>
      <c r="F90" s="3" t="s">
        <v>79</v>
      </c>
      <c r="G90" s="3" t="s">
        <v>97</v>
      </c>
      <c r="H90" s="3" t="s">
        <v>151</v>
      </c>
    </row>
    <row r="91" customFormat="false" ht="15" hidden="false" customHeight="false" outlineLevel="0" collapsed="false">
      <c r="A91" s="3" t="s">
        <v>142</v>
      </c>
      <c r="B91" s="3" t="n">
        <v>9</v>
      </c>
      <c r="C91" s="3" t="s">
        <v>143</v>
      </c>
      <c r="D91" s="3" t="n">
        <v>26</v>
      </c>
      <c r="E91" s="3" t="s">
        <v>78</v>
      </c>
      <c r="F91" s="3" t="s">
        <v>79</v>
      </c>
      <c r="G91" s="3" t="s">
        <v>97</v>
      </c>
      <c r="H91" s="3" t="s">
        <v>152</v>
      </c>
    </row>
    <row r="92" customFormat="false" ht="15" hidden="false" customHeight="false" outlineLevel="0" collapsed="false">
      <c r="A92" s="3" t="s">
        <v>142</v>
      </c>
      <c r="B92" s="3" t="n">
        <v>9</v>
      </c>
      <c r="C92" s="3" t="s">
        <v>143</v>
      </c>
      <c r="D92" s="3" t="n">
        <v>25</v>
      </c>
      <c r="E92" s="3" t="s">
        <v>81</v>
      </c>
      <c r="F92" s="3" t="s">
        <v>79</v>
      </c>
      <c r="G92" s="3" t="s">
        <v>97</v>
      </c>
      <c r="H92" s="3" t="s">
        <v>152</v>
      </c>
    </row>
    <row r="93" customFormat="false" ht="15" hidden="false" customHeight="false" outlineLevel="0" collapsed="false">
      <c r="A93" s="3" t="s">
        <v>142</v>
      </c>
      <c r="B93" s="3" t="n">
        <v>10</v>
      </c>
      <c r="C93" s="3" t="s">
        <v>143</v>
      </c>
      <c r="D93" s="3" t="n">
        <v>35</v>
      </c>
      <c r="E93" s="3" t="s">
        <v>78</v>
      </c>
      <c r="F93" s="3" t="s">
        <v>79</v>
      </c>
      <c r="G93" s="3" t="s">
        <v>97</v>
      </c>
      <c r="H93" s="3" t="s">
        <v>153</v>
      </c>
    </row>
    <row r="94" customFormat="false" ht="15" hidden="false" customHeight="false" outlineLevel="0" collapsed="false">
      <c r="A94" s="3" t="s">
        <v>142</v>
      </c>
      <c r="B94" s="3" t="n">
        <v>10</v>
      </c>
      <c r="C94" s="3" t="s">
        <v>143</v>
      </c>
      <c r="D94" s="3" t="n">
        <v>31</v>
      </c>
      <c r="E94" s="3" t="s">
        <v>81</v>
      </c>
      <c r="F94" s="3" t="s">
        <v>79</v>
      </c>
      <c r="G94" s="3" t="s">
        <v>97</v>
      </c>
      <c r="H94" s="3" t="s">
        <v>153</v>
      </c>
    </row>
    <row r="95" customFormat="false" ht="15" hidden="false" customHeight="false" outlineLevel="0" collapsed="false">
      <c r="A95" s="3" t="s">
        <v>142</v>
      </c>
      <c r="B95" s="3" t="n">
        <v>11</v>
      </c>
      <c r="C95" s="3" t="s">
        <v>143</v>
      </c>
      <c r="D95" s="3" t="n">
        <v>13</v>
      </c>
      <c r="E95" s="3" t="s">
        <v>78</v>
      </c>
      <c r="F95" s="3" t="s">
        <v>79</v>
      </c>
      <c r="G95" s="3" t="s">
        <v>97</v>
      </c>
      <c r="H95" s="3" t="s">
        <v>154</v>
      </c>
    </row>
    <row r="96" customFormat="false" ht="15" hidden="false" customHeight="false" outlineLevel="0" collapsed="false">
      <c r="A96" s="3" t="s">
        <v>142</v>
      </c>
      <c r="B96" s="3" t="n">
        <v>12</v>
      </c>
      <c r="C96" s="3" t="s">
        <v>143</v>
      </c>
      <c r="D96" s="3" t="n">
        <v>13</v>
      </c>
      <c r="E96" s="3" t="s">
        <v>78</v>
      </c>
      <c r="F96" s="3" t="s">
        <v>79</v>
      </c>
      <c r="G96" s="3" t="s">
        <v>97</v>
      </c>
      <c r="H96" s="3" t="s">
        <v>155</v>
      </c>
    </row>
    <row r="97" customFormat="false" ht="15" hidden="false" customHeight="false" outlineLevel="0" collapsed="false">
      <c r="A97" s="3" t="s">
        <v>142</v>
      </c>
      <c r="B97" s="3" t="n">
        <v>13</v>
      </c>
      <c r="C97" s="3" t="s">
        <v>143</v>
      </c>
      <c r="D97" s="3" t="n">
        <v>13</v>
      </c>
      <c r="E97" s="3" t="s">
        <v>78</v>
      </c>
      <c r="F97" s="3" t="s">
        <v>79</v>
      </c>
      <c r="G97" s="3" t="s">
        <v>97</v>
      </c>
      <c r="H97" s="3" t="s">
        <v>156</v>
      </c>
    </row>
    <row r="98" customFormat="false" ht="15" hidden="false" customHeight="false" outlineLevel="0" collapsed="false">
      <c r="A98" s="3" t="s">
        <v>142</v>
      </c>
      <c r="B98" s="3" t="n">
        <v>14</v>
      </c>
      <c r="C98" s="3" t="s">
        <v>143</v>
      </c>
      <c r="D98" s="3" t="n">
        <v>39</v>
      </c>
      <c r="E98" s="3" t="s">
        <v>78</v>
      </c>
      <c r="F98" s="3" t="s">
        <v>79</v>
      </c>
      <c r="G98" s="3" t="s">
        <v>97</v>
      </c>
      <c r="H98" s="3" t="s">
        <v>157</v>
      </c>
    </row>
    <row r="99" customFormat="false" ht="15" hidden="false" customHeight="false" outlineLevel="0" collapsed="false">
      <c r="A99" s="3" t="s">
        <v>142</v>
      </c>
      <c r="B99" s="3" t="n">
        <v>14</v>
      </c>
      <c r="C99" s="3" t="s">
        <v>143</v>
      </c>
      <c r="D99" s="3" t="n">
        <v>4</v>
      </c>
      <c r="E99" s="3" t="s">
        <v>81</v>
      </c>
      <c r="F99" s="3" t="s">
        <v>79</v>
      </c>
      <c r="G99" s="3" t="s">
        <v>97</v>
      </c>
      <c r="H99" s="3" t="s">
        <v>157</v>
      </c>
    </row>
    <row r="100" customFormat="false" ht="15" hidden="false" customHeight="false" outlineLevel="0" collapsed="false">
      <c r="A100" s="3" t="s">
        <v>142</v>
      </c>
      <c r="B100" s="3" t="n">
        <v>15</v>
      </c>
      <c r="C100" s="3" t="s">
        <v>143</v>
      </c>
      <c r="D100" s="3" t="n">
        <v>35</v>
      </c>
      <c r="E100" s="3" t="s">
        <v>78</v>
      </c>
      <c r="F100" s="3" t="s">
        <v>79</v>
      </c>
      <c r="G100" s="3" t="s">
        <v>97</v>
      </c>
      <c r="H100" s="3" t="s">
        <v>158</v>
      </c>
    </row>
    <row r="101" customFormat="false" ht="15" hidden="false" customHeight="false" outlineLevel="0" collapsed="false">
      <c r="A101" s="3" t="s">
        <v>142</v>
      </c>
      <c r="B101" s="3" t="n">
        <v>15</v>
      </c>
      <c r="C101" s="3" t="s">
        <v>143</v>
      </c>
      <c r="D101" s="3" t="n">
        <v>31</v>
      </c>
      <c r="E101" s="3" t="s">
        <v>81</v>
      </c>
      <c r="F101" s="3" t="s">
        <v>79</v>
      </c>
      <c r="G101" s="3" t="s">
        <v>97</v>
      </c>
      <c r="H101" s="3" t="s">
        <v>158</v>
      </c>
    </row>
    <row r="102" customFormat="false" ht="15" hidden="false" customHeight="false" outlineLevel="0" collapsed="false">
      <c r="A102" s="3" t="s">
        <v>142</v>
      </c>
      <c r="B102" s="3" t="n">
        <v>16</v>
      </c>
      <c r="C102" s="3" t="s">
        <v>143</v>
      </c>
      <c r="D102" s="3" t="n">
        <v>31</v>
      </c>
      <c r="E102" s="3" t="s">
        <v>78</v>
      </c>
      <c r="F102" s="3" t="s">
        <v>79</v>
      </c>
      <c r="G102" s="3" t="s">
        <v>97</v>
      </c>
      <c r="H102" s="3" t="s">
        <v>159</v>
      </c>
    </row>
    <row r="103" customFormat="false" ht="15" hidden="false" customHeight="false" outlineLevel="0" collapsed="false">
      <c r="A103" s="3" t="s">
        <v>142</v>
      </c>
      <c r="B103" s="3" t="n">
        <v>17</v>
      </c>
      <c r="C103" s="3" t="s">
        <v>143</v>
      </c>
      <c r="D103" s="3" t="n">
        <v>31</v>
      </c>
      <c r="E103" s="3" t="s">
        <v>78</v>
      </c>
      <c r="F103" s="3" t="s">
        <v>79</v>
      </c>
      <c r="G103" s="3" t="s">
        <v>97</v>
      </c>
      <c r="H103" s="3" t="s">
        <v>160</v>
      </c>
    </row>
    <row r="104" customFormat="false" ht="15" hidden="false" customHeight="false" outlineLevel="0" collapsed="false">
      <c r="A104" s="3" t="s">
        <v>142</v>
      </c>
      <c r="B104" s="3" t="n">
        <v>18</v>
      </c>
      <c r="C104" s="3" t="s">
        <v>143</v>
      </c>
      <c r="D104" s="3" t="n">
        <v>31</v>
      </c>
      <c r="E104" s="3" t="s">
        <v>78</v>
      </c>
      <c r="F104" s="3" t="s">
        <v>79</v>
      </c>
      <c r="G104" s="3" t="s">
        <v>97</v>
      </c>
      <c r="H104" s="3" t="s">
        <v>161</v>
      </c>
    </row>
    <row r="105" customFormat="false" ht="15" hidden="false" customHeight="false" outlineLevel="0" collapsed="false">
      <c r="A105" s="3" t="s">
        <v>142</v>
      </c>
      <c r="B105" s="3" t="n">
        <v>18</v>
      </c>
      <c r="C105" s="3" t="s">
        <v>143</v>
      </c>
      <c r="D105" s="3" t="n">
        <v>30</v>
      </c>
      <c r="E105" s="3" t="s">
        <v>81</v>
      </c>
      <c r="F105" s="3" t="s">
        <v>79</v>
      </c>
      <c r="G105" s="3" t="s">
        <v>97</v>
      </c>
      <c r="H105" s="3" t="s">
        <v>161</v>
      </c>
    </row>
    <row r="106" customFormat="false" ht="15" hidden="false" customHeight="false" outlineLevel="0" collapsed="false">
      <c r="A106" s="3" t="s">
        <v>142</v>
      </c>
      <c r="B106" s="3" t="n">
        <v>19</v>
      </c>
      <c r="C106" s="3" t="s">
        <v>143</v>
      </c>
      <c r="D106" s="3" t="n">
        <v>10</v>
      </c>
      <c r="E106" s="3" t="s">
        <v>78</v>
      </c>
      <c r="F106" s="3" t="s">
        <v>79</v>
      </c>
      <c r="G106" s="3" t="s">
        <v>97</v>
      </c>
      <c r="H106" s="3" t="s">
        <v>162</v>
      </c>
    </row>
    <row r="107" customFormat="false" ht="15" hidden="false" customHeight="false" outlineLevel="0" collapsed="false">
      <c r="A107" s="3" t="s">
        <v>142</v>
      </c>
      <c r="B107" s="3" t="n">
        <v>20</v>
      </c>
      <c r="C107" s="3" t="s">
        <v>143</v>
      </c>
      <c r="D107" s="3" t="n">
        <v>15</v>
      </c>
      <c r="E107" s="3" t="s">
        <v>78</v>
      </c>
      <c r="F107" s="3" t="s">
        <v>79</v>
      </c>
      <c r="G107" s="3" t="s">
        <v>97</v>
      </c>
      <c r="H107" s="3" t="s">
        <v>163</v>
      </c>
    </row>
    <row r="108" customFormat="false" ht="15" hidden="false" customHeight="false" outlineLevel="0" collapsed="false">
      <c r="A108" s="3" t="s">
        <v>142</v>
      </c>
      <c r="B108" s="3" t="n">
        <v>20</v>
      </c>
      <c r="C108" s="3" t="s">
        <v>143</v>
      </c>
      <c r="D108" s="3" t="n">
        <v>13</v>
      </c>
      <c r="E108" s="3" t="s">
        <v>81</v>
      </c>
      <c r="F108" s="3" t="s">
        <v>79</v>
      </c>
      <c r="G108" s="3" t="s">
        <v>97</v>
      </c>
      <c r="H108" s="3" t="s">
        <v>163</v>
      </c>
    </row>
    <row r="109" customFormat="false" ht="15" hidden="false" customHeight="false" outlineLevel="0" collapsed="false">
      <c r="A109" s="3" t="s">
        <v>142</v>
      </c>
      <c r="B109" s="3" t="n">
        <v>21</v>
      </c>
      <c r="C109" s="3" t="s">
        <v>143</v>
      </c>
      <c r="D109" s="3" t="n">
        <v>13</v>
      </c>
      <c r="E109" s="3" t="s">
        <v>78</v>
      </c>
      <c r="F109" s="3" t="s">
        <v>79</v>
      </c>
      <c r="G109" s="3" t="s">
        <v>97</v>
      </c>
      <c r="H109" s="3" t="s">
        <v>164</v>
      </c>
    </row>
    <row r="110" customFormat="false" ht="15" hidden="false" customHeight="false" outlineLevel="0" collapsed="false">
      <c r="A110" s="3" t="s">
        <v>142</v>
      </c>
      <c r="B110" s="3" t="n">
        <v>22</v>
      </c>
      <c r="C110" s="3" t="s">
        <v>143</v>
      </c>
      <c r="D110" s="3" t="n">
        <v>25</v>
      </c>
      <c r="E110" s="3" t="s">
        <v>78</v>
      </c>
      <c r="F110" s="3" t="s">
        <v>79</v>
      </c>
      <c r="G110" s="3" t="s">
        <v>97</v>
      </c>
      <c r="H110" s="3" t="s">
        <v>165</v>
      </c>
    </row>
    <row r="111" customFormat="false" ht="15" hidden="false" customHeight="false" outlineLevel="0" collapsed="false">
      <c r="A111" s="3" t="s">
        <v>142</v>
      </c>
      <c r="B111" s="3" t="n">
        <v>23</v>
      </c>
      <c r="C111" s="3" t="s">
        <v>143</v>
      </c>
      <c r="D111" s="3" t="n">
        <v>13</v>
      </c>
      <c r="E111" s="3" t="s">
        <v>78</v>
      </c>
      <c r="F111" s="3" t="s">
        <v>79</v>
      </c>
      <c r="G111" s="3" t="s">
        <v>97</v>
      </c>
      <c r="H111" s="3" t="s">
        <v>166</v>
      </c>
    </row>
    <row r="112" customFormat="false" ht="15" hidden="false" customHeight="false" outlineLevel="0" collapsed="false">
      <c r="A112" s="3" t="s">
        <v>142</v>
      </c>
      <c r="B112" s="3" t="n">
        <v>24</v>
      </c>
      <c r="C112" s="3" t="s">
        <v>143</v>
      </c>
      <c r="D112" s="3" t="n">
        <v>31</v>
      </c>
      <c r="E112" s="3" t="s">
        <v>78</v>
      </c>
      <c r="F112" s="3" t="s">
        <v>79</v>
      </c>
      <c r="G112" s="3" t="s">
        <v>97</v>
      </c>
      <c r="H112" s="3" t="s">
        <v>167</v>
      </c>
    </row>
    <row r="113" customFormat="false" ht="15" hidden="false" customHeight="false" outlineLevel="0" collapsed="false">
      <c r="A113" s="3" t="s">
        <v>142</v>
      </c>
      <c r="B113" s="3" t="n">
        <v>25</v>
      </c>
      <c r="C113" s="3" t="s">
        <v>143</v>
      </c>
      <c r="D113" s="3" t="n">
        <v>15</v>
      </c>
      <c r="E113" s="3" t="s">
        <v>78</v>
      </c>
      <c r="F113" s="3" t="s">
        <v>79</v>
      </c>
      <c r="G113" s="3" t="s">
        <v>97</v>
      </c>
      <c r="H113" s="3" t="s">
        <v>168</v>
      </c>
    </row>
    <row r="114" customFormat="false" ht="15" hidden="false" customHeight="false" outlineLevel="0" collapsed="false">
      <c r="A114" s="3" t="s">
        <v>142</v>
      </c>
      <c r="B114" s="3" t="n">
        <v>25</v>
      </c>
      <c r="C114" s="3" t="s">
        <v>143</v>
      </c>
      <c r="D114" s="3" t="n">
        <v>31</v>
      </c>
      <c r="E114" s="3" t="s">
        <v>81</v>
      </c>
      <c r="F114" s="3" t="s">
        <v>79</v>
      </c>
      <c r="G114" s="3" t="s">
        <v>97</v>
      </c>
      <c r="H114" s="3" t="s">
        <v>168</v>
      </c>
    </row>
    <row r="115" customFormat="false" ht="15" hidden="false" customHeight="false" outlineLevel="0" collapsed="false">
      <c r="A115" s="3" t="s">
        <v>142</v>
      </c>
      <c r="B115" s="3" t="n">
        <v>26</v>
      </c>
      <c r="C115" s="3" t="s">
        <v>143</v>
      </c>
      <c r="D115" s="3" t="n">
        <v>31</v>
      </c>
      <c r="E115" s="3" t="s">
        <v>78</v>
      </c>
      <c r="F115" s="3" t="s">
        <v>79</v>
      </c>
      <c r="G115" s="3" t="s">
        <v>97</v>
      </c>
      <c r="H115" s="3" t="s">
        <v>169</v>
      </c>
    </row>
    <row r="116" customFormat="false" ht="15" hidden="false" customHeight="false" outlineLevel="0" collapsed="false">
      <c r="A116" s="3" t="s">
        <v>142</v>
      </c>
      <c r="B116" s="3" t="n">
        <v>26</v>
      </c>
      <c r="C116" s="3" t="s">
        <v>143</v>
      </c>
      <c r="D116" s="3" t="n">
        <v>30</v>
      </c>
      <c r="E116" s="3" t="s">
        <v>81</v>
      </c>
      <c r="F116" s="3" t="s">
        <v>79</v>
      </c>
      <c r="G116" s="3" t="s">
        <v>97</v>
      </c>
      <c r="H116" s="3" t="s">
        <v>169</v>
      </c>
    </row>
    <row r="117" customFormat="false" ht="15" hidden="false" customHeight="false" outlineLevel="0" collapsed="false">
      <c r="A117" s="3" t="s">
        <v>142</v>
      </c>
      <c r="B117" s="3" t="n">
        <v>27</v>
      </c>
      <c r="C117" s="3" t="s">
        <v>143</v>
      </c>
      <c r="D117" s="3" t="n">
        <v>14</v>
      </c>
      <c r="E117" s="3" t="s">
        <v>78</v>
      </c>
      <c r="F117" s="3" t="s">
        <v>79</v>
      </c>
      <c r="G117" s="3" t="s">
        <v>97</v>
      </c>
      <c r="H117" s="3" t="s">
        <v>170</v>
      </c>
    </row>
    <row r="118" customFormat="false" ht="15" hidden="false" customHeight="false" outlineLevel="0" collapsed="false">
      <c r="A118" s="3" t="s">
        <v>142</v>
      </c>
      <c r="B118" s="3" t="n">
        <v>27</v>
      </c>
      <c r="C118" s="3" t="s">
        <v>143</v>
      </c>
      <c r="D118" s="3" t="n">
        <v>13</v>
      </c>
      <c r="E118" s="3" t="s">
        <v>81</v>
      </c>
      <c r="F118" s="3" t="s">
        <v>79</v>
      </c>
      <c r="G118" s="3" t="s">
        <v>97</v>
      </c>
      <c r="H118" s="3" t="s">
        <v>170</v>
      </c>
    </row>
    <row r="119" customFormat="false" ht="15" hidden="false" customHeight="false" outlineLevel="0" collapsed="false">
      <c r="A119" s="3" t="s">
        <v>142</v>
      </c>
      <c r="B119" s="3" t="n">
        <v>27</v>
      </c>
      <c r="C119" s="3" t="s">
        <v>143</v>
      </c>
      <c r="D119" s="3" t="n">
        <v>17</v>
      </c>
      <c r="E119" s="3" t="s">
        <v>81</v>
      </c>
      <c r="F119" s="3" t="s">
        <v>79</v>
      </c>
      <c r="G119" s="3" t="s">
        <v>97</v>
      </c>
      <c r="H119" s="3" t="s">
        <v>170</v>
      </c>
    </row>
    <row r="120" customFormat="false" ht="15" hidden="false" customHeight="false" outlineLevel="0" collapsed="false">
      <c r="A120" s="3" t="s">
        <v>142</v>
      </c>
      <c r="B120" s="3" t="n">
        <v>28</v>
      </c>
      <c r="C120" s="3" t="s">
        <v>143</v>
      </c>
      <c r="D120" s="3" t="n">
        <v>39</v>
      </c>
      <c r="E120" s="3" t="s">
        <v>78</v>
      </c>
      <c r="F120" s="3" t="s">
        <v>79</v>
      </c>
      <c r="G120" s="3" t="s">
        <v>97</v>
      </c>
      <c r="H120" s="3" t="s">
        <v>171</v>
      </c>
    </row>
    <row r="121" customFormat="false" ht="15" hidden="false" customHeight="false" outlineLevel="0" collapsed="false">
      <c r="A121" s="3" t="s">
        <v>142</v>
      </c>
      <c r="B121" s="3" t="n">
        <v>28</v>
      </c>
      <c r="C121" s="3" t="s">
        <v>143</v>
      </c>
      <c r="D121" s="3" t="n">
        <v>13</v>
      </c>
      <c r="E121" s="3" t="s">
        <v>81</v>
      </c>
      <c r="F121" s="3" t="s">
        <v>79</v>
      </c>
      <c r="G121" s="3" t="s">
        <v>97</v>
      </c>
      <c r="H121" s="3" t="s">
        <v>171</v>
      </c>
    </row>
    <row r="122" customFormat="false" ht="15" hidden="false" customHeight="false" outlineLevel="0" collapsed="false">
      <c r="A122" s="3" t="s">
        <v>142</v>
      </c>
      <c r="B122" s="3" t="n">
        <v>29</v>
      </c>
      <c r="C122" s="3" t="s">
        <v>143</v>
      </c>
      <c r="D122" s="3" t="n">
        <v>39</v>
      </c>
      <c r="E122" s="3" t="s">
        <v>78</v>
      </c>
      <c r="F122" s="3" t="s">
        <v>79</v>
      </c>
      <c r="G122" s="3" t="s">
        <v>97</v>
      </c>
      <c r="H122" s="3" t="s">
        <v>172</v>
      </c>
    </row>
    <row r="123" customFormat="false" ht="15" hidden="false" customHeight="false" outlineLevel="0" collapsed="false">
      <c r="A123" s="3" t="s">
        <v>142</v>
      </c>
      <c r="B123" s="3" t="n">
        <v>30</v>
      </c>
      <c r="C123" s="3" t="s">
        <v>143</v>
      </c>
      <c r="D123" s="3" t="n">
        <v>39</v>
      </c>
      <c r="E123" s="3" t="s">
        <v>78</v>
      </c>
      <c r="F123" s="3" t="s">
        <v>79</v>
      </c>
      <c r="G123" s="3" t="s">
        <v>97</v>
      </c>
      <c r="H123" s="3" t="s">
        <v>173</v>
      </c>
    </row>
    <row r="124" customFormat="false" ht="15" hidden="false" customHeight="false" outlineLevel="0" collapsed="false">
      <c r="A124" s="3" t="s">
        <v>142</v>
      </c>
      <c r="B124" s="3" t="n">
        <v>31</v>
      </c>
      <c r="C124" s="3" t="s">
        <v>143</v>
      </c>
      <c r="D124" s="3" t="n">
        <v>34</v>
      </c>
      <c r="E124" s="3" t="s">
        <v>78</v>
      </c>
      <c r="F124" s="3" t="s">
        <v>79</v>
      </c>
      <c r="G124" s="3" t="s">
        <v>97</v>
      </c>
      <c r="H124" s="3" t="s">
        <v>174</v>
      </c>
    </row>
    <row r="125" customFormat="false" ht="15" hidden="false" customHeight="false" outlineLevel="0" collapsed="false">
      <c r="A125" s="3" t="s">
        <v>142</v>
      </c>
      <c r="B125" s="3" t="n">
        <v>32</v>
      </c>
      <c r="C125" s="3" t="s">
        <v>143</v>
      </c>
      <c r="D125" s="3" t="n">
        <v>31</v>
      </c>
      <c r="E125" s="3" t="s">
        <v>78</v>
      </c>
      <c r="F125" s="3" t="s">
        <v>79</v>
      </c>
      <c r="G125" s="3" t="s">
        <v>97</v>
      </c>
      <c r="H125" s="3" t="s">
        <v>175</v>
      </c>
    </row>
    <row r="126" customFormat="false" ht="15" hidden="false" customHeight="false" outlineLevel="0" collapsed="false">
      <c r="A126" s="3" t="s">
        <v>142</v>
      </c>
      <c r="B126" s="3" t="n">
        <v>33</v>
      </c>
      <c r="C126" s="3" t="s">
        <v>143</v>
      </c>
      <c r="D126" s="3" t="n">
        <v>31</v>
      </c>
      <c r="E126" s="3" t="s">
        <v>78</v>
      </c>
      <c r="F126" s="3" t="s">
        <v>79</v>
      </c>
      <c r="G126" s="3" t="s">
        <v>97</v>
      </c>
      <c r="H126" s="3" t="s">
        <v>176</v>
      </c>
    </row>
    <row r="127" customFormat="false" ht="15" hidden="false" customHeight="false" outlineLevel="0" collapsed="false">
      <c r="A127" s="3" t="s">
        <v>142</v>
      </c>
      <c r="B127" s="3" t="n">
        <v>34</v>
      </c>
      <c r="C127" s="3" t="s">
        <v>143</v>
      </c>
      <c r="D127" s="3" t="n">
        <v>21</v>
      </c>
      <c r="E127" s="3" t="s">
        <v>78</v>
      </c>
      <c r="F127" s="3" t="s">
        <v>79</v>
      </c>
      <c r="G127" s="3" t="s">
        <v>97</v>
      </c>
      <c r="H127" s="3" t="s">
        <v>177</v>
      </c>
    </row>
    <row r="128" customFormat="false" ht="15" hidden="false" customHeight="false" outlineLevel="0" collapsed="false">
      <c r="A128" s="3" t="s">
        <v>142</v>
      </c>
      <c r="B128" s="3" t="n">
        <v>34</v>
      </c>
      <c r="C128" s="3" t="s">
        <v>143</v>
      </c>
      <c r="D128" s="3" t="n">
        <v>39</v>
      </c>
      <c r="E128" s="3" t="s">
        <v>81</v>
      </c>
      <c r="F128" s="3" t="s">
        <v>79</v>
      </c>
      <c r="G128" s="3" t="s">
        <v>97</v>
      </c>
      <c r="H128" s="3" t="s">
        <v>177</v>
      </c>
    </row>
    <row r="129" customFormat="false" ht="15" hidden="false" customHeight="false" outlineLevel="0" collapsed="false">
      <c r="A129" s="3" t="s">
        <v>142</v>
      </c>
      <c r="B129" s="3" t="n">
        <v>35</v>
      </c>
      <c r="C129" s="3" t="s">
        <v>143</v>
      </c>
      <c r="D129" s="3" t="n">
        <v>13</v>
      </c>
      <c r="E129" s="3" t="s">
        <v>78</v>
      </c>
      <c r="F129" s="3" t="s">
        <v>79</v>
      </c>
      <c r="G129" s="3" t="s">
        <v>97</v>
      </c>
      <c r="H129" s="3" t="s">
        <v>178</v>
      </c>
    </row>
    <row r="130" customFormat="false" ht="15" hidden="false" customHeight="false" outlineLevel="0" collapsed="false">
      <c r="A130" s="3" t="s">
        <v>142</v>
      </c>
      <c r="B130" s="3" t="n">
        <v>36</v>
      </c>
      <c r="C130" s="3" t="s">
        <v>143</v>
      </c>
      <c r="D130" s="3" t="n">
        <v>31</v>
      </c>
      <c r="E130" s="3" t="s">
        <v>78</v>
      </c>
      <c r="F130" s="3" t="s">
        <v>79</v>
      </c>
      <c r="G130" s="3" t="s">
        <v>97</v>
      </c>
      <c r="H130" s="3" t="s">
        <v>179</v>
      </c>
    </row>
    <row r="131" customFormat="false" ht="15" hidden="false" customHeight="false" outlineLevel="0" collapsed="false">
      <c r="A131" s="3" t="s">
        <v>142</v>
      </c>
      <c r="B131" s="3" t="n">
        <v>36</v>
      </c>
      <c r="C131" s="3" t="s">
        <v>143</v>
      </c>
      <c r="D131" s="3" t="n">
        <v>30</v>
      </c>
      <c r="E131" s="3" t="s">
        <v>81</v>
      </c>
      <c r="F131" s="3" t="s">
        <v>79</v>
      </c>
      <c r="G131" s="3" t="s">
        <v>97</v>
      </c>
      <c r="H131" s="3" t="s">
        <v>179</v>
      </c>
    </row>
    <row r="132" customFormat="false" ht="15" hidden="false" customHeight="false" outlineLevel="0" collapsed="false">
      <c r="A132" s="3" t="s">
        <v>142</v>
      </c>
      <c r="B132" s="3" t="n">
        <v>37</v>
      </c>
      <c r="C132" s="3" t="s">
        <v>143</v>
      </c>
      <c r="D132" s="3" t="n">
        <v>39</v>
      </c>
      <c r="E132" s="3" t="s">
        <v>78</v>
      </c>
      <c r="F132" s="3" t="s">
        <v>79</v>
      </c>
      <c r="G132" s="3" t="s">
        <v>97</v>
      </c>
      <c r="H132" s="3" t="s">
        <v>180</v>
      </c>
    </row>
    <row r="133" customFormat="false" ht="15" hidden="false" customHeight="false" outlineLevel="0" collapsed="false">
      <c r="A133" s="3" t="s">
        <v>142</v>
      </c>
      <c r="B133" s="3" t="n">
        <v>38</v>
      </c>
      <c r="C133" s="3" t="s">
        <v>143</v>
      </c>
      <c r="D133" s="3" t="n">
        <v>31</v>
      </c>
      <c r="E133" s="3" t="s">
        <v>78</v>
      </c>
      <c r="F133" s="3" t="s">
        <v>79</v>
      </c>
      <c r="G133" s="3" t="s">
        <v>97</v>
      </c>
      <c r="H133" s="3" t="s">
        <v>181</v>
      </c>
    </row>
    <row r="134" customFormat="false" ht="15" hidden="false" customHeight="false" outlineLevel="0" collapsed="false">
      <c r="A134" s="3" t="s">
        <v>142</v>
      </c>
      <c r="B134" s="3" t="n">
        <v>39</v>
      </c>
      <c r="C134" s="3" t="s">
        <v>143</v>
      </c>
      <c r="D134" s="3" t="n">
        <v>39</v>
      </c>
      <c r="E134" s="3" t="s">
        <v>78</v>
      </c>
      <c r="F134" s="3" t="s">
        <v>79</v>
      </c>
      <c r="G134" s="3" t="s">
        <v>97</v>
      </c>
      <c r="H134" s="3" t="s">
        <v>182</v>
      </c>
    </row>
    <row r="135" customFormat="false" ht="15" hidden="false" customHeight="false" outlineLevel="0" collapsed="false">
      <c r="A135" s="3" t="s">
        <v>142</v>
      </c>
      <c r="B135" s="3" t="n">
        <v>40</v>
      </c>
      <c r="C135" s="3" t="s">
        <v>143</v>
      </c>
      <c r="D135" s="3" t="n">
        <v>31</v>
      </c>
      <c r="E135" s="3" t="s">
        <v>78</v>
      </c>
      <c r="F135" s="3" t="s">
        <v>79</v>
      </c>
      <c r="G135" s="3" t="s">
        <v>97</v>
      </c>
      <c r="H135" s="3" t="s">
        <v>183</v>
      </c>
    </row>
    <row r="136" customFormat="false" ht="15" hidden="false" customHeight="false" outlineLevel="0" collapsed="false">
      <c r="A136" s="3" t="s">
        <v>142</v>
      </c>
      <c r="B136" s="3" t="n">
        <v>41</v>
      </c>
      <c r="C136" s="3" t="s">
        <v>143</v>
      </c>
      <c r="D136" s="3" t="n">
        <v>25</v>
      </c>
      <c r="E136" s="3" t="s">
        <v>78</v>
      </c>
      <c r="F136" s="3" t="s">
        <v>79</v>
      </c>
      <c r="G136" s="3" t="s">
        <v>97</v>
      </c>
      <c r="H136" s="3" t="s">
        <v>184</v>
      </c>
    </row>
    <row r="137" customFormat="false" ht="15" hidden="false" customHeight="false" outlineLevel="0" collapsed="false">
      <c r="A137" s="3" t="s">
        <v>142</v>
      </c>
      <c r="B137" s="3" t="n">
        <v>42</v>
      </c>
      <c r="C137" s="3" t="s">
        <v>143</v>
      </c>
      <c r="D137" s="3" t="n">
        <v>13</v>
      </c>
      <c r="E137" s="3" t="s">
        <v>78</v>
      </c>
      <c r="F137" s="3" t="s">
        <v>79</v>
      </c>
      <c r="G137" s="3" t="s">
        <v>97</v>
      </c>
      <c r="H137" s="3" t="s">
        <v>185</v>
      </c>
    </row>
    <row r="138" customFormat="false" ht="15" hidden="false" customHeight="false" outlineLevel="0" collapsed="false">
      <c r="A138" s="3" t="s">
        <v>142</v>
      </c>
      <c r="B138" s="3" t="n">
        <v>43</v>
      </c>
      <c r="C138" s="3" t="s">
        <v>143</v>
      </c>
      <c r="D138" s="3" t="n">
        <v>31</v>
      </c>
      <c r="E138" s="3" t="s">
        <v>78</v>
      </c>
      <c r="F138" s="3" t="s">
        <v>79</v>
      </c>
      <c r="G138" s="3" t="s">
        <v>97</v>
      </c>
      <c r="H138" s="3" t="s">
        <v>186</v>
      </c>
    </row>
    <row r="139" customFormat="false" ht="15" hidden="false" customHeight="false" outlineLevel="0" collapsed="false">
      <c r="A139" s="3" t="s">
        <v>142</v>
      </c>
      <c r="B139" s="3" t="n">
        <v>44</v>
      </c>
      <c r="C139" s="3" t="s">
        <v>143</v>
      </c>
      <c r="D139" s="3" t="n">
        <v>13</v>
      </c>
      <c r="E139" s="3" t="s">
        <v>78</v>
      </c>
      <c r="F139" s="3" t="s">
        <v>79</v>
      </c>
      <c r="G139" s="3" t="s">
        <v>97</v>
      </c>
      <c r="H139" s="3" t="s">
        <v>187</v>
      </c>
    </row>
    <row r="140" customFormat="false" ht="15" hidden="false" customHeight="false" outlineLevel="0" collapsed="false">
      <c r="A140" s="3" t="s">
        <v>142</v>
      </c>
      <c r="B140" s="3" t="n">
        <v>45</v>
      </c>
      <c r="C140" s="3" t="s">
        <v>143</v>
      </c>
      <c r="D140" s="3" t="n">
        <v>31</v>
      </c>
      <c r="E140" s="3" t="s">
        <v>78</v>
      </c>
      <c r="F140" s="3" t="s">
        <v>79</v>
      </c>
      <c r="G140" s="3" t="s">
        <v>97</v>
      </c>
      <c r="H140" s="3" t="s">
        <v>188</v>
      </c>
    </row>
    <row r="141" customFormat="false" ht="15" hidden="false" customHeight="false" outlineLevel="0" collapsed="false">
      <c r="A141" s="3" t="s">
        <v>142</v>
      </c>
      <c r="B141" s="3" t="n">
        <v>46</v>
      </c>
      <c r="C141" s="3" t="s">
        <v>143</v>
      </c>
      <c r="D141" s="3" t="n">
        <v>31</v>
      </c>
      <c r="E141" s="3" t="s">
        <v>78</v>
      </c>
      <c r="F141" s="3" t="s">
        <v>79</v>
      </c>
      <c r="G141" s="3" t="s">
        <v>97</v>
      </c>
      <c r="H141" s="3" t="s">
        <v>189</v>
      </c>
    </row>
    <row r="142" customFormat="false" ht="15" hidden="false" customHeight="false" outlineLevel="0" collapsed="false">
      <c r="A142" s="3" t="s">
        <v>142</v>
      </c>
      <c r="B142" s="3" t="n">
        <v>47</v>
      </c>
      <c r="C142" s="3" t="s">
        <v>143</v>
      </c>
      <c r="D142" s="3" t="n">
        <v>31</v>
      </c>
      <c r="E142" s="3" t="s">
        <v>78</v>
      </c>
      <c r="F142" s="3" t="s">
        <v>79</v>
      </c>
      <c r="G142" s="3" t="s">
        <v>97</v>
      </c>
      <c r="H142" s="3" t="s">
        <v>190</v>
      </c>
    </row>
    <row r="143" customFormat="false" ht="15" hidden="false" customHeight="false" outlineLevel="0" collapsed="false">
      <c r="A143" s="3" t="s">
        <v>142</v>
      </c>
      <c r="B143" s="3" t="n">
        <v>48</v>
      </c>
      <c r="C143" s="3" t="s">
        <v>143</v>
      </c>
      <c r="D143" s="3" t="n">
        <v>25</v>
      </c>
      <c r="E143" s="3" t="s">
        <v>78</v>
      </c>
      <c r="F143" s="3" t="s">
        <v>79</v>
      </c>
      <c r="G143" s="3" t="s">
        <v>97</v>
      </c>
      <c r="H143" s="3" t="s">
        <v>191</v>
      </c>
    </row>
    <row r="144" customFormat="false" ht="15" hidden="false" customHeight="false" outlineLevel="0" collapsed="false">
      <c r="A144" s="3" t="s">
        <v>142</v>
      </c>
      <c r="B144" s="3" t="n">
        <v>48</v>
      </c>
      <c r="C144" s="3" t="s">
        <v>143</v>
      </c>
      <c r="D144" s="3" t="n">
        <v>35</v>
      </c>
      <c r="E144" s="3" t="s">
        <v>81</v>
      </c>
      <c r="F144" s="3" t="s">
        <v>79</v>
      </c>
      <c r="G144" s="3" t="s">
        <v>97</v>
      </c>
      <c r="H144" s="3" t="s">
        <v>191</v>
      </c>
    </row>
    <row r="145" customFormat="false" ht="15" hidden="false" customHeight="false" outlineLevel="0" collapsed="false">
      <c r="A145" s="3" t="s">
        <v>142</v>
      </c>
      <c r="B145" s="3" t="n">
        <v>49</v>
      </c>
      <c r="C145" s="3" t="s">
        <v>143</v>
      </c>
      <c r="D145" s="3" t="n">
        <v>13</v>
      </c>
      <c r="E145" s="3" t="s">
        <v>78</v>
      </c>
      <c r="F145" s="3" t="s">
        <v>79</v>
      </c>
      <c r="G145" s="3" t="s">
        <v>97</v>
      </c>
      <c r="H145" s="3" t="s">
        <v>192</v>
      </c>
    </row>
    <row r="146" customFormat="false" ht="15" hidden="false" customHeight="false" outlineLevel="0" collapsed="false">
      <c r="A146" s="3" t="s">
        <v>142</v>
      </c>
      <c r="B146" s="3" t="n">
        <v>50</v>
      </c>
      <c r="C146" s="3" t="s">
        <v>143</v>
      </c>
      <c r="D146" s="3" t="n">
        <v>31</v>
      </c>
      <c r="E146" s="3" t="s">
        <v>78</v>
      </c>
      <c r="F146" s="3" t="s">
        <v>79</v>
      </c>
      <c r="G146" s="3" t="s">
        <v>97</v>
      </c>
      <c r="H146" s="3" t="s">
        <v>193</v>
      </c>
    </row>
    <row r="147" customFormat="false" ht="15" hidden="false" customHeight="false" outlineLevel="0" collapsed="false">
      <c r="A147" s="3" t="s">
        <v>142</v>
      </c>
      <c r="B147" s="3" t="n">
        <v>51</v>
      </c>
      <c r="C147" s="3" t="s">
        <v>143</v>
      </c>
      <c r="D147" s="3" t="n">
        <v>31</v>
      </c>
      <c r="E147" s="3" t="s">
        <v>78</v>
      </c>
      <c r="F147" s="3" t="s">
        <v>79</v>
      </c>
      <c r="G147" s="3" t="s">
        <v>97</v>
      </c>
      <c r="H147" s="3" t="s">
        <v>194</v>
      </c>
    </row>
    <row r="148" customFormat="false" ht="15" hidden="false" customHeight="false" outlineLevel="0" collapsed="false">
      <c r="A148" s="3" t="s">
        <v>142</v>
      </c>
      <c r="B148" s="3" t="n">
        <v>52</v>
      </c>
      <c r="C148" s="3" t="s">
        <v>143</v>
      </c>
      <c r="D148" s="3" t="n">
        <v>31</v>
      </c>
      <c r="E148" s="3" t="s">
        <v>78</v>
      </c>
      <c r="F148" s="3" t="s">
        <v>79</v>
      </c>
      <c r="G148" s="3" t="s">
        <v>97</v>
      </c>
      <c r="H148" s="3" t="s">
        <v>195</v>
      </c>
    </row>
    <row r="149" customFormat="false" ht="15" hidden="false" customHeight="false" outlineLevel="0" collapsed="false">
      <c r="A149" s="3" t="s">
        <v>142</v>
      </c>
      <c r="B149" s="3" t="n">
        <v>53</v>
      </c>
      <c r="C149" s="3" t="s">
        <v>143</v>
      </c>
      <c r="D149" s="3" t="n">
        <v>39</v>
      </c>
      <c r="E149" s="3" t="s">
        <v>78</v>
      </c>
      <c r="F149" s="3" t="s">
        <v>79</v>
      </c>
      <c r="G149" s="3" t="s">
        <v>97</v>
      </c>
      <c r="H149" s="3" t="s">
        <v>196</v>
      </c>
    </row>
    <row r="150" customFormat="false" ht="15" hidden="false" customHeight="false" outlineLevel="0" collapsed="false">
      <c r="A150" s="3" t="s">
        <v>142</v>
      </c>
      <c r="B150" s="3" t="n">
        <v>54</v>
      </c>
      <c r="C150" s="3" t="s">
        <v>143</v>
      </c>
      <c r="D150" s="3" t="n">
        <v>31</v>
      </c>
      <c r="E150" s="3" t="s">
        <v>78</v>
      </c>
      <c r="F150" s="3" t="s">
        <v>79</v>
      </c>
      <c r="G150" s="3" t="s">
        <v>97</v>
      </c>
      <c r="H150" s="3" t="s">
        <v>197</v>
      </c>
    </row>
    <row r="151" customFormat="false" ht="15" hidden="false" customHeight="false" outlineLevel="0" collapsed="false">
      <c r="A151" s="3" t="s">
        <v>142</v>
      </c>
      <c r="B151" s="3" t="n">
        <v>55</v>
      </c>
      <c r="C151" s="3" t="s">
        <v>143</v>
      </c>
      <c r="D151" s="3" t="n">
        <v>15</v>
      </c>
      <c r="E151" s="3" t="s">
        <v>78</v>
      </c>
      <c r="F151" s="3" t="s">
        <v>79</v>
      </c>
      <c r="G151" s="3" t="s">
        <v>97</v>
      </c>
      <c r="H151" s="3" t="s">
        <v>198</v>
      </c>
    </row>
    <row r="152" customFormat="false" ht="15" hidden="false" customHeight="false" outlineLevel="0" collapsed="false">
      <c r="A152" s="3" t="s">
        <v>142</v>
      </c>
      <c r="B152" s="3" t="n">
        <v>56</v>
      </c>
      <c r="C152" s="3" t="s">
        <v>143</v>
      </c>
      <c r="D152" s="3" t="n">
        <v>31</v>
      </c>
      <c r="E152" s="3" t="s">
        <v>78</v>
      </c>
      <c r="F152" s="3" t="s">
        <v>79</v>
      </c>
      <c r="G152" s="3" t="s">
        <v>97</v>
      </c>
      <c r="H152" s="3" t="s">
        <v>199</v>
      </c>
    </row>
    <row r="153" customFormat="false" ht="15" hidden="false" customHeight="false" outlineLevel="0" collapsed="false">
      <c r="A153" s="3" t="s">
        <v>142</v>
      </c>
      <c r="B153" s="3" t="n">
        <v>57</v>
      </c>
      <c r="C153" s="3" t="s">
        <v>143</v>
      </c>
      <c r="D153" s="3" t="n">
        <v>10</v>
      </c>
      <c r="E153" s="3" t="s">
        <v>78</v>
      </c>
      <c r="F153" s="3" t="s">
        <v>79</v>
      </c>
      <c r="G153" s="3" t="s">
        <v>97</v>
      </c>
      <c r="H153" s="3" t="s">
        <v>200</v>
      </c>
    </row>
    <row r="154" customFormat="false" ht="15" hidden="false" customHeight="false" outlineLevel="0" collapsed="false">
      <c r="A154" s="3" t="s">
        <v>142</v>
      </c>
      <c r="B154" s="3" t="n">
        <v>58</v>
      </c>
      <c r="C154" s="3" t="s">
        <v>143</v>
      </c>
      <c r="D154" s="3" t="n">
        <v>31</v>
      </c>
      <c r="E154" s="3" t="s">
        <v>78</v>
      </c>
      <c r="F154" s="3" t="s">
        <v>79</v>
      </c>
      <c r="G154" s="3" t="s">
        <v>97</v>
      </c>
      <c r="H154" s="3" t="s">
        <v>201</v>
      </c>
    </row>
    <row r="155" customFormat="false" ht="15" hidden="false" customHeight="false" outlineLevel="0" collapsed="false">
      <c r="A155" s="3" t="s">
        <v>142</v>
      </c>
      <c r="B155" s="3" t="n">
        <v>59</v>
      </c>
      <c r="C155" s="3" t="s">
        <v>143</v>
      </c>
      <c r="D155" s="3" t="n">
        <v>26</v>
      </c>
      <c r="E155" s="3" t="s">
        <v>78</v>
      </c>
      <c r="F155" s="3" t="s">
        <v>79</v>
      </c>
      <c r="G155" s="3" t="s">
        <v>97</v>
      </c>
      <c r="H155" s="3" t="s">
        <v>202</v>
      </c>
    </row>
    <row r="156" customFormat="false" ht="15" hidden="false" customHeight="false" outlineLevel="0" collapsed="false">
      <c r="A156" s="3" t="s">
        <v>142</v>
      </c>
      <c r="B156" s="3" t="n">
        <v>59</v>
      </c>
      <c r="C156" s="3" t="s">
        <v>143</v>
      </c>
      <c r="D156" s="3" t="n">
        <v>25</v>
      </c>
      <c r="E156" s="3" t="s">
        <v>81</v>
      </c>
      <c r="F156" s="3" t="s">
        <v>79</v>
      </c>
      <c r="G156" s="3" t="s">
        <v>97</v>
      </c>
      <c r="H156" s="3" t="s">
        <v>202</v>
      </c>
    </row>
    <row r="157" customFormat="false" ht="15" hidden="false" customHeight="false" outlineLevel="0" collapsed="false">
      <c r="A157" s="3" t="s">
        <v>142</v>
      </c>
      <c r="B157" s="3" t="n">
        <v>60</v>
      </c>
      <c r="C157" s="3" t="s">
        <v>143</v>
      </c>
      <c r="D157" s="3" t="n">
        <v>31</v>
      </c>
      <c r="E157" s="3" t="s">
        <v>78</v>
      </c>
      <c r="F157" s="3" t="s">
        <v>79</v>
      </c>
      <c r="G157" s="3" t="s">
        <v>97</v>
      </c>
      <c r="H157" s="3" t="s">
        <v>203</v>
      </c>
    </row>
    <row r="158" customFormat="false" ht="15" hidden="false" customHeight="false" outlineLevel="0" collapsed="false">
      <c r="A158" s="3" t="s">
        <v>142</v>
      </c>
      <c r="B158" s="3" t="n">
        <v>61</v>
      </c>
      <c r="C158" s="3" t="s">
        <v>143</v>
      </c>
      <c r="D158" s="3" t="n">
        <v>25</v>
      </c>
      <c r="E158" s="3" t="s">
        <v>78</v>
      </c>
      <c r="F158" s="3" t="s">
        <v>79</v>
      </c>
      <c r="G158" s="3" t="s">
        <v>97</v>
      </c>
      <c r="H158" s="3" t="s">
        <v>204</v>
      </c>
    </row>
    <row r="159" customFormat="false" ht="15" hidden="false" customHeight="false" outlineLevel="0" collapsed="false">
      <c r="A159" s="3" t="s">
        <v>142</v>
      </c>
      <c r="B159" s="3" t="n">
        <v>62</v>
      </c>
      <c r="C159" s="3" t="s">
        <v>143</v>
      </c>
      <c r="D159" s="3" t="n">
        <v>15</v>
      </c>
      <c r="E159" s="3" t="s">
        <v>78</v>
      </c>
      <c r="F159" s="3" t="s">
        <v>79</v>
      </c>
      <c r="G159" s="3" t="s">
        <v>97</v>
      </c>
      <c r="H159" s="3" t="s">
        <v>205</v>
      </c>
    </row>
    <row r="160" customFormat="false" ht="15" hidden="false" customHeight="false" outlineLevel="0" collapsed="false">
      <c r="A160" s="3" t="s">
        <v>142</v>
      </c>
      <c r="B160" s="3" t="n">
        <v>62</v>
      </c>
      <c r="C160" s="3" t="s">
        <v>143</v>
      </c>
      <c r="D160" s="3" t="n">
        <v>34</v>
      </c>
      <c r="E160" s="3" t="s">
        <v>81</v>
      </c>
      <c r="F160" s="3" t="s">
        <v>79</v>
      </c>
      <c r="G160" s="3" t="s">
        <v>97</v>
      </c>
      <c r="H160" s="3" t="s">
        <v>205</v>
      </c>
    </row>
    <row r="161" customFormat="false" ht="15" hidden="false" customHeight="false" outlineLevel="0" collapsed="false">
      <c r="A161" s="3" t="s">
        <v>142</v>
      </c>
      <c r="B161" s="3" t="n">
        <v>63</v>
      </c>
      <c r="C161" s="3" t="s">
        <v>143</v>
      </c>
      <c r="D161" s="3" t="n">
        <v>31</v>
      </c>
      <c r="E161" s="3" t="s">
        <v>78</v>
      </c>
      <c r="F161" s="3" t="s">
        <v>79</v>
      </c>
      <c r="G161" s="3" t="s">
        <v>97</v>
      </c>
      <c r="H161" s="3" t="s">
        <v>206</v>
      </c>
    </row>
    <row r="162" customFormat="false" ht="15" hidden="false" customHeight="false" outlineLevel="0" collapsed="false">
      <c r="A162" s="3" t="s">
        <v>142</v>
      </c>
      <c r="B162" s="3" t="n">
        <v>63</v>
      </c>
      <c r="C162" s="3" t="s">
        <v>143</v>
      </c>
      <c r="D162" s="3" t="n">
        <v>4</v>
      </c>
      <c r="E162" s="3" t="s">
        <v>81</v>
      </c>
      <c r="F162" s="3" t="s">
        <v>79</v>
      </c>
      <c r="G162" s="3" t="s">
        <v>97</v>
      </c>
      <c r="H162" s="3" t="s">
        <v>206</v>
      </c>
    </row>
    <row r="163" customFormat="false" ht="15" hidden="false" customHeight="false" outlineLevel="0" collapsed="false">
      <c r="A163" s="3" t="s">
        <v>142</v>
      </c>
      <c r="B163" s="3" t="n">
        <v>64</v>
      </c>
      <c r="C163" s="3" t="s">
        <v>143</v>
      </c>
      <c r="D163" s="3" t="n">
        <v>39</v>
      </c>
      <c r="E163" s="3" t="s">
        <v>78</v>
      </c>
      <c r="F163" s="3" t="s">
        <v>79</v>
      </c>
      <c r="G163" s="3" t="s">
        <v>97</v>
      </c>
      <c r="H163" s="3" t="s">
        <v>207</v>
      </c>
    </row>
    <row r="164" customFormat="false" ht="15" hidden="false" customHeight="false" outlineLevel="0" collapsed="false">
      <c r="A164" s="3" t="s">
        <v>208</v>
      </c>
      <c r="B164" s="3" t="n">
        <v>1</v>
      </c>
      <c r="C164" s="3" t="s">
        <v>143</v>
      </c>
      <c r="D164" s="3" t="n">
        <v>6</v>
      </c>
      <c r="E164" s="3" t="s">
        <v>78</v>
      </c>
      <c r="F164" s="3" t="s">
        <v>97</v>
      </c>
      <c r="G164" s="3" t="s">
        <v>97</v>
      </c>
      <c r="H164" s="3" t="s">
        <v>209</v>
      </c>
    </row>
    <row r="165" customFormat="false" ht="15" hidden="false" customHeight="false" outlineLevel="0" collapsed="false">
      <c r="A165" s="3" t="s">
        <v>208</v>
      </c>
      <c r="B165" s="3" t="n">
        <v>1</v>
      </c>
      <c r="C165" s="3" t="s">
        <v>143</v>
      </c>
      <c r="D165" s="3" t="n">
        <v>5</v>
      </c>
      <c r="E165" s="3" t="s">
        <v>81</v>
      </c>
      <c r="F165" s="3" t="s">
        <v>97</v>
      </c>
      <c r="G165" s="3" t="s">
        <v>97</v>
      </c>
      <c r="H165" s="3" t="s">
        <v>209</v>
      </c>
    </row>
    <row r="166" customFormat="false" ht="15" hidden="false" customHeight="false" outlineLevel="0" collapsed="false">
      <c r="A166" s="3" t="s">
        <v>208</v>
      </c>
      <c r="B166" s="3" t="n">
        <v>2</v>
      </c>
      <c r="C166" s="3" t="s">
        <v>143</v>
      </c>
      <c r="D166" s="3" t="n">
        <v>10</v>
      </c>
      <c r="E166" s="3" t="s">
        <v>78</v>
      </c>
      <c r="F166" s="3" t="s">
        <v>97</v>
      </c>
      <c r="G166" s="3" t="s">
        <v>97</v>
      </c>
      <c r="H166" s="3" t="s">
        <v>210</v>
      </c>
    </row>
    <row r="167" customFormat="false" ht="15" hidden="false" customHeight="false" outlineLevel="0" collapsed="false">
      <c r="A167" s="3" t="s">
        <v>208</v>
      </c>
      <c r="B167" s="3" t="n">
        <v>3</v>
      </c>
      <c r="C167" s="3" t="s">
        <v>143</v>
      </c>
      <c r="D167" s="3" t="n">
        <v>10</v>
      </c>
      <c r="E167" s="3" t="s">
        <v>78</v>
      </c>
      <c r="F167" s="3" t="s">
        <v>97</v>
      </c>
      <c r="G167" s="3" t="s">
        <v>97</v>
      </c>
      <c r="H167" s="3" t="s">
        <v>211</v>
      </c>
    </row>
    <row r="168" customFormat="false" ht="15" hidden="false" customHeight="false" outlineLevel="0" collapsed="false">
      <c r="A168" s="3" t="s">
        <v>208</v>
      </c>
      <c r="B168" s="3" t="n">
        <v>4</v>
      </c>
      <c r="C168" s="3" t="s">
        <v>143</v>
      </c>
      <c r="D168" s="3" t="n">
        <v>8</v>
      </c>
      <c r="E168" s="3" t="s">
        <v>78</v>
      </c>
      <c r="F168" s="3" t="s">
        <v>97</v>
      </c>
      <c r="G168" s="3" t="s">
        <v>97</v>
      </c>
      <c r="H168" s="3" t="s">
        <v>212</v>
      </c>
    </row>
    <row r="169" customFormat="false" ht="15" hidden="false" customHeight="false" outlineLevel="0" collapsed="false">
      <c r="A169" s="3" t="s">
        <v>208</v>
      </c>
      <c r="B169" s="3" t="n">
        <v>4</v>
      </c>
      <c r="C169" s="3" t="s">
        <v>143</v>
      </c>
      <c r="D169" s="3" t="n">
        <v>5</v>
      </c>
      <c r="E169" s="3" t="s">
        <v>81</v>
      </c>
      <c r="F169" s="3" t="s">
        <v>97</v>
      </c>
      <c r="G169" s="3" t="s">
        <v>97</v>
      </c>
      <c r="H169" s="3" t="s">
        <v>212</v>
      </c>
    </row>
    <row r="170" customFormat="false" ht="15" hidden="false" customHeight="false" outlineLevel="0" collapsed="false">
      <c r="A170" s="3" t="s">
        <v>208</v>
      </c>
      <c r="B170" s="3" t="n">
        <v>5</v>
      </c>
      <c r="C170" s="3" t="s">
        <v>143</v>
      </c>
      <c r="D170" s="3" t="n">
        <v>2</v>
      </c>
      <c r="E170" s="3" t="s">
        <v>78</v>
      </c>
      <c r="F170" s="3" t="s">
        <v>97</v>
      </c>
      <c r="G170" s="3" t="s">
        <v>97</v>
      </c>
      <c r="H170" s="3" t="s">
        <v>213</v>
      </c>
    </row>
    <row r="171" customFormat="false" ht="15" hidden="false" customHeight="false" outlineLevel="0" collapsed="false">
      <c r="A171" s="3" t="s">
        <v>208</v>
      </c>
      <c r="B171" s="3" t="n">
        <v>6</v>
      </c>
      <c r="C171" s="3" t="s">
        <v>143</v>
      </c>
      <c r="D171" s="3" t="n">
        <v>9</v>
      </c>
      <c r="E171" s="3" t="s">
        <v>78</v>
      </c>
      <c r="F171" s="3" t="s">
        <v>97</v>
      </c>
      <c r="G171" s="3" t="s">
        <v>97</v>
      </c>
      <c r="H171" s="3" t="s">
        <v>214</v>
      </c>
    </row>
    <row r="172" customFormat="false" ht="15" hidden="false" customHeight="false" outlineLevel="0" collapsed="false">
      <c r="A172" s="3" t="s">
        <v>208</v>
      </c>
      <c r="B172" s="3" t="n">
        <v>6</v>
      </c>
      <c r="C172" s="3" t="s">
        <v>143</v>
      </c>
      <c r="D172" s="3" t="n">
        <v>5</v>
      </c>
      <c r="E172" s="3" t="s">
        <v>81</v>
      </c>
      <c r="F172" s="3" t="s">
        <v>97</v>
      </c>
      <c r="G172" s="3" t="s">
        <v>97</v>
      </c>
      <c r="H172" s="3" t="s">
        <v>214</v>
      </c>
    </row>
    <row r="173" customFormat="false" ht="15" hidden="false" customHeight="false" outlineLevel="0" collapsed="false">
      <c r="A173" s="3" t="s">
        <v>208</v>
      </c>
      <c r="B173" s="3" t="n">
        <v>6</v>
      </c>
      <c r="C173" s="3" t="s">
        <v>143</v>
      </c>
      <c r="D173" s="3" t="n">
        <v>6</v>
      </c>
      <c r="E173" s="3" t="s">
        <v>81</v>
      </c>
      <c r="F173" s="3" t="s">
        <v>97</v>
      </c>
      <c r="G173" s="3" t="s">
        <v>97</v>
      </c>
      <c r="H173" s="3" t="s">
        <v>214</v>
      </c>
    </row>
    <row r="174" customFormat="false" ht="15" hidden="false" customHeight="false" outlineLevel="0" collapsed="false">
      <c r="A174" s="3" t="s">
        <v>208</v>
      </c>
      <c r="B174" s="3" t="n">
        <v>7</v>
      </c>
      <c r="C174" s="3" t="s">
        <v>143</v>
      </c>
      <c r="D174" s="3" t="n">
        <v>9</v>
      </c>
      <c r="E174" s="3" t="s">
        <v>78</v>
      </c>
      <c r="F174" s="3" t="s">
        <v>97</v>
      </c>
      <c r="G174" s="3" t="s">
        <v>97</v>
      </c>
      <c r="H174" s="3" t="s">
        <v>215</v>
      </c>
    </row>
    <row r="175" customFormat="false" ht="15" hidden="false" customHeight="false" outlineLevel="0" collapsed="false">
      <c r="A175" s="3" t="s">
        <v>208</v>
      </c>
      <c r="B175" s="3" t="n">
        <v>8</v>
      </c>
      <c r="C175" s="3" t="s">
        <v>143</v>
      </c>
      <c r="D175" s="3" t="n">
        <v>9</v>
      </c>
      <c r="E175" s="3" t="s">
        <v>78</v>
      </c>
      <c r="F175" s="3" t="s">
        <v>97</v>
      </c>
      <c r="G175" s="3" t="s">
        <v>97</v>
      </c>
      <c r="H175" s="3" t="s">
        <v>216</v>
      </c>
    </row>
    <row r="176" customFormat="false" ht="15" hidden="false" customHeight="false" outlineLevel="0" collapsed="false">
      <c r="A176" s="3" t="s">
        <v>208</v>
      </c>
      <c r="B176" s="3" t="n">
        <v>9</v>
      </c>
      <c r="C176" s="3" t="s">
        <v>143</v>
      </c>
      <c r="D176" s="3" t="n">
        <v>9</v>
      </c>
      <c r="E176" s="3" t="s">
        <v>78</v>
      </c>
      <c r="F176" s="3" t="s">
        <v>97</v>
      </c>
      <c r="G176" s="3" t="s">
        <v>97</v>
      </c>
      <c r="H176" s="3" t="s">
        <v>217</v>
      </c>
    </row>
    <row r="177" customFormat="false" ht="15" hidden="false" customHeight="false" outlineLevel="0" collapsed="false">
      <c r="A177" s="3" t="s">
        <v>208</v>
      </c>
      <c r="B177" s="3" t="n">
        <v>9</v>
      </c>
      <c r="C177" s="3" t="s">
        <v>143</v>
      </c>
      <c r="D177" s="3" t="n">
        <v>6</v>
      </c>
      <c r="E177" s="3" t="s">
        <v>81</v>
      </c>
      <c r="F177" s="3" t="s">
        <v>97</v>
      </c>
      <c r="G177" s="3" t="s">
        <v>97</v>
      </c>
      <c r="H177" s="3" t="s">
        <v>217</v>
      </c>
    </row>
    <row r="178" customFormat="false" ht="15" hidden="false" customHeight="false" outlineLevel="0" collapsed="false">
      <c r="A178" s="3" t="s">
        <v>208</v>
      </c>
      <c r="B178" s="3" t="n">
        <v>10</v>
      </c>
      <c r="C178" s="3" t="s">
        <v>143</v>
      </c>
      <c r="D178" s="3" t="n">
        <v>9</v>
      </c>
      <c r="E178" s="3" t="s">
        <v>78</v>
      </c>
      <c r="F178" s="3" t="s">
        <v>97</v>
      </c>
      <c r="G178" s="3" t="s">
        <v>97</v>
      </c>
      <c r="H178" s="3" t="s">
        <v>218</v>
      </c>
    </row>
    <row r="179" customFormat="false" ht="15" hidden="false" customHeight="false" outlineLevel="0" collapsed="false">
      <c r="A179" s="3" t="s">
        <v>208</v>
      </c>
      <c r="B179" s="3" t="n">
        <v>10</v>
      </c>
      <c r="C179" s="3" t="s">
        <v>143</v>
      </c>
      <c r="D179" s="3" t="n">
        <v>5</v>
      </c>
      <c r="E179" s="3" t="s">
        <v>81</v>
      </c>
      <c r="F179" s="3" t="s">
        <v>97</v>
      </c>
      <c r="G179" s="3" t="s">
        <v>97</v>
      </c>
      <c r="H179" s="3" t="s">
        <v>218</v>
      </c>
    </row>
    <row r="180" customFormat="false" ht="15" hidden="false" customHeight="false" outlineLevel="0" collapsed="false">
      <c r="A180" s="3" t="s">
        <v>208</v>
      </c>
      <c r="B180" s="3" t="n">
        <v>10</v>
      </c>
      <c r="C180" s="3" t="s">
        <v>143</v>
      </c>
      <c r="D180" s="3" t="n">
        <v>6</v>
      </c>
      <c r="E180" s="3" t="s">
        <v>81</v>
      </c>
      <c r="F180" s="3" t="s">
        <v>97</v>
      </c>
      <c r="G180" s="3" t="s">
        <v>97</v>
      </c>
      <c r="H180" s="3" t="s">
        <v>218</v>
      </c>
    </row>
    <row r="181" customFormat="false" ht="15" hidden="false" customHeight="false" outlineLevel="0" collapsed="false">
      <c r="A181" s="3" t="s">
        <v>208</v>
      </c>
      <c r="B181" s="3" t="n">
        <v>11</v>
      </c>
      <c r="C181" s="3" t="s">
        <v>143</v>
      </c>
      <c r="D181" s="3" t="n">
        <v>10</v>
      </c>
      <c r="E181" s="3" t="s">
        <v>78</v>
      </c>
      <c r="F181" s="3" t="s">
        <v>97</v>
      </c>
      <c r="G181" s="3" t="s">
        <v>97</v>
      </c>
      <c r="H181" s="3" t="s">
        <v>219</v>
      </c>
    </row>
    <row r="182" customFormat="false" ht="15" hidden="false" customHeight="false" outlineLevel="0" collapsed="false">
      <c r="A182" s="3" t="s">
        <v>208</v>
      </c>
      <c r="B182" s="3" t="n">
        <v>12</v>
      </c>
      <c r="C182" s="3" t="s">
        <v>143</v>
      </c>
      <c r="D182" s="3" t="n">
        <v>10</v>
      </c>
      <c r="E182" s="3" t="s">
        <v>78</v>
      </c>
      <c r="F182" s="3" t="s">
        <v>97</v>
      </c>
      <c r="G182" s="3" t="s">
        <v>97</v>
      </c>
      <c r="H182" s="3" t="s">
        <v>220</v>
      </c>
    </row>
    <row r="183" customFormat="false" ht="15" hidden="false" customHeight="false" outlineLevel="0" collapsed="false">
      <c r="A183" s="3" t="s">
        <v>208</v>
      </c>
      <c r="B183" s="3" t="n">
        <v>13</v>
      </c>
      <c r="C183" s="3" t="s">
        <v>143</v>
      </c>
      <c r="D183" s="3" t="n">
        <v>9</v>
      </c>
      <c r="E183" s="3" t="s">
        <v>78</v>
      </c>
      <c r="F183" s="3" t="s">
        <v>97</v>
      </c>
      <c r="G183" s="3" t="s">
        <v>97</v>
      </c>
      <c r="H183" s="3" t="s">
        <v>221</v>
      </c>
    </row>
    <row r="184" customFormat="false" ht="15" hidden="false" customHeight="false" outlineLevel="0" collapsed="false">
      <c r="A184" s="3" t="s">
        <v>208</v>
      </c>
      <c r="B184" s="3" t="n">
        <v>13</v>
      </c>
      <c r="C184" s="3" t="s">
        <v>143</v>
      </c>
      <c r="D184" s="3" t="n">
        <v>8</v>
      </c>
      <c r="E184" s="3" t="s">
        <v>81</v>
      </c>
      <c r="F184" s="3" t="s">
        <v>97</v>
      </c>
      <c r="G184" s="3" t="s">
        <v>97</v>
      </c>
      <c r="H184" s="3" t="s">
        <v>221</v>
      </c>
    </row>
    <row r="185" customFormat="false" ht="15" hidden="false" customHeight="false" outlineLevel="0" collapsed="false">
      <c r="A185" s="3" t="s">
        <v>208</v>
      </c>
      <c r="B185" s="3" t="n">
        <v>14</v>
      </c>
      <c r="C185" s="3" t="s">
        <v>143</v>
      </c>
      <c r="D185" s="3" t="n">
        <v>13</v>
      </c>
      <c r="E185" s="3" t="s">
        <v>78</v>
      </c>
      <c r="F185" s="3" t="s">
        <v>97</v>
      </c>
      <c r="G185" s="3" t="s">
        <v>97</v>
      </c>
      <c r="H185" s="3" t="s">
        <v>222</v>
      </c>
    </row>
    <row r="186" customFormat="false" ht="15" hidden="false" customHeight="false" outlineLevel="0" collapsed="false">
      <c r="A186" s="3" t="s">
        <v>208</v>
      </c>
      <c r="B186" s="3" t="n">
        <v>15</v>
      </c>
      <c r="C186" s="3" t="s">
        <v>143</v>
      </c>
      <c r="D186" s="3" t="n">
        <v>13</v>
      </c>
      <c r="E186" s="3" t="s">
        <v>78</v>
      </c>
      <c r="F186" s="3" t="s">
        <v>97</v>
      </c>
      <c r="G186" s="3" t="s">
        <v>97</v>
      </c>
      <c r="H186" s="3" t="s">
        <v>223</v>
      </c>
    </row>
    <row r="187" customFormat="false" ht="15" hidden="false" customHeight="false" outlineLevel="0" collapsed="false">
      <c r="A187" s="3" t="s">
        <v>208</v>
      </c>
      <c r="B187" s="3" t="n">
        <v>16</v>
      </c>
      <c r="C187" s="3" t="s">
        <v>143</v>
      </c>
      <c r="D187" s="3" t="n">
        <v>13</v>
      </c>
      <c r="E187" s="3" t="s">
        <v>78</v>
      </c>
      <c r="F187" s="3" t="s">
        <v>97</v>
      </c>
      <c r="G187" s="3" t="s">
        <v>97</v>
      </c>
      <c r="H187" s="3" t="s">
        <v>224</v>
      </c>
    </row>
    <row r="188" customFormat="false" ht="15" hidden="false" customHeight="false" outlineLevel="0" collapsed="false">
      <c r="A188" s="3" t="s">
        <v>208</v>
      </c>
      <c r="B188" s="3" t="n">
        <v>17</v>
      </c>
      <c r="C188" s="3" t="s">
        <v>143</v>
      </c>
      <c r="D188" s="3" t="n">
        <v>12</v>
      </c>
      <c r="E188" s="3" t="s">
        <v>78</v>
      </c>
      <c r="F188" s="3" t="s">
        <v>97</v>
      </c>
      <c r="G188" s="3" t="s">
        <v>97</v>
      </c>
      <c r="H188" s="3" t="s">
        <v>225</v>
      </c>
    </row>
    <row r="189" customFormat="false" ht="15" hidden="false" customHeight="false" outlineLevel="0" collapsed="false">
      <c r="A189" s="3" t="s">
        <v>208</v>
      </c>
      <c r="B189" s="3" t="n">
        <v>17</v>
      </c>
      <c r="C189" s="3" t="s">
        <v>143</v>
      </c>
      <c r="D189" s="3" t="n">
        <v>13</v>
      </c>
      <c r="E189" s="3" t="s">
        <v>81</v>
      </c>
      <c r="F189" s="3" t="s">
        <v>97</v>
      </c>
      <c r="G189" s="3" t="s">
        <v>97</v>
      </c>
      <c r="H189" s="3" t="s">
        <v>225</v>
      </c>
    </row>
    <row r="190" customFormat="false" ht="15" hidden="false" customHeight="false" outlineLevel="0" collapsed="false">
      <c r="A190" s="3" t="s">
        <v>208</v>
      </c>
      <c r="B190" s="3" t="n">
        <v>18</v>
      </c>
      <c r="C190" s="3" t="s">
        <v>143</v>
      </c>
      <c r="D190" s="3" t="n">
        <v>20</v>
      </c>
      <c r="E190" s="3" t="s">
        <v>78</v>
      </c>
      <c r="F190" s="3" t="s">
        <v>97</v>
      </c>
      <c r="G190" s="3" t="s">
        <v>97</v>
      </c>
      <c r="H190" s="3" t="s">
        <v>226</v>
      </c>
    </row>
    <row r="191" customFormat="false" ht="15" hidden="false" customHeight="false" outlineLevel="0" collapsed="false">
      <c r="A191" s="3" t="s">
        <v>208</v>
      </c>
      <c r="B191" s="3" t="n">
        <v>19</v>
      </c>
      <c r="C191" s="3" t="s">
        <v>143</v>
      </c>
      <c r="D191" s="3" t="n">
        <v>20</v>
      </c>
      <c r="E191" s="3" t="s">
        <v>78</v>
      </c>
      <c r="F191" s="3" t="s">
        <v>97</v>
      </c>
      <c r="G191" s="3" t="s">
        <v>97</v>
      </c>
      <c r="H191" s="3" t="s">
        <v>227</v>
      </c>
    </row>
    <row r="192" customFormat="false" ht="15" hidden="false" customHeight="false" outlineLevel="0" collapsed="false">
      <c r="A192" s="3" t="s">
        <v>208</v>
      </c>
      <c r="B192" s="3" t="n">
        <v>20</v>
      </c>
      <c r="C192" s="3" t="s">
        <v>143</v>
      </c>
      <c r="D192" s="3" t="n">
        <v>13</v>
      </c>
      <c r="E192" s="3" t="s">
        <v>78</v>
      </c>
      <c r="F192" s="3" t="s">
        <v>97</v>
      </c>
      <c r="G192" s="3" t="s">
        <v>97</v>
      </c>
      <c r="H192" s="3" t="s">
        <v>228</v>
      </c>
    </row>
    <row r="193" customFormat="false" ht="15" hidden="false" customHeight="false" outlineLevel="0" collapsed="false">
      <c r="A193" s="3" t="s">
        <v>208</v>
      </c>
      <c r="B193" s="3" t="n">
        <v>21</v>
      </c>
      <c r="C193" s="3" t="s">
        <v>143</v>
      </c>
      <c r="D193" s="3" t="n">
        <v>13</v>
      </c>
      <c r="E193" s="3" t="s">
        <v>78</v>
      </c>
      <c r="F193" s="3" t="s">
        <v>97</v>
      </c>
      <c r="G193" s="3" t="s">
        <v>97</v>
      </c>
      <c r="H193" s="3" t="s">
        <v>229</v>
      </c>
    </row>
    <row r="194" customFormat="false" ht="15" hidden="false" customHeight="false" outlineLevel="0" collapsed="false">
      <c r="A194" s="3" t="s">
        <v>208</v>
      </c>
      <c r="B194" s="3" t="n">
        <v>22</v>
      </c>
      <c r="C194" s="3" t="s">
        <v>143</v>
      </c>
      <c r="D194" s="3" t="n">
        <v>13</v>
      </c>
      <c r="E194" s="3" t="s">
        <v>78</v>
      </c>
      <c r="F194" s="3" t="s">
        <v>97</v>
      </c>
      <c r="G194" s="3" t="s">
        <v>97</v>
      </c>
      <c r="H194" s="3"/>
    </row>
    <row r="195" customFormat="false" ht="15" hidden="false" customHeight="false" outlineLevel="0" collapsed="false">
      <c r="A195" s="3" t="s">
        <v>208</v>
      </c>
      <c r="B195" s="3" t="n">
        <v>23</v>
      </c>
      <c r="C195" s="3" t="s">
        <v>143</v>
      </c>
      <c r="D195" s="3" t="n">
        <v>25</v>
      </c>
      <c r="E195" s="3" t="s">
        <v>78</v>
      </c>
      <c r="F195" s="3" t="s">
        <v>97</v>
      </c>
      <c r="G195" s="3" t="s">
        <v>97</v>
      </c>
      <c r="H195" s="3" t="s">
        <v>230</v>
      </c>
    </row>
    <row r="196" customFormat="false" ht="15" hidden="false" customHeight="false" outlineLevel="0" collapsed="false">
      <c r="A196" s="3" t="s">
        <v>208</v>
      </c>
      <c r="B196" s="3" t="n">
        <v>24</v>
      </c>
      <c r="C196" s="3" t="s">
        <v>143</v>
      </c>
      <c r="D196" s="3" t="n">
        <v>14</v>
      </c>
      <c r="E196" s="3" t="s">
        <v>78</v>
      </c>
      <c r="F196" s="3" t="s">
        <v>97</v>
      </c>
      <c r="G196" s="3" t="s">
        <v>97</v>
      </c>
      <c r="H196" s="3" t="s">
        <v>231</v>
      </c>
    </row>
    <row r="197" customFormat="false" ht="15" hidden="false" customHeight="false" outlineLevel="0" collapsed="false">
      <c r="A197" s="3" t="s">
        <v>208</v>
      </c>
      <c r="B197" s="3" t="n">
        <v>24</v>
      </c>
      <c r="C197" s="3" t="s">
        <v>143</v>
      </c>
      <c r="D197" s="3" t="n">
        <v>13</v>
      </c>
      <c r="E197" s="3" t="s">
        <v>81</v>
      </c>
      <c r="F197" s="3" t="s">
        <v>97</v>
      </c>
      <c r="G197" s="3" t="s">
        <v>97</v>
      </c>
      <c r="H197" s="3" t="s">
        <v>231</v>
      </c>
    </row>
    <row r="198" customFormat="false" ht="15" hidden="false" customHeight="false" outlineLevel="0" collapsed="false">
      <c r="A198" s="3" t="s">
        <v>208</v>
      </c>
      <c r="B198" s="3" t="n">
        <v>25</v>
      </c>
      <c r="C198" s="3" t="s">
        <v>143</v>
      </c>
      <c r="D198" s="3" t="n">
        <v>14</v>
      </c>
      <c r="E198" s="3" t="s">
        <v>78</v>
      </c>
      <c r="F198" s="3" t="s">
        <v>97</v>
      </c>
      <c r="G198" s="3" t="s">
        <v>97</v>
      </c>
      <c r="H198" s="3" t="s">
        <v>232</v>
      </c>
    </row>
    <row r="199" customFormat="false" ht="15" hidden="false" customHeight="false" outlineLevel="0" collapsed="false">
      <c r="A199" s="3" t="s">
        <v>208</v>
      </c>
      <c r="B199" s="3" t="n">
        <v>25</v>
      </c>
      <c r="C199" s="3" t="s">
        <v>143</v>
      </c>
      <c r="D199" s="3" t="n">
        <v>15</v>
      </c>
      <c r="E199" s="3" t="s">
        <v>81</v>
      </c>
      <c r="F199" s="3" t="s">
        <v>97</v>
      </c>
      <c r="G199" s="3" t="s">
        <v>97</v>
      </c>
      <c r="H199" s="3" t="s">
        <v>232</v>
      </c>
    </row>
    <row r="200" customFormat="false" ht="15" hidden="false" customHeight="false" outlineLevel="0" collapsed="false">
      <c r="A200" s="3" t="s">
        <v>208</v>
      </c>
      <c r="B200" s="3" t="n">
        <v>25</v>
      </c>
      <c r="C200" s="3" t="s">
        <v>143</v>
      </c>
      <c r="D200" s="3" t="n">
        <v>13</v>
      </c>
      <c r="E200" s="3" t="s">
        <v>81</v>
      </c>
      <c r="F200" s="3" t="s">
        <v>97</v>
      </c>
      <c r="G200" s="3" t="s">
        <v>97</v>
      </c>
      <c r="H200" s="3" t="s">
        <v>232</v>
      </c>
    </row>
    <row r="201" customFormat="false" ht="15" hidden="false" customHeight="false" outlineLevel="0" collapsed="false">
      <c r="A201" s="3" t="s">
        <v>208</v>
      </c>
      <c r="B201" s="3" t="n">
        <v>26</v>
      </c>
      <c r="C201" s="3" t="s">
        <v>143</v>
      </c>
      <c r="D201" s="3" t="n">
        <v>16</v>
      </c>
      <c r="E201" s="3" t="s">
        <v>78</v>
      </c>
      <c r="F201" s="3" t="s">
        <v>97</v>
      </c>
      <c r="G201" s="3" t="s">
        <v>97</v>
      </c>
      <c r="H201" s="3" t="s">
        <v>233</v>
      </c>
    </row>
    <row r="202" customFormat="false" ht="15" hidden="false" customHeight="false" outlineLevel="0" collapsed="false">
      <c r="A202" s="3" t="s">
        <v>208</v>
      </c>
      <c r="B202" s="3" t="n">
        <v>26</v>
      </c>
      <c r="C202" s="3" t="s">
        <v>143</v>
      </c>
      <c r="D202" s="3" t="n">
        <v>13</v>
      </c>
      <c r="E202" s="3" t="s">
        <v>81</v>
      </c>
      <c r="F202" s="3" t="s">
        <v>97</v>
      </c>
      <c r="G202" s="3" t="s">
        <v>97</v>
      </c>
      <c r="H202" s="3" t="s">
        <v>233</v>
      </c>
    </row>
    <row r="203" customFormat="false" ht="15" hidden="false" customHeight="false" outlineLevel="0" collapsed="false">
      <c r="A203" s="3" t="s">
        <v>208</v>
      </c>
      <c r="B203" s="3" t="n">
        <v>27</v>
      </c>
      <c r="C203" s="3" t="s">
        <v>143</v>
      </c>
      <c r="D203" s="3" t="n">
        <v>14</v>
      </c>
      <c r="E203" s="3" t="s">
        <v>78</v>
      </c>
      <c r="F203" s="3" t="s">
        <v>97</v>
      </c>
      <c r="G203" s="3" t="s">
        <v>97</v>
      </c>
      <c r="H203" s="3" t="s">
        <v>234</v>
      </c>
    </row>
    <row r="204" customFormat="false" ht="15" hidden="false" customHeight="false" outlineLevel="0" collapsed="false">
      <c r="A204" s="3" t="s">
        <v>208</v>
      </c>
      <c r="B204" s="3" t="n">
        <v>27</v>
      </c>
      <c r="C204" s="3" t="s">
        <v>143</v>
      </c>
      <c r="D204" s="3" t="n">
        <v>13</v>
      </c>
      <c r="E204" s="3" t="s">
        <v>81</v>
      </c>
      <c r="F204" s="3" t="s">
        <v>97</v>
      </c>
      <c r="G204" s="3" t="s">
        <v>97</v>
      </c>
      <c r="H204" s="3" t="s">
        <v>234</v>
      </c>
    </row>
    <row r="205" customFormat="false" ht="15" hidden="false" customHeight="false" outlineLevel="0" collapsed="false">
      <c r="A205" s="3" t="s">
        <v>208</v>
      </c>
      <c r="B205" s="3" t="n">
        <v>28</v>
      </c>
      <c r="C205" s="3" t="s">
        <v>143</v>
      </c>
      <c r="D205" s="3" t="n">
        <v>13</v>
      </c>
      <c r="E205" s="3" t="s">
        <v>78</v>
      </c>
      <c r="F205" s="3" t="s">
        <v>97</v>
      </c>
      <c r="G205" s="3" t="s">
        <v>97</v>
      </c>
      <c r="H205" s="3" t="s">
        <v>235</v>
      </c>
    </row>
    <row r="206" customFormat="false" ht="15" hidden="false" customHeight="false" outlineLevel="0" collapsed="false">
      <c r="A206" s="3" t="s">
        <v>208</v>
      </c>
      <c r="B206" s="3" t="n">
        <v>29</v>
      </c>
      <c r="C206" s="3" t="s">
        <v>143</v>
      </c>
      <c r="D206" s="3" t="n">
        <v>13</v>
      </c>
      <c r="E206" s="3" t="s">
        <v>78</v>
      </c>
      <c r="F206" s="3" t="s">
        <v>97</v>
      </c>
      <c r="G206" s="3" t="s">
        <v>97</v>
      </c>
      <c r="H206" s="3" t="s">
        <v>236</v>
      </c>
    </row>
    <row r="207" customFormat="false" ht="15" hidden="false" customHeight="false" outlineLevel="0" collapsed="false">
      <c r="A207" s="3" t="s">
        <v>208</v>
      </c>
      <c r="B207" s="3" t="n">
        <v>30</v>
      </c>
      <c r="C207" s="3" t="s">
        <v>143</v>
      </c>
      <c r="D207" s="3" t="n">
        <v>25</v>
      </c>
      <c r="E207" s="3" t="s">
        <v>78</v>
      </c>
      <c r="F207" s="3" t="s">
        <v>97</v>
      </c>
      <c r="G207" s="3" t="s">
        <v>97</v>
      </c>
      <c r="H207" s="3" t="s">
        <v>237</v>
      </c>
    </row>
    <row r="208" customFormat="false" ht="15" hidden="false" customHeight="false" outlineLevel="0" collapsed="false">
      <c r="A208" s="3" t="s">
        <v>208</v>
      </c>
      <c r="B208" s="3" t="n">
        <v>31</v>
      </c>
      <c r="C208" s="3" t="s">
        <v>143</v>
      </c>
      <c r="D208" s="3" t="n">
        <v>13</v>
      </c>
      <c r="E208" s="3" t="s">
        <v>78</v>
      </c>
      <c r="F208" s="3" t="s">
        <v>97</v>
      </c>
      <c r="G208" s="3" t="s">
        <v>97</v>
      </c>
      <c r="H208" s="3" t="s">
        <v>238</v>
      </c>
    </row>
    <row r="209" customFormat="false" ht="15" hidden="false" customHeight="false" outlineLevel="0" collapsed="false">
      <c r="A209" s="3" t="s">
        <v>208</v>
      </c>
      <c r="B209" s="3" t="n">
        <v>32</v>
      </c>
      <c r="C209" s="3" t="s">
        <v>143</v>
      </c>
      <c r="D209" s="3" t="n">
        <v>13</v>
      </c>
      <c r="E209" s="3" t="s">
        <v>78</v>
      </c>
      <c r="F209" s="3" t="s">
        <v>97</v>
      </c>
      <c r="G209" s="3" t="s">
        <v>97</v>
      </c>
      <c r="H209" s="3" t="s">
        <v>239</v>
      </c>
    </row>
    <row r="210" customFormat="false" ht="15" hidden="false" customHeight="false" outlineLevel="0" collapsed="false">
      <c r="A210" s="3" t="s">
        <v>208</v>
      </c>
      <c r="B210" s="3" t="n">
        <v>33</v>
      </c>
      <c r="C210" s="3" t="s">
        <v>143</v>
      </c>
      <c r="D210" s="3" t="n">
        <v>16</v>
      </c>
      <c r="E210" s="3" t="s">
        <v>78</v>
      </c>
      <c r="F210" s="3" t="s">
        <v>97</v>
      </c>
      <c r="G210" s="3" t="s">
        <v>97</v>
      </c>
      <c r="H210" s="3" t="s">
        <v>240</v>
      </c>
    </row>
    <row r="211" customFormat="false" ht="15" hidden="false" customHeight="false" outlineLevel="0" collapsed="false">
      <c r="A211" s="3" t="s">
        <v>208</v>
      </c>
      <c r="B211" s="3" t="n">
        <v>33</v>
      </c>
      <c r="C211" s="3" t="s">
        <v>143</v>
      </c>
      <c r="D211" s="3" t="n">
        <v>13</v>
      </c>
      <c r="E211" s="3" t="s">
        <v>81</v>
      </c>
      <c r="F211" s="3" t="s">
        <v>97</v>
      </c>
      <c r="G211" s="3" t="s">
        <v>97</v>
      </c>
      <c r="H211" s="3" t="s">
        <v>240</v>
      </c>
    </row>
    <row r="212" customFormat="false" ht="15" hidden="false" customHeight="false" outlineLevel="0" collapsed="false">
      <c r="A212" s="3" t="s">
        <v>208</v>
      </c>
      <c r="B212" s="3" t="n">
        <v>34</v>
      </c>
      <c r="C212" s="3" t="s">
        <v>143</v>
      </c>
      <c r="D212" s="3" t="n">
        <v>16</v>
      </c>
      <c r="E212" s="3" t="s">
        <v>78</v>
      </c>
      <c r="F212" s="3" t="s">
        <v>97</v>
      </c>
      <c r="G212" s="3" t="s">
        <v>97</v>
      </c>
      <c r="H212" s="3" t="s">
        <v>241</v>
      </c>
    </row>
    <row r="213" customFormat="false" ht="15" hidden="false" customHeight="false" outlineLevel="0" collapsed="false">
      <c r="A213" s="3" t="s">
        <v>208</v>
      </c>
      <c r="B213" s="3" t="n">
        <v>34</v>
      </c>
      <c r="C213" s="3" t="s">
        <v>143</v>
      </c>
      <c r="D213" s="3" t="n">
        <v>13</v>
      </c>
      <c r="E213" s="3" t="s">
        <v>81</v>
      </c>
      <c r="F213" s="3" t="s">
        <v>97</v>
      </c>
      <c r="G213" s="3" t="s">
        <v>97</v>
      </c>
      <c r="H213" s="3" t="s">
        <v>241</v>
      </c>
    </row>
    <row r="214" customFormat="false" ht="15" hidden="false" customHeight="false" outlineLevel="0" collapsed="false">
      <c r="A214" s="3" t="s">
        <v>208</v>
      </c>
      <c r="B214" s="3" t="n">
        <v>35</v>
      </c>
      <c r="C214" s="3" t="s">
        <v>143</v>
      </c>
      <c r="D214" s="3" t="n">
        <v>16</v>
      </c>
      <c r="E214" s="3" t="s">
        <v>78</v>
      </c>
      <c r="F214" s="3" t="s">
        <v>97</v>
      </c>
      <c r="G214" s="3" t="s">
        <v>97</v>
      </c>
      <c r="H214" s="3" t="s">
        <v>242</v>
      </c>
    </row>
    <row r="215" customFormat="false" ht="15" hidden="false" customHeight="false" outlineLevel="0" collapsed="false">
      <c r="A215" s="3" t="s">
        <v>208</v>
      </c>
      <c r="B215" s="3" t="n">
        <v>35</v>
      </c>
      <c r="C215" s="3" t="s">
        <v>143</v>
      </c>
      <c r="D215" s="3" t="n">
        <v>13</v>
      </c>
      <c r="E215" s="3" t="s">
        <v>81</v>
      </c>
      <c r="F215" s="3" t="s">
        <v>97</v>
      </c>
      <c r="G215" s="3" t="s">
        <v>97</v>
      </c>
      <c r="H215" s="3" t="s">
        <v>242</v>
      </c>
    </row>
    <row r="216" customFormat="false" ht="15" hidden="false" customHeight="false" outlineLevel="0" collapsed="false">
      <c r="A216" s="3" t="s">
        <v>208</v>
      </c>
      <c r="B216" s="3" t="n">
        <v>36</v>
      </c>
      <c r="C216" s="3" t="s">
        <v>143</v>
      </c>
      <c r="D216" s="3" t="n">
        <v>16</v>
      </c>
      <c r="E216" s="3" t="s">
        <v>78</v>
      </c>
      <c r="F216" s="3" t="s">
        <v>97</v>
      </c>
      <c r="G216" s="3" t="s">
        <v>97</v>
      </c>
      <c r="H216" s="3" t="s">
        <v>243</v>
      </c>
    </row>
    <row r="217" customFormat="false" ht="15" hidden="false" customHeight="false" outlineLevel="0" collapsed="false">
      <c r="A217" s="3" t="s">
        <v>208</v>
      </c>
      <c r="B217" s="3" t="n">
        <v>36</v>
      </c>
      <c r="C217" s="3" t="s">
        <v>143</v>
      </c>
      <c r="D217" s="3" t="n">
        <v>13</v>
      </c>
      <c r="E217" s="3" t="s">
        <v>81</v>
      </c>
      <c r="F217" s="3" t="s">
        <v>97</v>
      </c>
      <c r="G217" s="3" t="s">
        <v>97</v>
      </c>
      <c r="H217" s="3" t="s">
        <v>243</v>
      </c>
    </row>
    <row r="218" customFormat="false" ht="15" hidden="false" customHeight="false" outlineLevel="0" collapsed="false">
      <c r="A218" s="3" t="s">
        <v>208</v>
      </c>
      <c r="B218" s="3" t="n">
        <v>36</v>
      </c>
      <c r="C218" s="3" t="s">
        <v>143</v>
      </c>
      <c r="D218" s="3" t="n">
        <v>31</v>
      </c>
      <c r="E218" s="3" t="s">
        <v>81</v>
      </c>
      <c r="F218" s="3" t="s">
        <v>97</v>
      </c>
      <c r="G218" s="3" t="s">
        <v>97</v>
      </c>
      <c r="H218" s="3" t="s">
        <v>243</v>
      </c>
    </row>
    <row r="219" customFormat="false" ht="15" hidden="false" customHeight="false" outlineLevel="0" collapsed="false">
      <c r="A219" s="3" t="s">
        <v>208</v>
      </c>
      <c r="B219" s="3" t="n">
        <v>37</v>
      </c>
      <c r="C219" s="3" t="s">
        <v>143</v>
      </c>
      <c r="D219" s="3" t="n">
        <v>13</v>
      </c>
      <c r="E219" s="3" t="s">
        <v>78</v>
      </c>
      <c r="F219" s="3" t="s">
        <v>97</v>
      </c>
      <c r="G219" s="3" t="s">
        <v>97</v>
      </c>
      <c r="H219" s="3" t="s">
        <v>244</v>
      </c>
    </row>
    <row r="220" customFormat="false" ht="15" hidden="false" customHeight="false" outlineLevel="0" collapsed="false">
      <c r="A220" s="3" t="s">
        <v>208</v>
      </c>
      <c r="B220" s="3" t="n">
        <v>38</v>
      </c>
      <c r="C220" s="3" t="s">
        <v>143</v>
      </c>
      <c r="D220" s="3" t="n">
        <v>25</v>
      </c>
      <c r="E220" s="3" t="s">
        <v>78</v>
      </c>
      <c r="F220" s="3" t="s">
        <v>97</v>
      </c>
      <c r="G220" s="3" t="s">
        <v>97</v>
      </c>
      <c r="H220" s="3" t="s">
        <v>245</v>
      </c>
    </row>
    <row r="221" customFormat="false" ht="15" hidden="false" customHeight="false" outlineLevel="0" collapsed="false">
      <c r="A221" s="3" t="s">
        <v>208</v>
      </c>
      <c r="B221" s="3" t="n">
        <v>39</v>
      </c>
      <c r="C221" s="3" t="s">
        <v>143</v>
      </c>
      <c r="D221" s="3" t="n">
        <v>14</v>
      </c>
      <c r="E221" s="3" t="s">
        <v>78</v>
      </c>
      <c r="F221" s="3" t="s">
        <v>97</v>
      </c>
      <c r="G221" s="3" t="s">
        <v>97</v>
      </c>
      <c r="H221" s="3" t="s">
        <v>246</v>
      </c>
    </row>
    <row r="222" customFormat="false" ht="15" hidden="false" customHeight="false" outlineLevel="0" collapsed="false">
      <c r="A222" s="3" t="s">
        <v>208</v>
      </c>
      <c r="B222" s="3" t="n">
        <v>39</v>
      </c>
      <c r="C222" s="3" t="s">
        <v>143</v>
      </c>
      <c r="D222" s="3" t="n">
        <v>25</v>
      </c>
      <c r="E222" s="3" t="s">
        <v>81</v>
      </c>
      <c r="F222" s="3" t="s">
        <v>97</v>
      </c>
      <c r="G222" s="3" t="s">
        <v>97</v>
      </c>
      <c r="H222" s="3" t="s">
        <v>246</v>
      </c>
    </row>
    <row r="223" customFormat="false" ht="15" hidden="false" customHeight="false" outlineLevel="0" collapsed="false">
      <c r="A223" s="3" t="s">
        <v>208</v>
      </c>
      <c r="B223" s="3" t="n">
        <v>39</v>
      </c>
      <c r="C223" s="3" t="s">
        <v>143</v>
      </c>
      <c r="D223" s="3" t="n">
        <v>19</v>
      </c>
      <c r="E223" s="3" t="s">
        <v>81</v>
      </c>
      <c r="F223" s="3" t="s">
        <v>97</v>
      </c>
      <c r="G223" s="3" t="s">
        <v>97</v>
      </c>
      <c r="H223" s="3" t="s">
        <v>246</v>
      </c>
    </row>
    <row r="224" customFormat="false" ht="15" hidden="false" customHeight="false" outlineLevel="0" collapsed="false">
      <c r="A224" s="3" t="s">
        <v>208</v>
      </c>
      <c r="B224" s="3" t="n">
        <v>40</v>
      </c>
      <c r="C224" s="3" t="s">
        <v>143</v>
      </c>
      <c r="D224" s="3" t="n">
        <v>25</v>
      </c>
      <c r="E224" s="3" t="s">
        <v>78</v>
      </c>
      <c r="F224" s="3" t="s">
        <v>97</v>
      </c>
      <c r="G224" s="3" t="s">
        <v>97</v>
      </c>
      <c r="H224" s="3" t="s">
        <v>247</v>
      </c>
    </row>
    <row r="225" customFormat="false" ht="15" hidden="false" customHeight="false" outlineLevel="0" collapsed="false">
      <c r="A225" s="3" t="s">
        <v>208</v>
      </c>
      <c r="B225" s="3" t="n">
        <v>41</v>
      </c>
      <c r="C225" s="3" t="s">
        <v>143</v>
      </c>
      <c r="D225" s="3" t="n">
        <v>14</v>
      </c>
      <c r="E225" s="3" t="s">
        <v>78</v>
      </c>
      <c r="F225" s="3" t="s">
        <v>97</v>
      </c>
      <c r="G225" s="3" t="s">
        <v>97</v>
      </c>
      <c r="H225" s="3" t="s">
        <v>248</v>
      </c>
    </row>
    <row r="226" customFormat="false" ht="15" hidden="false" customHeight="false" outlineLevel="0" collapsed="false">
      <c r="A226" s="3" t="s">
        <v>208</v>
      </c>
      <c r="B226" s="3" t="n">
        <v>41</v>
      </c>
      <c r="C226" s="3" t="s">
        <v>143</v>
      </c>
      <c r="D226" s="3" t="n">
        <v>25</v>
      </c>
      <c r="E226" s="3" t="s">
        <v>81</v>
      </c>
      <c r="F226" s="3" t="s">
        <v>97</v>
      </c>
      <c r="G226" s="3" t="s">
        <v>97</v>
      </c>
      <c r="H226" s="3" t="s">
        <v>248</v>
      </c>
    </row>
    <row r="227" customFormat="false" ht="15" hidden="false" customHeight="false" outlineLevel="0" collapsed="false">
      <c r="A227" s="3" t="s">
        <v>208</v>
      </c>
      <c r="B227" s="3" t="n">
        <v>42</v>
      </c>
      <c r="C227" s="3" t="s">
        <v>143</v>
      </c>
      <c r="D227" s="3" t="n">
        <v>27</v>
      </c>
      <c r="E227" s="3" t="s">
        <v>78</v>
      </c>
      <c r="F227" s="3" t="s">
        <v>97</v>
      </c>
      <c r="G227" s="3" t="s">
        <v>97</v>
      </c>
      <c r="H227" s="3" t="s">
        <v>249</v>
      </c>
    </row>
    <row r="228" customFormat="false" ht="15" hidden="false" customHeight="false" outlineLevel="0" collapsed="false">
      <c r="A228" s="3" t="s">
        <v>208</v>
      </c>
      <c r="B228" s="3" t="n">
        <v>43</v>
      </c>
      <c r="C228" s="3" t="s">
        <v>143</v>
      </c>
      <c r="D228" s="3" t="n">
        <v>31</v>
      </c>
      <c r="E228" s="3" t="s">
        <v>78</v>
      </c>
      <c r="F228" s="3" t="s">
        <v>97</v>
      </c>
      <c r="G228" s="3" t="s">
        <v>97</v>
      </c>
      <c r="H228" s="3" t="s">
        <v>250</v>
      </c>
    </row>
    <row r="229" customFormat="false" ht="15" hidden="false" customHeight="false" outlineLevel="0" collapsed="false">
      <c r="A229" s="3" t="s">
        <v>208</v>
      </c>
      <c r="B229" s="3" t="n">
        <v>44</v>
      </c>
      <c r="C229" s="3" t="s">
        <v>143</v>
      </c>
      <c r="D229" s="3" t="n">
        <v>31</v>
      </c>
      <c r="E229" s="3" t="s">
        <v>78</v>
      </c>
      <c r="F229" s="3" t="s">
        <v>97</v>
      </c>
      <c r="G229" s="3" t="s">
        <v>97</v>
      </c>
      <c r="H229" s="3" t="s">
        <v>251</v>
      </c>
    </row>
    <row r="230" customFormat="false" ht="15" hidden="false" customHeight="false" outlineLevel="0" collapsed="false">
      <c r="A230" s="3" t="s">
        <v>208</v>
      </c>
      <c r="B230" s="3" t="n">
        <v>44</v>
      </c>
      <c r="C230" s="3" t="s">
        <v>143</v>
      </c>
      <c r="D230" s="3" t="n">
        <v>30</v>
      </c>
      <c r="E230" s="3" t="s">
        <v>81</v>
      </c>
      <c r="F230" s="3" t="s">
        <v>97</v>
      </c>
      <c r="G230" s="3" t="s">
        <v>97</v>
      </c>
      <c r="H230" s="3" t="s">
        <v>251</v>
      </c>
    </row>
    <row r="231" customFormat="false" ht="15" hidden="false" customHeight="false" outlineLevel="0" collapsed="false">
      <c r="A231" s="3" t="s">
        <v>208</v>
      </c>
      <c r="B231" s="3" t="n">
        <v>45</v>
      </c>
      <c r="C231" s="3" t="s">
        <v>143</v>
      </c>
      <c r="D231" s="3" t="n">
        <v>31</v>
      </c>
      <c r="E231" s="3" t="s">
        <v>78</v>
      </c>
      <c r="F231" s="3" t="s">
        <v>97</v>
      </c>
      <c r="G231" s="3" t="s">
        <v>97</v>
      </c>
      <c r="H231" s="3" t="s">
        <v>252</v>
      </c>
    </row>
    <row r="232" customFormat="false" ht="15" hidden="false" customHeight="false" outlineLevel="0" collapsed="false">
      <c r="A232" s="3" t="s">
        <v>208</v>
      </c>
      <c r="B232" s="3" t="n">
        <v>46</v>
      </c>
      <c r="C232" s="3" t="s">
        <v>143</v>
      </c>
      <c r="D232" s="3" t="n">
        <v>31</v>
      </c>
      <c r="E232" s="3" t="s">
        <v>78</v>
      </c>
      <c r="F232" s="3" t="s">
        <v>97</v>
      </c>
      <c r="G232" s="3" t="s">
        <v>97</v>
      </c>
      <c r="H232" s="3" t="s">
        <v>253</v>
      </c>
    </row>
    <row r="233" customFormat="false" ht="15" hidden="false" customHeight="false" outlineLevel="0" collapsed="false">
      <c r="A233" s="3" t="s">
        <v>208</v>
      </c>
      <c r="B233" s="3" t="n">
        <v>47</v>
      </c>
      <c r="C233" s="3" t="s">
        <v>143</v>
      </c>
      <c r="D233" s="3" t="n">
        <v>31</v>
      </c>
      <c r="E233" s="3" t="s">
        <v>78</v>
      </c>
      <c r="F233" s="3" t="s">
        <v>97</v>
      </c>
      <c r="G233" s="3" t="s">
        <v>97</v>
      </c>
      <c r="H233" s="3" t="s">
        <v>254</v>
      </c>
    </row>
    <row r="234" customFormat="false" ht="15" hidden="false" customHeight="false" outlineLevel="0" collapsed="false">
      <c r="A234" s="3" t="s">
        <v>208</v>
      </c>
      <c r="B234" s="3" t="n">
        <v>47</v>
      </c>
      <c r="C234" s="3" t="s">
        <v>143</v>
      </c>
      <c r="D234" s="3" t="n">
        <v>30</v>
      </c>
      <c r="E234" s="3" t="s">
        <v>81</v>
      </c>
      <c r="F234" s="3" t="s">
        <v>97</v>
      </c>
      <c r="G234" s="3" t="s">
        <v>97</v>
      </c>
      <c r="H234" s="3" t="s">
        <v>254</v>
      </c>
    </row>
    <row r="235" customFormat="false" ht="15" hidden="false" customHeight="false" outlineLevel="0" collapsed="false">
      <c r="A235" s="3" t="s">
        <v>208</v>
      </c>
      <c r="B235" s="3" t="n">
        <v>48</v>
      </c>
      <c r="C235" s="3" t="s">
        <v>143</v>
      </c>
      <c r="D235" s="3" t="n">
        <v>31</v>
      </c>
      <c r="E235" s="3" t="s">
        <v>78</v>
      </c>
      <c r="F235" s="3" t="s">
        <v>97</v>
      </c>
      <c r="G235" s="3" t="s">
        <v>97</v>
      </c>
      <c r="H235" s="3" t="s">
        <v>255</v>
      </c>
    </row>
    <row r="236" customFormat="false" ht="15" hidden="false" customHeight="false" outlineLevel="0" collapsed="false">
      <c r="A236" s="3" t="s">
        <v>208</v>
      </c>
      <c r="B236" s="3" t="n">
        <v>48</v>
      </c>
      <c r="C236" s="3" t="s">
        <v>143</v>
      </c>
      <c r="D236" s="3" t="n">
        <v>3</v>
      </c>
      <c r="E236" s="3" t="s">
        <v>81</v>
      </c>
      <c r="F236" s="3" t="s">
        <v>97</v>
      </c>
      <c r="G236" s="3" t="s">
        <v>97</v>
      </c>
      <c r="H236" s="3" t="s">
        <v>255</v>
      </c>
    </row>
    <row r="237" customFormat="false" ht="15" hidden="false" customHeight="false" outlineLevel="0" collapsed="false">
      <c r="A237" s="3" t="s">
        <v>208</v>
      </c>
      <c r="B237" s="3" t="n">
        <v>49</v>
      </c>
      <c r="C237" s="3" t="s">
        <v>143</v>
      </c>
      <c r="D237" s="3" t="n">
        <v>31</v>
      </c>
      <c r="E237" s="3" t="s">
        <v>78</v>
      </c>
      <c r="F237" s="3" t="s">
        <v>97</v>
      </c>
      <c r="G237" s="3" t="s">
        <v>97</v>
      </c>
      <c r="H237" s="3" t="s">
        <v>256</v>
      </c>
    </row>
    <row r="238" customFormat="false" ht="15" hidden="false" customHeight="false" outlineLevel="0" collapsed="false">
      <c r="A238" s="3" t="s">
        <v>208</v>
      </c>
      <c r="B238" s="3" t="n">
        <v>50</v>
      </c>
      <c r="C238" s="3" t="s">
        <v>143</v>
      </c>
      <c r="D238" s="3" t="n">
        <v>31</v>
      </c>
      <c r="E238" s="3" t="s">
        <v>78</v>
      </c>
      <c r="F238" s="3" t="s">
        <v>97</v>
      </c>
      <c r="G238" s="3" t="s">
        <v>97</v>
      </c>
      <c r="H238" s="3" t="s">
        <v>257</v>
      </c>
    </row>
    <row r="239" customFormat="false" ht="15" hidden="false" customHeight="false" outlineLevel="0" collapsed="false">
      <c r="A239" s="3" t="s">
        <v>208</v>
      </c>
      <c r="B239" s="3" t="n">
        <v>51</v>
      </c>
      <c r="C239" s="3" t="s">
        <v>143</v>
      </c>
      <c r="D239" s="3" t="n">
        <v>31</v>
      </c>
      <c r="E239" s="3" t="s">
        <v>78</v>
      </c>
      <c r="F239" s="3" t="s">
        <v>97</v>
      </c>
      <c r="G239" s="3" t="s">
        <v>97</v>
      </c>
      <c r="H239" s="3" t="s">
        <v>258</v>
      </c>
    </row>
    <row r="240" customFormat="false" ht="15" hidden="false" customHeight="false" outlineLevel="0" collapsed="false">
      <c r="A240" s="3" t="s">
        <v>208</v>
      </c>
      <c r="B240" s="3" t="n">
        <v>51</v>
      </c>
      <c r="C240" s="3" t="s">
        <v>143</v>
      </c>
      <c r="D240" s="3" t="n">
        <v>30</v>
      </c>
      <c r="E240" s="3" t="s">
        <v>81</v>
      </c>
      <c r="F240" s="3" t="s">
        <v>97</v>
      </c>
      <c r="G240" s="3" t="s">
        <v>97</v>
      </c>
      <c r="H240" s="3" t="s">
        <v>258</v>
      </c>
    </row>
    <row r="241" customFormat="false" ht="15" hidden="false" customHeight="false" outlineLevel="0" collapsed="false">
      <c r="A241" s="3" t="s">
        <v>208</v>
      </c>
      <c r="B241" s="3" t="n">
        <v>52</v>
      </c>
      <c r="C241" s="3" t="s">
        <v>143</v>
      </c>
      <c r="D241" s="3" t="n">
        <v>31</v>
      </c>
      <c r="E241" s="3" t="s">
        <v>78</v>
      </c>
      <c r="F241" s="3" t="s">
        <v>97</v>
      </c>
      <c r="G241" s="3" t="s">
        <v>97</v>
      </c>
      <c r="H241" s="3" t="s">
        <v>259</v>
      </c>
    </row>
    <row r="242" customFormat="false" ht="15" hidden="false" customHeight="false" outlineLevel="0" collapsed="false">
      <c r="A242" s="3" t="s">
        <v>208</v>
      </c>
      <c r="B242" s="3" t="n">
        <v>53</v>
      </c>
      <c r="C242" s="3" t="s">
        <v>143</v>
      </c>
      <c r="D242" s="3" t="n">
        <v>31</v>
      </c>
      <c r="E242" s="3" t="s">
        <v>78</v>
      </c>
      <c r="F242" s="3" t="s">
        <v>97</v>
      </c>
      <c r="G242" s="3" t="s">
        <v>97</v>
      </c>
      <c r="H242" s="3" t="s">
        <v>260</v>
      </c>
    </row>
    <row r="243" customFormat="false" ht="15" hidden="false" customHeight="false" outlineLevel="0" collapsed="false">
      <c r="A243" s="3" t="s">
        <v>208</v>
      </c>
      <c r="B243" s="3" t="n">
        <v>54</v>
      </c>
      <c r="C243" s="3" t="s">
        <v>143</v>
      </c>
      <c r="D243" s="3" t="n">
        <v>34</v>
      </c>
      <c r="E243" s="3" t="s">
        <v>78</v>
      </c>
      <c r="F243" s="3" t="s">
        <v>97</v>
      </c>
      <c r="G243" s="3" t="s">
        <v>97</v>
      </c>
      <c r="H243" s="3" t="s">
        <v>261</v>
      </c>
    </row>
    <row r="244" customFormat="false" ht="15" hidden="false" customHeight="false" outlineLevel="0" collapsed="false">
      <c r="A244" s="3" t="s">
        <v>208</v>
      </c>
      <c r="B244" s="3" t="n">
        <v>54</v>
      </c>
      <c r="C244" s="3" t="s">
        <v>143</v>
      </c>
      <c r="D244" s="3" t="n">
        <v>31</v>
      </c>
      <c r="E244" s="3" t="s">
        <v>81</v>
      </c>
      <c r="F244" s="3" t="s">
        <v>97</v>
      </c>
      <c r="G244" s="3" t="s">
        <v>97</v>
      </c>
      <c r="H244" s="3" t="s">
        <v>261</v>
      </c>
    </row>
    <row r="245" customFormat="false" ht="15" hidden="false" customHeight="false" outlineLevel="0" collapsed="false">
      <c r="A245" s="3" t="s">
        <v>208</v>
      </c>
      <c r="B245" s="3" t="n">
        <v>55</v>
      </c>
      <c r="C245" s="3" t="s">
        <v>143</v>
      </c>
      <c r="D245" s="3" t="n">
        <v>34</v>
      </c>
      <c r="E245" s="3" t="s">
        <v>78</v>
      </c>
      <c r="F245" s="3" t="s">
        <v>97</v>
      </c>
      <c r="G245" s="3" t="s">
        <v>97</v>
      </c>
      <c r="H245" s="3"/>
    </row>
    <row r="246" customFormat="false" ht="15" hidden="false" customHeight="false" outlineLevel="0" collapsed="false">
      <c r="A246" s="3" t="s">
        <v>208</v>
      </c>
      <c r="B246" s="3" t="n">
        <v>55</v>
      </c>
      <c r="C246" s="3" t="s">
        <v>143</v>
      </c>
      <c r="D246" s="3" t="n">
        <v>31</v>
      </c>
      <c r="E246" s="3" t="s">
        <v>81</v>
      </c>
      <c r="F246" s="3" t="s">
        <v>97</v>
      </c>
      <c r="G246" s="3" t="s">
        <v>97</v>
      </c>
      <c r="H246" s="3"/>
    </row>
    <row r="247" customFormat="false" ht="15" hidden="false" customHeight="false" outlineLevel="0" collapsed="false">
      <c r="A247" s="3" t="s">
        <v>208</v>
      </c>
      <c r="B247" s="3" t="n">
        <v>56</v>
      </c>
      <c r="C247" s="3" t="s">
        <v>143</v>
      </c>
      <c r="D247" s="3" t="n">
        <v>39</v>
      </c>
      <c r="E247" s="3" t="s">
        <v>78</v>
      </c>
      <c r="F247" s="3" t="s">
        <v>97</v>
      </c>
      <c r="G247" s="3" t="s">
        <v>97</v>
      </c>
      <c r="H247" s="3" t="s">
        <v>262</v>
      </c>
    </row>
    <row r="248" customFormat="false" ht="15" hidden="false" customHeight="false" outlineLevel="0" collapsed="false">
      <c r="A248" s="3" t="s">
        <v>208</v>
      </c>
      <c r="B248" s="3" t="n">
        <v>57</v>
      </c>
      <c r="C248" s="3" t="s">
        <v>143</v>
      </c>
      <c r="D248" s="3" t="n">
        <v>35</v>
      </c>
      <c r="E248" s="3" t="s">
        <v>78</v>
      </c>
      <c r="F248" s="3" t="s">
        <v>97</v>
      </c>
      <c r="G248" s="3" t="s">
        <v>97</v>
      </c>
      <c r="H248" s="3" t="s">
        <v>263</v>
      </c>
    </row>
    <row r="249" customFormat="false" ht="15" hidden="false" customHeight="false" outlineLevel="0" collapsed="false">
      <c r="A249" s="3" t="s">
        <v>208</v>
      </c>
      <c r="B249" s="3" t="n">
        <v>57</v>
      </c>
      <c r="C249" s="3" t="s">
        <v>143</v>
      </c>
      <c r="D249" s="3" t="n">
        <v>31</v>
      </c>
      <c r="E249" s="3" t="s">
        <v>81</v>
      </c>
      <c r="F249" s="3" t="s">
        <v>97</v>
      </c>
      <c r="G249" s="3" t="s">
        <v>97</v>
      </c>
      <c r="H249" s="3" t="s">
        <v>263</v>
      </c>
    </row>
    <row r="250" customFormat="false" ht="15" hidden="false" customHeight="false" outlineLevel="0" collapsed="false">
      <c r="A250" s="3" t="s">
        <v>208</v>
      </c>
      <c r="B250" s="3" t="n">
        <v>57</v>
      </c>
      <c r="C250" s="3" t="s">
        <v>143</v>
      </c>
      <c r="D250" s="3" t="n">
        <v>30</v>
      </c>
      <c r="E250" s="3" t="s">
        <v>81</v>
      </c>
      <c r="F250" s="3" t="s">
        <v>97</v>
      </c>
      <c r="G250" s="3" t="s">
        <v>97</v>
      </c>
      <c r="H250" s="3" t="s">
        <v>263</v>
      </c>
    </row>
    <row r="251" customFormat="false" ht="15" hidden="false" customHeight="false" outlineLevel="0" collapsed="false">
      <c r="A251" s="3" t="s">
        <v>208</v>
      </c>
      <c r="B251" s="3" t="n">
        <v>58</v>
      </c>
      <c r="C251" s="3" t="s">
        <v>143</v>
      </c>
      <c r="D251" s="3" t="n">
        <v>31</v>
      </c>
      <c r="E251" s="3" t="s">
        <v>78</v>
      </c>
      <c r="F251" s="3" t="s">
        <v>97</v>
      </c>
      <c r="G251" s="3" t="s">
        <v>97</v>
      </c>
      <c r="H251" s="3" t="s">
        <v>264</v>
      </c>
    </row>
    <row r="252" customFormat="false" ht="15" hidden="false" customHeight="false" outlineLevel="0" collapsed="false">
      <c r="A252" s="3" t="s">
        <v>208</v>
      </c>
      <c r="B252" s="3" t="n">
        <v>59</v>
      </c>
      <c r="C252" s="3" t="s">
        <v>143</v>
      </c>
      <c r="D252" s="3" t="n">
        <v>25</v>
      </c>
      <c r="E252" s="3" t="s">
        <v>78</v>
      </c>
      <c r="F252" s="3" t="s">
        <v>97</v>
      </c>
      <c r="G252" s="3" t="s">
        <v>97</v>
      </c>
      <c r="H252" s="3" t="s">
        <v>265</v>
      </c>
    </row>
    <row r="253" customFormat="false" ht="15" hidden="false" customHeight="false" outlineLevel="0" collapsed="false">
      <c r="A253" s="3" t="s">
        <v>208</v>
      </c>
      <c r="B253" s="3" t="n">
        <v>60</v>
      </c>
      <c r="C253" s="3" t="s">
        <v>143</v>
      </c>
      <c r="D253" s="3" t="n">
        <v>39</v>
      </c>
      <c r="E253" s="3" t="s">
        <v>78</v>
      </c>
      <c r="F253" s="3" t="s">
        <v>97</v>
      </c>
      <c r="G253" s="3" t="s">
        <v>97</v>
      </c>
      <c r="H253" s="3" t="s">
        <v>266</v>
      </c>
    </row>
    <row r="254" customFormat="false" ht="15" hidden="false" customHeight="false" outlineLevel="0" collapsed="false">
      <c r="A254" s="3" t="s">
        <v>267</v>
      </c>
      <c r="B254" s="3" t="n">
        <v>31</v>
      </c>
      <c r="C254" s="3" t="s">
        <v>143</v>
      </c>
      <c r="D254" s="3" t="n">
        <v>14</v>
      </c>
      <c r="E254" s="3" t="s">
        <v>78</v>
      </c>
      <c r="F254" s="3" t="s">
        <v>97</v>
      </c>
      <c r="G254" s="3" t="s">
        <v>97</v>
      </c>
      <c r="H254" s="3" t="s">
        <v>268</v>
      </c>
    </row>
    <row r="255" customFormat="false" ht="15" hidden="false" customHeight="false" outlineLevel="0" collapsed="false">
      <c r="A255" s="3" t="s">
        <v>267</v>
      </c>
      <c r="B255" s="3" t="n">
        <v>31</v>
      </c>
      <c r="C255" s="3" t="s">
        <v>143</v>
      </c>
      <c r="D255" s="3" t="n">
        <v>18</v>
      </c>
      <c r="E255" s="3" t="s">
        <v>81</v>
      </c>
      <c r="F255" s="3" t="s">
        <v>97</v>
      </c>
      <c r="G255" s="3" t="s">
        <v>97</v>
      </c>
      <c r="H255" s="3" t="s">
        <v>268</v>
      </c>
    </row>
    <row r="256" customFormat="false" ht="15" hidden="false" customHeight="false" outlineLevel="0" collapsed="false">
      <c r="A256" s="3" t="s">
        <v>267</v>
      </c>
      <c r="B256" s="3" t="n">
        <v>31</v>
      </c>
      <c r="C256" s="3" t="s">
        <v>143</v>
      </c>
      <c r="D256" s="3" t="n">
        <v>31</v>
      </c>
      <c r="E256" s="3" t="s">
        <v>81</v>
      </c>
      <c r="F256" s="3" t="s">
        <v>97</v>
      </c>
      <c r="G256" s="3" t="s">
        <v>97</v>
      </c>
      <c r="H256" s="3" t="s">
        <v>268</v>
      </c>
    </row>
    <row r="257" customFormat="false" ht="15" hidden="false" customHeight="false" outlineLevel="0" collapsed="false">
      <c r="A257" s="3" t="s">
        <v>267</v>
      </c>
      <c r="B257" s="3" t="n">
        <v>32</v>
      </c>
      <c r="C257" s="3" t="s">
        <v>143</v>
      </c>
      <c r="D257" s="3" t="n">
        <v>31</v>
      </c>
      <c r="E257" s="3" t="s">
        <v>78</v>
      </c>
      <c r="F257" s="3" t="s">
        <v>97</v>
      </c>
      <c r="G257" s="3" t="s">
        <v>97</v>
      </c>
      <c r="H257" s="3" t="s">
        <v>269</v>
      </c>
    </row>
    <row r="258" customFormat="false" ht="15" hidden="false" customHeight="false" outlineLevel="0" collapsed="false">
      <c r="A258" s="3" t="s">
        <v>267</v>
      </c>
      <c r="B258" s="3" t="n">
        <v>33</v>
      </c>
      <c r="C258" s="3" t="s">
        <v>143</v>
      </c>
      <c r="D258" s="3" t="n">
        <v>31</v>
      </c>
      <c r="E258" s="3" t="s">
        <v>78</v>
      </c>
      <c r="F258" s="3" t="s">
        <v>97</v>
      </c>
      <c r="G258" s="3" t="s">
        <v>97</v>
      </c>
      <c r="H258" s="3" t="s">
        <v>270</v>
      </c>
    </row>
    <row r="259" customFormat="false" ht="15" hidden="false" customHeight="false" outlineLevel="0" collapsed="false">
      <c r="A259" s="3" t="s">
        <v>267</v>
      </c>
      <c r="B259" s="3" t="n">
        <v>33</v>
      </c>
      <c r="C259" s="3" t="s">
        <v>143</v>
      </c>
      <c r="D259" s="3" t="n">
        <v>30</v>
      </c>
      <c r="E259" s="3" t="s">
        <v>81</v>
      </c>
      <c r="F259" s="3" t="s">
        <v>97</v>
      </c>
      <c r="G259" s="3" t="s">
        <v>97</v>
      </c>
      <c r="H259" s="3" t="s">
        <v>270</v>
      </c>
    </row>
    <row r="260" customFormat="false" ht="15" hidden="false" customHeight="false" outlineLevel="0" collapsed="false">
      <c r="A260" s="3" t="s">
        <v>267</v>
      </c>
      <c r="B260" s="3" t="n">
        <v>34</v>
      </c>
      <c r="C260" s="3" t="s">
        <v>143</v>
      </c>
      <c r="D260" s="3" t="n">
        <v>15</v>
      </c>
      <c r="E260" s="3" t="s">
        <v>78</v>
      </c>
      <c r="F260" s="3" t="s">
        <v>97</v>
      </c>
      <c r="G260" s="3" t="s">
        <v>97</v>
      </c>
      <c r="H260" s="3" t="s">
        <v>271</v>
      </c>
    </row>
    <row r="261" customFormat="false" ht="15" hidden="false" customHeight="false" outlineLevel="0" collapsed="false">
      <c r="A261" s="3" t="s">
        <v>267</v>
      </c>
      <c r="B261" s="3" t="n">
        <v>34</v>
      </c>
      <c r="C261" s="3" t="s">
        <v>143</v>
      </c>
      <c r="D261" s="3" t="n">
        <v>13</v>
      </c>
      <c r="E261" s="3" t="s">
        <v>81</v>
      </c>
      <c r="F261" s="3" t="s">
        <v>97</v>
      </c>
      <c r="G261" s="3" t="s">
        <v>97</v>
      </c>
      <c r="H261" s="3" t="s">
        <v>271</v>
      </c>
    </row>
    <row r="262" customFormat="false" ht="15" hidden="false" customHeight="false" outlineLevel="0" collapsed="false">
      <c r="A262" s="3" t="s">
        <v>267</v>
      </c>
      <c r="B262" s="3" t="n">
        <v>35</v>
      </c>
      <c r="C262" s="3" t="s">
        <v>143</v>
      </c>
      <c r="D262" s="3" t="n">
        <v>31</v>
      </c>
      <c r="E262" s="3" t="s">
        <v>78</v>
      </c>
      <c r="F262" s="3" t="s">
        <v>97</v>
      </c>
      <c r="G262" s="3" t="s">
        <v>97</v>
      </c>
      <c r="H262" s="3" t="s">
        <v>272</v>
      </c>
    </row>
    <row r="263" customFormat="false" ht="15" hidden="false" customHeight="false" outlineLevel="0" collapsed="false">
      <c r="A263" s="3" t="s">
        <v>267</v>
      </c>
      <c r="B263" s="3" t="n">
        <v>36</v>
      </c>
      <c r="C263" s="3" t="s">
        <v>143</v>
      </c>
      <c r="D263" s="3" t="n">
        <v>16</v>
      </c>
      <c r="E263" s="3" t="s">
        <v>78</v>
      </c>
      <c r="F263" s="3" t="s">
        <v>97</v>
      </c>
      <c r="G263" s="3" t="s">
        <v>97</v>
      </c>
      <c r="H263" s="3" t="s">
        <v>273</v>
      </c>
    </row>
    <row r="264" customFormat="false" ht="15" hidden="false" customHeight="false" outlineLevel="0" collapsed="false">
      <c r="A264" s="3" t="s">
        <v>267</v>
      </c>
      <c r="B264" s="3" t="n">
        <v>36</v>
      </c>
      <c r="C264" s="3" t="s">
        <v>143</v>
      </c>
      <c r="D264" s="3" t="n">
        <v>31</v>
      </c>
      <c r="E264" s="3" t="s">
        <v>81</v>
      </c>
      <c r="F264" s="3" t="s">
        <v>97</v>
      </c>
      <c r="G264" s="3" t="s">
        <v>97</v>
      </c>
      <c r="H264" s="3" t="s">
        <v>273</v>
      </c>
    </row>
    <row r="265" customFormat="false" ht="15" hidden="false" customHeight="false" outlineLevel="0" collapsed="false">
      <c r="A265" s="3" t="s">
        <v>267</v>
      </c>
      <c r="B265" s="3" t="n">
        <v>37</v>
      </c>
      <c r="C265" s="3" t="s">
        <v>143</v>
      </c>
      <c r="D265" s="3" t="n">
        <v>16</v>
      </c>
      <c r="E265" s="3" t="s">
        <v>78</v>
      </c>
      <c r="F265" s="3" t="s">
        <v>97</v>
      </c>
      <c r="G265" s="3" t="s">
        <v>97</v>
      </c>
      <c r="H265" s="3" t="s">
        <v>274</v>
      </c>
    </row>
    <row r="266" customFormat="false" ht="15" hidden="false" customHeight="false" outlineLevel="0" collapsed="false">
      <c r="A266" s="3" t="s">
        <v>267</v>
      </c>
      <c r="B266" s="3" t="n">
        <v>38</v>
      </c>
      <c r="C266" s="3" t="s">
        <v>143</v>
      </c>
      <c r="D266" s="3" t="n">
        <v>31</v>
      </c>
      <c r="E266" s="3" t="s">
        <v>78</v>
      </c>
      <c r="F266" s="3" t="s">
        <v>97</v>
      </c>
      <c r="G266" s="3" t="s">
        <v>97</v>
      </c>
      <c r="H266" s="3" t="s">
        <v>275</v>
      </c>
    </row>
    <row r="267" customFormat="false" ht="15" hidden="false" customHeight="false" outlineLevel="0" collapsed="false">
      <c r="A267" s="3" t="s">
        <v>267</v>
      </c>
      <c r="B267" s="3" t="n">
        <v>39</v>
      </c>
      <c r="C267" s="3" t="s">
        <v>143</v>
      </c>
      <c r="D267" s="3" t="n">
        <v>14</v>
      </c>
      <c r="E267" s="3" t="s">
        <v>78</v>
      </c>
      <c r="F267" s="3" t="s">
        <v>97</v>
      </c>
      <c r="G267" s="3" t="s">
        <v>97</v>
      </c>
      <c r="H267" s="3" t="s">
        <v>276</v>
      </c>
    </row>
    <row r="268" customFormat="false" ht="15" hidden="false" customHeight="false" outlineLevel="0" collapsed="false">
      <c r="A268" s="3" t="s">
        <v>267</v>
      </c>
      <c r="B268" s="3" t="n">
        <v>39</v>
      </c>
      <c r="C268" s="3" t="s">
        <v>143</v>
      </c>
      <c r="D268" s="3" t="n">
        <v>13</v>
      </c>
      <c r="E268" s="3" t="s">
        <v>81</v>
      </c>
      <c r="F268" s="3" t="s">
        <v>97</v>
      </c>
      <c r="G268" s="3" t="s">
        <v>97</v>
      </c>
      <c r="H268" s="3" t="s">
        <v>276</v>
      </c>
    </row>
    <row r="269" customFormat="false" ht="15" hidden="false" customHeight="false" outlineLevel="0" collapsed="false">
      <c r="A269" s="3" t="s">
        <v>267</v>
      </c>
      <c r="B269" s="3" t="n">
        <v>40</v>
      </c>
      <c r="C269" s="3" t="s">
        <v>143</v>
      </c>
      <c r="D269" s="3" t="n">
        <v>14</v>
      </c>
      <c r="E269" s="3" t="s">
        <v>78</v>
      </c>
      <c r="F269" s="3" t="s">
        <v>97</v>
      </c>
      <c r="G269" s="3" t="s">
        <v>97</v>
      </c>
      <c r="H269" s="3" t="s">
        <v>277</v>
      </c>
    </row>
    <row r="270" customFormat="false" ht="15" hidden="false" customHeight="false" outlineLevel="0" collapsed="false">
      <c r="A270" s="3" t="s">
        <v>267</v>
      </c>
      <c r="B270" s="3" t="n">
        <v>40</v>
      </c>
      <c r="C270" s="3" t="s">
        <v>143</v>
      </c>
      <c r="D270" s="3" t="n">
        <v>18</v>
      </c>
      <c r="E270" s="3" t="s">
        <v>81</v>
      </c>
      <c r="F270" s="3" t="s">
        <v>97</v>
      </c>
      <c r="G270" s="3" t="s">
        <v>97</v>
      </c>
      <c r="H270" s="3" t="s">
        <v>277</v>
      </c>
    </row>
    <row r="271" customFormat="false" ht="15" hidden="false" customHeight="false" outlineLevel="0" collapsed="false">
      <c r="A271" s="3" t="s">
        <v>267</v>
      </c>
      <c r="B271" s="3" t="n">
        <v>40</v>
      </c>
      <c r="C271" s="3" t="s">
        <v>143</v>
      </c>
      <c r="D271" s="3" t="n">
        <v>31</v>
      </c>
      <c r="E271" s="3" t="s">
        <v>81</v>
      </c>
      <c r="F271" s="3" t="s">
        <v>97</v>
      </c>
      <c r="G271" s="3" t="s">
        <v>97</v>
      </c>
      <c r="H271" s="3" t="s">
        <v>277</v>
      </c>
    </row>
    <row r="272" customFormat="false" ht="15" hidden="false" customHeight="false" outlineLevel="0" collapsed="false">
      <c r="A272" s="3" t="s">
        <v>267</v>
      </c>
      <c r="B272" s="3" t="n">
        <v>41</v>
      </c>
      <c r="C272" s="3" t="s">
        <v>143</v>
      </c>
      <c r="D272" s="3" t="n">
        <v>34</v>
      </c>
      <c r="E272" s="3" t="s">
        <v>78</v>
      </c>
      <c r="F272" s="3" t="s">
        <v>97</v>
      </c>
      <c r="G272" s="3" t="s">
        <v>97</v>
      </c>
      <c r="H272" s="3" t="s">
        <v>278</v>
      </c>
    </row>
    <row r="273" customFormat="false" ht="15" hidden="false" customHeight="false" outlineLevel="0" collapsed="false">
      <c r="A273" s="3" t="s">
        <v>267</v>
      </c>
      <c r="B273" s="3" t="n">
        <v>41</v>
      </c>
      <c r="C273" s="3" t="s">
        <v>143</v>
      </c>
      <c r="D273" s="3" t="n">
        <v>31</v>
      </c>
      <c r="E273" s="3" t="s">
        <v>81</v>
      </c>
      <c r="F273" s="3" t="s">
        <v>97</v>
      </c>
      <c r="G273" s="3" t="s">
        <v>97</v>
      </c>
      <c r="H273" s="3" t="s">
        <v>278</v>
      </c>
    </row>
    <row r="274" customFormat="false" ht="15" hidden="false" customHeight="false" outlineLevel="0" collapsed="false">
      <c r="A274" s="3" t="s">
        <v>267</v>
      </c>
      <c r="B274" s="3" t="n">
        <v>42</v>
      </c>
      <c r="C274" s="3" t="s">
        <v>143</v>
      </c>
      <c r="D274" s="3" t="n">
        <v>34</v>
      </c>
      <c r="E274" s="3" t="s">
        <v>78</v>
      </c>
      <c r="F274" s="3" t="s">
        <v>97</v>
      </c>
      <c r="G274" s="3" t="s">
        <v>97</v>
      </c>
      <c r="H274" s="3" t="s">
        <v>279</v>
      </c>
    </row>
    <row r="275" customFormat="false" ht="15" hidden="false" customHeight="false" outlineLevel="0" collapsed="false">
      <c r="A275" s="3" t="s">
        <v>267</v>
      </c>
      <c r="B275" s="3" t="n">
        <v>42</v>
      </c>
      <c r="C275" s="3" t="s">
        <v>143</v>
      </c>
      <c r="D275" s="3" t="n">
        <v>31</v>
      </c>
      <c r="E275" s="3" t="s">
        <v>81</v>
      </c>
      <c r="F275" s="3" t="s">
        <v>97</v>
      </c>
      <c r="G275" s="3" t="s">
        <v>97</v>
      </c>
      <c r="H275" s="3" t="s">
        <v>279</v>
      </c>
    </row>
    <row r="276" customFormat="false" ht="15" hidden="false" customHeight="false" outlineLevel="0" collapsed="false">
      <c r="A276" s="3" t="s">
        <v>267</v>
      </c>
      <c r="B276" s="3" t="n">
        <v>43</v>
      </c>
      <c r="C276" s="3" t="s">
        <v>143</v>
      </c>
      <c r="D276" s="3" t="n">
        <v>39</v>
      </c>
      <c r="E276" s="3" t="s">
        <v>78</v>
      </c>
      <c r="F276" s="3" t="s">
        <v>97</v>
      </c>
      <c r="G276" s="3" t="s">
        <v>97</v>
      </c>
      <c r="H276" s="3" t="s">
        <v>280</v>
      </c>
    </row>
    <row r="277" customFormat="false" ht="15" hidden="false" customHeight="false" outlineLevel="0" collapsed="false">
      <c r="A277" s="3" t="s">
        <v>267</v>
      </c>
      <c r="B277" s="3" t="n">
        <v>44</v>
      </c>
      <c r="C277" s="3" t="s">
        <v>143</v>
      </c>
      <c r="D277" s="3" t="n">
        <v>39</v>
      </c>
      <c r="E277" s="3" t="s">
        <v>78</v>
      </c>
      <c r="F277" s="3" t="s">
        <v>97</v>
      </c>
      <c r="G277" s="3" t="s">
        <v>97</v>
      </c>
      <c r="H277" s="3" t="s">
        <v>281</v>
      </c>
    </row>
    <row r="278" customFormat="false" ht="15" hidden="false" customHeight="false" outlineLevel="0" collapsed="false">
      <c r="A278" s="3" t="s">
        <v>267</v>
      </c>
      <c r="B278" s="3" t="n">
        <v>45</v>
      </c>
      <c r="C278" s="3" t="s">
        <v>143</v>
      </c>
      <c r="D278" s="3" t="n">
        <v>35</v>
      </c>
      <c r="E278" s="3" t="s">
        <v>78</v>
      </c>
      <c r="F278" s="3" t="s">
        <v>97</v>
      </c>
      <c r="G278" s="3" t="s">
        <v>97</v>
      </c>
      <c r="H278" s="3" t="s">
        <v>282</v>
      </c>
    </row>
    <row r="279" customFormat="false" ht="15" hidden="false" customHeight="false" outlineLevel="0" collapsed="false">
      <c r="A279" s="3" t="s">
        <v>267</v>
      </c>
      <c r="B279" s="3" t="n">
        <v>45</v>
      </c>
      <c r="C279" s="3" t="s">
        <v>143</v>
      </c>
      <c r="D279" s="3" t="n">
        <v>31</v>
      </c>
      <c r="E279" s="3" t="s">
        <v>81</v>
      </c>
      <c r="F279" s="3" t="s">
        <v>97</v>
      </c>
      <c r="G279" s="3" t="s">
        <v>97</v>
      </c>
      <c r="H279" s="3" t="s">
        <v>282</v>
      </c>
    </row>
    <row r="280" customFormat="false" ht="15" hidden="false" customHeight="false" outlineLevel="0" collapsed="false">
      <c r="A280" s="3" t="s">
        <v>267</v>
      </c>
      <c r="B280" s="3" t="n">
        <v>46</v>
      </c>
      <c r="C280" s="3" t="s">
        <v>143</v>
      </c>
      <c r="D280" s="3" t="n">
        <v>35</v>
      </c>
      <c r="E280" s="3" t="s">
        <v>78</v>
      </c>
      <c r="F280" s="3" t="s">
        <v>97</v>
      </c>
      <c r="G280" s="3" t="s">
        <v>97</v>
      </c>
      <c r="H280" s="3" t="e">
        <f aca="false">2  dx x x</f>
        <v>#N/A</v>
      </c>
    </row>
    <row r="281" customFormat="false" ht="15" hidden="false" customHeight="false" outlineLevel="0" collapsed="false">
      <c r="A281" s="3" t="s">
        <v>267</v>
      </c>
      <c r="B281" s="3" t="n">
        <v>46</v>
      </c>
      <c r="C281" s="3" t="s">
        <v>143</v>
      </c>
      <c r="D281" s="3" t="n">
        <v>31</v>
      </c>
      <c r="E281" s="3" t="s">
        <v>81</v>
      </c>
      <c r="F281" s="3" t="s">
        <v>97</v>
      </c>
      <c r="G281" s="3" t="s">
        <v>97</v>
      </c>
      <c r="H281" s="3" t="e">
        <f aca="false">2  dx x x</f>
        <v>#N/A</v>
      </c>
    </row>
    <row r="282" customFormat="false" ht="15" hidden="false" customHeight="false" outlineLevel="0" collapsed="false">
      <c r="A282" s="3" t="s">
        <v>267</v>
      </c>
      <c r="B282" s="3" t="n">
        <v>47</v>
      </c>
      <c r="C282" s="3" t="s">
        <v>143</v>
      </c>
      <c r="D282" s="3" t="n">
        <v>35</v>
      </c>
      <c r="E282" s="3" t="s">
        <v>78</v>
      </c>
      <c r="F282" s="3" t="s">
        <v>97</v>
      </c>
      <c r="G282" s="3" t="s">
        <v>97</v>
      </c>
      <c r="H282" s="3" t="e">
        <f aca="false">exy (ex  ey) dx</f>
        <v>#N/A</v>
      </c>
    </row>
    <row r="283" customFormat="false" ht="15" hidden="false" customHeight="false" outlineLevel="0" collapsed="false">
      <c r="A283" s="3" t="s">
        <v>267</v>
      </c>
      <c r="B283" s="3" t="n">
        <v>47</v>
      </c>
      <c r="C283" s="3" t="s">
        <v>143</v>
      </c>
      <c r="D283" s="3" t="n">
        <v>31</v>
      </c>
      <c r="E283" s="3" t="s">
        <v>81</v>
      </c>
      <c r="F283" s="3" t="s">
        <v>97</v>
      </c>
      <c r="G283" s="3" t="s">
        <v>97</v>
      </c>
      <c r="H283" s="3" t="e">
        <f aca="false">exy (ex  ey) dx</f>
        <v>#N/A</v>
      </c>
    </row>
    <row r="284" customFormat="false" ht="15" hidden="false" customHeight="false" outlineLevel="0" collapsed="false">
      <c r="A284" s="3" t="s">
        <v>267</v>
      </c>
      <c r="B284" s="3" t="n">
        <v>48</v>
      </c>
      <c r="C284" s="3" t="s">
        <v>143</v>
      </c>
      <c r="D284" s="3" t="n">
        <v>24</v>
      </c>
      <c r="E284" s="3" t="s">
        <v>78</v>
      </c>
      <c r="F284" s="3" t="s">
        <v>97</v>
      </c>
      <c r="G284" s="3" t="s">
        <v>97</v>
      </c>
      <c r="H284" s="3" t="s">
        <v>283</v>
      </c>
    </row>
    <row r="285" customFormat="false" ht="15" hidden="false" customHeight="false" outlineLevel="0" collapsed="false">
      <c r="A285" s="3" t="s">
        <v>267</v>
      </c>
      <c r="B285" s="3" t="n">
        <v>49</v>
      </c>
      <c r="C285" s="3" t="s">
        <v>143</v>
      </c>
      <c r="D285" s="3" t="n">
        <v>31</v>
      </c>
      <c r="E285" s="3" t="s">
        <v>78</v>
      </c>
      <c r="F285" s="3" t="s">
        <v>97</v>
      </c>
      <c r="G285" s="3" t="s">
        <v>97</v>
      </c>
      <c r="H285" s="3" t="s">
        <v>284</v>
      </c>
    </row>
    <row r="286" customFormat="false" ht="15" hidden="false" customHeight="false" outlineLevel="0" collapsed="false">
      <c r="A286" s="3" t="s">
        <v>267</v>
      </c>
      <c r="B286" s="3" t="n">
        <v>49</v>
      </c>
      <c r="C286" s="3" t="s">
        <v>143</v>
      </c>
      <c r="D286" s="3" t="n">
        <v>4</v>
      </c>
      <c r="E286" s="3" t="s">
        <v>81</v>
      </c>
      <c r="F286" s="3" t="s">
        <v>97</v>
      </c>
      <c r="G286" s="3" t="s">
        <v>97</v>
      </c>
      <c r="H286" s="3" t="s">
        <v>284</v>
      </c>
    </row>
    <row r="287" customFormat="false" ht="15" hidden="false" customHeight="false" outlineLevel="0" collapsed="false">
      <c r="A287" s="3" t="s">
        <v>267</v>
      </c>
      <c r="B287" s="3" t="n">
        <v>50</v>
      </c>
      <c r="C287" s="3" t="s">
        <v>143</v>
      </c>
      <c r="D287" s="3" t="n">
        <v>14</v>
      </c>
      <c r="E287" s="3" t="s">
        <v>78</v>
      </c>
      <c r="F287" s="3" t="s">
        <v>97</v>
      </c>
      <c r="G287" s="3" t="s">
        <v>97</v>
      </c>
      <c r="H287" s="3" t="s">
        <v>285</v>
      </c>
    </row>
    <row r="288" customFormat="false" ht="15" hidden="false" customHeight="false" outlineLevel="0" collapsed="false">
      <c r="A288" s="3" t="s">
        <v>267</v>
      </c>
      <c r="B288" s="3" t="n">
        <v>50</v>
      </c>
      <c r="C288" s="3" t="s">
        <v>143</v>
      </c>
      <c r="D288" s="3" t="n">
        <v>35</v>
      </c>
      <c r="E288" s="3" t="s">
        <v>81</v>
      </c>
      <c r="F288" s="3" t="s">
        <v>97</v>
      </c>
      <c r="G288" s="3" t="s">
        <v>97</v>
      </c>
      <c r="H288" s="3" t="s">
        <v>285</v>
      </c>
    </row>
    <row r="289" customFormat="false" ht="15" hidden="false" customHeight="false" outlineLevel="0" collapsed="false">
      <c r="A289" s="3" t="s">
        <v>267</v>
      </c>
      <c r="B289" s="3" t="n">
        <v>50</v>
      </c>
      <c r="C289" s="3" t="s">
        <v>143</v>
      </c>
      <c r="D289" s="3" t="n">
        <v>31</v>
      </c>
      <c r="E289" s="3" t="s">
        <v>81</v>
      </c>
      <c r="F289" s="3" t="s">
        <v>97</v>
      </c>
      <c r="G289" s="3" t="s">
        <v>97</v>
      </c>
      <c r="H289" s="3" t="s">
        <v>285</v>
      </c>
    </row>
    <row r="290" customFormat="false" ht="15" hidden="false" customHeight="false" outlineLevel="0" collapsed="false">
      <c r="A290" s="3" t="s">
        <v>267</v>
      </c>
      <c r="B290" s="3" t="n">
        <v>51</v>
      </c>
      <c r="C290" s="3" t="s">
        <v>143</v>
      </c>
      <c r="D290" s="3" t="n">
        <v>14</v>
      </c>
      <c r="E290" s="3" t="s">
        <v>78</v>
      </c>
      <c r="F290" s="3" t="s">
        <v>97</v>
      </c>
      <c r="G290" s="3" t="s">
        <v>97</v>
      </c>
      <c r="H290" s="3" t="s">
        <v>286</v>
      </c>
    </row>
    <row r="291" customFormat="false" ht="15" hidden="false" customHeight="false" outlineLevel="0" collapsed="false">
      <c r="A291" s="3" t="s">
        <v>267</v>
      </c>
      <c r="B291" s="3" t="n">
        <v>51</v>
      </c>
      <c r="C291" s="3" t="s">
        <v>143</v>
      </c>
      <c r="D291" s="3" t="n">
        <v>6</v>
      </c>
      <c r="E291" s="3" t="s">
        <v>81</v>
      </c>
      <c r="F291" s="3" t="s">
        <v>97</v>
      </c>
      <c r="G291" s="3" t="s">
        <v>97</v>
      </c>
      <c r="H291" s="3" t="s">
        <v>286</v>
      </c>
    </row>
    <row r="292" customFormat="false" ht="15" hidden="false" customHeight="false" outlineLevel="0" collapsed="false">
      <c r="A292" s="3" t="s">
        <v>267</v>
      </c>
      <c r="B292" s="3" t="n">
        <v>51</v>
      </c>
      <c r="C292" s="3" t="s">
        <v>143</v>
      </c>
      <c r="D292" s="3" t="n">
        <v>37</v>
      </c>
      <c r="E292" s="3" t="s">
        <v>81</v>
      </c>
      <c r="F292" s="3" t="s">
        <v>97</v>
      </c>
      <c r="G292" s="3" t="s">
        <v>97</v>
      </c>
      <c r="H292" s="3" t="s">
        <v>286</v>
      </c>
    </row>
    <row r="293" customFormat="false" ht="15" hidden="false" customHeight="false" outlineLevel="0" collapsed="false">
      <c r="A293" s="3" t="s">
        <v>267</v>
      </c>
      <c r="B293" s="3" t="n">
        <v>52</v>
      </c>
      <c r="C293" s="3" t="s">
        <v>143</v>
      </c>
      <c r="D293" s="3" t="n">
        <v>14</v>
      </c>
      <c r="E293" s="3" t="s">
        <v>78</v>
      </c>
      <c r="F293" s="3" t="s">
        <v>97</v>
      </c>
      <c r="G293" s="3" t="s">
        <v>97</v>
      </c>
      <c r="H293" s="3" t="s">
        <v>287</v>
      </c>
    </row>
    <row r="294" customFormat="false" ht="15" hidden="false" customHeight="false" outlineLevel="0" collapsed="false">
      <c r="A294" s="3" t="s">
        <v>267</v>
      </c>
      <c r="B294" s="3" t="n">
        <v>52</v>
      </c>
      <c r="C294" s="3" t="s">
        <v>143</v>
      </c>
      <c r="D294" s="3" t="n">
        <v>13</v>
      </c>
      <c r="E294" s="3" t="s">
        <v>81</v>
      </c>
      <c r="F294" s="3" t="s">
        <v>97</v>
      </c>
      <c r="G294" s="3" t="s">
        <v>97</v>
      </c>
      <c r="H294" s="3" t="s">
        <v>287</v>
      </c>
    </row>
    <row r="295" customFormat="false" ht="15" hidden="false" customHeight="false" outlineLevel="0" collapsed="false">
      <c r="A295" s="3" t="s">
        <v>267</v>
      </c>
      <c r="B295" s="3" t="n">
        <v>53</v>
      </c>
      <c r="C295" s="3" t="s">
        <v>143</v>
      </c>
      <c r="D295" s="3" t="n">
        <v>31</v>
      </c>
      <c r="E295" s="3" t="s">
        <v>78</v>
      </c>
      <c r="F295" s="3" t="s">
        <v>97</v>
      </c>
      <c r="G295" s="3" t="s">
        <v>97</v>
      </c>
      <c r="H295" s="3" t="s">
        <v>288</v>
      </c>
    </row>
    <row r="296" customFormat="false" ht="15" hidden="false" customHeight="false" outlineLevel="0" collapsed="false">
      <c r="A296" s="3" t="s">
        <v>267</v>
      </c>
      <c r="B296" s="3" t="n">
        <v>56</v>
      </c>
      <c r="C296" s="3" t="s">
        <v>143</v>
      </c>
      <c r="D296" s="3" t="n">
        <v>14</v>
      </c>
      <c r="E296" s="3" t="s">
        <v>78</v>
      </c>
      <c r="F296" s="3" t="s">
        <v>97</v>
      </c>
      <c r="G296" s="3" t="s">
        <v>97</v>
      </c>
      <c r="H296" s="3" t="s">
        <v>289</v>
      </c>
    </row>
    <row r="297" customFormat="false" ht="15" hidden="false" customHeight="false" outlineLevel="0" collapsed="false">
      <c r="A297" s="3" t="s">
        <v>267</v>
      </c>
      <c r="B297" s="3" t="n">
        <v>56</v>
      </c>
      <c r="C297" s="3" t="s">
        <v>143</v>
      </c>
      <c r="D297" s="3" t="n">
        <v>19</v>
      </c>
      <c r="E297" s="3" t="s">
        <v>81</v>
      </c>
      <c r="F297" s="3" t="s">
        <v>97</v>
      </c>
      <c r="G297" s="3" t="s">
        <v>97</v>
      </c>
      <c r="H297" s="3" t="s">
        <v>289</v>
      </c>
    </row>
    <row r="298" customFormat="false" ht="15" hidden="false" customHeight="false" outlineLevel="0" collapsed="false">
      <c r="A298" s="3" t="s">
        <v>267</v>
      </c>
      <c r="B298" s="3" t="n">
        <v>56</v>
      </c>
      <c r="C298" s="3" t="s">
        <v>143</v>
      </c>
      <c r="D298" s="3" t="n">
        <v>22</v>
      </c>
      <c r="E298" s="3" t="s">
        <v>81</v>
      </c>
      <c r="F298" s="3" t="s">
        <v>97</v>
      </c>
      <c r="G298" s="3" t="s">
        <v>97</v>
      </c>
      <c r="H298" s="3" t="s">
        <v>289</v>
      </c>
    </row>
    <row r="299" customFormat="false" ht="15" hidden="false" customHeight="false" outlineLevel="0" collapsed="false">
      <c r="A299" s="3" t="s">
        <v>267</v>
      </c>
      <c r="B299" s="3" t="n">
        <v>59</v>
      </c>
      <c r="C299" s="3" t="s">
        <v>143</v>
      </c>
      <c r="D299" s="3" t="n">
        <v>39</v>
      </c>
      <c r="E299" s="3" t="s">
        <v>78</v>
      </c>
      <c r="F299" s="3" t="s">
        <v>97</v>
      </c>
      <c r="G299" s="3" t="s">
        <v>97</v>
      </c>
      <c r="H299" s="3" t="s">
        <v>290</v>
      </c>
    </row>
    <row r="300" customFormat="false" ht="15" hidden="false" customHeight="false" outlineLevel="0" collapsed="false">
      <c r="A300" s="3" t="s">
        <v>267</v>
      </c>
      <c r="B300" s="3" t="n">
        <v>59</v>
      </c>
      <c r="C300" s="3" t="s">
        <v>143</v>
      </c>
      <c r="D300" s="3" t="n">
        <v>34</v>
      </c>
      <c r="E300" s="3" t="s">
        <v>81</v>
      </c>
      <c r="F300" s="3" t="s">
        <v>97</v>
      </c>
      <c r="G300" s="3" t="s">
        <v>97</v>
      </c>
      <c r="H300" s="3" t="s">
        <v>290</v>
      </c>
    </row>
    <row r="301" customFormat="false" ht="15" hidden="false" customHeight="false" outlineLevel="0" collapsed="false">
      <c r="A301" s="3" t="s">
        <v>291</v>
      </c>
      <c r="B301" s="3" t="n">
        <v>1</v>
      </c>
      <c r="C301" s="3" t="s">
        <v>143</v>
      </c>
      <c r="D301" s="3" t="n">
        <v>31</v>
      </c>
      <c r="E301" s="3" t="s">
        <v>78</v>
      </c>
      <c r="F301" s="3" t="s">
        <v>79</v>
      </c>
      <c r="G301" s="3" t="s">
        <v>79</v>
      </c>
      <c r="H301" s="3" t="s">
        <v>292</v>
      </c>
    </row>
    <row r="302" customFormat="false" ht="15" hidden="false" customHeight="false" outlineLevel="0" collapsed="false">
      <c r="A302" s="3" t="s">
        <v>291</v>
      </c>
      <c r="B302" s="3" t="n">
        <v>2</v>
      </c>
      <c r="C302" s="3" t="s">
        <v>143</v>
      </c>
      <c r="D302" s="3" t="n">
        <v>25</v>
      </c>
      <c r="E302" s="3" t="s">
        <v>78</v>
      </c>
      <c r="F302" s="3" t="s">
        <v>79</v>
      </c>
      <c r="G302" s="3" t="s">
        <v>79</v>
      </c>
      <c r="H302" s="3" t="s">
        <v>293</v>
      </c>
    </row>
    <row r="303" customFormat="false" ht="15" hidden="false" customHeight="false" outlineLevel="0" collapsed="false">
      <c r="A303" s="3" t="s">
        <v>291</v>
      </c>
      <c r="B303" s="3" t="n">
        <v>3</v>
      </c>
      <c r="C303" s="3" t="s">
        <v>143</v>
      </c>
      <c r="D303" s="3" t="n">
        <v>31</v>
      </c>
      <c r="E303" s="3" t="s">
        <v>78</v>
      </c>
      <c r="F303" s="3" t="s">
        <v>79</v>
      </c>
      <c r="G303" s="3" t="s">
        <v>79</v>
      </c>
      <c r="H303" s="3" t="s">
        <v>294</v>
      </c>
    </row>
    <row r="304" customFormat="false" ht="15" hidden="false" customHeight="false" outlineLevel="0" collapsed="false">
      <c r="A304" s="3" t="s">
        <v>291</v>
      </c>
      <c r="B304" s="3" t="n">
        <v>4</v>
      </c>
      <c r="C304" s="3" t="s">
        <v>143</v>
      </c>
      <c r="D304" s="3" t="n">
        <v>31</v>
      </c>
      <c r="E304" s="3" t="s">
        <v>78</v>
      </c>
      <c r="F304" s="3" t="s">
        <v>79</v>
      </c>
      <c r="G304" s="3" t="s">
        <v>79</v>
      </c>
      <c r="H304" s="3" t="s">
        <v>295</v>
      </c>
    </row>
    <row r="305" customFormat="false" ht="15" hidden="false" customHeight="false" outlineLevel="0" collapsed="false">
      <c r="A305" s="3" t="s">
        <v>291</v>
      </c>
      <c r="B305" s="3" t="n">
        <v>5</v>
      </c>
      <c r="C305" s="3" t="s">
        <v>143</v>
      </c>
      <c r="D305" s="3" t="n">
        <v>10</v>
      </c>
      <c r="E305" s="3" t="s">
        <v>78</v>
      </c>
      <c r="F305" s="3" t="s">
        <v>79</v>
      </c>
      <c r="G305" s="3" t="s">
        <v>79</v>
      </c>
      <c r="H305" s="3" t="s">
        <v>296</v>
      </c>
    </row>
    <row r="306" customFormat="false" ht="15" hidden="false" customHeight="false" outlineLevel="0" collapsed="false">
      <c r="A306" s="3" t="s">
        <v>291</v>
      </c>
      <c r="B306" s="3" t="n">
        <v>6</v>
      </c>
      <c r="C306" s="3" t="s">
        <v>143</v>
      </c>
      <c r="D306" s="3" t="n">
        <v>25</v>
      </c>
      <c r="E306" s="3" t="s">
        <v>78</v>
      </c>
      <c r="F306" s="3" t="s">
        <v>79</v>
      </c>
      <c r="G306" s="3" t="s">
        <v>79</v>
      </c>
      <c r="H306" s="3" t="s">
        <v>297</v>
      </c>
    </row>
    <row r="307" customFormat="false" ht="15" hidden="false" customHeight="false" outlineLevel="0" collapsed="false">
      <c r="A307" s="3" t="s">
        <v>291</v>
      </c>
      <c r="B307" s="3" t="n">
        <v>6</v>
      </c>
      <c r="C307" s="3" t="s">
        <v>143</v>
      </c>
      <c r="D307" s="3" t="n">
        <v>26</v>
      </c>
      <c r="E307" s="3" t="s">
        <v>81</v>
      </c>
      <c r="F307" s="3" t="s">
        <v>79</v>
      </c>
      <c r="G307" s="3" t="s">
        <v>79</v>
      </c>
      <c r="H307" s="3" t="s">
        <v>297</v>
      </c>
    </row>
    <row r="308" customFormat="false" ht="15" hidden="false" customHeight="false" outlineLevel="0" collapsed="false">
      <c r="A308" s="3" t="s">
        <v>291</v>
      </c>
      <c r="B308" s="3" t="n">
        <v>7</v>
      </c>
      <c r="C308" s="3" t="s">
        <v>143</v>
      </c>
      <c r="D308" s="3" t="n">
        <v>31</v>
      </c>
      <c r="E308" s="3" t="s">
        <v>78</v>
      </c>
      <c r="F308" s="3" t="s">
        <v>79</v>
      </c>
      <c r="G308" s="3" t="s">
        <v>79</v>
      </c>
      <c r="H308" s="3" t="s">
        <v>298</v>
      </c>
    </row>
    <row r="309" customFormat="false" ht="15" hidden="false" customHeight="false" outlineLevel="0" collapsed="false">
      <c r="A309" s="3" t="s">
        <v>291</v>
      </c>
      <c r="B309" s="3" t="n">
        <v>8</v>
      </c>
      <c r="C309" s="3" t="s">
        <v>143</v>
      </c>
      <c r="D309" s="3" t="n">
        <v>13</v>
      </c>
      <c r="E309" s="3" t="s">
        <v>78</v>
      </c>
      <c r="F309" s="3" t="s">
        <v>79</v>
      </c>
      <c r="G309" s="3" t="s">
        <v>79</v>
      </c>
      <c r="H309" s="3" t="s">
        <v>299</v>
      </c>
    </row>
    <row r="310" customFormat="false" ht="15" hidden="false" customHeight="false" outlineLevel="0" collapsed="false">
      <c r="A310" s="3" t="s">
        <v>291</v>
      </c>
      <c r="B310" s="3" t="n">
        <v>9</v>
      </c>
      <c r="C310" s="3" t="s">
        <v>143</v>
      </c>
      <c r="D310" s="3" t="n">
        <v>32</v>
      </c>
      <c r="E310" s="3" t="s">
        <v>78</v>
      </c>
      <c r="F310" s="3" t="s">
        <v>79</v>
      </c>
      <c r="G310" s="3" t="s">
        <v>79</v>
      </c>
      <c r="H310" s="3" t="s">
        <v>300</v>
      </c>
    </row>
    <row r="311" customFormat="false" ht="15" hidden="false" customHeight="false" outlineLevel="0" collapsed="false">
      <c r="A311" s="3" t="s">
        <v>291</v>
      </c>
      <c r="B311" s="3" t="n">
        <v>9</v>
      </c>
      <c r="C311" s="3" t="s">
        <v>143</v>
      </c>
      <c r="D311" s="3" t="n">
        <v>31</v>
      </c>
      <c r="E311" s="3" t="s">
        <v>81</v>
      </c>
      <c r="F311" s="3" t="s">
        <v>79</v>
      </c>
      <c r="G311" s="3" t="s">
        <v>79</v>
      </c>
      <c r="H311" s="3" t="s">
        <v>300</v>
      </c>
    </row>
    <row r="312" customFormat="false" ht="15" hidden="false" customHeight="false" outlineLevel="0" collapsed="false">
      <c r="A312" s="3" t="s">
        <v>291</v>
      </c>
      <c r="B312" s="3" t="n">
        <v>10</v>
      </c>
      <c r="C312" s="3" t="s">
        <v>143</v>
      </c>
      <c r="D312" s="3" t="n">
        <v>39</v>
      </c>
      <c r="E312" s="3" t="s">
        <v>78</v>
      </c>
      <c r="F312" s="3" t="s">
        <v>79</v>
      </c>
      <c r="G312" s="3" t="s">
        <v>79</v>
      </c>
      <c r="H312" s="3" t="s">
        <v>301</v>
      </c>
    </row>
    <row r="313" customFormat="false" ht="15" hidden="false" customHeight="false" outlineLevel="0" collapsed="false">
      <c r="A313" s="3" t="s">
        <v>291</v>
      </c>
      <c r="B313" s="3" t="n">
        <v>11</v>
      </c>
      <c r="C313" s="3" t="s">
        <v>143</v>
      </c>
      <c r="D313" s="3" t="n">
        <v>39</v>
      </c>
      <c r="E313" s="3" t="s">
        <v>78</v>
      </c>
      <c r="F313" s="3" t="s">
        <v>79</v>
      </c>
      <c r="G313" s="3" t="s">
        <v>79</v>
      </c>
      <c r="H313" s="3" t="s">
        <v>302</v>
      </c>
    </row>
    <row r="314" customFormat="false" ht="15" hidden="false" customHeight="false" outlineLevel="0" collapsed="false">
      <c r="A314" s="3" t="s">
        <v>291</v>
      </c>
      <c r="B314" s="3" t="n">
        <v>12</v>
      </c>
      <c r="C314" s="3" t="s">
        <v>143</v>
      </c>
      <c r="D314" s="3" t="n">
        <v>13</v>
      </c>
      <c r="E314" s="3" t="s">
        <v>78</v>
      </c>
      <c r="F314" s="3" t="s">
        <v>79</v>
      </c>
      <c r="G314" s="3" t="s">
        <v>79</v>
      </c>
      <c r="H314" s="3" t="s">
        <v>303</v>
      </c>
    </row>
    <row r="315" customFormat="false" ht="15" hidden="false" customHeight="false" outlineLevel="0" collapsed="false">
      <c r="A315" s="3" t="s">
        <v>291</v>
      </c>
      <c r="B315" s="3" t="n">
        <v>13</v>
      </c>
      <c r="C315" s="3" t="s">
        <v>143</v>
      </c>
      <c r="D315" s="3" t="n">
        <v>13</v>
      </c>
      <c r="E315" s="3" t="s">
        <v>78</v>
      </c>
      <c r="F315" s="3" t="s">
        <v>79</v>
      </c>
      <c r="G315" s="3" t="s">
        <v>79</v>
      </c>
      <c r="H315" s="3" t="s">
        <v>304</v>
      </c>
    </row>
    <row r="316" customFormat="false" ht="15" hidden="false" customHeight="false" outlineLevel="0" collapsed="false">
      <c r="A316" s="3" t="s">
        <v>291</v>
      </c>
      <c r="B316" s="3" t="n">
        <v>14</v>
      </c>
      <c r="C316" s="3" t="s">
        <v>143</v>
      </c>
      <c r="D316" s="3" t="n">
        <v>14</v>
      </c>
      <c r="E316" s="3" t="s">
        <v>78</v>
      </c>
      <c r="F316" s="3" t="s">
        <v>79</v>
      </c>
      <c r="G316" s="3" t="s">
        <v>79</v>
      </c>
      <c r="H316" s="3" t="s">
        <v>305</v>
      </c>
    </row>
    <row r="317" customFormat="false" ht="15" hidden="false" customHeight="false" outlineLevel="0" collapsed="false">
      <c r="A317" s="3" t="s">
        <v>291</v>
      </c>
      <c r="B317" s="3" t="n">
        <v>14</v>
      </c>
      <c r="C317" s="3" t="s">
        <v>143</v>
      </c>
      <c r="D317" s="3" t="n">
        <v>13</v>
      </c>
      <c r="E317" s="3" t="s">
        <v>81</v>
      </c>
      <c r="F317" s="3" t="s">
        <v>79</v>
      </c>
      <c r="G317" s="3" t="s">
        <v>79</v>
      </c>
      <c r="H317" s="3" t="s">
        <v>305</v>
      </c>
    </row>
    <row r="318" customFormat="false" ht="15" hidden="false" customHeight="false" outlineLevel="0" collapsed="false">
      <c r="A318" s="3" t="s">
        <v>291</v>
      </c>
      <c r="B318" s="3" t="n">
        <v>15</v>
      </c>
      <c r="C318" s="3" t="s">
        <v>143</v>
      </c>
      <c r="D318" s="3" t="n">
        <v>13</v>
      </c>
      <c r="E318" s="3" t="s">
        <v>78</v>
      </c>
      <c r="F318" s="3" t="s">
        <v>79</v>
      </c>
      <c r="G318" s="3" t="s">
        <v>79</v>
      </c>
      <c r="H318" s="3" t="s">
        <v>306</v>
      </c>
    </row>
    <row r="319" customFormat="false" ht="15" hidden="false" customHeight="false" outlineLevel="0" collapsed="false">
      <c r="A319" s="3" t="s">
        <v>291</v>
      </c>
      <c r="B319" s="3" t="n">
        <v>16</v>
      </c>
      <c r="C319" s="3" t="s">
        <v>143</v>
      </c>
      <c r="D319" s="3" t="n">
        <v>31</v>
      </c>
      <c r="E319" s="3" t="s">
        <v>78</v>
      </c>
      <c r="F319" s="3" t="s">
        <v>79</v>
      </c>
      <c r="G319" s="3" t="s">
        <v>79</v>
      </c>
      <c r="H319" s="3" t="s">
        <v>307</v>
      </c>
    </row>
    <row r="320" customFormat="false" ht="15" hidden="false" customHeight="false" outlineLevel="0" collapsed="false">
      <c r="A320" s="3" t="s">
        <v>291</v>
      </c>
      <c r="B320" s="3" t="n">
        <v>17</v>
      </c>
      <c r="C320" s="3" t="s">
        <v>143</v>
      </c>
      <c r="D320" s="3" t="n">
        <v>13</v>
      </c>
      <c r="E320" s="3" t="s">
        <v>78</v>
      </c>
      <c r="F320" s="3" t="s">
        <v>79</v>
      </c>
      <c r="G320" s="3" t="s">
        <v>79</v>
      </c>
      <c r="H320" s="3" t="s">
        <v>308</v>
      </c>
    </row>
    <row r="321" customFormat="false" ht="15" hidden="false" customHeight="false" outlineLevel="0" collapsed="false">
      <c r="A321" s="3" t="s">
        <v>291</v>
      </c>
      <c r="B321" s="3" t="n">
        <v>18</v>
      </c>
      <c r="C321" s="3" t="s">
        <v>143</v>
      </c>
      <c r="D321" s="3" t="n">
        <v>31</v>
      </c>
      <c r="E321" s="3" t="s">
        <v>78</v>
      </c>
      <c r="F321" s="3" t="s">
        <v>79</v>
      </c>
      <c r="G321" s="3" t="s">
        <v>79</v>
      </c>
      <c r="H321" s="3" t="s">
        <v>309</v>
      </c>
    </row>
    <row r="322" customFormat="false" ht="15" hidden="false" customHeight="false" outlineLevel="0" collapsed="false">
      <c r="A322" s="3" t="s">
        <v>291</v>
      </c>
      <c r="B322" s="3" t="n">
        <v>19</v>
      </c>
      <c r="C322" s="3" t="s">
        <v>143</v>
      </c>
      <c r="D322" s="3" t="n">
        <v>31</v>
      </c>
      <c r="E322" s="3" t="s">
        <v>78</v>
      </c>
      <c r="F322" s="3" t="s">
        <v>79</v>
      </c>
      <c r="G322" s="3" t="s">
        <v>79</v>
      </c>
      <c r="H322" s="3" t="s">
        <v>310</v>
      </c>
    </row>
    <row r="323" customFormat="false" ht="15" hidden="false" customHeight="false" outlineLevel="0" collapsed="false">
      <c r="A323" s="3" t="s">
        <v>291</v>
      </c>
      <c r="B323" s="3" t="n">
        <v>20</v>
      </c>
      <c r="C323" s="3" t="s">
        <v>143</v>
      </c>
      <c r="D323" s="3" t="n">
        <v>31</v>
      </c>
      <c r="E323" s="3" t="s">
        <v>78</v>
      </c>
      <c r="F323" s="3" t="s">
        <v>79</v>
      </c>
      <c r="G323" s="3" t="s">
        <v>79</v>
      </c>
      <c r="H323" s="3" t="s">
        <v>311</v>
      </c>
    </row>
    <row r="324" customFormat="false" ht="15" hidden="false" customHeight="false" outlineLevel="0" collapsed="false">
      <c r="A324" s="3" t="s">
        <v>312</v>
      </c>
      <c r="B324" s="3" t="n">
        <v>1</v>
      </c>
      <c r="C324" s="3" t="s">
        <v>143</v>
      </c>
      <c r="D324" s="3" t="n">
        <v>31</v>
      </c>
      <c r="E324" s="3" t="s">
        <v>78</v>
      </c>
      <c r="F324" s="3" t="s">
        <v>97</v>
      </c>
      <c r="G324" s="3" t="s">
        <v>97</v>
      </c>
      <c r="H324" s="3" t="s">
        <v>313</v>
      </c>
    </row>
    <row r="325" customFormat="false" ht="15" hidden="false" customHeight="false" outlineLevel="0" collapsed="false">
      <c r="A325" s="3" t="s">
        <v>312</v>
      </c>
      <c r="B325" s="3" t="n">
        <v>2</v>
      </c>
      <c r="C325" s="3" t="s">
        <v>143</v>
      </c>
      <c r="D325" s="3" t="n">
        <v>16</v>
      </c>
      <c r="E325" s="3" t="s">
        <v>78</v>
      </c>
      <c r="F325" s="3" t="s">
        <v>97</v>
      </c>
      <c r="G325" s="3" t="s">
        <v>97</v>
      </c>
      <c r="H325" s="3" t="s">
        <v>314</v>
      </c>
    </row>
    <row r="326" customFormat="false" ht="15" hidden="false" customHeight="false" outlineLevel="0" collapsed="false">
      <c r="A326" s="3" t="s">
        <v>312</v>
      </c>
      <c r="B326" s="3" t="n">
        <v>2</v>
      </c>
      <c r="C326" s="3" t="s">
        <v>143</v>
      </c>
      <c r="D326" s="3" t="n">
        <v>13</v>
      </c>
      <c r="E326" s="3" t="s">
        <v>81</v>
      </c>
      <c r="F326" s="3" t="s">
        <v>97</v>
      </c>
      <c r="G326" s="3" t="s">
        <v>97</v>
      </c>
      <c r="H326" s="3" t="s">
        <v>314</v>
      </c>
    </row>
    <row r="327" customFormat="false" ht="15" hidden="false" customHeight="false" outlineLevel="0" collapsed="false">
      <c r="A327" s="3" t="s">
        <v>312</v>
      </c>
      <c r="B327" s="3" t="n">
        <v>3</v>
      </c>
      <c r="C327" s="3" t="s">
        <v>143</v>
      </c>
      <c r="D327" s="3" t="n">
        <v>37</v>
      </c>
      <c r="E327" s="3" t="s">
        <v>78</v>
      </c>
      <c r="F327" s="3" t="s">
        <v>97</v>
      </c>
      <c r="G327" s="3" t="s">
        <v>97</v>
      </c>
      <c r="H327" s="3" t="s">
        <v>315</v>
      </c>
    </row>
    <row r="328" customFormat="false" ht="15" hidden="false" customHeight="false" outlineLevel="0" collapsed="false">
      <c r="A328" s="3" t="s">
        <v>312</v>
      </c>
      <c r="B328" s="3" t="n">
        <v>4</v>
      </c>
      <c r="C328" s="3" t="s">
        <v>143</v>
      </c>
      <c r="D328" s="3" t="n">
        <v>31</v>
      </c>
      <c r="E328" s="3" t="s">
        <v>78</v>
      </c>
      <c r="F328" s="3" t="s">
        <v>97</v>
      </c>
      <c r="G328" s="3" t="s">
        <v>97</v>
      </c>
      <c r="H328" s="3" t="s">
        <v>316</v>
      </c>
    </row>
    <row r="329" customFormat="false" ht="15" hidden="false" customHeight="false" outlineLevel="0" collapsed="false">
      <c r="A329" s="3" t="s">
        <v>312</v>
      </c>
      <c r="B329" s="3" t="n">
        <v>4</v>
      </c>
      <c r="C329" s="3" t="s">
        <v>143</v>
      </c>
      <c r="D329" s="3" t="n">
        <v>4</v>
      </c>
      <c r="E329" s="3" t="s">
        <v>81</v>
      </c>
      <c r="F329" s="3" t="s">
        <v>97</v>
      </c>
      <c r="G329" s="3" t="s">
        <v>97</v>
      </c>
      <c r="H329" s="3" t="s">
        <v>316</v>
      </c>
    </row>
    <row r="330" customFormat="false" ht="15" hidden="false" customHeight="false" outlineLevel="0" collapsed="false">
      <c r="A330" s="3" t="s">
        <v>312</v>
      </c>
      <c r="B330" s="3" t="n">
        <v>5</v>
      </c>
      <c r="C330" s="3" t="s">
        <v>143</v>
      </c>
      <c r="D330" s="3" t="n">
        <v>15</v>
      </c>
      <c r="E330" s="3" t="s">
        <v>78</v>
      </c>
      <c r="F330" s="3" t="s">
        <v>97</v>
      </c>
      <c r="G330" s="3" t="s">
        <v>97</v>
      </c>
      <c r="H330" s="3" t="s">
        <v>317</v>
      </c>
    </row>
    <row r="331" customFormat="false" ht="15" hidden="false" customHeight="false" outlineLevel="0" collapsed="false">
      <c r="A331" s="3" t="s">
        <v>312</v>
      </c>
      <c r="B331" s="3" t="n">
        <v>5</v>
      </c>
      <c r="C331" s="3" t="s">
        <v>143</v>
      </c>
      <c r="D331" s="3" t="n">
        <v>13</v>
      </c>
      <c r="E331" s="3" t="s">
        <v>81</v>
      </c>
      <c r="F331" s="3" t="s">
        <v>97</v>
      </c>
      <c r="G331" s="3" t="s">
        <v>97</v>
      </c>
      <c r="H331" s="3" t="s">
        <v>317</v>
      </c>
    </row>
    <row r="332" customFormat="false" ht="15" hidden="false" customHeight="false" outlineLevel="0" collapsed="false">
      <c r="A332" s="3" t="s">
        <v>312</v>
      </c>
      <c r="B332" s="3" t="n">
        <v>6</v>
      </c>
      <c r="C332" s="3" t="s">
        <v>143</v>
      </c>
      <c r="D332" s="3" t="n">
        <v>13</v>
      </c>
      <c r="E332" s="3" t="s">
        <v>78</v>
      </c>
      <c r="F332" s="3" t="s">
        <v>97</v>
      </c>
      <c r="G332" s="3" t="s">
        <v>97</v>
      </c>
      <c r="H332" s="3" t="s">
        <v>318</v>
      </c>
    </row>
    <row r="333" customFormat="false" ht="15" hidden="false" customHeight="false" outlineLevel="0" collapsed="false">
      <c r="A333" s="3" t="s">
        <v>312</v>
      </c>
      <c r="B333" s="3" t="n">
        <v>7</v>
      </c>
      <c r="C333" s="3" t="s">
        <v>143</v>
      </c>
      <c r="D333" s="3" t="n">
        <v>15</v>
      </c>
      <c r="E333" s="3" t="s">
        <v>78</v>
      </c>
      <c r="F333" s="3" t="s">
        <v>97</v>
      </c>
      <c r="G333" s="3" t="s">
        <v>97</v>
      </c>
      <c r="H333" s="3" t="s">
        <v>319</v>
      </c>
    </row>
    <row r="334" customFormat="false" ht="15" hidden="false" customHeight="false" outlineLevel="0" collapsed="false">
      <c r="A334" s="3" t="s">
        <v>312</v>
      </c>
      <c r="B334" s="3" t="n">
        <v>7</v>
      </c>
      <c r="C334" s="3" t="s">
        <v>143</v>
      </c>
      <c r="D334" s="3" t="n">
        <v>13</v>
      </c>
      <c r="E334" s="3" t="s">
        <v>81</v>
      </c>
      <c r="F334" s="3" t="s">
        <v>97</v>
      </c>
      <c r="G334" s="3" t="s">
        <v>97</v>
      </c>
      <c r="H334" s="3" t="s">
        <v>319</v>
      </c>
    </row>
    <row r="335" customFormat="false" ht="15" hidden="false" customHeight="false" outlineLevel="0" collapsed="false">
      <c r="A335" s="3" t="s">
        <v>312</v>
      </c>
      <c r="B335" s="3" t="n">
        <v>8</v>
      </c>
      <c r="C335" s="3" t="s">
        <v>143</v>
      </c>
      <c r="D335" s="3" t="n">
        <v>31</v>
      </c>
      <c r="E335" s="3" t="s">
        <v>78</v>
      </c>
      <c r="F335" s="3" t="s">
        <v>97</v>
      </c>
      <c r="G335" s="3" t="s">
        <v>97</v>
      </c>
      <c r="H335" s="3" t="s">
        <v>320</v>
      </c>
    </row>
    <row r="336" customFormat="false" ht="15" hidden="false" customHeight="false" outlineLevel="0" collapsed="false">
      <c r="A336" s="3" t="s">
        <v>312</v>
      </c>
      <c r="B336" s="3" t="n">
        <v>9</v>
      </c>
      <c r="C336" s="3" t="s">
        <v>143</v>
      </c>
      <c r="D336" s="3" t="n">
        <v>25</v>
      </c>
      <c r="E336" s="3" t="s">
        <v>78</v>
      </c>
      <c r="F336" s="3" t="s">
        <v>97</v>
      </c>
      <c r="G336" s="3" t="s">
        <v>97</v>
      </c>
      <c r="H336" s="3" t="s">
        <v>321</v>
      </c>
    </row>
    <row r="337" customFormat="false" ht="15" hidden="false" customHeight="false" outlineLevel="0" collapsed="false">
      <c r="A337" s="3" t="s">
        <v>312</v>
      </c>
      <c r="B337" s="3" t="n">
        <v>10</v>
      </c>
      <c r="C337" s="3" t="s">
        <v>143</v>
      </c>
      <c r="D337" s="3" t="n">
        <v>39</v>
      </c>
      <c r="E337" s="3" t="s">
        <v>78</v>
      </c>
      <c r="F337" s="3" t="s">
        <v>97</v>
      </c>
      <c r="G337" s="3" t="s">
        <v>97</v>
      </c>
      <c r="H337" s="3" t="s">
        <v>322</v>
      </c>
    </row>
    <row r="338" customFormat="false" ht="15" hidden="false" customHeight="false" outlineLevel="0" collapsed="false">
      <c r="A338" s="3" t="s">
        <v>312</v>
      </c>
      <c r="B338" s="3" t="n">
        <v>11</v>
      </c>
      <c r="C338" s="3" t="s">
        <v>143</v>
      </c>
      <c r="D338" s="3" t="n">
        <v>39</v>
      </c>
      <c r="E338" s="3" t="s">
        <v>78</v>
      </c>
      <c r="F338" s="3" t="s">
        <v>97</v>
      </c>
      <c r="G338" s="3" t="s">
        <v>97</v>
      </c>
      <c r="H338" s="3" t="s">
        <v>323</v>
      </c>
    </row>
    <row r="339" customFormat="false" ht="15" hidden="false" customHeight="false" outlineLevel="0" collapsed="false">
      <c r="A339" s="3" t="s">
        <v>312</v>
      </c>
      <c r="B339" s="3" t="n">
        <v>11</v>
      </c>
      <c r="C339" s="3" t="s">
        <v>143</v>
      </c>
      <c r="D339" s="3" t="n">
        <v>13</v>
      </c>
      <c r="E339" s="3" t="s">
        <v>81</v>
      </c>
      <c r="F339" s="3" t="s">
        <v>97</v>
      </c>
      <c r="G339" s="3" t="s">
        <v>97</v>
      </c>
      <c r="H339" s="3" t="s">
        <v>323</v>
      </c>
    </row>
    <row r="340" customFormat="false" ht="15" hidden="false" customHeight="false" outlineLevel="0" collapsed="false">
      <c r="A340" s="3" t="s">
        <v>312</v>
      </c>
      <c r="B340" s="3" t="n">
        <v>12</v>
      </c>
      <c r="C340" s="3" t="s">
        <v>143</v>
      </c>
      <c r="D340" s="3" t="n">
        <v>20</v>
      </c>
      <c r="E340" s="3" t="s">
        <v>78</v>
      </c>
      <c r="F340" s="3" t="s">
        <v>97</v>
      </c>
      <c r="G340" s="3" t="s">
        <v>97</v>
      </c>
      <c r="H340" s="3" t="s">
        <v>324</v>
      </c>
    </row>
    <row r="341" customFormat="false" ht="15" hidden="false" customHeight="false" outlineLevel="0" collapsed="false">
      <c r="A341" s="3" t="s">
        <v>312</v>
      </c>
      <c r="B341" s="3" t="n">
        <v>12</v>
      </c>
      <c r="C341" s="3" t="s">
        <v>143</v>
      </c>
      <c r="D341" s="3" t="n">
        <v>13</v>
      </c>
      <c r="E341" s="3" t="s">
        <v>81</v>
      </c>
      <c r="F341" s="3" t="s">
        <v>97</v>
      </c>
      <c r="G341" s="3" t="s">
        <v>97</v>
      </c>
      <c r="H341" s="3" t="s">
        <v>324</v>
      </c>
    </row>
    <row r="342" customFormat="false" ht="15" hidden="false" customHeight="false" outlineLevel="0" collapsed="false">
      <c r="A342" s="3" t="s">
        <v>312</v>
      </c>
      <c r="B342" s="3" t="n">
        <v>13</v>
      </c>
      <c r="C342" s="3" t="s">
        <v>143</v>
      </c>
      <c r="D342" s="3" t="n">
        <v>35</v>
      </c>
      <c r="E342" s="3" t="s">
        <v>78</v>
      </c>
      <c r="F342" s="3" t="s">
        <v>97</v>
      </c>
      <c r="G342" s="3" t="s">
        <v>97</v>
      </c>
      <c r="H342" s="3" t="s">
        <v>325</v>
      </c>
    </row>
    <row r="343" customFormat="false" ht="15" hidden="false" customHeight="false" outlineLevel="0" collapsed="false">
      <c r="A343" s="3" t="s">
        <v>312</v>
      </c>
      <c r="B343" s="3" t="n">
        <v>13</v>
      </c>
      <c r="C343" s="3" t="s">
        <v>143</v>
      </c>
      <c r="D343" s="3" t="n">
        <v>31</v>
      </c>
      <c r="E343" s="3" t="s">
        <v>81</v>
      </c>
      <c r="F343" s="3" t="s">
        <v>97</v>
      </c>
      <c r="G343" s="3" t="s">
        <v>97</v>
      </c>
      <c r="H343" s="3" t="s">
        <v>325</v>
      </c>
    </row>
    <row r="344" customFormat="false" ht="15" hidden="false" customHeight="false" outlineLevel="0" collapsed="false">
      <c r="A344" s="3" t="s">
        <v>312</v>
      </c>
      <c r="B344" s="3" t="n">
        <v>14</v>
      </c>
      <c r="C344" s="3" t="s">
        <v>143</v>
      </c>
      <c r="D344" s="3" t="n">
        <v>14</v>
      </c>
      <c r="E344" s="3" t="s">
        <v>78</v>
      </c>
      <c r="F344" s="3" t="s">
        <v>97</v>
      </c>
      <c r="G344" s="3" t="s">
        <v>97</v>
      </c>
      <c r="H344" s="3" t="s">
        <v>326</v>
      </c>
    </row>
    <row r="345" customFormat="false" ht="15" hidden="false" customHeight="false" outlineLevel="0" collapsed="false">
      <c r="A345" s="3" t="s">
        <v>312</v>
      </c>
      <c r="B345" s="3" t="n">
        <v>14</v>
      </c>
      <c r="C345" s="3" t="s">
        <v>143</v>
      </c>
      <c r="D345" s="3" t="n">
        <v>25</v>
      </c>
      <c r="E345" s="3" t="s">
        <v>81</v>
      </c>
      <c r="F345" s="3" t="s">
        <v>97</v>
      </c>
      <c r="G345" s="3" t="s">
        <v>97</v>
      </c>
      <c r="H345" s="3" t="s">
        <v>326</v>
      </c>
    </row>
    <row r="346" customFormat="false" ht="15" hidden="false" customHeight="false" outlineLevel="0" collapsed="false">
      <c r="A346" s="3" t="s">
        <v>312</v>
      </c>
      <c r="B346" s="3" t="n">
        <v>15</v>
      </c>
      <c r="C346" s="3" t="s">
        <v>143</v>
      </c>
      <c r="D346" s="3" t="n">
        <v>31</v>
      </c>
      <c r="E346" s="3" t="s">
        <v>78</v>
      </c>
      <c r="F346" s="3" t="s">
        <v>97</v>
      </c>
      <c r="G346" s="3" t="s">
        <v>97</v>
      </c>
      <c r="H346" s="3" t="s">
        <v>327</v>
      </c>
    </row>
    <row r="347" customFormat="false" ht="15" hidden="false" customHeight="false" outlineLevel="0" collapsed="false">
      <c r="A347" s="3" t="s">
        <v>312</v>
      </c>
      <c r="B347" s="3" t="n">
        <v>16</v>
      </c>
      <c r="C347" s="3" t="s">
        <v>143</v>
      </c>
      <c r="D347" s="3" t="n">
        <v>31</v>
      </c>
      <c r="E347" s="3" t="s">
        <v>78</v>
      </c>
      <c r="F347" s="3" t="s">
        <v>97</v>
      </c>
      <c r="G347" s="3" t="s">
        <v>97</v>
      </c>
      <c r="H347" s="3" t="s">
        <v>328</v>
      </c>
    </row>
    <row r="348" customFormat="false" ht="15" hidden="false" customHeight="false" outlineLevel="0" collapsed="false">
      <c r="A348" s="3" t="s">
        <v>312</v>
      </c>
      <c r="B348" s="3" t="n">
        <v>17</v>
      </c>
      <c r="C348" s="3" t="s">
        <v>143</v>
      </c>
      <c r="D348" s="3" t="n">
        <v>35</v>
      </c>
      <c r="E348" s="3" t="s">
        <v>78</v>
      </c>
      <c r="F348" s="3" t="s">
        <v>97</v>
      </c>
      <c r="G348" s="3" t="s">
        <v>97</v>
      </c>
      <c r="H348" s="3"/>
    </row>
    <row r="349" customFormat="false" ht="15" hidden="false" customHeight="false" outlineLevel="0" collapsed="false">
      <c r="A349" s="3" t="s">
        <v>312</v>
      </c>
      <c r="B349" s="3" t="n">
        <v>17</v>
      </c>
      <c r="C349" s="3" t="s">
        <v>143</v>
      </c>
      <c r="D349" s="3" t="n">
        <v>31</v>
      </c>
      <c r="E349" s="3" t="s">
        <v>81</v>
      </c>
      <c r="F349" s="3" t="s">
        <v>97</v>
      </c>
      <c r="G349" s="3" t="s">
        <v>97</v>
      </c>
      <c r="H349" s="3"/>
    </row>
    <row r="350" customFormat="false" ht="15" hidden="false" customHeight="false" outlineLevel="0" collapsed="false">
      <c r="A350" s="3" t="s">
        <v>312</v>
      </c>
      <c r="B350" s="3" t="n">
        <v>18</v>
      </c>
      <c r="C350" s="3" t="s">
        <v>143</v>
      </c>
      <c r="D350" s="3" t="n">
        <v>13</v>
      </c>
      <c r="E350" s="3" t="s">
        <v>78</v>
      </c>
      <c r="F350" s="3" t="s">
        <v>97</v>
      </c>
      <c r="G350" s="3" t="s">
        <v>97</v>
      </c>
      <c r="H350" s="3" t="s">
        <v>329</v>
      </c>
    </row>
    <row r="351" customFormat="false" ht="15" hidden="false" customHeight="false" outlineLevel="0" collapsed="false">
      <c r="A351" s="3" t="s">
        <v>312</v>
      </c>
      <c r="B351" s="3" t="n">
        <v>19</v>
      </c>
      <c r="C351" s="3" t="s">
        <v>143</v>
      </c>
      <c r="D351" s="3" t="n">
        <v>31</v>
      </c>
      <c r="E351" s="3" t="s">
        <v>78</v>
      </c>
      <c r="F351" s="3" t="s">
        <v>97</v>
      </c>
      <c r="G351" s="3" t="s">
        <v>97</v>
      </c>
      <c r="H351" s="3" t="s">
        <v>330</v>
      </c>
    </row>
    <row r="352" customFormat="false" ht="15" hidden="false" customHeight="false" outlineLevel="0" collapsed="false">
      <c r="A352" s="3" t="s">
        <v>312</v>
      </c>
      <c r="B352" s="3" t="n">
        <v>20</v>
      </c>
      <c r="C352" s="3" t="s">
        <v>143</v>
      </c>
      <c r="D352" s="3" t="n">
        <v>31</v>
      </c>
      <c r="E352" s="3" t="s">
        <v>78</v>
      </c>
      <c r="F352" s="3" t="s">
        <v>97</v>
      </c>
      <c r="G352" s="3" t="s">
        <v>97</v>
      </c>
      <c r="H352" s="3"/>
    </row>
    <row r="353" customFormat="false" ht="15" hidden="false" customHeight="false" outlineLevel="0" collapsed="false">
      <c r="A353" s="3" t="s">
        <v>312</v>
      </c>
      <c r="B353" s="3" t="n">
        <v>21</v>
      </c>
      <c r="C353" s="3" t="s">
        <v>143</v>
      </c>
      <c r="D353" s="3" t="n">
        <v>13</v>
      </c>
      <c r="E353" s="3" t="s">
        <v>78</v>
      </c>
      <c r="F353" s="3" t="s">
        <v>97</v>
      </c>
      <c r="G353" s="3" t="s">
        <v>97</v>
      </c>
      <c r="H353" s="3" t="s">
        <v>331</v>
      </c>
    </row>
    <row r="354" customFormat="false" ht="15" hidden="false" customHeight="false" outlineLevel="0" collapsed="false">
      <c r="A354" s="3" t="s">
        <v>267</v>
      </c>
      <c r="B354" s="3" t="n">
        <v>1</v>
      </c>
      <c r="C354" s="3" t="s">
        <v>143</v>
      </c>
      <c r="D354" s="3" t="n">
        <v>9</v>
      </c>
      <c r="E354" s="3" t="s">
        <v>78</v>
      </c>
      <c r="F354" s="3" t="s">
        <v>97</v>
      </c>
      <c r="G354" s="3" t="s">
        <v>97</v>
      </c>
      <c r="H354" s="3" t="s">
        <v>332</v>
      </c>
    </row>
    <row r="355" customFormat="false" ht="15" hidden="false" customHeight="false" outlineLevel="0" collapsed="false">
      <c r="A355" s="3" t="s">
        <v>267</v>
      </c>
      <c r="B355" s="3" t="n">
        <v>2</v>
      </c>
      <c r="C355" s="3" t="s">
        <v>143</v>
      </c>
      <c r="D355" s="3" t="n">
        <v>13</v>
      </c>
      <c r="E355" s="3" t="s">
        <v>78</v>
      </c>
      <c r="F355" s="3" t="s">
        <v>97</v>
      </c>
      <c r="G355" s="3" t="s">
        <v>97</v>
      </c>
      <c r="H355" s="3" t="s">
        <v>333</v>
      </c>
    </row>
    <row r="356" customFormat="false" ht="15" hidden="false" customHeight="false" outlineLevel="0" collapsed="false">
      <c r="A356" s="3" t="s">
        <v>267</v>
      </c>
      <c r="B356" s="3" t="n">
        <v>3</v>
      </c>
      <c r="C356" s="3" t="s">
        <v>143</v>
      </c>
      <c r="D356" s="3" t="n">
        <v>13</v>
      </c>
      <c r="E356" s="3" t="s">
        <v>78</v>
      </c>
      <c r="F356" s="3" t="s">
        <v>97</v>
      </c>
      <c r="G356" s="3" t="s">
        <v>97</v>
      </c>
      <c r="H356" s="3" t="s">
        <v>334</v>
      </c>
    </row>
    <row r="357" customFormat="false" ht="15" hidden="false" customHeight="false" outlineLevel="0" collapsed="false">
      <c r="A357" s="3" t="s">
        <v>267</v>
      </c>
      <c r="B357" s="3" t="n">
        <v>4</v>
      </c>
      <c r="C357" s="3" t="s">
        <v>143</v>
      </c>
      <c r="D357" s="3" t="n">
        <v>13</v>
      </c>
      <c r="E357" s="3" t="s">
        <v>78</v>
      </c>
      <c r="F357" s="3" t="s">
        <v>97</v>
      </c>
      <c r="G357" s="3" t="s">
        <v>97</v>
      </c>
      <c r="H357" s="3" t="s">
        <v>335</v>
      </c>
    </row>
    <row r="358" customFormat="false" ht="15" hidden="false" customHeight="false" outlineLevel="0" collapsed="false">
      <c r="A358" s="3" t="s">
        <v>267</v>
      </c>
      <c r="B358" s="3" t="n">
        <v>5</v>
      </c>
      <c r="C358" s="3" t="s">
        <v>143</v>
      </c>
      <c r="D358" s="3" t="n">
        <v>20</v>
      </c>
      <c r="E358" s="3" t="s">
        <v>78</v>
      </c>
      <c r="F358" s="3" t="s">
        <v>97</v>
      </c>
      <c r="G358" s="3" t="s">
        <v>97</v>
      </c>
      <c r="H358" s="3" t="e">
        <f aca="false">SIN(x + y) + COS(x + y) dx  xy </f>
        <v>#N/A</v>
      </c>
    </row>
    <row r="359" customFormat="false" ht="15" hidden="false" customHeight="false" outlineLevel="0" collapsed="false">
      <c r="A359" s="3" t="s">
        <v>267</v>
      </c>
      <c r="B359" s="3" t="n">
        <v>5</v>
      </c>
      <c r="C359" s="3" t="s">
        <v>143</v>
      </c>
      <c r="D359" s="3" t="n">
        <v>13</v>
      </c>
      <c r="E359" s="3" t="s">
        <v>81</v>
      </c>
      <c r="F359" s="3" t="s">
        <v>97</v>
      </c>
      <c r="G359" s="3" t="s">
        <v>97</v>
      </c>
      <c r="H359" s="3" t="e">
        <f aca="false">SIN(x + y) + COS(x + y) dx  xy </f>
        <v>#N/A</v>
      </c>
    </row>
    <row r="360" customFormat="false" ht="15" hidden="false" customHeight="false" outlineLevel="0" collapsed="false">
      <c r="A360" s="3" t="s">
        <v>267</v>
      </c>
      <c r="B360" s="3" t="n">
        <v>6</v>
      </c>
      <c r="C360" s="3" t="s">
        <v>143</v>
      </c>
      <c r="D360" s="3" t="n">
        <v>13</v>
      </c>
      <c r="E360" s="3" t="s">
        <v>78</v>
      </c>
      <c r="F360" s="3" t="s">
        <v>97</v>
      </c>
      <c r="G360" s="3" t="s">
        <v>97</v>
      </c>
      <c r="H360" s="3" t="e">
        <f aca="false">dx sin y  y cos y</f>
        <v>#N/A</v>
      </c>
    </row>
    <row r="361" customFormat="false" ht="15" hidden="false" customHeight="false" outlineLevel="0" collapsed="false">
      <c r="A361" s="3" t="s">
        <v>267</v>
      </c>
      <c r="B361" s="3" t="n">
        <v>7</v>
      </c>
      <c r="C361" s="3" t="s">
        <v>143</v>
      </c>
      <c r="D361" s="3" t="n">
        <v>13</v>
      </c>
      <c r="E361" s="3" t="s">
        <v>78</v>
      </c>
      <c r="F361" s="3" t="s">
        <v>97</v>
      </c>
      <c r="G361" s="3" t="s">
        <v>97</v>
      </c>
      <c r="H361" s="3" t="s">
        <v>336</v>
      </c>
    </row>
    <row r="362" customFormat="false" ht="15" hidden="false" customHeight="false" outlineLevel="0" collapsed="false">
      <c r="A362" s="3" t="s">
        <v>267</v>
      </c>
      <c r="B362" s="3" t="n">
        <v>8</v>
      </c>
      <c r="C362" s="3" t="s">
        <v>143</v>
      </c>
      <c r="D362" s="3" t="n">
        <v>16</v>
      </c>
      <c r="E362" s="3" t="s">
        <v>78</v>
      </c>
      <c r="F362" s="3" t="s">
        <v>97</v>
      </c>
      <c r="G362" s="3" t="s">
        <v>97</v>
      </c>
      <c r="H362" s="3" t="s">
        <v>337</v>
      </c>
    </row>
    <row r="363" customFormat="false" ht="15" hidden="false" customHeight="false" outlineLevel="0" collapsed="false">
      <c r="A363" s="3" t="s">
        <v>267</v>
      </c>
      <c r="B363" s="3" t="n">
        <v>8</v>
      </c>
      <c r="C363" s="3" t="s">
        <v>143</v>
      </c>
      <c r="D363" s="3" t="n">
        <v>13</v>
      </c>
      <c r="E363" s="3" t="s">
        <v>81</v>
      </c>
      <c r="F363" s="3" t="s">
        <v>97</v>
      </c>
      <c r="G363" s="3" t="s">
        <v>97</v>
      </c>
      <c r="H363" s="3" t="s">
        <v>337</v>
      </c>
    </row>
    <row r="364" customFormat="false" ht="15" hidden="false" customHeight="false" outlineLevel="0" collapsed="false">
      <c r="A364" s="3" t="s">
        <v>267</v>
      </c>
      <c r="B364" s="3" t="n">
        <v>9</v>
      </c>
      <c r="C364" s="3" t="s">
        <v>143</v>
      </c>
      <c r="D364" s="3" t="n">
        <v>16</v>
      </c>
      <c r="E364" s="3" t="s">
        <v>78</v>
      </c>
      <c r="F364" s="3" t="s">
        <v>97</v>
      </c>
      <c r="G364" s="3" t="s">
        <v>97</v>
      </c>
      <c r="H364" s="3" t="s">
        <v>338</v>
      </c>
    </row>
    <row r="365" customFormat="false" ht="15" hidden="false" customHeight="false" outlineLevel="0" collapsed="false">
      <c r="A365" s="3" t="s">
        <v>267</v>
      </c>
      <c r="B365" s="3" t="n">
        <v>9</v>
      </c>
      <c r="C365" s="3" t="s">
        <v>143</v>
      </c>
      <c r="D365" s="3" t="n">
        <v>13</v>
      </c>
      <c r="E365" s="3" t="s">
        <v>81</v>
      </c>
      <c r="F365" s="3" t="s">
        <v>97</v>
      </c>
      <c r="G365" s="3" t="s">
        <v>97</v>
      </c>
      <c r="H365" s="3" t="s">
        <v>338</v>
      </c>
    </row>
    <row r="366" customFormat="false" ht="15" hidden="false" customHeight="false" outlineLevel="0" collapsed="false">
      <c r="A366" s="3" t="s">
        <v>267</v>
      </c>
      <c r="B366" s="3" t="n">
        <v>10</v>
      </c>
      <c r="C366" s="3" t="s">
        <v>143</v>
      </c>
      <c r="D366" s="3" t="n">
        <v>14</v>
      </c>
      <c r="E366" s="3" t="s">
        <v>78</v>
      </c>
      <c r="F366" s="3" t="s">
        <v>97</v>
      </c>
      <c r="G366" s="3" t="s">
        <v>97</v>
      </c>
      <c r="H366" s="3" t="s">
        <v>339</v>
      </c>
    </row>
    <row r="367" customFormat="false" ht="15" hidden="false" customHeight="false" outlineLevel="0" collapsed="false">
      <c r="A367" s="3" t="s">
        <v>267</v>
      </c>
      <c r="B367" s="3" t="n">
        <v>10</v>
      </c>
      <c r="C367" s="3" t="s">
        <v>143</v>
      </c>
      <c r="D367" s="3" t="n">
        <v>13</v>
      </c>
      <c r="E367" s="3" t="s">
        <v>81</v>
      </c>
      <c r="F367" s="3" t="s">
        <v>97</v>
      </c>
      <c r="G367" s="3" t="s">
        <v>97</v>
      </c>
      <c r="H367" s="3" t="s">
        <v>339</v>
      </c>
    </row>
    <row r="368" customFormat="false" ht="15" hidden="false" customHeight="false" outlineLevel="0" collapsed="false">
      <c r="A368" s="3" t="s">
        <v>267</v>
      </c>
      <c r="B368" s="3" t="n">
        <v>11</v>
      </c>
      <c r="C368" s="3" t="s">
        <v>143</v>
      </c>
      <c r="D368" s="3" t="n">
        <v>22</v>
      </c>
      <c r="E368" s="3" t="s">
        <v>78</v>
      </c>
      <c r="F368" s="3" t="s">
        <v>97</v>
      </c>
      <c r="G368" s="3" t="s">
        <v>97</v>
      </c>
      <c r="H368" s="3" t="e">
        <f aca="false">x dy  y dx x2  y2 c (x  y )</f>
        <v>#N/A</v>
      </c>
    </row>
    <row r="369" customFormat="false" ht="15" hidden="false" customHeight="false" outlineLevel="0" collapsed="false">
      <c r="A369" s="3" t="s">
        <v>267</v>
      </c>
      <c r="B369" s="3" t="n">
        <v>11</v>
      </c>
      <c r="C369" s="3" t="s">
        <v>143</v>
      </c>
      <c r="D369" s="3" t="n">
        <v>23</v>
      </c>
      <c r="E369" s="3" t="s">
        <v>81</v>
      </c>
      <c r="F369" s="3" t="s">
        <v>97</v>
      </c>
      <c r="G369" s="3" t="s">
        <v>97</v>
      </c>
      <c r="H369" s="3" t="e">
        <f aca="false">x dy  y dx x2  y2 c (x  y )</f>
        <v>#N/A</v>
      </c>
    </row>
    <row r="370" customFormat="false" ht="15" hidden="false" customHeight="false" outlineLevel="0" collapsed="false">
      <c r="A370" s="3" t="s">
        <v>267</v>
      </c>
      <c r="B370" s="3" t="n">
        <v>11</v>
      </c>
      <c r="C370" s="3" t="s">
        <v>143</v>
      </c>
      <c r="D370" s="3" t="n">
        <v>13</v>
      </c>
      <c r="E370" s="3" t="s">
        <v>81</v>
      </c>
      <c r="F370" s="3" t="s">
        <v>97</v>
      </c>
      <c r="G370" s="3" t="s">
        <v>97</v>
      </c>
      <c r="H370" s="3" t="e">
        <f aca="false">x dy  y dx x2  y2 c (x  y )</f>
        <v>#N/A</v>
      </c>
    </row>
    <row r="371" customFormat="false" ht="15" hidden="false" customHeight="false" outlineLevel="0" collapsed="false">
      <c r="A371" s="3" t="s">
        <v>267</v>
      </c>
      <c r="B371" s="3" t="n">
        <v>12</v>
      </c>
      <c r="C371" s="3" t="s">
        <v>143</v>
      </c>
      <c r="D371" s="3" t="n">
        <v>14</v>
      </c>
      <c r="E371" s="3" t="s">
        <v>78</v>
      </c>
      <c r="F371" s="3" t="s">
        <v>97</v>
      </c>
      <c r="G371" s="3" t="s">
        <v>97</v>
      </c>
      <c r="H371" s="3" t="s">
        <v>340</v>
      </c>
    </row>
    <row r="372" customFormat="false" ht="15" hidden="false" customHeight="false" outlineLevel="0" collapsed="false">
      <c r="A372" s="3" t="s">
        <v>267</v>
      </c>
      <c r="B372" s="3" t="n">
        <v>12</v>
      </c>
      <c r="C372" s="3" t="s">
        <v>143</v>
      </c>
      <c r="D372" s="3" t="n">
        <v>19</v>
      </c>
      <c r="E372" s="3" t="s">
        <v>81</v>
      </c>
      <c r="F372" s="3" t="s">
        <v>97</v>
      </c>
      <c r="G372" s="3" t="s">
        <v>97</v>
      </c>
      <c r="H372" s="3" t="s">
        <v>340</v>
      </c>
    </row>
    <row r="373" customFormat="false" ht="15" hidden="false" customHeight="false" outlineLevel="0" collapsed="false">
      <c r="A373" s="3" t="s">
        <v>267</v>
      </c>
      <c r="B373" s="3" t="n">
        <v>12</v>
      </c>
      <c r="C373" s="3" t="s">
        <v>143</v>
      </c>
      <c r="D373" s="3" t="n">
        <v>13</v>
      </c>
      <c r="E373" s="3" t="s">
        <v>81</v>
      </c>
      <c r="F373" s="3" t="s">
        <v>97</v>
      </c>
      <c r="G373" s="3" t="s">
        <v>97</v>
      </c>
      <c r="H373" s="3" t="s">
        <v>340</v>
      </c>
    </row>
    <row r="374" customFormat="false" ht="15" hidden="false" customHeight="false" outlineLevel="0" collapsed="false">
      <c r="A374" s="3" t="s">
        <v>267</v>
      </c>
      <c r="B374" s="3" t="n">
        <v>13</v>
      </c>
      <c r="C374" s="3" t="s">
        <v>143</v>
      </c>
      <c r="D374" s="3" t="n">
        <v>14</v>
      </c>
      <c r="E374" s="3" t="s">
        <v>78</v>
      </c>
      <c r="F374" s="3" t="s">
        <v>97</v>
      </c>
      <c r="G374" s="3" t="s">
        <v>97</v>
      </c>
      <c r="H374" s="3" t="s">
        <v>341</v>
      </c>
    </row>
    <row r="375" customFormat="false" ht="15" hidden="false" customHeight="false" outlineLevel="0" collapsed="false">
      <c r="A375" s="3" t="s">
        <v>267</v>
      </c>
      <c r="B375" s="3" t="n">
        <v>13</v>
      </c>
      <c r="C375" s="3" t="s">
        <v>143</v>
      </c>
      <c r="D375" s="3" t="n">
        <v>13</v>
      </c>
      <c r="E375" s="3" t="s">
        <v>81</v>
      </c>
      <c r="F375" s="3" t="s">
        <v>97</v>
      </c>
      <c r="G375" s="3" t="s">
        <v>97</v>
      </c>
      <c r="H375" s="3" t="s">
        <v>341</v>
      </c>
    </row>
    <row r="376" customFormat="false" ht="15" hidden="false" customHeight="false" outlineLevel="0" collapsed="false">
      <c r="A376" s="3" t="s">
        <v>267</v>
      </c>
      <c r="B376" s="3" t="n">
        <v>14</v>
      </c>
      <c r="C376" s="3" t="s">
        <v>143</v>
      </c>
      <c r="D376" s="3" t="n">
        <v>13</v>
      </c>
      <c r="E376" s="3" t="s">
        <v>78</v>
      </c>
      <c r="F376" s="3" t="s">
        <v>97</v>
      </c>
      <c r="G376" s="3" t="s">
        <v>97</v>
      </c>
      <c r="H376" s="3" t="s">
        <v>342</v>
      </c>
    </row>
    <row r="377" customFormat="false" ht="15" hidden="false" customHeight="false" outlineLevel="0" collapsed="false">
      <c r="A377" s="3" t="s">
        <v>267</v>
      </c>
      <c r="B377" s="3" t="n">
        <v>15</v>
      </c>
      <c r="C377" s="3" t="s">
        <v>143</v>
      </c>
      <c r="D377" s="3" t="n">
        <v>15</v>
      </c>
      <c r="E377" s="3" t="s">
        <v>78</v>
      </c>
      <c r="F377" s="3" t="s">
        <v>97</v>
      </c>
      <c r="G377" s="3" t="s">
        <v>97</v>
      </c>
      <c r="H377" s="3" t="s">
        <v>343</v>
      </c>
    </row>
    <row r="378" customFormat="false" ht="15" hidden="false" customHeight="false" outlineLevel="0" collapsed="false">
      <c r="A378" s="3" t="s">
        <v>267</v>
      </c>
      <c r="B378" s="3" t="n">
        <v>15</v>
      </c>
      <c r="C378" s="3" t="s">
        <v>143</v>
      </c>
      <c r="D378" s="3" t="n">
        <v>13</v>
      </c>
      <c r="E378" s="3" t="s">
        <v>81</v>
      </c>
      <c r="F378" s="3" t="s">
        <v>97</v>
      </c>
      <c r="G378" s="3" t="s">
        <v>97</v>
      </c>
      <c r="H378" s="3" t="s">
        <v>343</v>
      </c>
    </row>
    <row r="379" customFormat="false" ht="15" hidden="false" customHeight="false" outlineLevel="0" collapsed="false">
      <c r="A379" s="3" t="s">
        <v>267</v>
      </c>
      <c r="B379" s="3" t="n">
        <v>16</v>
      </c>
      <c r="C379" s="3" t="s">
        <v>143</v>
      </c>
      <c r="D379" s="3" t="n">
        <v>25</v>
      </c>
      <c r="E379" s="3" t="s">
        <v>78</v>
      </c>
      <c r="F379" s="3" t="s">
        <v>97</v>
      </c>
      <c r="G379" s="3" t="s">
        <v>97</v>
      </c>
      <c r="H379" s="3" t="e">
        <f aca="false">2 dx x  y2  1 x  2y </f>
        <v>#N/A</v>
      </c>
    </row>
    <row r="380" customFormat="false" ht="15" hidden="false" customHeight="false" outlineLevel="0" collapsed="false">
      <c r="A380" s="3" t="s">
        <v>267</v>
      </c>
      <c r="B380" s="3" t="n">
        <v>17</v>
      </c>
      <c r="C380" s="3" t="s">
        <v>143</v>
      </c>
      <c r="D380" s="3" t="n">
        <v>14</v>
      </c>
      <c r="E380" s="3" t="s">
        <v>78</v>
      </c>
      <c r="F380" s="3" t="s">
        <v>97</v>
      </c>
      <c r="G380" s="3" t="s">
        <v>97</v>
      </c>
      <c r="H380" s="3" t="s">
        <v>344</v>
      </c>
    </row>
    <row r="381" customFormat="false" ht="15" hidden="false" customHeight="false" outlineLevel="0" collapsed="false">
      <c r="A381" s="3" t="s">
        <v>267</v>
      </c>
      <c r="B381" s="3" t="n">
        <v>17</v>
      </c>
      <c r="C381" s="3" t="s">
        <v>143</v>
      </c>
      <c r="D381" s="3" t="n">
        <v>25</v>
      </c>
      <c r="E381" s="3" t="s">
        <v>81</v>
      </c>
      <c r="F381" s="3" t="s">
        <v>97</v>
      </c>
      <c r="G381" s="3" t="s">
        <v>97</v>
      </c>
      <c r="H381" s="3" t="s">
        <v>344</v>
      </c>
    </row>
    <row r="382" customFormat="false" ht="15" hidden="false" customHeight="false" outlineLevel="0" collapsed="false">
      <c r="A382" s="3" t="s">
        <v>267</v>
      </c>
      <c r="B382" s="3" t="n">
        <v>18</v>
      </c>
      <c r="C382" s="3" t="s">
        <v>143</v>
      </c>
      <c r="D382" s="3" t="n">
        <v>14</v>
      </c>
      <c r="E382" s="3" t="s">
        <v>78</v>
      </c>
      <c r="F382" s="3" t="s">
        <v>97</v>
      </c>
      <c r="G382" s="3" t="s">
        <v>97</v>
      </c>
      <c r="H382" s="3" t="s">
        <v>345</v>
      </c>
    </row>
    <row r="383" customFormat="false" ht="15" hidden="false" customHeight="false" outlineLevel="0" collapsed="false">
      <c r="A383" s="3" t="s">
        <v>267</v>
      </c>
      <c r="B383" s="3" t="n">
        <v>18</v>
      </c>
      <c r="C383" s="3" t="s">
        <v>143</v>
      </c>
      <c r="D383" s="3" t="n">
        <v>25</v>
      </c>
      <c r="E383" s="3" t="s">
        <v>81</v>
      </c>
      <c r="F383" s="3" t="s">
        <v>97</v>
      </c>
      <c r="G383" s="3" t="s">
        <v>97</v>
      </c>
      <c r="H383" s="3" t="s">
        <v>345</v>
      </c>
    </row>
    <row r="384" customFormat="false" ht="15" hidden="false" customHeight="false" outlineLevel="0" collapsed="false">
      <c r="A384" s="3" t="s">
        <v>267</v>
      </c>
      <c r="B384" s="3" t="n">
        <v>19</v>
      </c>
      <c r="C384" s="3" t="s">
        <v>143</v>
      </c>
      <c r="D384" s="3" t="n">
        <v>14</v>
      </c>
      <c r="E384" s="3" t="s">
        <v>78</v>
      </c>
      <c r="F384" s="3" t="s">
        <v>97</v>
      </c>
      <c r="G384" s="3" t="s">
        <v>97</v>
      </c>
      <c r="H384" s="3" t="s">
        <v>346</v>
      </c>
    </row>
    <row r="385" customFormat="false" ht="15" hidden="false" customHeight="false" outlineLevel="0" collapsed="false">
      <c r="A385" s="3" t="s">
        <v>267</v>
      </c>
      <c r="B385" s="3" t="n">
        <v>19</v>
      </c>
      <c r="C385" s="3" t="s">
        <v>143</v>
      </c>
      <c r="D385" s="3" t="n">
        <v>25</v>
      </c>
      <c r="E385" s="3" t="s">
        <v>81</v>
      </c>
      <c r="F385" s="3" t="s">
        <v>97</v>
      </c>
      <c r="G385" s="3" t="s">
        <v>97</v>
      </c>
      <c r="H385" s="3" t="s">
        <v>346</v>
      </c>
    </row>
    <row r="386" customFormat="false" ht="15" hidden="false" customHeight="false" outlineLevel="0" collapsed="false">
      <c r="A386" s="3" t="s">
        <v>267</v>
      </c>
      <c r="B386" s="3" t="n">
        <v>20</v>
      </c>
      <c r="C386" s="3" t="s">
        <v>143</v>
      </c>
      <c r="D386" s="3" t="n">
        <v>14</v>
      </c>
      <c r="E386" s="3" t="s">
        <v>78</v>
      </c>
      <c r="F386" s="3" t="s">
        <v>97</v>
      </c>
      <c r="G386" s="3" t="s">
        <v>97</v>
      </c>
      <c r="H386" s="3" t="s">
        <v>347</v>
      </c>
    </row>
    <row r="387" customFormat="false" ht="15" hidden="false" customHeight="false" outlineLevel="0" collapsed="false">
      <c r="A387" s="3" t="s">
        <v>267</v>
      </c>
      <c r="B387" s="3" t="n">
        <v>20</v>
      </c>
      <c r="C387" s="3" t="s">
        <v>143</v>
      </c>
      <c r="D387" s="3" t="n">
        <v>25</v>
      </c>
      <c r="E387" s="3" t="s">
        <v>81</v>
      </c>
      <c r="F387" s="3" t="s">
        <v>97</v>
      </c>
      <c r="G387" s="3" t="s">
        <v>97</v>
      </c>
      <c r="H387" s="3" t="s">
        <v>347</v>
      </c>
    </row>
    <row r="388" customFormat="false" ht="15" hidden="false" customHeight="false" outlineLevel="0" collapsed="false">
      <c r="A388" s="3" t="s">
        <v>267</v>
      </c>
      <c r="B388" s="3" t="n">
        <v>21</v>
      </c>
      <c r="C388" s="3" t="s">
        <v>143</v>
      </c>
      <c r="D388" s="3" t="n">
        <v>25</v>
      </c>
      <c r="E388" s="3" t="s">
        <v>78</v>
      </c>
      <c r="F388" s="3" t="s">
        <v>97</v>
      </c>
      <c r="G388" s="3" t="s">
        <v>97</v>
      </c>
      <c r="H388" s="3" t="s">
        <v>348</v>
      </c>
    </row>
    <row r="389" customFormat="false" ht="15" hidden="false" customHeight="false" outlineLevel="0" collapsed="false">
      <c r="A389" s="3" t="s">
        <v>267</v>
      </c>
      <c r="B389" s="3" t="n">
        <v>22</v>
      </c>
      <c r="C389" s="3" t="s">
        <v>143</v>
      </c>
      <c r="D389" s="3" t="n">
        <v>14</v>
      </c>
      <c r="E389" s="3" t="s">
        <v>78</v>
      </c>
      <c r="F389" s="3" t="s">
        <v>97</v>
      </c>
      <c r="G389" s="3" t="s">
        <v>97</v>
      </c>
      <c r="H389" s="3" t="s">
        <v>349</v>
      </c>
    </row>
    <row r="390" customFormat="false" ht="15" hidden="false" customHeight="false" outlineLevel="0" collapsed="false">
      <c r="A390" s="3" t="s">
        <v>267</v>
      </c>
      <c r="B390" s="3" t="n">
        <v>22</v>
      </c>
      <c r="C390" s="3" t="s">
        <v>143</v>
      </c>
      <c r="D390" s="3" t="n">
        <v>25</v>
      </c>
      <c r="E390" s="3" t="s">
        <v>81</v>
      </c>
      <c r="F390" s="3" t="s">
        <v>97</v>
      </c>
      <c r="G390" s="3" t="s">
        <v>97</v>
      </c>
      <c r="H390" s="3" t="s">
        <v>349</v>
      </c>
    </row>
    <row r="391" customFormat="false" ht="15" hidden="false" customHeight="false" outlineLevel="0" collapsed="false">
      <c r="A391" s="3" t="s">
        <v>267</v>
      </c>
      <c r="B391" s="3" t="n">
        <v>23</v>
      </c>
      <c r="C391" s="3" t="s">
        <v>143</v>
      </c>
      <c r="D391" s="3" t="n">
        <v>26</v>
      </c>
      <c r="E391" s="3" t="s">
        <v>78</v>
      </c>
      <c r="F391" s="3" t="s">
        <v>97</v>
      </c>
      <c r="G391" s="3" t="s">
        <v>97</v>
      </c>
      <c r="H391" s="3" t="s">
        <v>350</v>
      </c>
    </row>
    <row r="392" customFormat="false" ht="15" hidden="false" customHeight="false" outlineLevel="0" collapsed="false">
      <c r="A392" s="3" t="s">
        <v>267</v>
      </c>
      <c r="B392" s="3" t="n">
        <v>24</v>
      </c>
      <c r="C392" s="3" t="s">
        <v>143</v>
      </c>
      <c r="D392" s="3" t="n">
        <v>20</v>
      </c>
      <c r="E392" s="3" t="s">
        <v>78</v>
      </c>
      <c r="F392" s="3" t="s">
        <v>97</v>
      </c>
      <c r="G392" s="3" t="s">
        <v>97</v>
      </c>
      <c r="H392" s="3" t="e">
        <f aca="false">dx 2 x  2y  3 4</f>
        <v>#N/A</v>
      </c>
    </row>
    <row r="393" customFormat="false" ht="15" hidden="false" customHeight="false" outlineLevel="0" collapsed="false">
      <c r="A393" s="3" t="s">
        <v>267</v>
      </c>
      <c r="B393" s="3" t="n">
        <v>25</v>
      </c>
      <c r="C393" s="3" t="s">
        <v>143</v>
      </c>
      <c r="D393" s="3" t="n">
        <v>14</v>
      </c>
      <c r="E393" s="3" t="s">
        <v>78</v>
      </c>
      <c r="F393" s="3" t="s">
        <v>97</v>
      </c>
      <c r="G393" s="3" t="s">
        <v>97</v>
      </c>
      <c r="H393" s="3" t="s">
        <v>351</v>
      </c>
    </row>
    <row r="394" customFormat="false" ht="15" hidden="false" customHeight="false" outlineLevel="0" collapsed="false">
      <c r="A394" s="3" t="s">
        <v>267</v>
      </c>
      <c r="B394" s="3" t="n">
        <v>25</v>
      </c>
      <c r="C394" s="3" t="s">
        <v>143</v>
      </c>
      <c r="D394" s="3" t="n">
        <v>25</v>
      </c>
      <c r="E394" s="3" t="s">
        <v>81</v>
      </c>
      <c r="F394" s="3" t="s">
        <v>97</v>
      </c>
      <c r="G394" s="3" t="s">
        <v>97</v>
      </c>
      <c r="H394" s="3" t="s">
        <v>351</v>
      </c>
    </row>
    <row r="395" customFormat="false" ht="15" hidden="false" customHeight="false" outlineLevel="0" collapsed="false">
      <c r="A395" s="3" t="s">
        <v>267</v>
      </c>
      <c r="B395" s="3" t="n">
        <v>26</v>
      </c>
      <c r="C395" s="3" t="s">
        <v>143</v>
      </c>
      <c r="D395" s="3" t="n">
        <v>31</v>
      </c>
      <c r="E395" s="3" t="s">
        <v>78</v>
      </c>
      <c r="F395" s="3" t="s">
        <v>97</v>
      </c>
      <c r="G395" s="3" t="s">
        <v>97</v>
      </c>
      <c r="H395" s="3" t="s">
        <v>352</v>
      </c>
    </row>
    <row r="396" customFormat="false" ht="15" hidden="false" customHeight="false" outlineLevel="0" collapsed="false">
      <c r="A396" s="3" t="s">
        <v>267</v>
      </c>
      <c r="B396" s="3" t="n">
        <v>27</v>
      </c>
      <c r="C396" s="3" t="s">
        <v>143</v>
      </c>
      <c r="D396" s="3" t="n">
        <v>31</v>
      </c>
      <c r="E396" s="3" t="s">
        <v>78</v>
      </c>
      <c r="F396" s="3" t="s">
        <v>97</v>
      </c>
      <c r="G396" s="3" t="s">
        <v>97</v>
      </c>
      <c r="H396" s="3" t="s">
        <v>353</v>
      </c>
    </row>
    <row r="397" customFormat="false" ht="15" hidden="false" customHeight="false" outlineLevel="0" collapsed="false">
      <c r="A397" s="3" t="s">
        <v>267</v>
      </c>
      <c r="B397" s="3" t="n">
        <v>28</v>
      </c>
      <c r="C397" s="3" t="s">
        <v>143</v>
      </c>
      <c r="D397" s="3" t="n">
        <v>31</v>
      </c>
      <c r="E397" s="3" t="s">
        <v>78</v>
      </c>
      <c r="F397" s="3" t="s">
        <v>97</v>
      </c>
      <c r="G397" s="3" t="s">
        <v>97</v>
      </c>
      <c r="H397" s="3" t="s">
        <v>354</v>
      </c>
    </row>
    <row r="398" customFormat="false" ht="15" hidden="false" customHeight="false" outlineLevel="0" collapsed="false">
      <c r="A398" s="3" t="s">
        <v>267</v>
      </c>
      <c r="B398" s="3" t="n">
        <v>29</v>
      </c>
      <c r="C398" s="3" t="s">
        <v>143</v>
      </c>
      <c r="D398" s="3" t="n">
        <v>14</v>
      </c>
      <c r="E398" s="3" t="s">
        <v>78</v>
      </c>
      <c r="F398" s="3" t="s">
        <v>97</v>
      </c>
      <c r="G398" s="3" t="s">
        <v>97</v>
      </c>
      <c r="H398" s="3" t="s">
        <v>355</v>
      </c>
    </row>
    <row r="399" customFormat="false" ht="15" hidden="false" customHeight="false" outlineLevel="0" collapsed="false">
      <c r="A399" s="3" t="s">
        <v>267</v>
      </c>
      <c r="B399" s="3" t="n">
        <v>29</v>
      </c>
      <c r="C399" s="3" t="s">
        <v>143</v>
      </c>
      <c r="D399" s="3" t="n">
        <v>31</v>
      </c>
      <c r="E399" s="3" t="s">
        <v>81</v>
      </c>
      <c r="F399" s="3" t="s">
        <v>97</v>
      </c>
      <c r="G399" s="3" t="s">
        <v>97</v>
      </c>
      <c r="H399" s="3" t="s">
        <v>355</v>
      </c>
    </row>
    <row r="400" customFormat="false" ht="15" hidden="false" customHeight="false" outlineLevel="0" collapsed="false">
      <c r="A400" s="3" t="s">
        <v>267</v>
      </c>
      <c r="B400" s="3" t="n">
        <v>30</v>
      </c>
      <c r="C400" s="3" t="s">
        <v>143</v>
      </c>
      <c r="D400" s="3" t="n">
        <v>14</v>
      </c>
      <c r="E400" s="3" t="s">
        <v>78</v>
      </c>
      <c r="F400" s="3" t="s">
        <v>97</v>
      </c>
      <c r="G400" s="3" t="s">
        <v>97</v>
      </c>
      <c r="H400" s="3" t="s">
        <v>356</v>
      </c>
    </row>
    <row r="401" customFormat="false" ht="15" hidden="false" customHeight="false" outlineLevel="0" collapsed="false">
      <c r="A401" s="3" t="s">
        <v>267</v>
      </c>
      <c r="B401" s="3" t="n">
        <v>30</v>
      </c>
      <c r="C401" s="3" t="s">
        <v>143</v>
      </c>
      <c r="D401" s="3" t="n">
        <v>31</v>
      </c>
      <c r="E401" s="3" t="s">
        <v>81</v>
      </c>
      <c r="F401" s="3" t="s">
        <v>97</v>
      </c>
      <c r="G401" s="3" t="s">
        <v>97</v>
      </c>
      <c r="H401" s="3" t="s">
        <v>356</v>
      </c>
    </row>
    <row r="402" customFormat="false" ht="15" hidden="false" customHeight="false" outlineLevel="0" collapsed="false">
      <c r="A402" s="3" t="s">
        <v>267</v>
      </c>
      <c r="B402" s="3" t="n">
        <v>30</v>
      </c>
      <c r="C402" s="3" t="s">
        <v>143</v>
      </c>
      <c r="D402" s="3" t="n">
        <v>30</v>
      </c>
      <c r="E402" s="3" t="s">
        <v>81</v>
      </c>
      <c r="F402" s="3" t="s">
        <v>97</v>
      </c>
      <c r="G402" s="3" t="s">
        <v>97</v>
      </c>
      <c r="H402" s="3" t="s">
        <v>356</v>
      </c>
    </row>
    <row r="403" customFormat="false" ht="15" hidden="false" customHeight="false" outlineLevel="0" collapsed="false">
      <c r="A403" s="3" t="s">
        <v>357</v>
      </c>
      <c r="B403" s="3" t="n">
        <v>1</v>
      </c>
      <c r="C403" s="3" t="s">
        <v>143</v>
      </c>
      <c r="D403" s="3" t="n">
        <v>31</v>
      </c>
      <c r="E403" s="3" t="s">
        <v>78</v>
      </c>
      <c r="F403" s="3" t="s">
        <v>97</v>
      </c>
      <c r="G403" s="3" t="s">
        <v>79</v>
      </c>
      <c r="H403" s="3" t="s">
        <v>358</v>
      </c>
    </row>
    <row r="404" customFormat="false" ht="15" hidden="false" customHeight="false" outlineLevel="0" collapsed="false">
      <c r="A404" s="3" t="s">
        <v>357</v>
      </c>
      <c r="B404" s="3" t="n">
        <v>2</v>
      </c>
      <c r="C404" s="3" t="s">
        <v>143</v>
      </c>
      <c r="D404" s="3" t="n">
        <v>25</v>
      </c>
      <c r="E404" s="3" t="s">
        <v>78</v>
      </c>
      <c r="F404" s="3" t="s">
        <v>97</v>
      </c>
      <c r="G404" s="3" t="s">
        <v>79</v>
      </c>
      <c r="H404" s="3" t="s">
        <v>359</v>
      </c>
    </row>
    <row r="405" customFormat="false" ht="15" hidden="false" customHeight="false" outlineLevel="0" collapsed="false">
      <c r="A405" s="3" t="s">
        <v>357</v>
      </c>
      <c r="B405" s="3" t="n">
        <v>2</v>
      </c>
      <c r="C405" s="3" t="s">
        <v>143</v>
      </c>
      <c r="D405" s="3" t="n">
        <v>34</v>
      </c>
      <c r="E405" s="3" t="s">
        <v>81</v>
      </c>
      <c r="F405" s="3" t="s">
        <v>97</v>
      </c>
      <c r="G405" s="3" t="s">
        <v>79</v>
      </c>
      <c r="H405" s="3" t="s">
        <v>359</v>
      </c>
    </row>
    <row r="406" customFormat="false" ht="15" hidden="false" customHeight="false" outlineLevel="0" collapsed="false">
      <c r="A406" s="3" t="s">
        <v>357</v>
      </c>
      <c r="B406" s="3" t="n">
        <v>3</v>
      </c>
      <c r="C406" s="3" t="s">
        <v>143</v>
      </c>
      <c r="D406" s="3" t="n">
        <v>34</v>
      </c>
      <c r="E406" s="3" t="s">
        <v>78</v>
      </c>
      <c r="F406" s="3" t="s">
        <v>97</v>
      </c>
      <c r="G406" s="3" t="s">
        <v>79</v>
      </c>
      <c r="H406" s="3" t="s">
        <v>360</v>
      </c>
    </row>
    <row r="407" customFormat="false" ht="15" hidden="false" customHeight="false" outlineLevel="0" collapsed="false">
      <c r="A407" s="3" t="s">
        <v>357</v>
      </c>
      <c r="B407" s="3" t="n">
        <v>3</v>
      </c>
      <c r="C407" s="3" t="s">
        <v>143</v>
      </c>
      <c r="D407" s="3" t="n">
        <v>31</v>
      </c>
      <c r="E407" s="3" t="s">
        <v>81</v>
      </c>
      <c r="F407" s="3" t="s">
        <v>97</v>
      </c>
      <c r="G407" s="3" t="s">
        <v>79</v>
      </c>
      <c r="H407" s="3" t="s">
        <v>360</v>
      </c>
    </row>
    <row r="408" customFormat="false" ht="15" hidden="false" customHeight="false" outlineLevel="0" collapsed="false">
      <c r="A408" s="3" t="s">
        <v>357</v>
      </c>
      <c r="B408" s="3" t="n">
        <v>4</v>
      </c>
      <c r="C408" s="3" t="s">
        <v>143</v>
      </c>
      <c r="D408" s="3" t="n">
        <v>31</v>
      </c>
      <c r="E408" s="3" t="s">
        <v>78</v>
      </c>
      <c r="F408" s="3" t="s">
        <v>97</v>
      </c>
      <c r="G408" s="3" t="s">
        <v>79</v>
      </c>
      <c r="H408" s="3" t="s">
        <v>361</v>
      </c>
    </row>
    <row r="409" customFormat="false" ht="15" hidden="false" customHeight="false" outlineLevel="0" collapsed="false">
      <c r="A409" s="3" t="s">
        <v>357</v>
      </c>
      <c r="B409" s="3" t="n">
        <v>4</v>
      </c>
      <c r="C409" s="3" t="s">
        <v>143</v>
      </c>
      <c r="D409" s="3" t="n">
        <v>4</v>
      </c>
      <c r="E409" s="3" t="s">
        <v>81</v>
      </c>
      <c r="F409" s="3" t="s">
        <v>97</v>
      </c>
      <c r="G409" s="3" t="s">
        <v>79</v>
      </c>
      <c r="H409" s="3" t="s">
        <v>361</v>
      </c>
    </row>
    <row r="410" customFormat="false" ht="15" hidden="false" customHeight="false" outlineLevel="0" collapsed="false">
      <c r="A410" s="3" t="s">
        <v>357</v>
      </c>
      <c r="B410" s="3" t="n">
        <v>5</v>
      </c>
      <c r="C410" s="3" t="s">
        <v>143</v>
      </c>
      <c r="D410" s="3" t="n">
        <v>13</v>
      </c>
      <c r="E410" s="3" t="s">
        <v>78</v>
      </c>
      <c r="F410" s="3" t="s">
        <v>97</v>
      </c>
      <c r="G410" s="3" t="s">
        <v>79</v>
      </c>
      <c r="H410" s="3" t="s">
        <v>362</v>
      </c>
    </row>
    <row r="411" customFormat="false" ht="15" hidden="false" customHeight="false" outlineLevel="0" collapsed="false">
      <c r="A411" s="3" t="s">
        <v>357</v>
      </c>
      <c r="B411" s="3" t="n">
        <v>6</v>
      </c>
      <c r="C411" s="3" t="s">
        <v>143</v>
      </c>
      <c r="D411" s="3" t="n">
        <v>31</v>
      </c>
      <c r="E411" s="3" t="s">
        <v>78</v>
      </c>
      <c r="F411" s="3" t="s">
        <v>97</v>
      </c>
      <c r="G411" s="3" t="s">
        <v>79</v>
      </c>
      <c r="H411" s="3" t="s">
        <v>363</v>
      </c>
    </row>
    <row r="412" customFormat="false" ht="15" hidden="false" customHeight="false" outlineLevel="0" collapsed="false">
      <c r="A412" s="3" t="s">
        <v>357</v>
      </c>
      <c r="B412" s="3" t="n">
        <v>6</v>
      </c>
      <c r="C412" s="3" t="s">
        <v>143</v>
      </c>
      <c r="D412" s="3" t="n">
        <v>30</v>
      </c>
      <c r="E412" s="3" t="s">
        <v>81</v>
      </c>
      <c r="F412" s="3" t="s">
        <v>97</v>
      </c>
      <c r="G412" s="3" t="s">
        <v>79</v>
      </c>
      <c r="H412" s="3" t="s">
        <v>363</v>
      </c>
    </row>
    <row r="413" customFormat="false" ht="15" hidden="false" customHeight="false" outlineLevel="0" collapsed="false">
      <c r="A413" s="3" t="s">
        <v>357</v>
      </c>
      <c r="B413" s="3" t="n">
        <v>7</v>
      </c>
      <c r="C413" s="3" t="s">
        <v>143</v>
      </c>
      <c r="D413" s="3" t="n">
        <v>31</v>
      </c>
      <c r="E413" s="3" t="s">
        <v>78</v>
      </c>
      <c r="F413" s="3" t="s">
        <v>97</v>
      </c>
      <c r="G413" s="3" t="s">
        <v>79</v>
      </c>
      <c r="H413" s="3" t="s">
        <v>364</v>
      </c>
    </row>
    <row r="414" customFormat="false" ht="15" hidden="false" customHeight="false" outlineLevel="0" collapsed="false">
      <c r="A414" s="3" t="s">
        <v>357</v>
      </c>
      <c r="B414" s="3" t="n">
        <v>8</v>
      </c>
      <c r="C414" s="3" t="s">
        <v>143</v>
      </c>
      <c r="D414" s="3" t="n">
        <v>25</v>
      </c>
      <c r="E414" s="3" t="s">
        <v>78</v>
      </c>
      <c r="F414" s="3" t="s">
        <v>97</v>
      </c>
      <c r="G414" s="3" t="s">
        <v>79</v>
      </c>
      <c r="H414" s="3" t="s">
        <v>365</v>
      </c>
    </row>
    <row r="415" customFormat="false" ht="15" hidden="false" customHeight="false" outlineLevel="0" collapsed="false">
      <c r="A415" s="3" t="s">
        <v>357</v>
      </c>
      <c r="B415" s="3" t="n">
        <v>9</v>
      </c>
      <c r="C415" s="3" t="s">
        <v>143</v>
      </c>
      <c r="D415" s="3" t="n">
        <v>15</v>
      </c>
      <c r="E415" s="3" t="s">
        <v>78</v>
      </c>
      <c r="F415" s="3" t="s">
        <v>97</v>
      </c>
      <c r="G415" s="3" t="s">
        <v>79</v>
      </c>
      <c r="H415" s="3" t="s">
        <v>366</v>
      </c>
    </row>
    <row r="416" customFormat="false" ht="15" hidden="false" customHeight="false" outlineLevel="0" collapsed="false">
      <c r="A416" s="3" t="s">
        <v>357</v>
      </c>
      <c r="B416" s="3" t="n">
        <v>9</v>
      </c>
      <c r="C416" s="3" t="s">
        <v>143</v>
      </c>
      <c r="D416" s="3" t="n">
        <v>31</v>
      </c>
      <c r="E416" s="3" t="s">
        <v>81</v>
      </c>
      <c r="F416" s="3" t="s">
        <v>97</v>
      </c>
      <c r="G416" s="3" t="s">
        <v>79</v>
      </c>
      <c r="H416" s="3" t="s">
        <v>366</v>
      </c>
    </row>
    <row r="417" customFormat="false" ht="15" hidden="false" customHeight="false" outlineLevel="0" collapsed="false">
      <c r="A417" s="3" t="s">
        <v>357</v>
      </c>
      <c r="B417" s="3" t="n">
        <v>10</v>
      </c>
      <c r="C417" s="3" t="s">
        <v>143</v>
      </c>
      <c r="D417" s="3" t="n">
        <v>25</v>
      </c>
      <c r="E417" s="3" t="s">
        <v>78</v>
      </c>
      <c r="F417" s="3" t="s">
        <v>97</v>
      </c>
      <c r="G417" s="3" t="s">
        <v>79</v>
      </c>
      <c r="H417" s="3" t="s">
        <v>367</v>
      </c>
    </row>
    <row r="418" customFormat="false" ht="15" hidden="false" customHeight="false" outlineLevel="0" collapsed="false">
      <c r="A418" s="3" t="s">
        <v>357</v>
      </c>
      <c r="B418" s="3" t="n">
        <v>11</v>
      </c>
      <c r="C418" s="3" t="s">
        <v>143</v>
      </c>
      <c r="D418" s="3" t="n">
        <v>31</v>
      </c>
      <c r="E418" s="3" t="s">
        <v>78</v>
      </c>
      <c r="F418" s="3" t="s">
        <v>97</v>
      </c>
      <c r="G418" s="3" t="s">
        <v>79</v>
      </c>
      <c r="H418" s="3" t="s">
        <v>368</v>
      </c>
    </row>
    <row r="419" customFormat="false" ht="15" hidden="false" customHeight="false" outlineLevel="0" collapsed="false">
      <c r="A419" s="3" t="s">
        <v>357</v>
      </c>
      <c r="B419" s="3" t="n">
        <v>12</v>
      </c>
      <c r="C419" s="3" t="s">
        <v>143</v>
      </c>
      <c r="D419" s="3" t="n">
        <v>35</v>
      </c>
      <c r="E419" s="3" t="s">
        <v>78</v>
      </c>
      <c r="F419" s="3" t="s">
        <v>97</v>
      </c>
      <c r="G419" s="3" t="s">
        <v>79</v>
      </c>
      <c r="H419" s="3" t="s">
        <v>369</v>
      </c>
    </row>
    <row r="420" customFormat="false" ht="15" hidden="false" customHeight="false" outlineLevel="0" collapsed="false">
      <c r="A420" s="3" t="s">
        <v>357</v>
      </c>
      <c r="B420" s="3" t="n">
        <v>12</v>
      </c>
      <c r="C420" s="3" t="s">
        <v>143</v>
      </c>
      <c r="D420" s="3" t="n">
        <v>31</v>
      </c>
      <c r="E420" s="3" t="s">
        <v>81</v>
      </c>
      <c r="F420" s="3" t="s">
        <v>97</v>
      </c>
      <c r="G420" s="3" t="s">
        <v>79</v>
      </c>
      <c r="H420" s="3" t="s">
        <v>369</v>
      </c>
    </row>
    <row r="421" customFormat="false" ht="15" hidden="false" customHeight="false" outlineLevel="0" collapsed="false">
      <c r="A421" s="3" t="s">
        <v>357</v>
      </c>
      <c r="B421" s="3" t="n">
        <v>13</v>
      </c>
      <c r="C421" s="3" t="s">
        <v>143</v>
      </c>
      <c r="D421" s="3" t="n">
        <v>31</v>
      </c>
      <c r="E421" s="3" t="s">
        <v>78</v>
      </c>
      <c r="F421" s="3" t="s">
        <v>97</v>
      </c>
      <c r="G421" s="3" t="s">
        <v>79</v>
      </c>
      <c r="H421" s="3" t="s">
        <v>370</v>
      </c>
    </row>
    <row r="422" customFormat="false" ht="15" hidden="false" customHeight="false" outlineLevel="0" collapsed="false">
      <c r="A422" s="3" t="s">
        <v>357</v>
      </c>
      <c r="B422" s="3" t="n">
        <v>14</v>
      </c>
      <c r="C422" s="3" t="s">
        <v>143</v>
      </c>
      <c r="D422" s="3" t="n">
        <v>35</v>
      </c>
      <c r="E422" s="3" t="s">
        <v>78</v>
      </c>
      <c r="F422" s="3" t="s">
        <v>97</v>
      </c>
      <c r="G422" s="3" t="s">
        <v>79</v>
      </c>
      <c r="H422" s="3" t="s">
        <v>371</v>
      </c>
    </row>
    <row r="423" customFormat="false" ht="15" hidden="false" customHeight="false" outlineLevel="0" collapsed="false">
      <c r="A423" s="3" t="s">
        <v>357</v>
      </c>
      <c r="B423" s="3" t="n">
        <v>14</v>
      </c>
      <c r="C423" s="3" t="s">
        <v>143</v>
      </c>
      <c r="D423" s="3" t="n">
        <v>31</v>
      </c>
      <c r="E423" s="3" t="s">
        <v>81</v>
      </c>
      <c r="F423" s="3" t="s">
        <v>97</v>
      </c>
      <c r="G423" s="3" t="s">
        <v>79</v>
      </c>
      <c r="H423" s="3" t="s">
        <v>371</v>
      </c>
    </row>
    <row r="424" customFormat="false" ht="15" hidden="false" customHeight="false" outlineLevel="0" collapsed="false">
      <c r="A424" s="3" t="s">
        <v>357</v>
      </c>
      <c r="B424" s="3" t="n">
        <v>15</v>
      </c>
      <c r="C424" s="3" t="s">
        <v>143</v>
      </c>
      <c r="D424" s="3" t="n">
        <v>25</v>
      </c>
      <c r="E424" s="3" t="s">
        <v>78</v>
      </c>
      <c r="F424" s="3" t="s">
        <v>97</v>
      </c>
      <c r="G424" s="3" t="s">
        <v>79</v>
      </c>
      <c r="H424" s="3" t="s">
        <v>372</v>
      </c>
    </row>
    <row r="425" customFormat="false" ht="15" hidden="false" customHeight="false" outlineLevel="0" collapsed="false">
      <c r="A425" s="3" t="s">
        <v>357</v>
      </c>
      <c r="B425" s="3" t="n">
        <v>16</v>
      </c>
      <c r="C425" s="3" t="s">
        <v>143</v>
      </c>
      <c r="D425" s="3" t="n">
        <v>39</v>
      </c>
      <c r="E425" s="3" t="s">
        <v>78</v>
      </c>
      <c r="F425" s="3" t="s">
        <v>97</v>
      </c>
      <c r="G425" s="3" t="s">
        <v>79</v>
      </c>
      <c r="H425" s="3" t="s">
        <v>373</v>
      </c>
    </row>
    <row r="426" customFormat="false" ht="15" hidden="false" customHeight="false" outlineLevel="0" collapsed="false">
      <c r="A426" s="3" t="s">
        <v>357</v>
      </c>
      <c r="B426" s="3" t="n">
        <v>17</v>
      </c>
      <c r="C426" s="3" t="s">
        <v>143</v>
      </c>
      <c r="D426" s="3" t="n">
        <v>31</v>
      </c>
      <c r="E426" s="3" t="s">
        <v>78</v>
      </c>
      <c r="F426" s="3" t="s">
        <v>97</v>
      </c>
      <c r="G426" s="3" t="s">
        <v>79</v>
      </c>
      <c r="H426" s="3" t="s">
        <v>374</v>
      </c>
    </row>
    <row r="427" customFormat="false" ht="15" hidden="false" customHeight="false" outlineLevel="0" collapsed="false">
      <c r="A427" s="3" t="s">
        <v>357</v>
      </c>
      <c r="B427" s="3" t="n">
        <v>18</v>
      </c>
      <c r="C427" s="3" t="s">
        <v>143</v>
      </c>
      <c r="D427" s="3" t="n">
        <v>34</v>
      </c>
      <c r="E427" s="3" t="s">
        <v>78</v>
      </c>
      <c r="F427" s="3" t="s">
        <v>97</v>
      </c>
      <c r="G427" s="3" t="s">
        <v>79</v>
      </c>
      <c r="H427" s="3" t="s">
        <v>375</v>
      </c>
    </row>
    <row r="428" customFormat="false" ht="15" hidden="false" customHeight="false" outlineLevel="0" collapsed="false">
      <c r="A428" s="3" t="s">
        <v>357</v>
      </c>
      <c r="B428" s="3" t="n">
        <v>18</v>
      </c>
      <c r="C428" s="3" t="s">
        <v>143</v>
      </c>
      <c r="D428" s="3" t="n">
        <v>31</v>
      </c>
      <c r="E428" s="3" t="s">
        <v>81</v>
      </c>
      <c r="F428" s="3" t="s">
        <v>97</v>
      </c>
      <c r="G428" s="3" t="s">
        <v>79</v>
      </c>
      <c r="H428" s="3" t="s">
        <v>375</v>
      </c>
    </row>
    <row r="429" customFormat="false" ht="15" hidden="false" customHeight="false" outlineLevel="0" collapsed="false">
      <c r="A429" s="3" t="s">
        <v>357</v>
      </c>
      <c r="B429" s="3" t="n">
        <v>19</v>
      </c>
      <c r="C429" s="3" t="s">
        <v>143</v>
      </c>
      <c r="D429" s="3" t="n">
        <v>31</v>
      </c>
      <c r="E429" s="3" t="s">
        <v>78</v>
      </c>
      <c r="F429" s="3" t="s">
        <v>97</v>
      </c>
      <c r="G429" s="3" t="s">
        <v>79</v>
      </c>
      <c r="H429" s="3" t="s">
        <v>376</v>
      </c>
    </row>
    <row r="430" customFormat="false" ht="15" hidden="false" customHeight="false" outlineLevel="0" collapsed="false">
      <c r="A430" s="3" t="s">
        <v>357</v>
      </c>
      <c r="B430" s="3" t="n">
        <v>20</v>
      </c>
      <c r="C430" s="3" t="s">
        <v>143</v>
      </c>
      <c r="D430" s="3" t="n">
        <v>31</v>
      </c>
      <c r="E430" s="3" t="s">
        <v>78</v>
      </c>
      <c r="F430" s="3" t="s">
        <v>97</v>
      </c>
      <c r="G430" s="3" t="s">
        <v>79</v>
      </c>
      <c r="H430" s="3" t="s">
        <v>377</v>
      </c>
    </row>
    <row r="431" customFormat="false" ht="15" hidden="false" customHeight="false" outlineLevel="0" collapsed="false">
      <c r="A431" s="3" t="s">
        <v>357</v>
      </c>
      <c r="B431" s="3" t="n">
        <v>20</v>
      </c>
      <c r="C431" s="3" t="s">
        <v>143</v>
      </c>
      <c r="D431" s="3" t="n">
        <v>30</v>
      </c>
      <c r="E431" s="3" t="s">
        <v>81</v>
      </c>
      <c r="F431" s="3" t="s">
        <v>97</v>
      </c>
      <c r="G431" s="3" t="s">
        <v>79</v>
      </c>
      <c r="H431" s="3" t="s">
        <v>377</v>
      </c>
    </row>
    <row r="432" customFormat="false" ht="15" hidden="false" customHeight="false" outlineLevel="0" collapsed="false">
      <c r="A432" s="3" t="s">
        <v>357</v>
      </c>
      <c r="B432" s="3" t="n">
        <v>20</v>
      </c>
      <c r="C432" s="3" t="s">
        <v>143</v>
      </c>
      <c r="D432" s="3" t="n">
        <v>35</v>
      </c>
      <c r="E432" s="3" t="s">
        <v>81</v>
      </c>
      <c r="F432" s="3" t="s">
        <v>97</v>
      </c>
      <c r="G432" s="3" t="s">
        <v>79</v>
      </c>
      <c r="H432" s="3" t="s">
        <v>377</v>
      </c>
    </row>
    <row r="433" customFormat="false" ht="15" hidden="false" customHeight="false" outlineLevel="0" collapsed="false">
      <c r="A433" s="3" t="s">
        <v>357</v>
      </c>
      <c r="B433" s="3" t="n">
        <v>21</v>
      </c>
      <c r="C433" s="3" t="s">
        <v>143</v>
      </c>
      <c r="D433" s="3" t="n">
        <v>31</v>
      </c>
      <c r="E433" s="3" t="s">
        <v>78</v>
      </c>
      <c r="F433" s="3" t="s">
        <v>97</v>
      </c>
      <c r="G433" s="3" t="s">
        <v>79</v>
      </c>
      <c r="H433" s="3" t="s">
        <v>378</v>
      </c>
    </row>
    <row r="434" customFormat="false" ht="15" hidden="false" customHeight="false" outlineLevel="0" collapsed="false">
      <c r="A434" s="3" t="s">
        <v>357</v>
      </c>
      <c r="B434" s="3" t="n">
        <v>22</v>
      </c>
      <c r="C434" s="3" t="s">
        <v>143</v>
      </c>
      <c r="D434" s="3" t="n">
        <v>14</v>
      </c>
      <c r="E434" s="3" t="s">
        <v>78</v>
      </c>
      <c r="F434" s="3" t="s">
        <v>97</v>
      </c>
      <c r="G434" s="3" t="s">
        <v>79</v>
      </c>
      <c r="H434" s="3" t="s">
        <v>379</v>
      </c>
    </row>
    <row r="435" customFormat="false" ht="15" hidden="false" customHeight="false" outlineLevel="0" collapsed="false">
      <c r="A435" s="3" t="s">
        <v>357</v>
      </c>
      <c r="B435" s="3" t="n">
        <v>22</v>
      </c>
      <c r="C435" s="3" t="s">
        <v>143</v>
      </c>
      <c r="D435" s="3" t="n">
        <v>31</v>
      </c>
      <c r="E435" s="3" t="s">
        <v>81</v>
      </c>
      <c r="F435" s="3" t="s">
        <v>97</v>
      </c>
      <c r="G435" s="3" t="s">
        <v>79</v>
      </c>
      <c r="H435" s="3" t="s">
        <v>379</v>
      </c>
    </row>
    <row r="436" customFormat="false" ht="15" hidden="false" customHeight="false" outlineLevel="0" collapsed="false">
      <c r="A436" s="3" t="s">
        <v>357</v>
      </c>
      <c r="B436" s="3" t="n">
        <v>23</v>
      </c>
      <c r="C436" s="3" t="s">
        <v>143</v>
      </c>
      <c r="D436" s="3" t="n">
        <v>31</v>
      </c>
      <c r="E436" s="3" t="s">
        <v>78</v>
      </c>
      <c r="F436" s="3" t="s">
        <v>97</v>
      </c>
      <c r="G436" s="3" t="s">
        <v>79</v>
      </c>
      <c r="H436" s="3" t="s">
        <v>380</v>
      </c>
    </row>
    <row r="437" customFormat="false" ht="15" hidden="false" customHeight="false" outlineLevel="0" collapsed="false">
      <c r="A437" s="3" t="s">
        <v>357</v>
      </c>
      <c r="B437" s="3" t="n">
        <v>24</v>
      </c>
      <c r="C437" s="3" t="s">
        <v>143</v>
      </c>
      <c r="D437" s="3" t="n">
        <v>31</v>
      </c>
      <c r="E437" s="3" t="s">
        <v>78</v>
      </c>
      <c r="F437" s="3" t="s">
        <v>97</v>
      </c>
      <c r="G437" s="3" t="s">
        <v>79</v>
      </c>
      <c r="H437" s="3" t="s">
        <v>381</v>
      </c>
    </row>
    <row r="438" customFormat="false" ht="15" hidden="false" customHeight="false" outlineLevel="0" collapsed="false">
      <c r="A438" s="3" t="s">
        <v>357</v>
      </c>
      <c r="B438" s="3" t="n">
        <v>24</v>
      </c>
      <c r="C438" s="3" t="s">
        <v>143</v>
      </c>
      <c r="D438" s="3" t="n">
        <v>30</v>
      </c>
      <c r="E438" s="3" t="s">
        <v>81</v>
      </c>
      <c r="F438" s="3" t="s">
        <v>97</v>
      </c>
      <c r="G438" s="3" t="s">
        <v>79</v>
      </c>
      <c r="H438" s="3" t="s">
        <v>381</v>
      </c>
    </row>
    <row r="439" customFormat="false" ht="15" hidden="false" customHeight="false" outlineLevel="0" collapsed="false">
      <c r="A439" s="3" t="s">
        <v>357</v>
      </c>
      <c r="B439" s="3" t="n">
        <v>25</v>
      </c>
      <c r="C439" s="3" t="s">
        <v>143</v>
      </c>
      <c r="D439" s="3" t="n">
        <v>14</v>
      </c>
      <c r="E439" s="3" t="s">
        <v>78</v>
      </c>
      <c r="F439" s="3" t="s">
        <v>97</v>
      </c>
      <c r="G439" s="3" t="s">
        <v>79</v>
      </c>
      <c r="H439" s="3" t="s">
        <v>382</v>
      </c>
    </row>
    <row r="440" customFormat="false" ht="15" hidden="false" customHeight="false" outlineLevel="0" collapsed="false">
      <c r="A440" s="3" t="s">
        <v>357</v>
      </c>
      <c r="B440" s="3" t="n">
        <v>25</v>
      </c>
      <c r="C440" s="3" t="s">
        <v>143</v>
      </c>
      <c r="D440" s="3" t="n">
        <v>13</v>
      </c>
      <c r="E440" s="3" t="s">
        <v>81</v>
      </c>
      <c r="F440" s="3" t="s">
        <v>97</v>
      </c>
      <c r="G440" s="3" t="s">
        <v>79</v>
      </c>
      <c r="H440" s="3" t="s">
        <v>382</v>
      </c>
    </row>
    <row r="441" customFormat="false" ht="15" hidden="false" customHeight="false" outlineLevel="0" collapsed="false">
      <c r="A441" s="3" t="s">
        <v>357</v>
      </c>
      <c r="B441" s="3" t="n">
        <v>26</v>
      </c>
      <c r="C441" s="3" t="s">
        <v>143</v>
      </c>
      <c r="D441" s="3" t="n">
        <v>31</v>
      </c>
      <c r="E441" s="3" t="s">
        <v>78</v>
      </c>
      <c r="F441" s="3" t="s">
        <v>97</v>
      </c>
      <c r="G441" s="3" t="s">
        <v>79</v>
      </c>
      <c r="H441" s="3" t="s">
        <v>383</v>
      </c>
    </row>
    <row r="442" customFormat="false" ht="15" hidden="false" customHeight="false" outlineLevel="0" collapsed="false">
      <c r="A442" s="3" t="s">
        <v>357</v>
      </c>
      <c r="B442" s="3" t="n">
        <v>27</v>
      </c>
      <c r="C442" s="3" t="s">
        <v>143</v>
      </c>
      <c r="D442" s="3" t="n">
        <v>13</v>
      </c>
      <c r="E442" s="3" t="s">
        <v>78</v>
      </c>
      <c r="F442" s="3" t="s">
        <v>97</v>
      </c>
      <c r="G442" s="3" t="s">
        <v>79</v>
      </c>
      <c r="H442" s="3" t="s">
        <v>110</v>
      </c>
    </row>
    <row r="443" customFormat="false" ht="15" hidden="false" customHeight="false" outlineLevel="0" collapsed="false">
      <c r="A443" s="3" t="s">
        <v>357</v>
      </c>
      <c r="B443" s="3" t="n">
        <v>28</v>
      </c>
      <c r="C443" s="3" t="s">
        <v>143</v>
      </c>
      <c r="D443" s="3" t="n">
        <v>13</v>
      </c>
      <c r="E443" s="3" t="s">
        <v>78</v>
      </c>
      <c r="F443" s="3" t="s">
        <v>97</v>
      </c>
      <c r="G443" s="3" t="s">
        <v>79</v>
      </c>
      <c r="H443" s="3" t="s">
        <v>111</v>
      </c>
    </row>
    <row r="444" customFormat="false" ht="15" hidden="false" customHeight="false" outlineLevel="0" collapsed="false">
      <c r="A444" s="3" t="s">
        <v>357</v>
      </c>
      <c r="B444" s="3" t="n">
        <v>29</v>
      </c>
      <c r="C444" s="3" t="s">
        <v>143</v>
      </c>
      <c r="D444" s="3" t="n">
        <v>31</v>
      </c>
      <c r="E444" s="3" t="s">
        <v>78</v>
      </c>
      <c r="F444" s="3" t="s">
        <v>97</v>
      </c>
      <c r="G444" s="3" t="s">
        <v>79</v>
      </c>
      <c r="H444" s="3" t="s">
        <v>384</v>
      </c>
    </row>
    <row r="445" customFormat="false" ht="15" hidden="false" customHeight="false" outlineLevel="0" collapsed="false">
      <c r="A445" s="3" t="s">
        <v>357</v>
      </c>
      <c r="B445" s="3" t="n">
        <v>30</v>
      </c>
      <c r="C445" s="3" t="s">
        <v>143</v>
      </c>
      <c r="D445" s="3" t="n">
        <v>25</v>
      </c>
      <c r="E445" s="3" t="s">
        <v>78</v>
      </c>
      <c r="F445" s="3" t="s">
        <v>97</v>
      </c>
      <c r="G445" s="3" t="s">
        <v>79</v>
      </c>
      <c r="H445" s="3" t="s">
        <v>113</v>
      </c>
    </row>
    <row r="446" customFormat="false" ht="15" hidden="false" customHeight="false" outlineLevel="0" collapsed="false">
      <c r="A446" s="3" t="s">
        <v>357</v>
      </c>
      <c r="B446" s="3" t="n">
        <v>31</v>
      </c>
      <c r="C446" s="3" t="s">
        <v>143</v>
      </c>
      <c r="D446" s="3" t="n">
        <v>13</v>
      </c>
      <c r="E446" s="3" t="s">
        <v>78</v>
      </c>
      <c r="F446" s="3" t="s">
        <v>97</v>
      </c>
      <c r="G446" s="3" t="s">
        <v>79</v>
      </c>
      <c r="H446" s="3" t="s">
        <v>114</v>
      </c>
    </row>
    <row r="447" customFormat="false" ht="15" hidden="false" customHeight="false" outlineLevel="0" collapsed="false">
      <c r="A447" s="3" t="s">
        <v>357</v>
      </c>
      <c r="B447" s="3" t="n">
        <v>32</v>
      </c>
      <c r="C447" s="3" t="s">
        <v>143</v>
      </c>
      <c r="D447" s="3" t="n">
        <v>31</v>
      </c>
      <c r="E447" s="3" t="s">
        <v>78</v>
      </c>
      <c r="F447" s="3" t="s">
        <v>97</v>
      </c>
      <c r="G447" s="3" t="s">
        <v>79</v>
      </c>
      <c r="H447" s="3" t="s">
        <v>115</v>
      </c>
    </row>
    <row r="448" customFormat="false" ht="15" hidden="false" customHeight="false" outlineLevel="0" collapsed="false">
      <c r="A448" s="3" t="s">
        <v>357</v>
      </c>
      <c r="B448" s="3" t="n">
        <v>33</v>
      </c>
      <c r="C448" s="3" t="s">
        <v>143</v>
      </c>
      <c r="D448" s="3" t="n">
        <v>25</v>
      </c>
      <c r="E448" s="3" t="s">
        <v>78</v>
      </c>
      <c r="F448" s="3" t="s">
        <v>97</v>
      </c>
      <c r="G448" s="3" t="s">
        <v>79</v>
      </c>
      <c r="H448" s="3" t="s">
        <v>385</v>
      </c>
    </row>
    <row r="449" customFormat="false" ht="15" hidden="false" customHeight="false" outlineLevel="0" collapsed="false">
      <c r="A449" s="3" t="s">
        <v>357</v>
      </c>
      <c r="B449" s="3" t="n">
        <v>34</v>
      </c>
      <c r="C449" s="3" t="s">
        <v>143</v>
      </c>
      <c r="D449" s="3" t="n">
        <v>16</v>
      </c>
      <c r="E449" s="3" t="s">
        <v>78</v>
      </c>
      <c r="F449" s="3" t="s">
        <v>97</v>
      </c>
      <c r="G449" s="3" t="s">
        <v>79</v>
      </c>
      <c r="H449" s="3" t="s">
        <v>386</v>
      </c>
    </row>
    <row r="450" customFormat="false" ht="15" hidden="false" customHeight="false" outlineLevel="0" collapsed="false">
      <c r="A450" s="3" t="s">
        <v>357</v>
      </c>
      <c r="B450" s="3" t="n">
        <v>34</v>
      </c>
      <c r="C450" s="3" t="s">
        <v>143</v>
      </c>
      <c r="D450" s="3" t="n">
        <v>13</v>
      </c>
      <c r="E450" s="3" t="s">
        <v>81</v>
      </c>
      <c r="F450" s="3" t="s">
        <v>97</v>
      </c>
      <c r="G450" s="3" t="s">
        <v>79</v>
      </c>
      <c r="H450" s="3" t="s">
        <v>386</v>
      </c>
    </row>
    <row r="451" customFormat="false" ht="15" hidden="false" customHeight="false" outlineLevel="0" collapsed="false">
      <c r="A451" s="3" t="s">
        <v>357</v>
      </c>
      <c r="B451" s="3" t="n">
        <v>35</v>
      </c>
      <c r="C451" s="3" t="s">
        <v>143</v>
      </c>
      <c r="D451" s="3" t="n">
        <v>20</v>
      </c>
      <c r="E451" s="3" t="s">
        <v>78</v>
      </c>
      <c r="F451" s="3" t="s">
        <v>97</v>
      </c>
      <c r="G451" s="3" t="s">
        <v>79</v>
      </c>
      <c r="H451" s="3" t="s">
        <v>117</v>
      </c>
    </row>
    <row r="452" customFormat="false" ht="15" hidden="false" customHeight="false" outlineLevel="0" collapsed="false">
      <c r="A452" s="3" t="s">
        <v>357</v>
      </c>
      <c r="B452" s="3" t="n">
        <v>35</v>
      </c>
      <c r="C452" s="3" t="s">
        <v>143</v>
      </c>
      <c r="D452" s="3" t="n">
        <v>13</v>
      </c>
      <c r="E452" s="3" t="s">
        <v>81</v>
      </c>
      <c r="F452" s="3" t="s">
        <v>97</v>
      </c>
      <c r="G452" s="3" t="s">
        <v>79</v>
      </c>
      <c r="H452" s="3" t="s">
        <v>117</v>
      </c>
    </row>
    <row r="453" customFormat="false" ht="15" hidden="false" customHeight="false" outlineLevel="0" collapsed="false">
      <c r="A453" s="3" t="s">
        <v>357</v>
      </c>
      <c r="B453" s="3" t="n">
        <v>36</v>
      </c>
      <c r="C453" s="3" t="s">
        <v>143</v>
      </c>
      <c r="D453" s="3" t="n">
        <v>13</v>
      </c>
      <c r="E453" s="3" t="s">
        <v>78</v>
      </c>
      <c r="F453" s="3" t="s">
        <v>97</v>
      </c>
      <c r="G453" s="3" t="s">
        <v>79</v>
      </c>
      <c r="H453" s="3" t="s">
        <v>118</v>
      </c>
    </row>
    <row r="454" customFormat="false" ht="15" hidden="false" customHeight="false" outlineLevel="0" collapsed="false">
      <c r="A454" s="3" t="s">
        <v>357</v>
      </c>
      <c r="B454" s="3" t="n">
        <v>36</v>
      </c>
      <c r="C454" s="3" t="s">
        <v>143</v>
      </c>
      <c r="D454" s="3" t="n">
        <v>4</v>
      </c>
      <c r="E454" s="3" t="s">
        <v>81</v>
      </c>
      <c r="F454" s="3" t="s">
        <v>97</v>
      </c>
      <c r="G454" s="3" t="s">
        <v>79</v>
      </c>
      <c r="H454" s="3" t="s">
        <v>118</v>
      </c>
    </row>
    <row r="455" customFormat="false" ht="15" hidden="false" customHeight="false" outlineLevel="0" collapsed="false">
      <c r="A455" s="3" t="s">
        <v>357</v>
      </c>
      <c r="B455" s="3" t="n">
        <v>37</v>
      </c>
      <c r="C455" s="3" t="s">
        <v>143</v>
      </c>
      <c r="D455" s="3" t="n">
        <v>20</v>
      </c>
      <c r="E455" s="3" t="s">
        <v>78</v>
      </c>
      <c r="F455" s="3" t="s">
        <v>97</v>
      </c>
      <c r="G455" s="3" t="s">
        <v>79</v>
      </c>
      <c r="H455" s="3" t="s">
        <v>387</v>
      </c>
    </row>
    <row r="456" customFormat="false" ht="15" hidden="false" customHeight="false" outlineLevel="0" collapsed="false">
      <c r="A456" s="3" t="s">
        <v>357</v>
      </c>
      <c r="B456" s="3" t="n">
        <v>38</v>
      </c>
      <c r="C456" s="3" t="s">
        <v>143</v>
      </c>
      <c r="D456" s="3" t="n">
        <v>26</v>
      </c>
      <c r="E456" s="3" t="s">
        <v>78</v>
      </c>
      <c r="F456" s="3" t="s">
        <v>97</v>
      </c>
      <c r="G456" s="3" t="s">
        <v>79</v>
      </c>
      <c r="H456" s="3" t="s">
        <v>388</v>
      </c>
    </row>
    <row r="457" customFormat="false" ht="15" hidden="false" customHeight="false" outlineLevel="0" collapsed="false">
      <c r="A457" s="3" t="s">
        <v>357</v>
      </c>
      <c r="B457" s="3" t="n">
        <v>39</v>
      </c>
      <c r="C457" s="3" t="s">
        <v>143</v>
      </c>
      <c r="D457" s="3" t="n">
        <v>13</v>
      </c>
      <c r="E457" s="3" t="s">
        <v>78</v>
      </c>
      <c r="F457" s="3" t="s">
        <v>97</v>
      </c>
      <c r="G457" s="3" t="s">
        <v>79</v>
      </c>
      <c r="H457" s="3" t="s">
        <v>136</v>
      </c>
    </row>
    <row r="458" customFormat="false" ht="15" hidden="false" customHeight="false" outlineLevel="0" collapsed="false">
      <c r="A458" s="3" t="s">
        <v>357</v>
      </c>
      <c r="B458" s="3" t="n">
        <v>40</v>
      </c>
      <c r="C458" s="3" t="s">
        <v>143</v>
      </c>
      <c r="D458" s="3" t="n">
        <v>25</v>
      </c>
      <c r="E458" s="3" t="s">
        <v>78</v>
      </c>
      <c r="F458" s="3" t="s">
        <v>97</v>
      </c>
      <c r="G458" s="3" t="s">
        <v>79</v>
      </c>
      <c r="H458" s="3" t="s">
        <v>389</v>
      </c>
    </row>
    <row r="459" customFormat="false" ht="15" hidden="false" customHeight="false" outlineLevel="0" collapsed="false">
      <c r="A459" s="3" t="s">
        <v>357</v>
      </c>
      <c r="B459" s="3" t="n">
        <v>41</v>
      </c>
      <c r="C459" s="3" t="s">
        <v>143</v>
      </c>
      <c r="D459" s="3" t="n">
        <v>14</v>
      </c>
      <c r="E459" s="3" t="s">
        <v>78</v>
      </c>
      <c r="F459" s="3" t="s">
        <v>97</v>
      </c>
      <c r="G459" s="3" t="s">
        <v>79</v>
      </c>
      <c r="H459" s="3" t="s">
        <v>138</v>
      </c>
    </row>
    <row r="460" customFormat="false" ht="15" hidden="false" customHeight="false" outlineLevel="0" collapsed="false">
      <c r="A460" s="3" t="s">
        <v>357</v>
      </c>
      <c r="B460" s="3" t="n">
        <v>41</v>
      </c>
      <c r="C460" s="3" t="s">
        <v>143</v>
      </c>
      <c r="D460" s="3" t="n">
        <v>31</v>
      </c>
      <c r="E460" s="3" t="s">
        <v>81</v>
      </c>
      <c r="F460" s="3" t="s">
        <v>97</v>
      </c>
      <c r="G460" s="3" t="s">
        <v>79</v>
      </c>
      <c r="H460" s="3" t="s">
        <v>138</v>
      </c>
    </row>
    <row r="461" customFormat="false" ht="15" hidden="false" customHeight="false" outlineLevel="0" collapsed="false">
      <c r="A461" s="3" t="s">
        <v>357</v>
      </c>
      <c r="B461" s="3" t="n">
        <v>42</v>
      </c>
      <c r="C461" s="3" t="s">
        <v>143</v>
      </c>
      <c r="D461" s="3" t="n">
        <v>34</v>
      </c>
      <c r="E461" s="3" t="s">
        <v>78</v>
      </c>
      <c r="F461" s="3" t="s">
        <v>97</v>
      </c>
      <c r="G461" s="3" t="s">
        <v>79</v>
      </c>
      <c r="H461" s="3" t="s">
        <v>390</v>
      </c>
    </row>
    <row r="462" customFormat="false" ht="15" hidden="false" customHeight="false" outlineLevel="0" collapsed="false">
      <c r="A462" s="3" t="s">
        <v>357</v>
      </c>
      <c r="B462" s="3" t="n">
        <v>42</v>
      </c>
      <c r="C462" s="3" t="s">
        <v>143</v>
      </c>
      <c r="D462" s="3" t="n">
        <v>35</v>
      </c>
      <c r="E462" s="3" t="s">
        <v>81</v>
      </c>
      <c r="F462" s="3" t="s">
        <v>97</v>
      </c>
      <c r="G462" s="3" t="s">
        <v>79</v>
      </c>
      <c r="H462" s="3" t="s">
        <v>390</v>
      </c>
    </row>
    <row r="463" customFormat="false" ht="15" hidden="false" customHeight="false" outlineLevel="0" collapsed="false">
      <c r="A463" s="3" t="s">
        <v>357</v>
      </c>
      <c r="B463" s="3" t="n">
        <v>43</v>
      </c>
      <c r="C463" s="3" t="s">
        <v>143</v>
      </c>
      <c r="D463" s="3" t="n">
        <v>31</v>
      </c>
      <c r="E463" s="3" t="s">
        <v>78</v>
      </c>
      <c r="F463" s="3" t="s">
        <v>97</v>
      </c>
      <c r="G463" s="3" t="s">
        <v>79</v>
      </c>
      <c r="H463" s="3" t="s">
        <v>391</v>
      </c>
    </row>
    <row r="464" customFormat="false" ht="15" hidden="false" customHeight="false" outlineLevel="0" collapsed="false">
      <c r="A464" s="3" t="s">
        <v>357</v>
      </c>
      <c r="B464" s="3" t="n">
        <v>44</v>
      </c>
      <c r="C464" s="3" t="s">
        <v>143</v>
      </c>
      <c r="D464" s="3" t="n">
        <v>31</v>
      </c>
      <c r="E464" s="3" t="s">
        <v>78</v>
      </c>
      <c r="F464" s="3" t="s">
        <v>97</v>
      </c>
      <c r="G464" s="3" t="s">
        <v>79</v>
      </c>
      <c r="H464" s="3" t="s">
        <v>392</v>
      </c>
    </row>
    <row r="465" customFormat="false" ht="15" hidden="false" customHeight="false" outlineLevel="0" collapsed="false">
      <c r="A465" s="3" t="s">
        <v>357</v>
      </c>
      <c r="B465" s="3" t="n">
        <v>44</v>
      </c>
      <c r="C465" s="3" t="s">
        <v>143</v>
      </c>
      <c r="D465" s="3" t="n">
        <v>30</v>
      </c>
      <c r="E465" s="3" t="s">
        <v>81</v>
      </c>
      <c r="F465" s="3" t="s">
        <v>97</v>
      </c>
      <c r="G465" s="3" t="s">
        <v>79</v>
      </c>
      <c r="H465" s="3" t="s">
        <v>392</v>
      </c>
    </row>
    <row r="466" customFormat="false" ht="15" hidden="false" customHeight="false" outlineLevel="0" collapsed="false">
      <c r="A466" s="3" t="s">
        <v>357</v>
      </c>
      <c r="B466" s="3" t="n">
        <v>45</v>
      </c>
      <c r="C466" s="3" t="s">
        <v>143</v>
      </c>
      <c r="D466" s="3" t="n">
        <v>13</v>
      </c>
      <c r="E466" s="3" t="s">
        <v>78</v>
      </c>
      <c r="F466" s="3" t="s">
        <v>97</v>
      </c>
      <c r="G466" s="3" t="s">
        <v>79</v>
      </c>
      <c r="H466" s="3" t="s">
        <v>98</v>
      </c>
    </row>
    <row r="467" customFormat="false" ht="15" hidden="false" customHeight="false" outlineLevel="0" collapsed="false">
      <c r="A467" s="3" t="s">
        <v>357</v>
      </c>
      <c r="B467" s="3" t="n">
        <v>46</v>
      </c>
      <c r="C467" s="3" t="s">
        <v>143</v>
      </c>
      <c r="D467" s="3" t="n">
        <v>31</v>
      </c>
      <c r="E467" s="3" t="s">
        <v>78</v>
      </c>
      <c r="F467" s="3" t="s">
        <v>97</v>
      </c>
      <c r="G467" s="3" t="s">
        <v>79</v>
      </c>
      <c r="H467" s="3" t="s">
        <v>393</v>
      </c>
    </row>
    <row r="468" customFormat="false" ht="15" hidden="false" customHeight="false" outlineLevel="0" collapsed="false">
      <c r="A468" s="3" t="s">
        <v>357</v>
      </c>
      <c r="B468" s="3" t="n">
        <v>47</v>
      </c>
      <c r="C468" s="3" t="s">
        <v>143</v>
      </c>
      <c r="D468" s="3" t="n">
        <v>31</v>
      </c>
      <c r="E468" s="3" t="s">
        <v>78</v>
      </c>
      <c r="F468" s="3" t="s">
        <v>97</v>
      </c>
      <c r="G468" s="3" t="s">
        <v>79</v>
      </c>
      <c r="H468" s="3" t="s">
        <v>394</v>
      </c>
    </row>
    <row r="469" customFormat="false" ht="15" hidden="false" customHeight="false" outlineLevel="0" collapsed="false">
      <c r="A469" s="3" t="s">
        <v>357</v>
      </c>
      <c r="B469" s="3" t="n">
        <v>48</v>
      </c>
      <c r="C469" s="3" t="s">
        <v>143</v>
      </c>
      <c r="D469" s="3" t="n">
        <v>10</v>
      </c>
      <c r="E469" s="3" t="s">
        <v>78</v>
      </c>
      <c r="F469" s="3" t="s">
        <v>97</v>
      </c>
      <c r="G469" s="3" t="s">
        <v>79</v>
      </c>
      <c r="H469" s="3" t="s">
        <v>395</v>
      </c>
    </row>
    <row r="470" customFormat="false" ht="15" hidden="false" customHeight="false" outlineLevel="0" collapsed="false">
      <c r="A470" s="3" t="s">
        <v>357</v>
      </c>
      <c r="B470" s="3" t="n">
        <v>48</v>
      </c>
      <c r="C470" s="3" t="s">
        <v>143</v>
      </c>
      <c r="D470" s="3" t="n">
        <v>9</v>
      </c>
      <c r="E470" s="3" t="s">
        <v>81</v>
      </c>
      <c r="F470" s="3" t="s">
        <v>97</v>
      </c>
      <c r="G470" s="3" t="s">
        <v>79</v>
      </c>
      <c r="H470" s="3" t="s">
        <v>395</v>
      </c>
    </row>
    <row r="471" customFormat="false" ht="15" hidden="false" customHeight="false" outlineLevel="0" collapsed="false">
      <c r="A471" s="3" t="s">
        <v>357</v>
      </c>
      <c r="B471" s="3" t="n">
        <v>49</v>
      </c>
      <c r="C471" s="3" t="s">
        <v>143</v>
      </c>
      <c r="D471" s="3" t="n">
        <v>31</v>
      </c>
      <c r="E471" s="3" t="s">
        <v>78</v>
      </c>
      <c r="F471" s="3" t="s">
        <v>97</v>
      </c>
      <c r="G471" s="3" t="s">
        <v>79</v>
      </c>
      <c r="H471" s="3" t="s">
        <v>396</v>
      </c>
    </row>
    <row r="472" customFormat="false" ht="15" hidden="false" customHeight="false" outlineLevel="0" collapsed="false">
      <c r="A472" s="3" t="s">
        <v>357</v>
      </c>
      <c r="B472" s="3" t="n">
        <v>50</v>
      </c>
      <c r="C472" s="3" t="s">
        <v>143</v>
      </c>
      <c r="D472" s="3" t="n">
        <v>31</v>
      </c>
      <c r="E472" s="3" t="s">
        <v>78</v>
      </c>
      <c r="F472" s="3" t="s">
        <v>97</v>
      </c>
      <c r="G472" s="3" t="s">
        <v>79</v>
      </c>
      <c r="H472" s="3" t="s">
        <v>397</v>
      </c>
    </row>
    <row r="473" customFormat="false" ht="15" hidden="false" customHeight="false" outlineLevel="0" collapsed="false">
      <c r="A473" s="3" t="s">
        <v>357</v>
      </c>
      <c r="B473" s="3" t="n">
        <v>51</v>
      </c>
      <c r="C473" s="3" t="s">
        <v>143</v>
      </c>
      <c r="D473" s="3" t="n">
        <v>39</v>
      </c>
      <c r="E473" s="3" t="s">
        <v>78</v>
      </c>
      <c r="F473" s="3" t="s">
        <v>97</v>
      </c>
      <c r="G473" s="3" t="s">
        <v>79</v>
      </c>
      <c r="H473" s="3" t="s">
        <v>103</v>
      </c>
    </row>
    <row r="474" customFormat="false" ht="15" hidden="false" customHeight="false" outlineLevel="0" collapsed="false">
      <c r="A474" s="3" t="s">
        <v>357</v>
      </c>
      <c r="B474" s="3" t="n">
        <v>52</v>
      </c>
      <c r="C474" s="3" t="s">
        <v>143</v>
      </c>
      <c r="D474" s="3" t="n">
        <v>13</v>
      </c>
      <c r="E474" s="3" t="s">
        <v>78</v>
      </c>
      <c r="F474" s="3" t="s">
        <v>97</v>
      </c>
      <c r="G474" s="3" t="s">
        <v>79</v>
      </c>
      <c r="H474" s="3" t="s">
        <v>104</v>
      </c>
    </row>
    <row r="475" customFormat="false" ht="15" hidden="false" customHeight="false" outlineLevel="0" collapsed="false">
      <c r="A475" s="3" t="s">
        <v>357</v>
      </c>
      <c r="B475" s="3" t="n">
        <v>53</v>
      </c>
      <c r="C475" s="3" t="s">
        <v>143</v>
      </c>
      <c r="D475" s="3" t="n">
        <v>9</v>
      </c>
      <c r="E475" s="3" t="s">
        <v>78</v>
      </c>
      <c r="F475" s="3" t="s">
        <v>97</v>
      </c>
      <c r="G475" s="3" t="s">
        <v>79</v>
      </c>
      <c r="H475" s="3" t="s">
        <v>105</v>
      </c>
    </row>
    <row r="476" customFormat="false" ht="15" hidden="false" customHeight="false" outlineLevel="0" collapsed="false">
      <c r="A476" s="3" t="s">
        <v>357</v>
      </c>
      <c r="B476" s="3" t="n">
        <v>54</v>
      </c>
      <c r="C476" s="3" t="s">
        <v>143</v>
      </c>
      <c r="D476" s="3" t="n">
        <v>35</v>
      </c>
      <c r="E476" s="3" t="s">
        <v>78</v>
      </c>
      <c r="F476" s="3" t="s">
        <v>97</v>
      </c>
      <c r="G476" s="3" t="s">
        <v>79</v>
      </c>
      <c r="H476" s="3" t="s">
        <v>398</v>
      </c>
    </row>
    <row r="477" customFormat="false" ht="15" hidden="false" customHeight="false" outlineLevel="0" collapsed="false">
      <c r="A477" s="3" t="s">
        <v>357</v>
      </c>
      <c r="B477" s="3" t="n">
        <v>54</v>
      </c>
      <c r="C477" s="3" t="s">
        <v>143</v>
      </c>
      <c r="D477" s="3" t="n">
        <v>31</v>
      </c>
      <c r="E477" s="3" t="s">
        <v>81</v>
      </c>
      <c r="F477" s="3" t="s">
        <v>97</v>
      </c>
      <c r="G477" s="3" t="s">
        <v>79</v>
      </c>
      <c r="H477" s="3" t="s">
        <v>398</v>
      </c>
    </row>
    <row r="478" customFormat="false" ht="15" hidden="false" customHeight="false" outlineLevel="0" collapsed="false">
      <c r="A478" s="3" t="s">
        <v>357</v>
      </c>
      <c r="B478" s="3" t="n">
        <v>55</v>
      </c>
      <c r="C478" s="3" t="s">
        <v>143</v>
      </c>
      <c r="D478" s="3" t="n">
        <v>13</v>
      </c>
      <c r="E478" s="3" t="s">
        <v>78</v>
      </c>
      <c r="F478" s="3" t="s">
        <v>97</v>
      </c>
      <c r="G478" s="3" t="s">
        <v>79</v>
      </c>
      <c r="H478" s="3" t="s">
        <v>107</v>
      </c>
    </row>
    <row r="479" customFormat="false" ht="15" hidden="false" customHeight="false" outlineLevel="0" collapsed="false">
      <c r="A479" s="3" t="s">
        <v>357</v>
      </c>
      <c r="B479" s="3" t="n">
        <v>56</v>
      </c>
      <c r="C479" s="3" t="s">
        <v>143</v>
      </c>
      <c r="D479" s="3" t="n">
        <v>25</v>
      </c>
      <c r="E479" s="3" t="s">
        <v>78</v>
      </c>
      <c r="F479" s="3" t="s">
        <v>97</v>
      </c>
      <c r="G479" s="3" t="s">
        <v>79</v>
      </c>
      <c r="H479" s="3" t="s">
        <v>399</v>
      </c>
    </row>
    <row r="480" customFormat="false" ht="15" hidden="false" customHeight="false" outlineLevel="0" collapsed="false">
      <c r="A480" s="3" t="s">
        <v>357</v>
      </c>
      <c r="B480" s="3" t="n">
        <v>57</v>
      </c>
      <c r="C480" s="3" t="s">
        <v>143</v>
      </c>
      <c r="D480" s="3" t="n">
        <v>15</v>
      </c>
      <c r="E480" s="3" t="s">
        <v>78</v>
      </c>
      <c r="F480" s="3" t="s">
        <v>97</v>
      </c>
      <c r="G480" s="3" t="s">
        <v>79</v>
      </c>
      <c r="H480" s="3" t="s">
        <v>400</v>
      </c>
    </row>
    <row r="481" customFormat="false" ht="15" hidden="false" customHeight="false" outlineLevel="0" collapsed="false">
      <c r="A481" s="3" t="s">
        <v>357</v>
      </c>
      <c r="B481" s="3" t="n">
        <v>57</v>
      </c>
      <c r="C481" s="3" t="s">
        <v>143</v>
      </c>
      <c r="D481" s="3" t="n">
        <v>13</v>
      </c>
      <c r="E481" s="3" t="s">
        <v>81</v>
      </c>
      <c r="F481" s="3" t="s">
        <v>97</v>
      </c>
      <c r="G481" s="3" t="s">
        <v>79</v>
      </c>
      <c r="H481" s="3" t="s">
        <v>400</v>
      </c>
    </row>
    <row r="482" customFormat="false" ht="15" hidden="false" customHeight="false" outlineLevel="0" collapsed="false">
      <c r="A482" s="3" t="s">
        <v>357</v>
      </c>
      <c r="B482" s="3" t="n">
        <v>58</v>
      </c>
      <c r="C482" s="3" t="s">
        <v>143</v>
      </c>
      <c r="D482" s="3" t="n">
        <v>31</v>
      </c>
      <c r="E482" s="3" t="s">
        <v>78</v>
      </c>
      <c r="F482" s="3" t="s">
        <v>97</v>
      </c>
      <c r="G482" s="3" t="s">
        <v>79</v>
      </c>
      <c r="H482" s="3" t="s">
        <v>126</v>
      </c>
    </row>
    <row r="483" customFormat="false" ht="15" hidden="false" customHeight="false" outlineLevel="0" collapsed="false">
      <c r="A483" s="3" t="s">
        <v>357</v>
      </c>
      <c r="B483" s="3" t="n">
        <v>59</v>
      </c>
      <c r="C483" s="3" t="s">
        <v>143</v>
      </c>
      <c r="D483" s="3" t="n">
        <v>20</v>
      </c>
      <c r="E483" s="3" t="s">
        <v>78</v>
      </c>
      <c r="F483" s="3" t="s">
        <v>97</v>
      </c>
      <c r="G483" s="3" t="s">
        <v>79</v>
      </c>
      <c r="H483" s="3" t="s">
        <v>127</v>
      </c>
    </row>
    <row r="484" customFormat="false" ht="15" hidden="false" customHeight="false" outlineLevel="0" collapsed="false">
      <c r="A484" s="3" t="s">
        <v>357</v>
      </c>
      <c r="B484" s="3" t="n">
        <v>60</v>
      </c>
      <c r="C484" s="3" t="s">
        <v>143</v>
      </c>
      <c r="D484" s="3" t="n">
        <v>31</v>
      </c>
      <c r="E484" s="3" t="s">
        <v>78</v>
      </c>
      <c r="F484" s="3" t="s">
        <v>97</v>
      </c>
      <c r="G484" s="3" t="s">
        <v>79</v>
      </c>
      <c r="H484" s="3" t="s">
        <v>128</v>
      </c>
    </row>
    <row r="485" customFormat="false" ht="15" hidden="false" customHeight="false" outlineLevel="0" collapsed="false">
      <c r="A485" s="3" t="s">
        <v>357</v>
      </c>
      <c r="B485" s="3" t="n">
        <v>61</v>
      </c>
      <c r="C485" s="3" t="s">
        <v>143</v>
      </c>
      <c r="D485" s="3" t="n">
        <v>31</v>
      </c>
      <c r="E485" s="3" t="s">
        <v>78</v>
      </c>
      <c r="F485" s="3" t="s">
        <v>97</v>
      </c>
      <c r="G485" s="3" t="s">
        <v>79</v>
      </c>
      <c r="H485" s="3" t="s">
        <v>129</v>
      </c>
    </row>
    <row r="486" customFormat="false" ht="15" hidden="false" customHeight="false" outlineLevel="0" collapsed="false">
      <c r="A486" s="3" t="s">
        <v>357</v>
      </c>
      <c r="B486" s="3" t="n">
        <v>62</v>
      </c>
      <c r="C486" s="3" t="s">
        <v>143</v>
      </c>
      <c r="D486" s="3" t="n">
        <v>14</v>
      </c>
      <c r="E486" s="3" t="s">
        <v>78</v>
      </c>
      <c r="F486" s="3" t="s">
        <v>97</v>
      </c>
      <c r="G486" s="3" t="s">
        <v>79</v>
      </c>
      <c r="H486" s="3" t="s">
        <v>130</v>
      </c>
    </row>
    <row r="487" customFormat="false" ht="15" hidden="false" customHeight="false" outlineLevel="0" collapsed="false">
      <c r="A487" s="3" t="s">
        <v>357</v>
      </c>
      <c r="B487" s="3" t="n">
        <v>62</v>
      </c>
      <c r="C487" s="3" t="s">
        <v>143</v>
      </c>
      <c r="D487" s="3" t="n">
        <v>13</v>
      </c>
      <c r="E487" s="3" t="s">
        <v>81</v>
      </c>
      <c r="F487" s="3" t="s">
        <v>97</v>
      </c>
      <c r="G487" s="3" t="s">
        <v>79</v>
      </c>
      <c r="H487" s="3" t="s">
        <v>130</v>
      </c>
    </row>
    <row r="488" customFormat="false" ht="15" hidden="false" customHeight="false" outlineLevel="0" collapsed="false">
      <c r="A488" s="3" t="s">
        <v>357</v>
      </c>
      <c r="B488" s="3" t="n">
        <v>63</v>
      </c>
      <c r="C488" s="3" t="s">
        <v>143</v>
      </c>
      <c r="D488" s="3" t="n">
        <v>13</v>
      </c>
      <c r="E488" s="3" t="s">
        <v>78</v>
      </c>
      <c r="F488" s="3" t="s">
        <v>97</v>
      </c>
      <c r="G488" s="3" t="s">
        <v>79</v>
      </c>
      <c r="H488" s="3" t="s">
        <v>131</v>
      </c>
    </row>
    <row r="489" customFormat="false" ht="15" hidden="false" customHeight="false" outlineLevel="0" collapsed="false">
      <c r="A489" s="3" t="s">
        <v>357</v>
      </c>
      <c r="B489" s="3" t="n">
        <v>64</v>
      </c>
      <c r="C489" s="3" t="s">
        <v>143</v>
      </c>
      <c r="D489" s="3" t="n">
        <v>39</v>
      </c>
      <c r="E489" s="3" t="s">
        <v>78</v>
      </c>
      <c r="F489" s="3" t="s">
        <v>97</v>
      </c>
      <c r="G489" s="3" t="s">
        <v>79</v>
      </c>
      <c r="H489" s="3" t="s">
        <v>132</v>
      </c>
    </row>
    <row r="490" customFormat="false" ht="15" hidden="false" customHeight="false" outlineLevel="0" collapsed="false">
      <c r="A490" s="3" t="s">
        <v>357</v>
      </c>
      <c r="B490" s="3" t="n">
        <v>64</v>
      </c>
      <c r="C490" s="3" t="s">
        <v>143</v>
      </c>
      <c r="D490" s="3" t="n">
        <v>38</v>
      </c>
      <c r="E490" s="3" t="s">
        <v>81</v>
      </c>
      <c r="F490" s="3" t="s">
        <v>97</v>
      </c>
      <c r="G490" s="3" t="s">
        <v>79</v>
      </c>
      <c r="H490" s="3" t="s">
        <v>132</v>
      </c>
    </row>
    <row r="491" customFormat="false" ht="15" hidden="false" customHeight="false" outlineLevel="0" collapsed="false">
      <c r="A491" s="3" t="s">
        <v>357</v>
      </c>
      <c r="B491" s="3" t="n">
        <v>65</v>
      </c>
      <c r="C491" s="3" t="s">
        <v>143</v>
      </c>
      <c r="D491" s="3" t="n">
        <v>13</v>
      </c>
      <c r="E491" s="3" t="s">
        <v>78</v>
      </c>
      <c r="F491" s="3" t="s">
        <v>97</v>
      </c>
      <c r="G491" s="3" t="s">
        <v>79</v>
      </c>
      <c r="H491" s="3" t="s">
        <v>133</v>
      </c>
    </row>
    <row r="492" customFormat="false" ht="15" hidden="false" customHeight="false" outlineLevel="0" collapsed="false">
      <c r="A492" s="3" t="s">
        <v>357</v>
      </c>
      <c r="B492" s="3" t="n">
        <v>65</v>
      </c>
      <c r="C492" s="3" t="s">
        <v>143</v>
      </c>
      <c r="D492" s="3" t="n">
        <v>4</v>
      </c>
      <c r="E492" s="3" t="s">
        <v>81</v>
      </c>
      <c r="F492" s="3" t="s">
        <v>97</v>
      </c>
      <c r="G492" s="3" t="s">
        <v>79</v>
      </c>
      <c r="H492" s="3" t="s">
        <v>133</v>
      </c>
    </row>
    <row r="493" customFormat="false" ht="15" hidden="false" customHeight="false" outlineLevel="0" collapsed="false">
      <c r="A493" s="3" t="s">
        <v>401</v>
      </c>
      <c r="B493" s="3" t="n">
        <v>1</v>
      </c>
      <c r="C493" s="3" t="s">
        <v>143</v>
      </c>
      <c r="D493" s="3" t="n">
        <v>35</v>
      </c>
      <c r="E493" s="3" t="s">
        <v>78</v>
      </c>
      <c r="F493" s="3" t="s">
        <v>97</v>
      </c>
      <c r="G493" s="3" t="s">
        <v>97</v>
      </c>
      <c r="H493" s="3" t="s">
        <v>402</v>
      </c>
    </row>
    <row r="494" customFormat="false" ht="15" hidden="false" customHeight="false" outlineLevel="0" collapsed="false">
      <c r="A494" s="3" t="s">
        <v>401</v>
      </c>
      <c r="B494" s="3" t="n">
        <v>1</v>
      </c>
      <c r="C494" s="3" t="s">
        <v>143</v>
      </c>
      <c r="D494" s="3" t="n">
        <v>31</v>
      </c>
      <c r="E494" s="3" t="s">
        <v>81</v>
      </c>
      <c r="F494" s="3" t="s">
        <v>97</v>
      </c>
      <c r="G494" s="3" t="s">
        <v>97</v>
      </c>
      <c r="H494" s="3" t="s">
        <v>402</v>
      </c>
    </row>
    <row r="495" customFormat="false" ht="15" hidden="false" customHeight="false" outlineLevel="0" collapsed="false">
      <c r="A495" s="3" t="s">
        <v>401</v>
      </c>
      <c r="B495" s="3" t="n">
        <v>2</v>
      </c>
      <c r="C495" s="3" t="s">
        <v>143</v>
      </c>
      <c r="D495" s="3" t="n">
        <v>13</v>
      </c>
      <c r="E495" s="3" t="s">
        <v>78</v>
      </c>
      <c r="F495" s="3" t="s">
        <v>97</v>
      </c>
      <c r="G495" s="3" t="s">
        <v>97</v>
      </c>
      <c r="H495" s="3" t="s">
        <v>403</v>
      </c>
    </row>
    <row r="496" customFormat="false" ht="15" hidden="false" customHeight="false" outlineLevel="0" collapsed="false">
      <c r="A496" s="3" t="s">
        <v>401</v>
      </c>
      <c r="B496" s="3" t="n">
        <v>3</v>
      </c>
      <c r="C496" s="3" t="s">
        <v>143</v>
      </c>
      <c r="D496" s="3" t="n">
        <v>35</v>
      </c>
      <c r="E496" s="3" t="s">
        <v>78</v>
      </c>
      <c r="F496" s="3" t="s">
        <v>97</v>
      </c>
      <c r="G496" s="3" t="s">
        <v>97</v>
      </c>
      <c r="H496" s="3" t="e">
        <f aca="false">dx 2 y (x  1))</f>
        <v>#N/A</v>
      </c>
    </row>
    <row r="497" customFormat="false" ht="15" hidden="false" customHeight="false" outlineLevel="0" collapsed="false">
      <c r="A497" s="3" t="s">
        <v>401</v>
      </c>
      <c r="B497" s="3" t="n">
        <v>3</v>
      </c>
      <c r="C497" s="3" t="s">
        <v>143</v>
      </c>
      <c r="D497" s="3" t="n">
        <v>31</v>
      </c>
      <c r="E497" s="3" t="s">
        <v>81</v>
      </c>
      <c r="F497" s="3" t="s">
        <v>97</v>
      </c>
      <c r="G497" s="3" t="s">
        <v>97</v>
      </c>
      <c r="H497" s="3" t="e">
        <f aca="false">dx 2 y (x  1))</f>
        <v>#N/A</v>
      </c>
    </row>
    <row r="498" customFormat="false" ht="15" hidden="false" customHeight="false" outlineLevel="0" collapsed="false">
      <c r="A498" s="3" t="s">
        <v>401</v>
      </c>
      <c r="B498" s="3" t="n">
        <v>4</v>
      </c>
      <c r="C498" s="3" t="s">
        <v>143</v>
      </c>
      <c r="D498" s="3" t="n">
        <v>39</v>
      </c>
      <c r="E498" s="3" t="s">
        <v>78</v>
      </c>
      <c r="F498" s="3" t="s">
        <v>97</v>
      </c>
      <c r="G498" s="3" t="s">
        <v>97</v>
      </c>
      <c r="H498" s="3" t="s">
        <v>404</v>
      </c>
    </row>
    <row r="499" customFormat="false" ht="15" hidden="false" customHeight="false" outlineLevel="0" collapsed="false">
      <c r="A499" s="3" t="s">
        <v>401</v>
      </c>
      <c r="B499" s="3" t="n">
        <v>4</v>
      </c>
      <c r="C499" s="3" t="s">
        <v>143</v>
      </c>
      <c r="D499" s="3" t="n">
        <v>13</v>
      </c>
      <c r="E499" s="3" t="s">
        <v>81</v>
      </c>
      <c r="F499" s="3" t="s">
        <v>97</v>
      </c>
      <c r="G499" s="3" t="s">
        <v>97</v>
      </c>
      <c r="H499" s="3" t="s">
        <v>404</v>
      </c>
    </row>
    <row r="500" customFormat="false" ht="15" hidden="false" customHeight="false" outlineLevel="0" collapsed="false">
      <c r="A500" s="3" t="s">
        <v>401</v>
      </c>
      <c r="B500" s="3" t="n">
        <v>5</v>
      </c>
      <c r="C500" s="3" t="s">
        <v>143</v>
      </c>
      <c r="D500" s="3" t="n">
        <v>35</v>
      </c>
      <c r="E500" s="3" t="s">
        <v>78</v>
      </c>
      <c r="F500" s="3" t="s">
        <v>97</v>
      </c>
      <c r="G500" s="3" t="s">
        <v>97</v>
      </c>
      <c r="H500" s="3" t="s">
        <v>405</v>
      </c>
    </row>
    <row r="501" customFormat="false" ht="15" hidden="false" customHeight="false" outlineLevel="0" collapsed="false">
      <c r="A501" s="3" t="s">
        <v>401</v>
      </c>
      <c r="B501" s="3" t="n">
        <v>5</v>
      </c>
      <c r="C501" s="3" t="s">
        <v>143</v>
      </c>
      <c r="D501" s="3" t="n">
        <v>30</v>
      </c>
      <c r="E501" s="3" t="s">
        <v>81</v>
      </c>
      <c r="F501" s="3" t="s">
        <v>97</v>
      </c>
      <c r="G501" s="3" t="s">
        <v>97</v>
      </c>
      <c r="H501" s="3" t="s">
        <v>405</v>
      </c>
    </row>
    <row r="502" customFormat="false" ht="15" hidden="false" customHeight="false" outlineLevel="0" collapsed="false">
      <c r="A502" s="3" t="s">
        <v>401</v>
      </c>
      <c r="B502" s="3" t="n">
        <v>5</v>
      </c>
      <c r="C502" s="3" t="s">
        <v>143</v>
      </c>
      <c r="D502" s="3" t="n">
        <v>31</v>
      </c>
      <c r="E502" s="3" t="s">
        <v>81</v>
      </c>
      <c r="F502" s="3" t="s">
        <v>97</v>
      </c>
      <c r="G502" s="3" t="s">
        <v>97</v>
      </c>
      <c r="H502" s="3" t="s">
        <v>405</v>
      </c>
    </row>
    <row r="503" customFormat="false" ht="15" hidden="false" customHeight="false" outlineLevel="0" collapsed="false">
      <c r="A503" s="3" t="s">
        <v>401</v>
      </c>
      <c r="B503" s="3" t="n">
        <v>6</v>
      </c>
      <c r="C503" s="3" t="s">
        <v>143</v>
      </c>
      <c r="D503" s="3" t="n">
        <v>31</v>
      </c>
      <c r="E503" s="3" t="s">
        <v>78</v>
      </c>
      <c r="F503" s="3" t="s">
        <v>97</v>
      </c>
      <c r="G503" s="3" t="s">
        <v>97</v>
      </c>
      <c r="H503" s="3" t="s">
        <v>406</v>
      </c>
    </row>
    <row r="504" customFormat="false" ht="15" hidden="false" customHeight="false" outlineLevel="0" collapsed="false">
      <c r="A504" s="3" t="s">
        <v>401</v>
      </c>
      <c r="B504" s="3" t="n">
        <v>6</v>
      </c>
      <c r="C504" s="3" t="s">
        <v>143</v>
      </c>
      <c r="D504" s="3" t="n">
        <v>4</v>
      </c>
      <c r="E504" s="3" t="s">
        <v>81</v>
      </c>
      <c r="F504" s="3" t="s">
        <v>97</v>
      </c>
      <c r="G504" s="3" t="s">
        <v>97</v>
      </c>
      <c r="H504" s="3" t="s">
        <v>406</v>
      </c>
    </row>
    <row r="505" customFormat="false" ht="15" hidden="false" customHeight="false" outlineLevel="0" collapsed="false">
      <c r="A505" s="3" t="s">
        <v>401</v>
      </c>
      <c r="B505" s="3" t="n">
        <v>7</v>
      </c>
      <c r="C505" s="3" t="s">
        <v>143</v>
      </c>
      <c r="D505" s="3" t="n">
        <v>14</v>
      </c>
      <c r="E505" s="3" t="s">
        <v>78</v>
      </c>
      <c r="F505" s="3" t="s">
        <v>97</v>
      </c>
      <c r="G505" s="3" t="s">
        <v>97</v>
      </c>
      <c r="H505" s="3" t="s">
        <v>407</v>
      </c>
    </row>
    <row r="506" customFormat="false" ht="15" hidden="false" customHeight="false" outlineLevel="0" collapsed="false">
      <c r="A506" s="3" t="s">
        <v>401</v>
      </c>
      <c r="B506" s="3" t="n">
        <v>7</v>
      </c>
      <c r="C506" s="3" t="s">
        <v>143</v>
      </c>
      <c r="D506" s="3" t="n">
        <v>13</v>
      </c>
      <c r="E506" s="3" t="s">
        <v>81</v>
      </c>
      <c r="F506" s="3" t="s">
        <v>97</v>
      </c>
      <c r="G506" s="3" t="s">
        <v>97</v>
      </c>
      <c r="H506" s="3" t="s">
        <v>407</v>
      </c>
    </row>
    <row r="507" customFormat="false" ht="15" hidden="false" customHeight="false" outlineLevel="0" collapsed="false">
      <c r="A507" s="3" t="s">
        <v>401</v>
      </c>
      <c r="B507" s="3" t="n">
        <v>8</v>
      </c>
      <c r="C507" s="3" t="s">
        <v>143</v>
      </c>
      <c r="D507" s="3" t="n">
        <v>39</v>
      </c>
      <c r="E507" s="3" t="s">
        <v>78</v>
      </c>
      <c r="F507" s="3" t="s">
        <v>97</v>
      </c>
      <c r="G507" s="3" t="s">
        <v>97</v>
      </c>
      <c r="H507" s="3" t="s">
        <v>408</v>
      </c>
    </row>
    <row r="508" customFormat="false" ht="15" hidden="false" customHeight="false" outlineLevel="0" collapsed="false">
      <c r="A508" s="3" t="s">
        <v>401</v>
      </c>
      <c r="B508" s="3" t="n">
        <v>8</v>
      </c>
      <c r="C508" s="3" t="s">
        <v>143</v>
      </c>
      <c r="D508" s="3" t="n">
        <v>38</v>
      </c>
      <c r="E508" s="3" t="s">
        <v>81</v>
      </c>
      <c r="F508" s="3" t="s">
        <v>97</v>
      </c>
      <c r="G508" s="3" t="s">
        <v>97</v>
      </c>
      <c r="H508" s="3" t="s">
        <v>408</v>
      </c>
    </row>
    <row r="509" customFormat="false" ht="15" hidden="false" customHeight="false" outlineLevel="0" collapsed="false">
      <c r="A509" s="3" t="s">
        <v>401</v>
      </c>
      <c r="B509" s="3" t="n">
        <v>9</v>
      </c>
      <c r="C509" s="3" t="s">
        <v>143</v>
      </c>
      <c r="D509" s="3" t="n">
        <v>39</v>
      </c>
      <c r="E509" s="3" t="s">
        <v>78</v>
      </c>
      <c r="F509" s="3" t="s">
        <v>97</v>
      </c>
      <c r="G509" s="3" t="s">
        <v>97</v>
      </c>
      <c r="H509" s="3" t="s">
        <v>409</v>
      </c>
    </row>
    <row r="510" customFormat="false" ht="15" hidden="false" customHeight="false" outlineLevel="0" collapsed="false">
      <c r="A510" s="3" t="s">
        <v>401</v>
      </c>
      <c r="B510" s="3" t="n">
        <v>10</v>
      </c>
      <c r="C510" s="3" t="s">
        <v>143</v>
      </c>
      <c r="D510" s="3" t="n">
        <v>14</v>
      </c>
      <c r="E510" s="3" t="s">
        <v>78</v>
      </c>
      <c r="F510" s="3" t="s">
        <v>97</v>
      </c>
      <c r="G510" s="3" t="s">
        <v>97</v>
      </c>
      <c r="H510" s="3" t="s">
        <v>410</v>
      </c>
    </row>
    <row r="511" customFormat="false" ht="15" hidden="false" customHeight="false" outlineLevel="0" collapsed="false">
      <c r="A511" s="3" t="s">
        <v>401</v>
      </c>
      <c r="B511" s="3" t="n">
        <v>10</v>
      </c>
      <c r="C511" s="3" t="s">
        <v>143</v>
      </c>
      <c r="D511" s="3" t="n">
        <v>35</v>
      </c>
      <c r="E511" s="3" t="s">
        <v>81</v>
      </c>
      <c r="F511" s="3" t="s">
        <v>97</v>
      </c>
      <c r="G511" s="3" t="s">
        <v>97</v>
      </c>
      <c r="H511" s="3" t="s">
        <v>410</v>
      </c>
    </row>
    <row r="512" customFormat="false" ht="15" hidden="false" customHeight="false" outlineLevel="0" collapsed="false">
      <c r="A512" s="3" t="s">
        <v>401</v>
      </c>
      <c r="B512" s="3" t="n">
        <v>10</v>
      </c>
      <c r="C512" s="3" t="s">
        <v>143</v>
      </c>
      <c r="D512" s="3" t="n">
        <v>31</v>
      </c>
      <c r="E512" s="3" t="s">
        <v>81</v>
      </c>
      <c r="F512" s="3" t="s">
        <v>97</v>
      </c>
      <c r="G512" s="3" t="s">
        <v>97</v>
      </c>
      <c r="H512" s="3" t="s">
        <v>410</v>
      </c>
    </row>
    <row r="513" customFormat="false" ht="15" hidden="false" customHeight="false" outlineLevel="0" collapsed="false">
      <c r="A513" s="3" t="s">
        <v>401</v>
      </c>
      <c r="B513" s="3" t="n">
        <v>11</v>
      </c>
      <c r="C513" s="3" t="s">
        <v>143</v>
      </c>
      <c r="D513" s="3" t="n">
        <v>15</v>
      </c>
      <c r="E513" s="3" t="s">
        <v>78</v>
      </c>
      <c r="F513" s="3" t="s">
        <v>97</v>
      </c>
      <c r="G513" s="3" t="s">
        <v>97</v>
      </c>
      <c r="H513" s="3" t="s">
        <v>411</v>
      </c>
    </row>
    <row r="514" customFormat="false" ht="15" hidden="false" customHeight="false" outlineLevel="0" collapsed="false">
      <c r="A514" s="3" t="s">
        <v>401</v>
      </c>
      <c r="B514" s="3" t="n">
        <v>11</v>
      </c>
      <c r="C514" s="3" t="s">
        <v>143</v>
      </c>
      <c r="D514" s="3" t="n">
        <v>31</v>
      </c>
      <c r="E514" s="3" t="s">
        <v>81</v>
      </c>
      <c r="F514" s="3" t="s">
        <v>97</v>
      </c>
      <c r="G514" s="3" t="s">
        <v>97</v>
      </c>
      <c r="H514" s="3" t="s">
        <v>411</v>
      </c>
    </row>
    <row r="515" customFormat="false" ht="15" hidden="false" customHeight="false" outlineLevel="0" collapsed="false">
      <c r="A515" s="3" t="s">
        <v>401</v>
      </c>
      <c r="B515" s="3" t="n">
        <v>12</v>
      </c>
      <c r="C515" s="3" t="s">
        <v>143</v>
      </c>
      <c r="D515" s="3" t="n">
        <v>14</v>
      </c>
      <c r="E515" s="3" t="s">
        <v>78</v>
      </c>
      <c r="F515" s="3" t="s">
        <v>97</v>
      </c>
      <c r="G515" s="3" t="s">
        <v>97</v>
      </c>
      <c r="H515" s="3" t="s">
        <v>412</v>
      </c>
    </row>
    <row r="516" customFormat="false" ht="15" hidden="false" customHeight="false" outlineLevel="0" collapsed="false">
      <c r="A516" s="3" t="s">
        <v>401</v>
      </c>
      <c r="B516" s="3" t="n">
        <v>12</v>
      </c>
      <c r="C516" s="3" t="s">
        <v>143</v>
      </c>
      <c r="D516" s="3" t="n">
        <v>13</v>
      </c>
      <c r="E516" s="3" t="s">
        <v>81</v>
      </c>
      <c r="F516" s="3" t="s">
        <v>97</v>
      </c>
      <c r="G516" s="3" t="s">
        <v>97</v>
      </c>
      <c r="H516" s="3" t="s">
        <v>412</v>
      </c>
    </row>
    <row r="517" customFormat="false" ht="15" hidden="false" customHeight="false" outlineLevel="0" collapsed="false">
      <c r="A517" s="3" t="s">
        <v>401</v>
      </c>
      <c r="B517" s="3" t="n">
        <v>13</v>
      </c>
      <c r="C517" s="3" t="s">
        <v>143</v>
      </c>
      <c r="D517" s="3" t="n">
        <v>34</v>
      </c>
      <c r="E517" s="3" t="s">
        <v>78</v>
      </c>
      <c r="F517" s="3" t="s">
        <v>97</v>
      </c>
      <c r="G517" s="3" t="s">
        <v>97</v>
      </c>
      <c r="H517" s="3" t="s">
        <v>413</v>
      </c>
    </row>
    <row r="518" customFormat="false" ht="15" hidden="false" customHeight="false" outlineLevel="0" collapsed="false">
      <c r="A518" s="3" t="s">
        <v>401</v>
      </c>
      <c r="B518" s="3" t="n">
        <v>13</v>
      </c>
      <c r="C518" s="3" t="s">
        <v>143</v>
      </c>
      <c r="D518" s="3" t="n">
        <v>30</v>
      </c>
      <c r="E518" s="3" t="s">
        <v>81</v>
      </c>
      <c r="F518" s="3" t="s">
        <v>97</v>
      </c>
      <c r="G518" s="3" t="s">
        <v>97</v>
      </c>
      <c r="H518" s="3" t="s">
        <v>413</v>
      </c>
    </row>
    <row r="519" customFormat="false" ht="15" hidden="false" customHeight="false" outlineLevel="0" collapsed="false">
      <c r="A519" s="3" t="s">
        <v>401</v>
      </c>
      <c r="B519" s="3" t="n">
        <v>14</v>
      </c>
      <c r="C519" s="3" t="s">
        <v>143</v>
      </c>
      <c r="D519" s="3" t="n">
        <v>14</v>
      </c>
      <c r="E519" s="3" t="s">
        <v>78</v>
      </c>
      <c r="F519" s="3" t="s">
        <v>97</v>
      </c>
      <c r="G519" s="3" t="s">
        <v>97</v>
      </c>
      <c r="H519" s="3" t="s">
        <v>414</v>
      </c>
    </row>
    <row r="520" customFormat="false" ht="15" hidden="false" customHeight="false" outlineLevel="0" collapsed="false">
      <c r="A520" s="3" t="s">
        <v>401</v>
      </c>
      <c r="B520" s="3" t="n">
        <v>14</v>
      </c>
      <c r="C520" s="3" t="s">
        <v>143</v>
      </c>
      <c r="D520" s="3" t="n">
        <v>13</v>
      </c>
      <c r="E520" s="3" t="s">
        <v>81</v>
      </c>
      <c r="F520" s="3" t="s">
        <v>97</v>
      </c>
      <c r="G520" s="3" t="s">
        <v>97</v>
      </c>
      <c r="H520" s="3" t="s">
        <v>414</v>
      </c>
    </row>
    <row r="521" customFormat="false" ht="15" hidden="false" customHeight="false" outlineLevel="0" collapsed="false">
      <c r="A521" s="3" t="s">
        <v>401</v>
      </c>
      <c r="B521" s="3" t="n">
        <v>15</v>
      </c>
      <c r="C521" s="3" t="s">
        <v>143</v>
      </c>
      <c r="D521" s="3" t="n">
        <v>14</v>
      </c>
      <c r="E521" s="3" t="s">
        <v>78</v>
      </c>
      <c r="F521" s="3" t="s">
        <v>97</v>
      </c>
      <c r="G521" s="3" t="s">
        <v>97</v>
      </c>
      <c r="H521" s="3" t="s">
        <v>415</v>
      </c>
    </row>
    <row r="522" customFormat="false" ht="15" hidden="false" customHeight="false" outlineLevel="0" collapsed="false">
      <c r="A522" s="3" t="s">
        <v>401</v>
      </c>
      <c r="B522" s="3" t="n">
        <v>15</v>
      </c>
      <c r="C522" s="3" t="s">
        <v>143</v>
      </c>
      <c r="D522" s="3" t="n">
        <v>25</v>
      </c>
      <c r="E522" s="3" t="s">
        <v>81</v>
      </c>
      <c r="F522" s="3" t="s">
        <v>97</v>
      </c>
      <c r="G522" s="3" t="s">
        <v>97</v>
      </c>
      <c r="H522" s="3" t="s">
        <v>415</v>
      </c>
    </row>
    <row r="523" customFormat="false" ht="15" hidden="false" customHeight="false" outlineLevel="0" collapsed="false">
      <c r="A523" s="3" t="s">
        <v>401</v>
      </c>
      <c r="B523" s="3" t="n">
        <v>16</v>
      </c>
      <c r="C523" s="3" t="s">
        <v>143</v>
      </c>
      <c r="D523" s="3" t="n">
        <v>16</v>
      </c>
      <c r="E523" s="3" t="s">
        <v>78</v>
      </c>
      <c r="F523" s="3" t="s">
        <v>97</v>
      </c>
      <c r="G523" s="3" t="s">
        <v>97</v>
      </c>
      <c r="H523" s="3" t="s">
        <v>416</v>
      </c>
    </row>
    <row r="524" customFormat="false" ht="15" hidden="false" customHeight="false" outlineLevel="0" collapsed="false">
      <c r="A524" s="3" t="s">
        <v>401</v>
      </c>
      <c r="B524" s="3" t="n">
        <v>16</v>
      </c>
      <c r="C524" s="3" t="s">
        <v>143</v>
      </c>
      <c r="D524" s="3" t="n">
        <v>13</v>
      </c>
      <c r="E524" s="3" t="s">
        <v>81</v>
      </c>
      <c r="F524" s="3" t="s">
        <v>97</v>
      </c>
      <c r="G524" s="3" t="s">
        <v>97</v>
      </c>
      <c r="H524" s="3" t="s">
        <v>416</v>
      </c>
    </row>
    <row r="525" customFormat="false" ht="15" hidden="false" customHeight="false" outlineLevel="0" collapsed="false">
      <c r="A525" s="3" t="s">
        <v>401</v>
      </c>
      <c r="B525" s="3" t="n">
        <v>17</v>
      </c>
      <c r="C525" s="3" t="s">
        <v>143</v>
      </c>
      <c r="D525" s="3" t="n">
        <v>16</v>
      </c>
      <c r="E525" s="3" t="s">
        <v>78</v>
      </c>
      <c r="F525" s="3" t="s">
        <v>97</v>
      </c>
      <c r="G525" s="3" t="s">
        <v>97</v>
      </c>
      <c r="H525" s="3" t="s">
        <v>417</v>
      </c>
    </row>
    <row r="526" customFormat="false" ht="15" hidden="false" customHeight="false" outlineLevel="0" collapsed="false">
      <c r="A526" s="3" t="s">
        <v>401</v>
      </c>
      <c r="B526" s="3" t="n">
        <v>17</v>
      </c>
      <c r="C526" s="3" t="s">
        <v>143</v>
      </c>
      <c r="D526" s="3" t="n">
        <v>31</v>
      </c>
      <c r="E526" s="3" t="s">
        <v>81</v>
      </c>
      <c r="F526" s="3" t="s">
        <v>97</v>
      </c>
      <c r="G526" s="3" t="s">
        <v>97</v>
      </c>
      <c r="H526" s="3" t="s">
        <v>417</v>
      </c>
    </row>
    <row r="527" customFormat="false" ht="15" hidden="false" customHeight="false" outlineLevel="0" collapsed="false">
      <c r="A527" s="3" t="s">
        <v>401</v>
      </c>
      <c r="B527" s="3" t="n">
        <v>18</v>
      </c>
      <c r="C527" s="3" t="s">
        <v>143</v>
      </c>
      <c r="D527" s="3" t="n">
        <v>14</v>
      </c>
      <c r="E527" s="3" t="s">
        <v>78</v>
      </c>
      <c r="F527" s="3" t="s">
        <v>97</v>
      </c>
      <c r="G527" s="3" t="s">
        <v>97</v>
      </c>
      <c r="H527" s="3" t="s">
        <v>418</v>
      </c>
    </row>
    <row r="528" customFormat="false" ht="15" hidden="false" customHeight="false" outlineLevel="0" collapsed="false">
      <c r="A528" s="3" t="s">
        <v>401</v>
      </c>
      <c r="B528" s="3" t="n">
        <v>18</v>
      </c>
      <c r="C528" s="3" t="s">
        <v>143</v>
      </c>
      <c r="D528" s="3" t="n">
        <v>31</v>
      </c>
      <c r="E528" s="3" t="s">
        <v>81</v>
      </c>
      <c r="F528" s="3" t="s">
        <v>97</v>
      </c>
      <c r="G528" s="3" t="s">
        <v>97</v>
      </c>
      <c r="H528" s="3" t="s">
        <v>418</v>
      </c>
    </row>
    <row r="529" customFormat="false" ht="15" hidden="false" customHeight="false" outlineLevel="0" collapsed="false">
      <c r="A529" s="3" t="s">
        <v>401</v>
      </c>
      <c r="B529" s="3" t="n">
        <v>19</v>
      </c>
      <c r="C529" s="3" t="s">
        <v>143</v>
      </c>
      <c r="D529" s="3" t="n">
        <v>31</v>
      </c>
      <c r="E529" s="3" t="s">
        <v>78</v>
      </c>
      <c r="F529" s="3" t="s">
        <v>97</v>
      </c>
      <c r="G529" s="3" t="s">
        <v>97</v>
      </c>
      <c r="H529" s="3" t="s">
        <v>419</v>
      </c>
    </row>
    <row r="530" customFormat="false" ht="15" hidden="false" customHeight="false" outlineLevel="0" collapsed="false">
      <c r="A530" s="3" t="s">
        <v>401</v>
      </c>
      <c r="B530" s="3" t="n">
        <v>20</v>
      </c>
      <c r="C530" s="3" t="s">
        <v>143</v>
      </c>
      <c r="D530" s="3" t="n">
        <v>16</v>
      </c>
      <c r="E530" s="3" t="s">
        <v>78</v>
      </c>
      <c r="F530" s="3" t="s">
        <v>97</v>
      </c>
      <c r="G530" s="3" t="s">
        <v>97</v>
      </c>
      <c r="H530" s="3" t="s">
        <v>420</v>
      </c>
    </row>
    <row r="531" customFormat="false" ht="15" hidden="false" customHeight="false" outlineLevel="0" collapsed="false">
      <c r="A531" s="3" t="s">
        <v>401</v>
      </c>
      <c r="B531" s="3" t="n">
        <v>20</v>
      </c>
      <c r="C531" s="3" t="s">
        <v>143</v>
      </c>
      <c r="D531" s="3" t="n">
        <v>13</v>
      </c>
      <c r="E531" s="3" t="s">
        <v>81</v>
      </c>
      <c r="F531" s="3" t="s">
        <v>97</v>
      </c>
      <c r="G531" s="3" t="s">
        <v>97</v>
      </c>
      <c r="H531" s="3" t="s">
        <v>420</v>
      </c>
    </row>
    <row r="532" customFormat="false" ht="15" hidden="false" customHeight="false" outlineLevel="0" collapsed="false">
      <c r="A532" s="3" t="s">
        <v>401</v>
      </c>
      <c r="B532" s="3" t="n">
        <v>21</v>
      </c>
      <c r="C532" s="3" t="s">
        <v>143</v>
      </c>
      <c r="D532" s="3" t="n">
        <v>32</v>
      </c>
      <c r="E532" s="3" t="s">
        <v>78</v>
      </c>
      <c r="F532" s="3" t="s">
        <v>97</v>
      </c>
      <c r="G532" s="3" t="s">
        <v>97</v>
      </c>
      <c r="H532" s="3" t="s">
        <v>421</v>
      </c>
    </row>
    <row r="533" customFormat="false" ht="15" hidden="false" customHeight="false" outlineLevel="0" collapsed="false">
      <c r="A533" s="3" t="s">
        <v>401</v>
      </c>
      <c r="B533" s="3" t="n">
        <v>21</v>
      </c>
      <c r="C533" s="3" t="s">
        <v>143</v>
      </c>
      <c r="D533" s="3" t="n">
        <v>31</v>
      </c>
      <c r="E533" s="3" t="s">
        <v>81</v>
      </c>
      <c r="F533" s="3" t="s">
        <v>97</v>
      </c>
      <c r="G533" s="3" t="s">
        <v>97</v>
      </c>
      <c r="H533" s="3" t="s">
        <v>421</v>
      </c>
    </row>
    <row r="534" customFormat="false" ht="15" hidden="false" customHeight="false" outlineLevel="0" collapsed="false">
      <c r="A534" s="3" t="s">
        <v>401</v>
      </c>
      <c r="B534" s="3" t="n">
        <v>22</v>
      </c>
      <c r="C534" s="3" t="s">
        <v>143</v>
      </c>
      <c r="D534" s="3" t="n">
        <v>13</v>
      </c>
      <c r="E534" s="3" t="s">
        <v>78</v>
      </c>
      <c r="F534" s="3" t="s">
        <v>97</v>
      </c>
      <c r="G534" s="3" t="s">
        <v>97</v>
      </c>
      <c r="H534" s="3" t="s">
        <v>422</v>
      </c>
    </row>
    <row r="535" customFormat="false" ht="15" hidden="false" customHeight="false" outlineLevel="0" collapsed="false">
      <c r="A535" s="3" t="s">
        <v>401</v>
      </c>
      <c r="B535" s="3" t="n">
        <v>23</v>
      </c>
      <c r="C535" s="3" t="s">
        <v>143</v>
      </c>
      <c r="D535" s="3" t="n">
        <v>9</v>
      </c>
      <c r="E535" s="3" t="s">
        <v>78</v>
      </c>
      <c r="F535" s="3" t="s">
        <v>97</v>
      </c>
      <c r="G535" s="3" t="s">
        <v>97</v>
      </c>
      <c r="H535" s="3" t="s">
        <v>423</v>
      </c>
    </row>
    <row r="536" customFormat="false" ht="15" hidden="false" customHeight="false" outlineLevel="0" collapsed="false">
      <c r="A536" s="3" t="s">
        <v>401</v>
      </c>
      <c r="B536" s="3" t="n">
        <v>23</v>
      </c>
      <c r="C536" s="3" t="s">
        <v>143</v>
      </c>
      <c r="D536" s="3" t="n">
        <v>8</v>
      </c>
      <c r="E536" s="3" t="s">
        <v>81</v>
      </c>
      <c r="F536" s="3" t="s">
        <v>97</v>
      </c>
      <c r="G536" s="3" t="s">
        <v>97</v>
      </c>
      <c r="H536" s="3" t="s">
        <v>423</v>
      </c>
    </row>
    <row r="537" customFormat="false" ht="15" hidden="false" customHeight="false" outlineLevel="0" collapsed="false">
      <c r="A537" s="3" t="s">
        <v>401</v>
      </c>
      <c r="B537" s="3" t="n">
        <v>24</v>
      </c>
      <c r="C537" s="3" t="s">
        <v>143</v>
      </c>
      <c r="D537" s="3" t="n">
        <v>13</v>
      </c>
      <c r="E537" s="3" t="s">
        <v>78</v>
      </c>
      <c r="F537" s="3" t="s">
        <v>97</v>
      </c>
      <c r="G537" s="3" t="s">
        <v>97</v>
      </c>
      <c r="H537" s="3" t="s">
        <v>424</v>
      </c>
    </row>
    <row r="538" customFormat="false" ht="15" hidden="false" customHeight="false" outlineLevel="0" collapsed="false">
      <c r="A538" s="3" t="s">
        <v>401</v>
      </c>
      <c r="B538" s="3" t="n">
        <v>25</v>
      </c>
      <c r="C538" s="3" t="s">
        <v>143</v>
      </c>
      <c r="D538" s="3" t="n">
        <v>31</v>
      </c>
      <c r="E538" s="3" t="s">
        <v>78</v>
      </c>
      <c r="F538" s="3" t="s">
        <v>97</v>
      </c>
      <c r="G538" s="3" t="s">
        <v>97</v>
      </c>
      <c r="H538" s="3" t="s">
        <v>425</v>
      </c>
    </row>
    <row r="539" customFormat="false" ht="15" hidden="false" customHeight="false" outlineLevel="0" collapsed="false">
      <c r="A539" s="3" t="s">
        <v>401</v>
      </c>
      <c r="B539" s="3" t="n">
        <v>26</v>
      </c>
      <c r="C539" s="3" t="s">
        <v>143</v>
      </c>
      <c r="D539" s="3" t="n">
        <v>31</v>
      </c>
      <c r="E539" s="3" t="s">
        <v>78</v>
      </c>
      <c r="F539" s="3" t="s">
        <v>97</v>
      </c>
      <c r="G539" s="3" t="s">
        <v>97</v>
      </c>
      <c r="H539" s="3" t="s">
        <v>426</v>
      </c>
    </row>
    <row r="540" customFormat="false" ht="15" hidden="false" customHeight="false" outlineLevel="0" collapsed="false">
      <c r="A540" s="3" t="s">
        <v>401</v>
      </c>
      <c r="B540" s="3" t="n">
        <v>27</v>
      </c>
      <c r="C540" s="3" t="s">
        <v>143</v>
      </c>
      <c r="D540" s="3" t="n">
        <v>31</v>
      </c>
      <c r="E540" s="3" t="s">
        <v>78</v>
      </c>
      <c r="F540" s="3" t="s">
        <v>97</v>
      </c>
      <c r="G540" s="3" t="s">
        <v>97</v>
      </c>
      <c r="H540" s="3" t="s">
        <v>427</v>
      </c>
    </row>
    <row r="541" customFormat="false" ht="15" hidden="false" customHeight="false" outlineLevel="0" collapsed="false">
      <c r="A541" s="3" t="s">
        <v>401</v>
      </c>
      <c r="B541" s="3" t="n">
        <v>28</v>
      </c>
      <c r="C541" s="3" t="s">
        <v>143</v>
      </c>
      <c r="D541" s="3" t="n">
        <v>15</v>
      </c>
      <c r="E541" s="3" t="s">
        <v>78</v>
      </c>
      <c r="F541" s="3" t="s">
        <v>97</v>
      </c>
      <c r="G541" s="3" t="s">
        <v>97</v>
      </c>
      <c r="H541" s="3" t="s">
        <v>428</v>
      </c>
    </row>
    <row r="542" customFormat="false" ht="15" hidden="false" customHeight="false" outlineLevel="0" collapsed="false">
      <c r="A542" s="3" t="s">
        <v>401</v>
      </c>
      <c r="B542" s="3" t="n">
        <v>28</v>
      </c>
      <c r="C542" s="3" t="s">
        <v>143</v>
      </c>
      <c r="D542" s="3" t="n">
        <v>31</v>
      </c>
      <c r="E542" s="3" t="s">
        <v>81</v>
      </c>
      <c r="F542" s="3" t="s">
        <v>97</v>
      </c>
      <c r="G542" s="3" t="s">
        <v>97</v>
      </c>
      <c r="H542" s="3" t="s">
        <v>428</v>
      </c>
    </row>
    <row r="543" customFormat="false" ht="15" hidden="false" customHeight="false" outlineLevel="0" collapsed="false">
      <c r="A543" s="3" t="s">
        <v>401</v>
      </c>
      <c r="B543" s="3" t="n">
        <v>29</v>
      </c>
      <c r="C543" s="3" t="s">
        <v>143</v>
      </c>
      <c r="D543" s="3" t="n">
        <v>15</v>
      </c>
      <c r="E543" s="3" t="s">
        <v>78</v>
      </c>
      <c r="F543" s="3" t="s">
        <v>97</v>
      </c>
      <c r="G543" s="3" t="s">
        <v>97</v>
      </c>
      <c r="H543" s="3" t="s">
        <v>429</v>
      </c>
    </row>
    <row r="544" customFormat="false" ht="15" hidden="false" customHeight="false" outlineLevel="0" collapsed="false">
      <c r="A544" s="3" t="s">
        <v>401</v>
      </c>
      <c r="B544" s="3" t="n">
        <v>29</v>
      </c>
      <c r="C544" s="3" t="s">
        <v>143</v>
      </c>
      <c r="D544" s="3" t="n">
        <v>31</v>
      </c>
      <c r="E544" s="3" t="s">
        <v>81</v>
      </c>
      <c r="F544" s="3" t="s">
        <v>97</v>
      </c>
      <c r="G544" s="3" t="s">
        <v>97</v>
      </c>
      <c r="H544" s="3" t="s">
        <v>429</v>
      </c>
    </row>
    <row r="545" customFormat="false" ht="15" hidden="false" customHeight="false" outlineLevel="0" collapsed="false">
      <c r="A545" s="3" t="s">
        <v>401</v>
      </c>
      <c r="B545" s="3" t="n">
        <v>30</v>
      </c>
      <c r="C545" s="3" t="s">
        <v>143</v>
      </c>
      <c r="D545" s="3" t="n">
        <v>15</v>
      </c>
      <c r="E545" s="3" t="s">
        <v>78</v>
      </c>
      <c r="F545" s="3" t="s">
        <v>97</v>
      </c>
      <c r="G545" s="3" t="s">
        <v>97</v>
      </c>
      <c r="H545" s="3" t="s">
        <v>430</v>
      </c>
    </row>
    <row r="546" customFormat="false" ht="15" hidden="false" customHeight="false" outlineLevel="0" collapsed="false">
      <c r="A546" s="3" t="s">
        <v>401</v>
      </c>
      <c r="B546" s="3" t="n">
        <v>30</v>
      </c>
      <c r="C546" s="3" t="s">
        <v>143</v>
      </c>
      <c r="D546" s="3" t="n">
        <v>31</v>
      </c>
      <c r="E546" s="3" t="s">
        <v>81</v>
      </c>
      <c r="F546" s="3" t="s">
        <v>97</v>
      </c>
      <c r="G546" s="3" t="s">
        <v>97</v>
      </c>
      <c r="H546" s="3" t="s">
        <v>430</v>
      </c>
    </row>
    <row r="547" customFormat="false" ht="15" hidden="false" customHeight="false" outlineLevel="0" collapsed="false">
      <c r="A547" s="3" t="s">
        <v>401</v>
      </c>
      <c r="B547" s="3" t="n">
        <v>31</v>
      </c>
      <c r="C547" s="3" t="s">
        <v>143</v>
      </c>
      <c r="D547" s="3" t="n">
        <v>11</v>
      </c>
      <c r="E547" s="3" t="s">
        <v>78</v>
      </c>
      <c r="F547" s="3" t="s">
        <v>97</v>
      </c>
      <c r="G547" s="3" t="s">
        <v>97</v>
      </c>
      <c r="H547" s="3" t="s">
        <v>431</v>
      </c>
    </row>
    <row r="548" customFormat="false" ht="15" hidden="false" customHeight="false" outlineLevel="0" collapsed="false">
      <c r="A548" s="3" t="s">
        <v>401</v>
      </c>
      <c r="B548" s="3" t="n">
        <v>31</v>
      </c>
      <c r="C548" s="3" t="s">
        <v>143</v>
      </c>
      <c r="D548" s="3" t="n">
        <v>13</v>
      </c>
      <c r="E548" s="3" t="s">
        <v>81</v>
      </c>
      <c r="F548" s="3" t="s">
        <v>97</v>
      </c>
      <c r="G548" s="3" t="s">
        <v>97</v>
      </c>
      <c r="H548" s="3" t="s">
        <v>431</v>
      </c>
    </row>
    <row r="549" customFormat="false" ht="15" hidden="false" customHeight="false" outlineLevel="0" collapsed="false">
      <c r="A549" s="3" t="s">
        <v>401</v>
      </c>
      <c r="B549" s="3" t="n">
        <v>31</v>
      </c>
      <c r="C549" s="3" t="s">
        <v>143</v>
      </c>
      <c r="D549" s="3" t="n">
        <v>30</v>
      </c>
      <c r="E549" s="3" t="s">
        <v>81</v>
      </c>
      <c r="F549" s="3" t="s">
        <v>97</v>
      </c>
      <c r="G549" s="3" t="s">
        <v>97</v>
      </c>
      <c r="H549" s="3" t="s">
        <v>431</v>
      </c>
    </row>
    <row r="550" customFormat="false" ht="15" hidden="false" customHeight="false" outlineLevel="0" collapsed="false">
      <c r="A550" s="3" t="s">
        <v>401</v>
      </c>
      <c r="B550" s="3" t="n">
        <v>31</v>
      </c>
      <c r="C550" s="3" t="s">
        <v>143</v>
      </c>
      <c r="D550" s="3" t="n">
        <v>31</v>
      </c>
      <c r="E550" s="3" t="s">
        <v>81</v>
      </c>
      <c r="F550" s="3" t="s">
        <v>97</v>
      </c>
      <c r="G550" s="3" t="s">
        <v>97</v>
      </c>
      <c r="H550" s="3" t="s">
        <v>431</v>
      </c>
    </row>
    <row r="551" customFormat="false" ht="15" hidden="false" customHeight="false" outlineLevel="0" collapsed="false">
      <c r="A551" s="3" t="s">
        <v>401</v>
      </c>
      <c r="B551" s="3" t="n">
        <v>31</v>
      </c>
      <c r="C551" s="3" t="s">
        <v>143</v>
      </c>
      <c r="D551" s="3" t="n">
        <v>39</v>
      </c>
      <c r="E551" s="3" t="s">
        <v>81</v>
      </c>
      <c r="F551" s="3" t="s">
        <v>97</v>
      </c>
      <c r="G551" s="3" t="s">
        <v>97</v>
      </c>
      <c r="H551" s="3" t="s">
        <v>431</v>
      </c>
    </row>
    <row r="552" customFormat="false" ht="15" hidden="false" customHeight="false" outlineLevel="0" collapsed="false">
      <c r="A552" s="3" t="s">
        <v>401</v>
      </c>
      <c r="B552" s="3" t="n">
        <v>32</v>
      </c>
      <c r="C552" s="3" t="s">
        <v>143</v>
      </c>
      <c r="D552" s="3" t="n">
        <v>13</v>
      </c>
      <c r="E552" s="3" t="s">
        <v>78</v>
      </c>
      <c r="F552" s="3" t="s">
        <v>97</v>
      </c>
      <c r="G552" s="3" t="s">
        <v>97</v>
      </c>
      <c r="H552" s="3" t="s">
        <v>432</v>
      </c>
    </row>
    <row r="553" customFormat="false" ht="15" hidden="false" customHeight="false" outlineLevel="0" collapsed="false">
      <c r="A553" s="3" t="s">
        <v>401</v>
      </c>
      <c r="B553" s="3" t="n">
        <v>33</v>
      </c>
      <c r="C553" s="3" t="s">
        <v>143</v>
      </c>
      <c r="D553" s="3" t="n">
        <v>13</v>
      </c>
      <c r="E553" s="3" t="s">
        <v>78</v>
      </c>
      <c r="F553" s="3" t="s">
        <v>97</v>
      </c>
      <c r="G553" s="3" t="s">
        <v>97</v>
      </c>
      <c r="H553" s="3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68</v>
      </c>
      <c r="B1" s="1" t="s">
        <v>69</v>
      </c>
      <c r="C1" s="1" t="s">
        <v>75</v>
      </c>
    </row>
    <row r="2" customFormat="false" ht="15" hidden="false" customHeight="false" outlineLevel="0" collapsed="false">
      <c r="A2" s="3" t="s">
        <v>267</v>
      </c>
      <c r="B2" s="3" t="n">
        <v>54</v>
      </c>
      <c r="C2" s="3" t="s">
        <v>434</v>
      </c>
    </row>
    <row r="3" customFormat="false" ht="15" hidden="false" customHeight="false" outlineLevel="0" collapsed="false">
      <c r="A3" s="3" t="s">
        <v>267</v>
      </c>
      <c r="B3" s="3" t="n">
        <v>55</v>
      </c>
      <c r="C3" s="3" t="s">
        <v>435</v>
      </c>
    </row>
    <row r="4" customFormat="false" ht="15" hidden="false" customHeight="false" outlineLevel="0" collapsed="false">
      <c r="A4" s="3" t="s">
        <v>267</v>
      </c>
      <c r="B4" s="3" t="n">
        <v>57</v>
      </c>
      <c r="C4" s="3" t="s">
        <v>436</v>
      </c>
    </row>
    <row r="5" customFormat="false" ht="15" hidden="false" customHeight="false" outlineLevel="0" collapsed="false">
      <c r="A5" s="3" t="s">
        <v>267</v>
      </c>
      <c r="B5" s="3" t="n">
        <v>58</v>
      </c>
      <c r="C5" s="3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438</v>
      </c>
    </row>
    <row r="3" customFormat="false" ht="15" hidden="false" customHeight="false" outlineLevel="0" collapsed="false">
      <c r="A3" s="5" t="s">
        <v>439</v>
      </c>
      <c r="B3" s="6" t="n">
        <v>13</v>
      </c>
    </row>
    <row r="4" customFormat="false" ht="15" hidden="false" customHeight="false" outlineLevel="0" collapsed="false">
      <c r="A4" s="5" t="s">
        <v>440</v>
      </c>
      <c r="B4" s="6" t="n">
        <v>10</v>
      </c>
    </row>
    <row r="5" customFormat="false" ht="15" hidden="false" customHeight="false" outlineLevel="0" collapsed="false">
      <c r="A5" s="5" t="s">
        <v>441</v>
      </c>
      <c r="B5" s="6" t="n">
        <v>1</v>
      </c>
    </row>
    <row r="7" customFormat="false" ht="15" hidden="false" customHeight="false" outlineLevel="0" collapsed="false">
      <c r="A7" s="7" t="s">
        <v>442</v>
      </c>
    </row>
    <row r="8" customFormat="false" ht="15" hidden="false" customHeight="false" outlineLevel="0" collapsed="false">
      <c r="A8" s="7" t="s">
        <v>443</v>
      </c>
    </row>
    <row r="9" customFormat="false" ht="15" hidden="false" customHeight="false" outlineLevel="0" collapsed="false">
      <c r="A9" s="7" t="s">
        <v>444</v>
      </c>
    </row>
    <row r="10" customFormat="false" ht="15" hidden="false" customHeight="false" outlineLevel="0" collapsed="false">
      <c r="A10" s="7" t="s">
        <v>445</v>
      </c>
    </row>
    <row r="11" customFormat="false" ht="15" hidden="false" customHeight="false" outlineLevel="0" collapsed="false">
      <c r="A11" s="7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2026-10-18T05:39:20Z</dcterms:created>
  <dc:creator>openpyxl</dc:creator>
  <dc:description/>
  <dc:language>en-US</dc:language>
  <cp:lastModifiedBy/>
  <dcterms:modified xsi:type="dcterms:W3CDTF">2026-10-18T05:39:20Z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