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<sst xmlns="http://schemas.openxmlformats.org/spreadsheetml/2006/main" count="2232" uniqueCount="350">
  <si>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</si>
  <si>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</si>
  <si>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</si>
  <si>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</si>
  <si>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</si>
  <si>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</si>
  <si>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</si>
  <si>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</si>
  <si>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</si>
  <si>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</si>
  <si>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</si>
  <si>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Ellipse: Introduction</t>
  </si>
  <si>
    <t xml:space="preserve">What is the condition for general equation of 2nd degree curve to represent an ellipse?</t>
  </si>
  <si>
    <t xml:space="preserve">Original</t>
  </si>
  <si>
    <t xml:space="preserve">What is the definition of ellipse?</t>
  </si>
  <si>
    <t xml:space="preserve">What is the equation of standard ellipse? and what is the relation between a and b?</t>
  </si>
  <si>
    <t xml:space="preserve">Define major axis/minor axis, foci, vertices, center, principal axes for an ellipse.</t>
  </si>
  <si>
    <t xml:space="preserve">Define focal distance/focal radius, focal chord, double ordinate, latus rectum for an ellipse.</t>
  </si>
  <si>
    <t xml:space="preserve">What is the formula of eccentricity?</t>
  </si>
  <si>
    <t xml:space="preserve">Write expression for b in terms of a and e.</t>
  </si>
  <si>
    <t xml:space="preserve">What are the coordinates of ends of latus rectum and length of latus rectum for standard ellipse?</t>
  </si>
  <si>
    <t xml:space="preserve">What is the relation between length of LR, e and distance between focus and corresponding directrix for an ellipse?</t>
  </si>
  <si>
    <t xml:space="preserve">How to find focal distance of a point on an ellipse?</t>
  </si>
  <si>
    <t xml:space="preserve">How to check whether two ellipses are similar?</t>
  </si>
  <si>
    <t xml:space="preserve">What is the effect on shape of ellipse if we increase eccentricity?</t>
  </si>
  <si>
    <t xml:space="preserve">Auxiliary Circle and Eccentric Angle</t>
  </si>
  <si>
    <t xml:space="preserve">Define auxiliary circle for an ellipse.</t>
  </si>
  <si>
    <t xml:space="preserve">What is the equation of auxiliary circle for standard ellipse?</t>
  </si>
  <si>
    <t xml:space="preserve">What are parametric coordinates of a point on standard ellipse?</t>
  </si>
  <si>
    <t xml:space="preserve">What is eccentric angle of a point on ellipse?</t>
  </si>
  <si>
    <t xml:space="preserve">Define corresponding points.</t>
  </si>
  <si>
    <t xml:space="preserve">How to find the locus when a point has coordinates of the form (p\cos\theta,\ q\sin\theta) - e.g. a point dividing a rod sliding on the axes, or dividing the ordinate of a circle in a fixed ratio?</t>
  </si>
  <si>
    <t xml:space="preserve">Added</t>
  </si>
  <si>
    <t xml:space="preserve">J-II:3, J-II:28, J-II:96, J-M(XIII):42, QB:107</t>
  </si>
  <si>
    <t xml:space="preserve">Standard Ellipses</t>
  </si>
  <si>
    <t xml:space="preserve">What does 'everything' mean for an ellipse?</t>
  </si>
  <si>
    <t xml:space="preserve">Rephrased</t>
  </si>
  <si>
    <t xml:space="preserve">Find everything for standard ellipse.</t>
  </si>
  <si>
    <t xml:space="preserve">Find everything for standard ellipse (vertical).</t>
  </si>
  <si>
    <t xml:space="preserve">Plot both types of standard ellipse and mark everything for them.</t>
  </si>
  <si>
    <t xml:space="preserve">Find everything for ellipse if equation is given in PS = e PM form.</t>
  </si>
  <si>
    <t xml:space="preserve">How is the equation of a shifted ellipse represented?</t>
  </si>
  <si>
    <t xml:space="preserve">How to observe whether equation of a 2nd degree curve represents shifted ellipse?</t>
  </si>
  <si>
    <t xml:space="preserve">Find everything for shifted ellipse.</t>
  </si>
  <si>
    <t xml:space="preserve">How to find equation of shifted ellipse if some details about it are given?</t>
  </si>
  <si>
    <t xml:space="preserve">Two fixed circles C1 and C2 are such that C2 is contained in C1. What is the locus of center of a variable circle which touches C1 internally and C2 externally?</t>
  </si>
  <si>
    <t xml:space="preserve">Find everything for ellipse if equation is given in PS1 + PS2 = 2a form.</t>
  </si>
  <si>
    <t xml:space="preserve">Alternate Definition of Ellipse</t>
  </si>
  <si>
    <t xml:space="preserve">Derive alternate definition of ellipse.</t>
  </si>
  <si>
    <t xml:space="preserve">Find everything for ellipse if equation is given in alternate definition form.</t>
  </si>
  <si>
    <t xml:space="preserve">Position of a Point w.r.t. Ellipse</t>
  </si>
  <si>
    <t xml:space="preserve">Which region is called inside/outside w.r.t. an ellipse?</t>
  </si>
  <si>
    <t xml:space="preserve">Write S, S1 and T for standard ellipse.</t>
  </si>
  <si>
    <t xml:space="preserve">How to find relative position of a point w.r.t. an ellipse?</t>
  </si>
  <si>
    <t xml:space="preserve">Chord Joining Two Points</t>
  </si>
  <si>
    <t xml:space="preserve">Write expression of equation of chord joining two points P(\alpha) and Q(\beta).</t>
  </si>
  <si>
    <t xml:space="preserve">Line and Ellipse</t>
  </si>
  <si>
    <t xml:space="preserve">What is condition of tangency for standard ellipse? and how is it used?</t>
  </si>
  <si>
    <t xml:space="preserve">How to apply condition of tangency for different type of standard ellipses?</t>
  </si>
  <si>
    <t xml:space="preserve">Director Circle</t>
  </si>
  <si>
    <t xml:space="preserve">What is equation of director circle for a standard ellipse?</t>
  </si>
  <si>
    <t xml:space="preserve">Derive equation of director circle of standard ellipse.</t>
  </si>
  <si>
    <t xml:space="preserve">How to find locus of a variable external point P for which condition on slope of tangents drawn from P to ellipse is given?</t>
  </si>
  <si>
    <t xml:space="preserve">Tangent &amp; Normal</t>
  </si>
  <si>
    <t xml:space="preserve">How to find equation of tangent for an ellipse if point of tangency is given?</t>
  </si>
  <si>
    <t xml:space="preserve">How to find equation of tangent for an ellipse if any other condition other than point of tangency is given?</t>
  </si>
  <si>
    <t xml:space="preserve">What is the equation of tangent at a point, whose coordinates are given in parametric form, on standard ellipse?</t>
  </si>
  <si>
    <t xml:space="preserve">How to find equation of tangent to standard ellipse passing through an external point?</t>
  </si>
  <si>
    <t xml:space="preserve">How to find point of tangency if equation of tangent is given?</t>
  </si>
  <si>
    <t xml:space="preserve">How to find equation of normal for a standard ellipse if foot of normal is given?</t>
  </si>
  <si>
    <t xml:space="preserve">Write expression for equation of normal to standard ellipse in terms of eccentric angle \theta.</t>
  </si>
  <si>
    <t xml:space="preserve">How to find the condition for a line to be a normal to standard ellipse?</t>
  </si>
  <si>
    <t xml:space="preserve">How to find point of intersection of tangents drawn at P(\alpha) and Q(\beta) on standard ellipse?</t>
  </si>
  <si>
    <t xml:space="preserve">How to find minimum distance between a point and standard ellipse?</t>
  </si>
  <si>
    <t xml:space="preserve">How to find minimum distance between a line and standard ellipse?</t>
  </si>
  <si>
    <t xml:space="preserve">What is the position of a line w.r.t. ellipse corresponding to number of common points between them?</t>
  </si>
  <si>
    <t xml:space="preserve">Common Concepts</t>
  </si>
  <si>
    <t xml:space="preserve">Write expression for equation of chord whose mid point is given for standard ellipse.</t>
  </si>
  <si>
    <t xml:space="preserve">Write expression for equation of chord of contact for standard ellipse.</t>
  </si>
  <si>
    <t xml:space="preserve">How to find mid point of a chord of standard ellipse whose equation is given?</t>
  </si>
  <si>
    <t xml:space="preserve">How to find external point for a chord of contact for standard ellipse if equation of chord of contact is given?</t>
  </si>
  <si>
    <t xml:space="preserve">Write expression for combined equation of pair of tangents for standard ellipse.</t>
  </si>
  <si>
    <t xml:space="preserve">Write expression for equation of polar for standard ellipse.</t>
  </si>
  <si>
    <t xml:space="preserve">What does T = 0 represent for a point, according to its position relative to standard ellipse?</t>
  </si>
  <si>
    <t xml:space="preserve">How to find coordinates of pole of a given line?</t>
  </si>
  <si>
    <t xml:space="preserve">From any variable point on a fixed line, tangents are drawn to the ellipse; then the chord of contact will pass through which point?</t>
  </si>
  <si>
    <t xml:space="preserve">Derive equation of diameter for standard ellipse.</t>
  </si>
  <si>
    <t xml:space="preserve">Highlights</t>
  </si>
  <si>
    <t xml:space="preserve">What is the sum of focal distances of any point on ellipse?</t>
  </si>
  <si>
    <t xml:space="preserve">What is the product of length of perpendiculars drawn from foci on any variable tangent to the ellipse?</t>
  </si>
  <si>
    <t xml:space="preserve">What angle does portion of tangent intercepted between directrix and point of tangency subtend at focus?</t>
  </si>
  <si>
    <t xml:space="preserve">What is the relation between auxiliary circle and circle drawn on any focal distance as diameter?</t>
  </si>
  <si>
    <t xml:space="preserve">Where does foot of perpendicular from focus on any tangent to ellipse lie?</t>
  </si>
  <si>
    <t xml:space="preserve">Explain reflection property of Ellipse.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</si>
  <si>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</si>
  <si>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</si>
  <si>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</si>
  <si>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</si>
  <si>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</si>
  <si>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</si>
  <si>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</si>
  <si>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</si>
  <si>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</si>
  <si>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</si>
  <si>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</si>
  <si>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</si>
  <si>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The graph of the equation x + y = x3 + y3 is the union of :</t>
  </si>
  <si>
    <t xml:space="preserve">A focus of an ellipse is at the origin. The directrix is the line x = 4 and the eccentricity is . Then the length of the 2 semi-major axis i</t>
  </si>
  <si>
    <t xml:space="preserve">The ellipse x2 + 4y2 = 4 is inscribed in a rectangle aligned with the coordinate axes, which in turn is inscribed in another ellipse that pa</t>
  </si>
  <si>
    <t xml:space="preserve">Also</t>
  </si>
  <si>
    <t xml:space="preserve">An ellipse is drawn by taking a diameter of the circle (x – 1)2 + y2 = 1 as its semi-minor axis and a diameter of the circle x2 + (y – 2)2 =</t>
  </si>
  <si>
    <t xml:space="preserve">The foci of the ellipse + = 1 and the hyperbola – = coincide. Then the value of b2 is : 16 b 2 144 81 25 x2 y2 x2 y2 1 25 16 b 144 81</t>
  </si>
  <si>
    <t xml:space="preserve">A hyperbola, having the transverse axis of length 2 sin , is confocal with the ellipse 3x2 + 4y2 = 12. Then its equation is : d hl ehd j . </t>
  </si>
  <si>
    <t xml:space="preserve">Let a and b be non-zero real numbers. Then, the equation (ax2 + by2 + c) (x2 – 5xy + 6y2) = 0 represents :</t>
  </si>
  <si>
    <t xml:space="preserve">The point on the ellipse x2 + 2y2 = 6, whose distance from the line x + y = 7 is minimum is :</t>
  </si>
  <si>
    <t xml:space="preserve">The locus of the foot of perpendicular drawn from the centre of the ellipse x2 + 3y2 = 6 on any tangent to it is : [JEE(Main)2014]</t>
  </si>
  <si>
    <t xml:space="preserve">Equation of the common tangent to the ellipses,  = 1 and  = 1, is : a 2  b 2 b2 a 2 a 2  b2 x2 y2 x2 y2 a 2  b 2 b2 a 2 a 2  b2</t>
  </si>
  <si>
    <t xml:space="preserve">Two sets A and B are as under : A = {(a, b)  R × R : |a – 5| &lt; 1 and |b – 5| &lt; 1}: B{(a, b)  R × R: 4(a – 6)2 + 9(b – 5)2  36}. Then : [J</t>
  </si>
  <si>
    <t xml:space="preserve">A tangent to the ellipse   1 with centre C meets its director circle at P and Q. Then the product of the 9 4 slopes of CP and CQ, is : x 2</t>
  </si>
  <si>
    <t xml:space="preserve">The normal at a variable point P on an ellipse  = 1 of eccentricity e meets the axes of the ellipse in Q and a 2 b2 R then the locus of the</t>
  </si>
  <si>
    <t xml:space="preserve">The line passing through the extremity A of the major axis and extremity B of the minor axis of the ellipse x2 + 9y2 = 9 meets its auxiliary</t>
  </si>
  <si>
    <t xml:space="preserve">The normal at a point P on the ellipse x2 + 4y2 = 16 meets the x-axis at Q. If M is the mid point of the line segment PQ, then the locus of </t>
  </si>
  <si>
    <t xml:space="preserve">I f  &amp;  are the eccentric angles of the extremities of a focal chord of an standard ellipse, then the eccentricity of the ellipse is : cos</t>
  </si>
  <si>
    <t xml:space="preserve">If P is any point on ellipse with foci S1 &amp; S2 and eccentricity is such that  PS1S2 =  PS2S1 = , 2    S1PS2 =  , then cot , co</t>
  </si>
  <si>
    <t xml:space="preserve">J-II</t>
  </si>
  <si>
    <t xml:space="preserve">Find the equation of the ellipse with its centre (1, 2), focus at (6, 2) and passing through the point (4, 6).</t>
  </si>
  <si>
    <t xml:space="preserve">An ellipse passes through the points ( 3, 1) &amp; (2, 2) &amp; its principal axis are along the coordinate axes in order. Find its equation.</t>
  </si>
  <si>
    <t xml:space="preserve">‘ O’ is the origin &amp; also the centre of two concentric circles having radii of the inner &amp; the outer circle as ‘ a’ &amp; ‘ b’ respectively. A l</t>
  </si>
  <si>
    <t xml:space="preserve">Suppose x and y are real numbers and that x2 + 9y2 – 4x + 6y + 4 = 0 then find the maximum value of (4x – 9y).</t>
  </si>
  <si>
    <t xml:space="preserve">A circle intersects an ellipse  = 1 precisely at three points A, B, C as shown in the figure. AB is a diameter a 2 b2 of the circle and is </t>
  </si>
  <si>
    <t xml:space="preserve">If any two chords be drawn through two points on the major axis of an ellipse equidistant from the centre, show     that tan ·tan ·tan ·</t>
  </si>
  <si>
    <t xml:space="preserve">Tangents drawn from the point P(2, 3) to the circle x2 + y2 – 8x + 6y + 1 = 0 touch the circle at the points A and ( x  5) 2  y  32 B. T</t>
  </si>
  <si>
    <t xml:space="preserve">The tangent at any point P of a circle x2 + y2 = a2 meets the tangent at a fixed pointA (a, 0) in T and T is joined to B, the other end of t</t>
  </si>
  <si>
    <t xml:space="preserve">If s, s' are the length of the perpendicular on a tangent from the foci, a, a' are those from the vertices, x 2 y2 ss'c 2 c i s t h a t f r</t>
  </si>
  <si>
    <t xml:space="preserve">Prove that the equation to the circle, having double contact with the ellipse   1 (with a 2 b2 eccentricity e) at the ends of a latus rect</t>
  </si>
  <si>
    <t xml:space="preserve">Find the equations of the lines with equal intercepts on the axes &amp; which touch the ellipse   1. 16 9 x 2 y2 16 9</t>
  </si>
  <si>
    <t xml:space="preserve">A tangent having slope  to the ellipse   1, intersects the axis of x &amp; y in points A &amp; B respectively. If 3 18 32 O is the origin, find t</t>
  </si>
  <si>
    <t xml:space="preserve">Find the equation of the largest circle with centre (1, 0) that can be inscribed in the ellipse x2 + 4y2 = 16. 11</t>
  </si>
  <si>
    <t xml:space="preserve">Find the equation of the common tangent in 1st quadrant to the circle x2 + y2 = 16 and the ellipse  = 1. 25 4 Also find the length of the i</t>
  </si>
  <si>
    <t xml:space="preserve">Consider the family of circles, x2 + y2 = r2, 2 &lt; r &lt; 5. If in the first quadrant, the common tangent to a circle of the family and the elli</t>
  </si>
  <si>
    <t xml:space="preserve">Find the number of integral values of parameter 'a' for which three chords of the ellipse + = 1 (other than 2a 2 a2  a2  its diameter) pas</t>
  </si>
  <si>
    <t xml:space="preserve">Let d be the perpendicular distance from the centre of the ellipse   1 to the tangent drawn at a point P on a 2 b2  b2  the ellipse.If F</t>
  </si>
  <si>
    <t xml:space="preserve">An ellipse has foci at F1(9, 20) and F2(49, 55) in the xy-plane and is tangent to the x-axis. Find the length of its major axis. Kkr dhft,A</t>
  </si>
  <si>
    <t xml:space="preserve">A conic C satisfies the differential equation, (1 + y2) dx  xy dy = 0 and passes through the point (1, 0). An ellipse E which is confocal w</t>
  </si>
  <si>
    <t xml:space="preserve">The coordinates of A and B are : [JEE-2010]  8 2 161   9 8      8 2 161   9 8    5 5  8 2 161  9 8   5 15   5 5  8 2</t>
  </si>
  <si>
    <t xml:space="preserve">The orthocenter of the triangle PAB is :  8  7 25   11 8   8 7  7 5 8   5 5  25 5 </t>
  </si>
  <si>
    <t xml:space="preserve">The equation of the locus of the point whose distances from the point P and the line AB are equal, is :</t>
  </si>
  <si>
    <t xml:space="preserve">Let p and q be non-zero real numbers. Then the equation (px2 + qy2 + r)(4x2 + 4y2 – 8x – 4) = 0 represents :</t>
  </si>
  <si>
    <t xml:space="preserve">In a triangle ABC with fixed base BC, the vertex A moves such that cos B + cos C = 4 sin2 . If a, b and c 2 denote the lengths of the sides </t>
  </si>
  <si>
    <t xml:space="preserve">An ellipse intersects the hyperbola 2x2 – 2y2 = 1 orthogonally. The eccentricity of the ellipse is reciprocal of that of the hyperbola. If t</t>
  </si>
  <si>
    <t xml:space="preserve">Let the eccentricity of the hyperbola 2  2  1 be reciprocal to that of the ellipse x2 + 4y2 = 4. If the hyperbola a b passes through a foc</t>
  </si>
  <si>
    <t xml:space="preserve">If a hyperbola passes through the focus of the ellipse   1 and its transverse and coincides with the major 25 16 and minor axis of the ell</t>
  </si>
  <si>
    <t xml:space="preserve">Let P(x1, y1) and Q(x2, y2), y1 &lt; 0, y2 &lt; 0, be the end points of the latus rectum of the ellipse x2 + 4y2 = 4. The equations of parabolas w</t>
  </si>
  <si>
    <t xml:space="preserve">Match the following column : Column-I Column-II and the hyperbola 3x2 – y2 = 48, is circle (x – 1)2 + (y – 1)2 = 1, is x2 4 then the maximum</t>
  </si>
  <si>
    <t xml:space="preserve">Identify the conic whose equations are given in column-I : Column-I Column-II (Equation of a conic) (Nature of conic) (E) 4x2 – 4xy + y2 – 1</t>
  </si>
  <si>
    <t xml:space="preserve">Match the following column : Column-I Column-II 1 2 2x – 3y = 6 on the X-axis and the straight line 4x + 5y = 20 on the Y-axis and whose pri</t>
  </si>
  <si>
    <t xml:space="preserve">Match the following column : Column-I Column-II 2 2 y = 4ax touches the parabola x = 4by, the locus of P is x2 + y2 – 2(t2 – 3t + 1)x – 2(t2</t>
  </si>
  <si>
    <t xml:space="preserve">Match the following column : Column-I Column-II 2 2 x y 9 4 the point P in the first quadrant meets the y-axis in Q and the chord A'P meets </t>
  </si>
  <si>
    <t xml:space="preserve">J-A</t>
  </si>
  <si>
    <t xml:space="preserve">Y</t>
  </si>
  <si>
    <t xml:space="preserve">The ellipse E1 :   1 is inscribed in a rectangle R whose sides are parallel to the coordinate axes. Another 9 4 ellipse E2 passing through</t>
  </si>
  <si>
    <t xml:space="preserve">A vertical line passing through the point (h, 0) intersects the ellipse   1 at the point P and Q. Let the 4 3 max  ( h) and tangents to t</t>
  </si>
  <si>
    <t xml:space="preserve">Suppose that the foci of the ellipse   1 are (f1, 0) and (f2, 0) where f1 &gt; 0 and f2 &lt; 0. Let P1 and P2 be two 9 5 parabolas with a common</t>
  </si>
  <si>
    <t xml:space="preserve">Let E1 and E2 be two ellipses whose centers are at the origin. The major axes of E1 and E2 lie along the x-axis and the y-axis, respectively</t>
  </si>
  <si>
    <t xml:space="preserve">The orthocentre of the triangle F1MN is : [JEE(Adv.)2016]  9  2  9  2   10  3   10  3 </t>
  </si>
  <si>
    <t xml:space="preserve">If the tangents to the ellipse at M and N meet at R and the normal to the parabola at M meets the x-axis at Q, then the ratio of area of the</t>
  </si>
  <si>
    <t xml:space="preserve">The tangent to a suitable conic (Column 1) at ( 3, ) is found to be 3x + 2y = 4, then which of the following 2 options is the only CORRECT c</t>
  </si>
  <si>
    <t xml:space="preserve">Consider two straight lines, each of which is tangent to both the circle x  y  and the parabola 2 y2 = 4x. Let these lines intersect at th</t>
  </si>
  <si>
    <t xml:space="preserve">Define the collections {E 1,E 2,E 3.......} of ellipses and {R 1,R 2,R 3.......} of rectangles as follows x 2 y2 E1 =   1; 9 4 R 1 : recta</t>
  </si>
  <si>
    <t xml:space="preserve">Let a, b and l be positive real numbers. Suppose P is an end point of the latus rectum of the parabola y2 = 4l x, x 2 y2 and suppose the ell</t>
  </si>
  <si>
    <t xml:space="preserve">Let E be the ellipse   1. For any three distinct points P, Q and Q' On E, let M (P, Q) be the mid-point of 16 9 the line segment joining P</t>
  </si>
  <si>
    <t xml:space="preserve">Consider the ellipse x2 y 2   1. 4 3 Let H(, 0), 0 &lt;  &lt; 2, be a point. A straight line drawn through H parallel to the y-axis crosses th</t>
  </si>
  <si>
    <t xml:space="preserve">Let T1 and T2 be two distinct common tangents to the ellipse E :   1 and the parabola P : y 2  12x . 6 3 Suppose that the tangent T1 touc</t>
  </si>
  <si>
    <t xml:space="preserve">Consider the ellipse   1 . Let S(p, q) be a point in the first quadrant such that   1 . Two tangents 9 4 9 4 are drawn from S to the ell</t>
  </si>
  <si>
    <t xml:space="preserve">C-I</t>
  </si>
  <si>
    <t xml:space="preserve">The locus of the middle point of the intercept of the tangents drawn from an external point to the ellipse x2 + 2y2 = 2, between the coordin</t>
  </si>
  <si>
    <t xml:space="preserve">The minimum area of triangle formed by the tangent to the ellipse 2  2 = 1 and coordinate axes is : a b a 2  b2 (a  b) 2 a 2  ab  b 2 2</t>
  </si>
  <si>
    <t xml:space="preserve">If a number of ellipse be described having the same major axis 2a but a variable minor axis then the tangents at the ends of their latus rec</t>
  </si>
  <si>
    <t xml:space="preserve">C-II</t>
  </si>
  <si>
    <t xml:space="preserve">The tangent at the point  on a standard ellipse meets the auxiliary circle in two points which subtends a right angle at the centre. Show t</t>
  </si>
  <si>
    <t xml:space="preserve">If the normal at the point P() to the ellipse   1 , intersects it again at the point Q(2), show that 14 5 cos = – (2/3). x 2 y2 14 5 c</t>
  </si>
  <si>
    <t xml:space="preserve">Let circles C1 and C2 on Argand plane be given by | z + 1 | = 3 and | z – 2 | = 7 respectively. If a variable circle | z – z0 | = r be insid</t>
  </si>
  <si>
    <t xml:space="preserve">If the tangent at any point of an ellipse 2  2  1 makes an angle  with the major axis and an angle  with the a b focal radius of the poi</t>
  </si>
  <si>
    <t xml:space="preserve">PG is the normal to a standard ellipse at P, G being on the major axis. GP is produced outwards to Q so that a 2  b2 PQ = GP. Show that the</t>
  </si>
  <si>
    <t xml:space="preserve">A normal inclined at 45° to the axis of the ellipse   1 is drawn. It meets the x-axis &amp; the y-axis in P &amp; Q a 2 b2 (a 2  b 2 )2 respectiv</t>
  </si>
  <si>
    <t xml:space="preserve">A tangent to the ellipse x2 + 4y2 = 4 meets the ellipse x2 + 2y2 = 6 at P &amp; Q. Prove that the tangents at P &amp; Q of the ellipse x2 + 2y2 = 6 </t>
  </si>
  <si>
    <t xml:space="preserve">A tangent to the ellipse   1 touches at the point P on it in the first quadrant &amp; meets the coordinate axes a 2 b2 in A &amp; B respectively. </t>
  </si>
  <si>
    <t xml:space="preserve">Let Pi and Pi' be the feet of the perpendiculars drawn from foci S, S' on a tangent Ti to an ellipse whose length 10 of semi-major axis is 2</t>
  </si>
  <si>
    <t xml:space="preserve">An ellipse x2 + 4y2 = 4 is rotated anticlockwise through a right angle in its own plane about its centre. If the locus of the point of inter</t>
  </si>
  <si>
    <t xml:space="preserve">Line L1 is parallel to the line L2. Slope of L1 is 9. Also L3 is parallel to L4. Slope of L4 is . All these lines touch 25 x 2 y2 the ellips</t>
  </si>
  <si>
    <t xml:space="preserve">Given the equation of the ellipse   1 , a parabola is such that its vertex is the lowest point of the 16 49 ellipse and it passes through </t>
  </si>
  <si>
    <t xml:space="preserve">Rectangle ABCD has area 200. An ellipse with area 200 passes through A and C and has foci at B and D. Find the perimeter of the rectangle.</t>
  </si>
  <si>
    <t xml:space="preserve">Consider the parabola y2 = 4x and the ellipse 2x2 + y2 = 6, intersecting at P and Q. (a) Prove that the two curves are orthogonal. (b) Find </t>
  </si>
  <si>
    <t xml:space="preserve">Consider the ellipse   1 with centre 'O' where a &gt; b &gt; 0. Tangent at any point P on the ellipse meets the a 2 b2 coordinate axes at X and </t>
  </si>
  <si>
    <t xml:space="preserve">A straight line AB touches the ellipse   1 &amp; the circle x2 + y2 = r2; where a &gt; r &gt; b. A focal chord of the a 2 b2 ellipse, parallel to AB</t>
  </si>
  <si>
    <t xml:space="preserve">A ray emanating from the point ( 4, 0) is incident on the ellipse 9x2 + 25y2 = 225 at the point P with abscissa 3. Find the equation of the</t>
  </si>
  <si>
    <t xml:space="preserve">Variable pairs of chords at right angles are drawn through any point P (with eccentric angle /4) on the ellipse x2  y 2 = 1, to meet the e</t>
  </si>
  <si>
    <t xml:space="preserve">Let C 1 and C 2 be two circles with C 2 lying inside C 1. A circle C lying inside C 1 t ouches C1 internally and C2externally. Identify the </t>
  </si>
  <si>
    <t xml:space="preserve">Find the condition so that the line px + qy = r intersects the ellipse 2  2 = 1 in points whose eccentric angles a b  differ by . 4 x 2 y2</t>
  </si>
  <si>
    <t xml:space="preserve">Prove that, in an ellipse   1 , the perpendicular from a focus upon any tangent and the line joining the a 2 b2 centre of the ellipse to t</t>
  </si>
  <si>
    <t xml:space="preserve">An ellipse and a hyperbola have their principal axes along the coordinate axes and have a common foci separated by a distance 2 13 , the dif</t>
  </si>
  <si>
    <t xml:space="preserve">Consider two concentric circles S1 : | z | = 1 and S2 : | z | = 2 on the Argand plane. A variable parabola is drawn through the points where</t>
  </si>
  <si>
    <t xml:space="preserve">Match the properties given in column-I with the corresponding curves given in the column-II. Column-I Column-II from two given points is con</t>
  </si>
  <si>
    <t xml:space="preserve">Consider an ellipse   1 with centre C and a point P on it with eccentric angle . Normal drawn at P 25 9 4 intersects the major and minor a</t>
  </si>
  <si>
    <t xml:space="preserve">Match the conics in Column I with the statements/expressions in Column II : [JEE-2009] Column I Column II x2 + y2 = 4  1 t2  2t , y  1</t>
  </si>
  <si>
    <t xml:space="preserve">J-M(XII)</t>
  </si>
  <si>
    <t xml:space="preserve">A ray of light through (2, 1) is reflected at a point P on the y-axis and then passes through the point (5,3). If this reflected ray is the </t>
  </si>
  <si>
    <t xml:space="preserve">L et S1 : x2 + y2 = 9 and S2 : (x–2)2 + y2 = 1 . Then the locus of center of a variable circle S which touches S1 internally and S2 external</t>
  </si>
  <si>
    <t xml:space="preserve">Let E1 : 2  2 = 1, a &gt; b. Let E2 be another ellipse such that it touches the end points of major axis of E1 and a b the foci of E2 are the </t>
  </si>
  <si>
    <t xml:space="preserve">Let an ellipse E : 2 + 2 = 1, a &gt; b , passes through  2 ,1 and has eccentricity 2 2 . If a circle, centered at a b   3 2 focus F(, 0)</t>
  </si>
  <si>
    <t xml:space="preserve">If a tangent to the ellipse x2 + 4y2 = 4 meets the tangents at the extremities of its major axis at B and C, then the circle with BC as diam</t>
  </si>
  <si>
    <t xml:space="preserve">Let E be an ellipse whose axes are parallel to the co-ordinates axes, having its center at (3, –4), one focus at (4, – 4) and one vertex at </t>
  </si>
  <si>
    <t xml:space="preserve">On the ellipse   1 let P be a point in the second quadrant such that the tangent at P to ellipse is perpendicular 8 4 to the line x + 2y =</t>
  </si>
  <si>
    <t xml:space="preserve">The line 12x cos  + 5y sin  = 60 is tangent to which of the following curves? [JEE(Main)Aug.2021] 2 2 2 2</t>
  </si>
  <si>
    <t xml:space="preserve">The locus of mid-points of the line segments joining (–3, –5) and the points on the ellipse   1 is : 4 9 [JEE(Main)Aug.2021] x 2 y2 4 9 [J</t>
  </si>
  <si>
    <t xml:space="preserve">If the minimum area of the triangle formed by a tangent to the ellipse 2  2  1 and the co-ordinate axis is kab, b 4a then k is equal to___</t>
  </si>
  <si>
    <t xml:space="preserve">Let the common tangents to the curves 4(x2 +y2) = 9 and y2 = 4x intersect at the point Q. Let an ellipse, centrered at the origin O, has len</t>
  </si>
  <si>
    <t xml:space="preserve">The line y = x + 1 meets the ellipse   1 at two points P and Q. If r is the radius of the circle with PQ as 4 2 diameter then (3r)2 is equ</t>
  </si>
  <si>
    <t xml:space="preserve">If m is the slope of a common tangent to the curves   1 and x2 + y2 = 12, then 12m2 is equal to: 16 9 [JEE(Main)June2022] x 2 y2 16 9 [JEE</t>
  </si>
  <si>
    <t xml:space="preserve">The locus of the mid point of the line segment joining the point (4, 3) and the points on the ellipse x2 + 2y2 = 4 is an ellipse with ecentr</t>
  </si>
  <si>
    <t xml:space="preserve">Let the ecentricity of an ellipse 2   = 1, a &gt; b, e = . If this ellipse passes through the point  4 ,3  a b2 4  5  , then a2 + b2 is</t>
  </si>
  <si>
    <t xml:space="preserve">Let PQ be a focal chord of the parabola y2 = 4x such that it subtends an angle of at the point (3, 0). Let the line 2 x 2 y2 segment PQ be a</t>
  </si>
  <si>
    <t xml:space="preserve">If two tangents drawn from a point () lying on the ellipse 25x2 + 4y2 = 1 to the parabola y2 = 4x are such that the slope of one tangent</t>
  </si>
  <si>
    <t xml:space="preserve">Let the hyperbola H: 2  y2  1 and the ellipse E : 3x2 + 4y2 = 12 be such that the length of latus rectum of H is a equal to the length of </t>
  </si>
  <si>
    <t xml:space="preserve">If the ellipse 2  2  1 meets the line   1 on the x-axis and the line   1 on the a b 7 2 6 7 2 6 y-axis, then the eccentricity of the e</t>
  </si>
  <si>
    <t xml:space="preserve">The acute angle between the pair of tangents drawn to the ellipse 2x2 + 3y2 = 5 from the point (1, 3) is: [JEE(Main)July2022]  16   24  </t>
  </si>
  <si>
    <t xml:space="preserve">Let a line L pass through the point of intersection of the lines bx + 10y – 8 = 0 and 2x – 3y = 0, b  R –   . If 3 the line L also pass</t>
  </si>
  <si>
    <t xml:space="preserve">If the length of the latus rectum of the ellipse x2 + 4y2 + 2x + 8y –  = 0 is 4, and l is the length of its major axis, then  + l is equal</t>
  </si>
  <si>
    <t xml:space="preserve">Let the tangents at the points P and Q on the ellipse 2  4  1 meet at the point R  2, 2 2  2  . If S is the focus of the ellipse on its</t>
  </si>
  <si>
    <t xml:space="preserve">Let the foci of the ellipse   1 and the hyperbola   coincide. Then the length of the latus 16 7 144  25 rectum of the hyperbola is : [J</t>
  </si>
  <si>
    <t xml:space="preserve">An ellipse E : 2  2  1 passes through the vertices of the hyperbola H :   1 . Let the major and a b 49 64 minor axes of the ellipse E c</t>
  </si>
  <si>
    <t xml:space="preserve">A common tangent T to the curve C1   1 and C2 :   1 does not pass through the fourth quadrant. 4 9 42 143 I f T touches C1 at (x1, y1) a</t>
  </si>
  <si>
    <t xml:space="preserve">For the hyperbola H : x2 – y2 = 1 and the ellipse E :   1 , a &gt; b &gt; 0, let the a 2 b2 (1) eccentricity of E be reciprocal of the eccentric</t>
  </si>
  <si>
    <t xml:space="preserve">J-M(XIII)</t>
  </si>
  <si>
    <t xml:space="preserve">If the tangent at a point P on the parabola y2 = 3x is parallel to the line x + 2y = 1 and the tangents at the points Q and x 2 y2 R on the </t>
  </si>
  <si>
    <t xml:space="preserve">If the maximum distance of normal to the ellipse   1 , b &lt; 2, from the origin is 1, then the eccentricity of the 4 b2 ellipse is : [JEE(Ma</t>
  </si>
  <si>
    <t xml:space="preserve">The line x = 8 is the directrix of the ellipse E :   1 with the corresponding focus (2,0). If the tangent to E a 2 b2   at the point P i</t>
  </si>
  <si>
    <t xml:space="preserve">In a group of 100 persons 75 speak English and 40 speak Hindi. Each person speaks at least one of the two languages. If the number of person</t>
  </si>
  <si>
    <t xml:space="preserve">Let the ellipse E : x2 + 9y2 = 9 intersect the positive x- and y-axes at the points A and B respectively. Let the major axis of E be a diame</t>
  </si>
  <si>
    <t xml:space="preserve">Let a circle of radius 4 be concentric to the ellipse 15x2 + 19y2 = 285. Then the common tangents are inclined to the minor axis of the elli</t>
  </si>
  <si>
    <t xml:space="preserve">Consider ellipses Ek : kx2 + k2y2 = 1, k = 1, 2, ....., 20. Let Ck be the circle which touches the four chords joining the end points (one o</t>
  </si>
  <si>
    <t xml:space="preserve">If the radius of the largest circle with centre (2, 0) inscribed in the ellipse x2 + 4y2 = 36 is r, then 12r2 is equal to : [JEE(Main)April,</t>
  </si>
  <si>
    <t xml:space="preserve"> 7 , 7  , Q, R and S be four points on the ellipse 9x +4y = 36. Let PQ and RS be mutually L et P    1 1 p perpendicular and pass throu</t>
  </si>
  <si>
    <t xml:space="preserve">  Let the tangent and normal at the point 3 3,1 on the ellipse  36 4  1 meet the y-axis at the points A and B respectively. Let the circ</t>
  </si>
  <si>
    <t xml:space="preserve">Let an ellipse with centre (1, 0) and latus rectum of length have its major axis along x-axis. If its minor axis 2 subtends an angle 60° at </t>
  </si>
  <si>
    <t xml:space="preserve">Let the eccentricity of an ellipse 2  2  1 is reciprocal to that of the hyperbola 2x2 – 2y2 = 1. If the ellipse a b intersects the hyperbo</t>
  </si>
  <si>
    <t xml:space="preserve">The length of the chord of the ellipse   1 , whose mid point is 1,  , is equal to : 25 16  5 [JEE(Main)Jan.2024] x 2 y2   25 16  5</t>
  </si>
  <si>
    <t xml:space="preserve">If the length of the minor axis of an ellipse is equal to half of the distance between the foci, then eccentricity of the ellipse is : [JEE(</t>
  </si>
  <si>
    <t xml:space="preserve">Let A(, 0) and B(, 0) be the points on the line 5x + 7y = 50. Let the point P divide the line segment AB internally x 2 y2 in the ratio 7 </t>
  </si>
  <si>
    <t xml:space="preserve">Let P be a parabola with vertex (2, 3) and directrix 2x + y = 6. Let an ellipse E :   1, a  b , of eccentricity a 2 b2 1 pass through the</t>
  </si>
  <si>
    <t xml:space="preserve">Let P be a point on the ellipse   1 . Let the line passing through P and parallel to y-axis meet the circle x2 9 4 + y2 = 9 at point Q suc</t>
  </si>
  <si>
    <t xml:space="preserve">If the points of intersection of two distinct conics x2 + y2 = 4b and  2  1lie on the curve y2 = 3x2, then 3 3 16 b times the area of the </t>
  </si>
  <si>
    <t xml:space="preserve">Let e1 be the eccentricity of the hyperbola   1 and e2 be the eccentricity of the ellipse 2  2  1 , 16 9 a b a &gt; b, which passes through</t>
  </si>
  <si>
    <t xml:space="preserve">If the foci of a hyperbola are same as that of the ellipse   1 and the eccentricity of the hyperbola is 9 25 8  14 2  times the eccentri</t>
  </si>
  <si>
    <t xml:space="preserve">Let 2  2  1 , a &gt; b be an ellipse, whose eccentricity is and the length of the latus rectum is 14 . Then the a b 2 x 2 y2 square of the ec</t>
  </si>
  <si>
    <t xml:space="preserve"> , if the eccentricity of the hyperbola x2 – y2 cosec2 = 5 is 2 For 0    7 times eccentricity of the ellipse x 2 2 2 cosec  + y = 5, t</t>
  </si>
  <si>
    <t xml:space="preserve">Let the foci and length of latus rectum of an ellipse 2  2  1 , a &gt; b be (±5, 0) and 50 , respectively. Then, the a b x2 y2 square of the </t>
  </si>
  <si>
    <t xml:space="preserve">Let the line 2x + 3y – k = 0, k &gt; 0, intersect the x-axis and y-axis at the points A and B, respectively. If the equation of the circle havi</t>
  </si>
  <si>
    <t xml:space="preserve">The area (in square units) of the region enclosed by the ellipse x2 + 3y2 = 18 in the first quadrant below the line y = x is : [JEE(Main)Apr</t>
  </si>
  <si>
    <t xml:space="preserve">Let the foci of a hyperbola H coincide with the foci of the ellipse E :  x  1  y  1   1 and the eccentricity of 100 75 the hyperbola</t>
  </si>
  <si>
    <t xml:space="preserve">DPP-5</t>
  </si>
  <si>
    <t xml:space="preserve">DPP</t>
  </si>
  <si>
    <t xml:space="preserve">The eccentricity of the ellipse (x – 3) + (y – 4) = is : 9 y2 nh?kZo`Rr (x – 3) + (y – 4) = 2 2 9 3 1 1 1 2 3 3 2 3</t>
  </si>
  <si>
    <t xml:space="preserve">The equation, 2x2 + 3y2  8x  18y + 35 = K represents :</t>
  </si>
  <si>
    <t xml:space="preserve">If the ellipse  = 1 has major axis on the line y = 2, minor axis on the line x = – 1, major axis has M N length 10 and minor axis has lengt</t>
  </si>
  <si>
    <t xml:space="preserve">A circle has the same centre as an ellipse &amp; passes through the foci F1 &amp; F2 of the ellipse, such that the two curves intersect in 4 points.</t>
  </si>
  <si>
    <t xml:space="preserve">The latus rectum of a conic section is the width of the function through the focus. The positive difference between the lengths of the latus</t>
  </si>
  <si>
    <t xml:space="preserve">Imagine that you have two thumbtacks placed at two points, A and B. If the ends of a fixed length of string are fastened to the thumbtacks a</t>
  </si>
  <si>
    <t xml:space="preserve">Let S(5, 12) and S'(– 12, 5) are the foci of an ellipse passing through the origin. The eccentricity of ellipse equals: 1 1 1 2 2 3 2 3</t>
  </si>
  <si>
    <t xml:space="preserve">If the latus rectum of an ellipse be equal to half of its minor axis, then its eccentricity is : 3 3 2 2 2 2 3 3</t>
  </si>
  <si>
    <t xml:space="preserve">Equation of the ellipse whose focus is (6,7) directrix is x + y + 2 = 0 and e = is : 3 1 3</t>
  </si>
  <si>
    <t xml:space="preserve">The equation of the ellipse whose centre is (2,– 3), one of the foci is (3,– 3) and the corresponding vertex is (4,– 3) is : 2 2 2 2  x  2</t>
  </si>
  <si>
    <t xml:space="preserve">An ellipse is inscribed in a circle and a point within the circle is chosen at random. If the probability that this point lies outside the e</t>
  </si>
  <si>
    <t xml:space="preserve">A point, ratio of whose distance from a fixed point and line x = 9/2 is always 2 : 3. Then locus of the point will be :</t>
  </si>
  <si>
    <t xml:space="preserve">The y-axis is the directrix of the ellipse with eccentricity e = 1/2 and the corresponding focus is at (3, 0), equation to its auxilary circ</t>
  </si>
  <si>
    <t xml:space="preserve">Area of OAB is minimum when  =     3 6 4 2</t>
  </si>
  <si>
    <t xml:space="preserve">Minimum value of length AB is :</t>
  </si>
  <si>
    <t xml:space="preserve">Locus of centroid of OAB is 2  2 = k2 then k = x y a 2 b2 x 2 y2</t>
  </si>
  <si>
    <t xml:space="preserve">Point 'O' is the centre of the ellipse with major axis AB &amp; minor axis CD. Point F is one focus of the ellipse. If OF = 6 &amp; the diameter of </t>
  </si>
  <si>
    <t xml:space="preserve">DPP-6</t>
  </si>
  <si>
    <t xml:space="preserve">Let 'E' be the ellipse   1 &amp; 'C' be the circle x2 + y2 = 9. Let P &amp; Q be the points (1 , 2) and (2, 1) 9 4 respectively. Then : x 2 y2 9 4</t>
  </si>
  <si>
    <t xml:space="preserve">The line x cos  + y sin  = p will be a tangent to the conic   1 , if : a 2 b2 x 2 y2 a 2 b2</t>
  </si>
  <si>
    <t xml:space="preserve">x  2y + 4 = 0 is a common tangent to y = 4x and  2 = 1. Then the value of b and the other common 4 b tangent are given by : x2 y2 4 b</t>
  </si>
  <si>
    <t xml:space="preserve">Consider the particle travelling clockwise on the elliptical path  = 1. The particle leaves the orbit at the 100 25 point (–8, 3) and trave</t>
  </si>
  <si>
    <t xml:space="preserve">Find the equation of the tangent to the ellipse 2  2  1 which make equal intercepts on the axes : a b x 2 y2 a 2 b2</t>
  </si>
  <si>
    <t xml:space="preserve">The area of the rectangle formed by the perpendiculars from the centre of the standard ellipse to the tangent and normal at its point whose </t>
  </si>
  <si>
    <t xml:space="preserve">The area of the quadrilateral formed by the tangents at the ends of the latus rectum of the ellipse   1 is: 9 5 x2 y2 9 5</t>
  </si>
  <si>
    <t xml:space="preserve"> The value of  for which the sum of intercept on the axis by the tangent at the point 3 3 cos  , sin  ,  x2 0 &lt;  &lt; /2 on the ellipse </t>
  </si>
  <si>
    <t xml:space="preserve">Which of the following is an equation of the ellipse with centre (–2, 1), major axis running from (–2, 6) to (–2, – 4) and focus at (– 2, 5)</t>
  </si>
  <si>
    <t xml:space="preserve">Which of the following statement(s) is/are correct for the ellipse of Q.9 18 4 5 5 18 4 5 5</t>
  </si>
  <si>
    <t xml:space="preserve">Find the set of those value(s) of '' for which the point  7  ,   lies inside the ellipse   1.  4  25 16  5  x 2 y2  4  25 16 </t>
  </si>
  <si>
    <t xml:space="preserve">Find the set of possible value of  for which point P(, 3) lies on the smaller region of the ellipse 9x2 + 16y2 = 144 divided by the line </t>
  </si>
  <si>
    <t xml:space="preserve">DPP-7</t>
  </si>
  <si>
    <t xml:space="preserve">The Locus of the middle point of chords of an ellipse   1 passing through P(0, 5) is another ellipse E. The 16 25 coordinates of the foci </t>
  </si>
  <si>
    <t xml:space="preserve">Tangents are drawn from a point on the circle x2 + y2 = 25 to the ellipse 9x2 + 16y2 – 144= 0 then find the angle between the tangents :</t>
  </si>
  <si>
    <t xml:space="preserve">The locus of the mid-points of the portion of the tangents to the ellipse intercepted between the axes is : x 2 y2 a 2 b2 x 2 y2 a b x y a b</t>
  </si>
  <si>
    <t xml:space="preserve">The length of the common chord of the ellipse   1 and the circle (x –1)2 + (y –2)2 = 1 is : 9 4 (x  1) 2 (y  2) 2 9 4</t>
  </si>
  <si>
    <t xml:space="preserve">The equation of the locus of the middle point of the portion of the tangent to the ellipse   1 included 16 9 between the co-ordinate axes </t>
  </si>
  <si>
    <t xml:space="preserve">The equation of the chord of the ellipse 2x2 + 5y2 = 20 which is bisected at the point (2, 1) is :</t>
  </si>
  <si>
    <t xml:space="preserve">If F1 &amp; F2 are the feet of the perpendiculars from the focii S1 &amp; S2 of an ellipse   1 on the tangent at any 5 3 point P on the ellipse, t</t>
  </si>
  <si>
    <t xml:space="preserve">Equation of a tangent common to both the parabola P and the ellipse E is :</t>
  </si>
  <si>
    <t xml:space="preserve">Point of contact of a common tangent to P and E on the ellipse is :  1 15   1 15   1 15   1 15  2 4   2 4 2 2  2 2</t>
  </si>
  <si>
    <t xml:space="preserve">The foot of perpendicular from the focus (– 1, 0) upon the same tangent to the ellipse is :  12 34   7 11   17   5 5  3 3   4</t>
  </si>
  <si>
    <t xml:space="preserve">The equation of auxiliary circle of the ellipse is :</t>
  </si>
  <si>
    <t xml:space="preserve">The length of semi-minor axis of the ellipse is :</t>
  </si>
  <si>
    <t xml:space="preserve">The equations of directrices of the ellipse are : 21 17 2 2 3 5 31 19 2 2 2 2</t>
  </si>
  <si>
    <t xml:space="preserve">An ellipse passes through the point (4,  1) and touches the line x + 4 y  10 = 0. Find its equation if its axes coincide with coordinate </t>
  </si>
  <si>
    <t xml:space="preserve">If 'P' be a moving point on the ellipse   1 in such a way that tangent at 'P' intersect x = at Q then circle 25 16 3 on PQ as diameter pas</t>
  </si>
  <si>
    <t xml:space="preserve">A ray emanating from the point ( 4, 0) is incident on the ellipse 9x² + 25y² = 225 at the point P with abscissa 3. Find the equation of the</t>
  </si>
  <si>
    <t xml:space="preserve">DPP-8</t>
  </si>
  <si>
    <t xml:space="preserve">The area of the quadrilateral with its vertices at the foci of the conics 9x2 – 16y2 – 18x + 32y – 23 = 0 and 25x2 + 9y2 – 50x – 18y + 33 = </t>
  </si>
  <si>
    <t xml:space="preserve">If the eccentricity of the hyperbola x 2  y2 sec2  = 5 is 3 times the eccentricity of the ellipse x2 sec2  + y2 = 25, then a value of  i</t>
  </si>
  <si>
    <t xml:space="preserve">The foci of the ellipse  2  1 and the hyperbola   coincide. Then the value of b2 is : 16 b 144 81 25 x 2 y2 x 2 y2 1 16 b 144 81 25</t>
  </si>
  <si>
    <t xml:space="preserve">The equation  = 1 (p  4, 29) represents : 29  p 4  p x2 y2 29  p 4  p</t>
  </si>
  <si>
    <t xml:space="preserve">The ellipse   1 and the hyperbola   1 have in common : 25 16 25 16 x 2 y2 x 2 y2 25 16 25 16</t>
  </si>
  <si>
    <t xml:space="preserve">DPP-9</t>
  </si>
  <si>
    <t xml:space="preserve">Let the major axis of a standard ellipse equals the transverse axis of a standard hyperbola and their director circles have radius equal to </t>
  </si>
  <si>
    <t xml:space="preserve">In which of the following cases maximum number of normals can be drawn from a point P lying in the same plane:</t>
  </si>
  <si>
    <t xml:space="preserve">Equation of circle touching C at one extremity of latus-rectum and passing through centre of C is/are :</t>
  </si>
  <si>
    <t xml:space="preserve">The equation of parabolas with same latus-rectum as conic C, is/are :</t>
  </si>
  <si>
    <t xml:space="preserve">If a hyperbola passes through extremities of minor axis of conic C and its transverse and conjugate axis coincides with the minor and major </t>
  </si>
  <si>
    <t xml:space="preserve">DPP-10</t>
  </si>
  <si>
    <t xml:space="preserve">PQ is a double ordinate of the ellipse x2 + 9y2 = 9, the normal at P meets the diameter through Q at R, then the locus of the mid point of P</t>
  </si>
  <si>
    <t xml:space="preserve">QB</t>
  </si>
  <si>
    <t xml:space="preserve">Question Bank</t>
  </si>
  <si>
    <t xml:space="preserve">If S and S' are the foci of the ellipse   1 and P be a point on the ellipse, then min(SP.S'P) + max(SP.S'P) 18 9 is equal to : x 2 y2 18 9</t>
  </si>
  <si>
    <t xml:space="preserve">A line passing through the point P  5, 5  intersects the ellipse 36  25  1 at A and B such that (PA)·(PB) is maximum. Then 5(PA2 + PB2) </t>
  </si>
  <si>
    <t xml:space="preserve">Let C be the circle of minimum area enclosing the ellipse E : 2  2  1 with eccentricity and foci (±2, 0). Let a b 2 PQR be a variable tria</t>
  </si>
  <si>
    <t xml:space="preserve">The length of the latus-rectum of the ellipse, whose foci are (2, 5) and (2, –3) and eccentricity is , is : 5 4 5 50 6 10 18 3 5 3 5</t>
  </si>
  <si>
    <t xml:space="preserve">Let for two distinct values of p the lines y = x + p touch the ellipse E :   1 at the points A and B . Let the 4 2 32 line y = x intersect</t>
  </si>
  <si>
    <t xml:space="preserve">Let the length of a latus rectum of an ellipse   1 be 10. If its eccentricity is the minimum value of the a 2 b2 2 11 function f  t   t</t>
  </si>
  <si>
    <t xml:space="preserve">Let p be the number of all triangles that can be formed by joining the vertices of a regular polygon P of n sides and q be the number of all</t>
  </si>
  <si>
    <t xml:space="preserve">Let the ellipse 3x2 + py2 = 4 pass through the centre C of the circle x2 + y2 – 2x – 4y – 11 = 0 of radius r. Let f1, f2 be the focal distan</t>
  </si>
  <si>
    <t xml:space="preserve">Let the product of the focal distances of the point  3,  on the ellipse 2  2  1, (a  b) , be . Then the  2 a b 4 absolute difference </t>
  </si>
  <si>
    <t xml:space="preserve">If the midpoint of a chord of the ellipse   1 is  2,  , and the length of the chord is , then  is : 9 4  3  3 x 2 y2   2  9 4  3</t>
  </si>
  <si>
    <t xml:space="preserve">Let the ellipse E1 : 2  2  1 , a &gt; b and E 2 : 2  2  1 , A &lt; B have same eccentricity . Let the a b A B 3 32 product of their lengths of</t>
  </si>
  <si>
    <t xml:space="preserve">The area (in square units) of the region enclosed by the ellipse x2 + 3y2 = 18 in the first quadrant below the line y = x is : 3 3 4 4</t>
  </si>
  <si>
    <t xml:space="preserve">Let P be a point on the ellipse   1 . Let the line passing through P and parallel to y-axis meet the circle 9 4 x2 + y2 = 9 at point Q suc</t>
  </si>
  <si>
    <t xml:space="preserve">L et C be the circle x 2 + (y – 1)2 = 2, E1 and E2 be two ellipses whose centres lie at the origin and major axes lie on x -axis and y -axis</t>
  </si>
  <si>
    <t xml:space="preserve">Let E1 :   1 be an ellipse. Ellipses Ei's are constructed such that their centres and eccentricities are same 9 4 as that of E1, and the l</t>
  </si>
  <si>
    <t xml:space="preserve">2 2 If the points of intersection of two distinct conics x + y = 4b and   1lie on the curve y2 = 3x2, then 3 3 16 b 2 times the area of th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</si>
  <si>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</si>
  <si>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</si>
  <si>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</si>
  <si>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</si>
  <si>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</si>
  <si>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60 graded questions; High threshold 5 (about 9.1%).</t>
  </si>
  <si>
    <t xml:space="preserve">Batch XIII: 53 graded questions; High threshold 5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</si>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</sst>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6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2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13</v>
      </c>
      <c r="E4" s="2"/>
      <c r="F4" s="2" t="n">
        <v>3</v>
      </c>
      <c r="G4" s="2" t="n">
        <f aca="false">COUNTIFS(Map!$D:$D,$A4,Map!$F:$F,"Y")</f>
        <v>4</v>
      </c>
      <c r="H4" s="2" t="str">
        <f aca="false">IF(G4&gt;=Settings!$B$3,"High",IF(G4&gt;=Settings!$B$5,"Medium","Low"))</f>
        <v>Medium</v>
      </c>
      <c r="I4" s="2" t="n">
        <f aca="false">COUNTIFS(Map!$D:$D,$A4,Map!$G:$G,"Y")</f>
        <v>2</v>
      </c>
      <c r="J4" s="2" t="str">
        <f aca="false">IF(I4&gt;=Settings!$B$4,"High",IF(I4&gt;=Settings!$B$5,"Medium","Low"))</f>
        <v>Medium</v>
      </c>
      <c r="K4" s="2" t="n">
        <f aca="false">COUNTIF(Map!$D:$D,$A4)</f>
        <v>8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s">
        <v>16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0</v>
      </c>
    </row>
    <row r="6" customFormat="false" ht="23.85" hidden="false" customHeight="false" outlineLevel="0" collapsed="false">
      <c r="A6" s="2" t="n">
        <v>5</v>
      </c>
      <c r="B6" s="2" t="s">
        <v>11</v>
      </c>
      <c r="C6" s="2" t="s">
        <v>17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2</v>
      </c>
    </row>
    <row r="7" customFormat="false" ht="15" hidden="false" customHeight="false" outlineLevel="0" collapsed="false">
      <c r="A7" s="2" t="n">
        <v>6</v>
      </c>
      <c r="B7" s="2" t="s">
        <v>11</v>
      </c>
      <c r="C7" s="2" t="s">
        <v>18</v>
      </c>
      <c r="D7" s="2" t="s">
        <v>13</v>
      </c>
      <c r="E7" s="2"/>
      <c r="F7" s="2" t="n">
        <v>6</v>
      </c>
      <c r="G7" s="2" t="n">
        <f aca="false">COUNTIFS(Map!$D:$D,$A7,Map!$F:$F,"Y")</f>
        <v>20</v>
      </c>
      <c r="H7" s="2" t="str">
        <f aca="false">IF(G7&gt;=Settings!$B$3,"High",IF(G7&gt;=Settings!$B$5,"Medium","Low"))</f>
        <v>High</v>
      </c>
      <c r="I7" s="2" t="n">
        <f aca="false">COUNTIFS(Map!$D:$D,$A7,Map!$G:$G,"Y")</f>
        <v>16</v>
      </c>
      <c r="J7" s="2" t="str">
        <f aca="false">IF(I7&gt;=Settings!$B$4,"High",IF(I7&gt;=Settings!$B$5,"Medium","Low"))</f>
        <v>High</v>
      </c>
      <c r="K7" s="2" t="n">
        <f aca="false">COUNTIF(Map!$D:$D,$A7)</f>
        <v>40</v>
      </c>
    </row>
    <row r="8" customFormat="false" ht="15" hidden="false" customHeight="false" outlineLevel="0" collapsed="false">
      <c r="A8" s="2" t="n">
        <v>7</v>
      </c>
      <c r="B8" s="2" t="s">
        <v>11</v>
      </c>
      <c r="C8" s="2" t="s">
        <v>19</v>
      </c>
      <c r="D8" s="2" t="s">
        <v>13</v>
      </c>
      <c r="E8" s="2"/>
      <c r="F8" s="2" t="n">
        <v>7</v>
      </c>
      <c r="G8" s="2" t="n">
        <f aca="false">COUNTIFS(Map!$D:$D,$A8,Map!$F:$F,"Y")</f>
        <v>1</v>
      </c>
      <c r="H8" s="2" t="str">
        <f aca="false">IF(G8&gt;=Settings!$B$3,"High",IF(G8&gt;=Settings!$B$5,"Medium","Low"))</f>
        <v>Medium</v>
      </c>
      <c r="I8" s="2" t="n">
        <f aca="false">COUNTIFS(Map!$D:$D,$A8,Map!$G:$G,"Y")</f>
        <v>1</v>
      </c>
      <c r="J8" s="2" t="str">
        <f aca="false">IF(I8&gt;=Settings!$B$4,"High",IF(I8&gt;=Settings!$B$5,"Medium","Low"))</f>
        <v>Medium</v>
      </c>
      <c r="K8" s="2" t="n">
        <f aca="false">COUNTIF(Map!$D:$D,$A8)</f>
        <v>2</v>
      </c>
    </row>
    <row r="9" customFormat="false" ht="23.85" hidden="false" customHeight="false" outlineLevel="0" collapsed="false">
      <c r="A9" s="2" t="n">
        <v>8</v>
      </c>
      <c r="B9" s="2" t="s">
        <v>11</v>
      </c>
      <c r="C9" s="2" t="s">
        <v>20</v>
      </c>
      <c r="D9" s="2" t="s">
        <v>13</v>
      </c>
      <c r="E9" s="2"/>
      <c r="F9" s="2" t="n">
        <v>8</v>
      </c>
      <c r="G9" s="2" t="n">
        <f aca="false">COUNTIFS(Map!$D:$D,$A9,Map!$F:$F,"Y")</f>
        <v>9</v>
      </c>
      <c r="H9" s="2" t="str">
        <f aca="false">IF(G9&gt;=Settings!$B$3,"High",IF(G9&gt;=Settings!$B$5,"Medium","Low"))</f>
        <v>High</v>
      </c>
      <c r="I9" s="2" t="n">
        <f aca="false">COUNTIFS(Map!$D:$D,$A9,Map!$G:$G,"Y")</f>
        <v>11</v>
      </c>
      <c r="J9" s="2" t="str">
        <f aca="false">IF(I9&gt;=Settings!$B$4,"High",IF(I9&gt;=Settings!$B$5,"Medium","Low"))</f>
        <v>High</v>
      </c>
      <c r="K9" s="2" t="n">
        <f aca="false">COUNTIF(Map!$D:$D,$A9)</f>
        <v>27</v>
      </c>
    </row>
    <row r="10" customFormat="false" ht="23.85" hidden="false" customHeight="false" outlineLevel="0" collapsed="false">
      <c r="A10" s="2" t="n">
        <v>9</v>
      </c>
      <c r="B10" s="2" t="s">
        <v>11</v>
      </c>
      <c r="C10" s="2" t="s">
        <v>21</v>
      </c>
      <c r="D10" s="2" t="s">
        <v>13</v>
      </c>
      <c r="E10" s="2"/>
      <c r="F10" s="2" t="n">
        <v>9</v>
      </c>
      <c r="G10" s="2" t="n">
        <f aca="false">COUNTIFS(Map!$D:$D,$A10,Map!$F:$F,"Y")</f>
        <v>1</v>
      </c>
      <c r="H10" s="2" t="str">
        <f aca="false">IF(G10&gt;=Settings!$B$3,"High",IF(G10&gt;=Settings!$B$5,"Medium","Low"))</f>
        <v>Medium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1</v>
      </c>
    </row>
    <row r="11" customFormat="false" ht="15" hidden="false" customHeight="false" outlineLevel="0" collapsed="false">
      <c r="A11" s="2" t="n">
        <v>10</v>
      </c>
      <c r="B11" s="2" t="s">
        <v>11</v>
      </c>
      <c r="C11" s="2" t="s">
        <v>22</v>
      </c>
      <c r="D11" s="2" t="s">
        <v>13</v>
      </c>
      <c r="E11" s="2"/>
      <c r="F11" s="2" t="n">
        <v>10</v>
      </c>
      <c r="G11" s="2" t="n">
        <f aca="false">COUNTIFS(Map!$D:$D,$A11,Map!$F:$F,"Y")</f>
        <v>5</v>
      </c>
      <c r="H11" s="2" t="str">
        <f aca="false">IF(G11&gt;=Settings!$B$3,"High",IF(G11&gt;=Settings!$B$5,"Medium","Low"))</f>
        <v>High</v>
      </c>
      <c r="I11" s="2" t="n">
        <f aca="false">COUNTIFS(Map!$D:$D,$A11,Map!$G:$G,"Y")</f>
        <v>3</v>
      </c>
      <c r="J11" s="2" t="str">
        <f aca="false">IF(I11&gt;=Settings!$B$4,"High",IF(I11&gt;=Settings!$B$5,"Medium","Low"))</f>
        <v>Medium</v>
      </c>
      <c r="K11" s="2" t="n">
        <f aca="false">COUNTIF(Map!$D:$D,$A11)</f>
        <v>6</v>
      </c>
    </row>
    <row r="12" customFormat="false" ht="15" hidden="false" customHeight="false" outlineLevel="0" collapsed="false">
      <c r="A12" s="2" t="n">
        <v>11</v>
      </c>
      <c r="B12" s="2" t="s">
        <v>11</v>
      </c>
      <c r="C12" s="2" t="s">
        <v>23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0</v>
      </c>
    </row>
    <row r="13" customFormat="false" ht="15" hidden="false" customHeight="false" outlineLevel="0" collapsed="false">
      <c r="A13" s="2" t="n">
        <v>12</v>
      </c>
      <c r="B13" s="2" t="s">
        <v>11</v>
      </c>
      <c r="C13" s="2" t="s">
        <v>24</v>
      </c>
      <c r="D13" s="2" t="s">
        <v>13</v>
      </c>
      <c r="E13" s="2"/>
      <c r="F13" s="2" t="n">
        <v>12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0</v>
      </c>
    </row>
    <row r="14" customFormat="false" ht="15" hidden="false" customHeight="false" outlineLevel="0" collapsed="false">
      <c r="A14" s="2" t="n">
        <v>13</v>
      </c>
      <c r="B14" s="2" t="s">
        <v>25</v>
      </c>
      <c r="C14" s="2" t="s">
        <v>26</v>
      </c>
      <c r="D14" s="2" t="s">
        <v>13</v>
      </c>
      <c r="E14" s="2"/>
      <c r="F14" s="2" t="n">
        <v>13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0</v>
      </c>
    </row>
    <row r="15" customFormat="false" ht="15" hidden="false" customHeight="false" outlineLevel="0" collapsed="false">
      <c r="A15" s="2" t="n">
        <v>14</v>
      </c>
      <c r="B15" s="2" t="s">
        <v>25</v>
      </c>
      <c r="C15" s="2" t="s">
        <v>27</v>
      </c>
      <c r="D15" s="2" t="s">
        <v>13</v>
      </c>
      <c r="E15" s="2"/>
      <c r="F15" s="2" t="n">
        <v>14</v>
      </c>
      <c r="G15" s="2" t="n">
        <f aca="false">COUNTIFS(Map!$D:$D,$A15,Map!$F:$F,"Y")</f>
        <v>2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3</v>
      </c>
      <c r="J15" s="2" t="str">
        <f aca="false">IF(I15&gt;=Settings!$B$4,"High",IF(I15&gt;=Settings!$B$5,"Medium","Low"))</f>
        <v>Medium</v>
      </c>
      <c r="K15" s="2" t="n">
        <f aca="false">COUNTIF(Map!$D:$D,$A15)</f>
        <v>8</v>
      </c>
    </row>
    <row r="16" customFormat="false" ht="15" hidden="false" customHeight="false" outlineLevel="0" collapsed="false">
      <c r="A16" s="2" t="n">
        <v>15</v>
      </c>
      <c r="B16" s="2" t="s">
        <v>25</v>
      </c>
      <c r="C16" s="2" t="s">
        <v>28</v>
      </c>
      <c r="D16" s="2" t="s">
        <v>13</v>
      </c>
      <c r="E16" s="2"/>
      <c r="F16" s="2" t="n">
        <v>15</v>
      </c>
      <c r="G16" s="2" t="n">
        <f aca="false">COUNTIFS(Map!$D:$D,$A16,Map!$F:$F,"Y")</f>
        <v>6</v>
      </c>
      <c r="H16" s="2" t="str">
        <f aca="false">IF(G16&gt;=Settings!$B$3,"High",IF(G16&gt;=Settings!$B$5,"Medium","Low"))</f>
        <v>High</v>
      </c>
      <c r="I16" s="2" t="n">
        <f aca="false">COUNTIFS(Map!$D:$D,$A16,Map!$G:$G,"Y")</f>
        <v>4</v>
      </c>
      <c r="J16" s="2" t="str">
        <f aca="false">IF(I16&gt;=Settings!$B$4,"High",IF(I16&gt;=Settings!$B$5,"Medium","Low"))</f>
        <v>Medium</v>
      </c>
      <c r="K16" s="2" t="n">
        <f aca="false">COUNTIF(Map!$D:$D,$A16)</f>
        <v>13</v>
      </c>
    </row>
    <row r="17" customFormat="false" ht="15" hidden="false" customHeight="false" outlineLevel="0" collapsed="false">
      <c r="A17" s="2" t="n">
        <v>16</v>
      </c>
      <c r="B17" s="2" t="s">
        <v>25</v>
      </c>
      <c r="C17" s="2" t="s">
        <v>29</v>
      </c>
      <c r="D17" s="2" t="s">
        <v>13</v>
      </c>
      <c r="E17" s="2"/>
      <c r="F17" s="2" t="n">
        <v>16</v>
      </c>
      <c r="G17" s="2" t="n">
        <f aca="false">COUNTIFS(Map!$D:$D,$A17,Map!$F:$F,"Y")</f>
        <v>0</v>
      </c>
      <c r="H17" s="2" t="str">
        <f aca="false">IF(G17&gt;=Settings!$B$3,"High",IF(G17&gt;=Settings!$B$5,"Medium","Low"))</f>
        <v>Low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0</v>
      </c>
    </row>
    <row r="18" customFormat="false" ht="15" hidden="false" customHeight="false" outlineLevel="0" collapsed="false">
      <c r="A18" s="2" t="n">
        <v>17</v>
      </c>
      <c r="B18" s="2" t="s">
        <v>25</v>
      </c>
      <c r="C18" s="2" t="s">
        <v>30</v>
      </c>
      <c r="D18" s="2" t="s">
        <v>13</v>
      </c>
      <c r="E18" s="2"/>
      <c r="F18" s="2" t="n">
        <v>17</v>
      </c>
      <c r="G18" s="2" t="n">
        <f aca="false">COUNTIFS(Map!$D:$D,$A18,Map!$F:$F,"Y")</f>
        <v>2</v>
      </c>
      <c r="H18" s="2" t="str">
        <f aca="false">IF(G18&gt;=Settings!$B$3,"High",IF(G18&gt;=Settings!$B$5,"Medium","Low"))</f>
        <v>Medium</v>
      </c>
      <c r="I18" s="2" t="n">
        <f aca="false">COUNTIFS(Map!$D:$D,$A18,Map!$G:$G,"Y")</f>
        <v>2</v>
      </c>
      <c r="J18" s="2" t="str">
        <f aca="false">IF(I18&gt;=Settings!$B$4,"High",IF(I18&gt;=Settings!$B$5,"Medium","Low"))</f>
        <v>Medium</v>
      </c>
      <c r="K18" s="2" t="n">
        <f aca="false">COUNTIF(Map!$D:$D,$A18)</f>
        <v>3</v>
      </c>
    </row>
    <row r="19" customFormat="false" ht="35.05" hidden="false" customHeight="false" outlineLevel="0" collapsed="false">
      <c r="A19" s="2" t="n">
        <v>18</v>
      </c>
      <c r="B19" s="2" t="s">
        <v>25</v>
      </c>
      <c r="C19" s="2" t="s">
        <v>31</v>
      </c>
      <c r="D19" s="2" t="s">
        <v>32</v>
      </c>
      <c r="E19" s="2" t="s">
        <v>33</v>
      </c>
      <c r="F19" s="2"/>
      <c r="G19" s="2" t="n">
        <f aca="false">COUNTIFS(Map!$D:$D,$A19,Map!$F:$F,"Y")</f>
        <v>1</v>
      </c>
      <c r="H19" s="2" t="str">
        <f aca="false">IF(G19&gt;=Settings!$B$3,"High",IF(G19&gt;=Settings!$B$5,"Medium","Low"))</f>
        <v>Medium</v>
      </c>
      <c r="I19" s="2" t="n">
        <f aca="false">COUNTIFS(Map!$D:$D,$A19,Map!$G:$G,"Y")</f>
        <v>1</v>
      </c>
      <c r="J19" s="2" t="str">
        <f aca="false">IF(I19&gt;=Settings!$B$4,"High",IF(I19&gt;=Settings!$B$5,"Medium","Low"))</f>
        <v>Medium</v>
      </c>
      <c r="K19" s="2" t="n">
        <f aca="false">COUNTIF(Map!$D:$D,$A19)</f>
        <v>5</v>
      </c>
    </row>
    <row r="20" customFormat="false" ht="15" hidden="false" customHeight="false" outlineLevel="0" collapsed="false">
      <c r="A20" s="2" t="n">
        <v>19</v>
      </c>
      <c r="B20" s="2" t="s">
        <v>34</v>
      </c>
      <c r="C20" s="2" t="s">
        <v>35</v>
      </c>
      <c r="D20" s="2" t="s">
        <v>36</v>
      </c>
      <c r="E20" s="2"/>
      <c r="F20" s="2" t="n">
        <v>18</v>
      </c>
      <c r="G20" s="2" t="n">
        <f aca="false">COUNTIFS(Map!$D:$D,$A20,Map!$F:$F,"Y")</f>
        <v>2</v>
      </c>
      <c r="H20" s="2" t="str">
        <f aca="false">IF(G20&gt;=Settings!$B$3,"High",IF(G20&gt;=Settings!$B$5,"Medium","Low"))</f>
        <v>Medium</v>
      </c>
      <c r="I20" s="2" t="n">
        <f aca="false">COUNTIFS(Map!$D:$D,$A20,Map!$G:$G,"Y")</f>
        <v>2</v>
      </c>
      <c r="J20" s="2" t="str">
        <f aca="false">IF(I20&gt;=Settings!$B$4,"High",IF(I20&gt;=Settings!$B$5,"Medium","Low"))</f>
        <v>Medium</v>
      </c>
      <c r="K20" s="2" t="n">
        <f aca="false">COUNTIF(Map!$D:$D,$A20)</f>
        <v>6</v>
      </c>
    </row>
    <row r="21" customFormat="false" ht="15" hidden="false" customHeight="false" outlineLevel="0" collapsed="false">
      <c r="A21" s="2" t="n">
        <v>20</v>
      </c>
      <c r="B21" s="2" t="s">
        <v>34</v>
      </c>
      <c r="C21" s="2" t="s">
        <v>37</v>
      </c>
      <c r="D21" s="2" t="s">
        <v>13</v>
      </c>
      <c r="E21" s="2"/>
      <c r="F21" s="2" t="n">
        <v>19</v>
      </c>
      <c r="G21" s="2" t="n">
        <f aca="false">COUNTIFS(Map!$D:$D,$A21,Map!$F:$F,"Y")</f>
        <v>6</v>
      </c>
      <c r="H21" s="2" t="str">
        <f aca="false">IF(G21&gt;=Settings!$B$3,"High",IF(G21&gt;=Settings!$B$5,"Medium","Low"))</f>
        <v>High</v>
      </c>
      <c r="I21" s="2" t="n">
        <f aca="false">COUNTIFS(Map!$D:$D,$A21,Map!$G:$G,"Y")</f>
        <v>7</v>
      </c>
      <c r="J21" s="2" t="str">
        <f aca="false">IF(I21&gt;=Settings!$B$4,"High",IF(I21&gt;=Settings!$B$5,"Medium","Low"))</f>
        <v>High</v>
      </c>
      <c r="K21" s="2" t="n">
        <f aca="false">COUNTIF(Map!$D:$D,$A21)</f>
        <v>21</v>
      </c>
    </row>
    <row r="22" customFormat="false" ht="15" hidden="false" customHeight="false" outlineLevel="0" collapsed="false">
      <c r="A22" s="2" t="n">
        <v>21</v>
      </c>
      <c r="B22" s="2" t="s">
        <v>34</v>
      </c>
      <c r="C22" s="2" t="s">
        <v>38</v>
      </c>
      <c r="D22" s="2" t="s">
        <v>13</v>
      </c>
      <c r="E22" s="2"/>
      <c r="F22" s="2" t="n">
        <v>20</v>
      </c>
      <c r="G22" s="2" t="n">
        <f aca="false">COUNTIFS(Map!$D:$D,$A22,Map!$F:$F,"Y")</f>
        <v>1</v>
      </c>
      <c r="H22" s="2" t="str">
        <f aca="false">IF(G22&gt;=Settings!$B$3,"High",IF(G22&gt;=Settings!$B$5,"Medium","Low"))</f>
        <v>Medium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1</v>
      </c>
    </row>
    <row r="23" customFormat="false" ht="15" hidden="false" customHeight="false" outlineLevel="0" collapsed="false">
      <c r="A23" s="2" t="n">
        <v>22</v>
      </c>
      <c r="B23" s="2" t="s">
        <v>34</v>
      </c>
      <c r="C23" s="2" t="s">
        <v>39</v>
      </c>
      <c r="D23" s="2" t="s">
        <v>13</v>
      </c>
      <c r="E23" s="2"/>
      <c r="F23" s="2" t="n">
        <v>21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0</v>
      </c>
    </row>
    <row r="24" customFormat="false" ht="15" hidden="false" customHeight="false" outlineLevel="0" collapsed="false">
      <c r="A24" s="2" t="n">
        <v>23</v>
      </c>
      <c r="B24" s="2" t="s">
        <v>34</v>
      </c>
      <c r="C24" s="2" t="s">
        <v>40</v>
      </c>
      <c r="D24" s="2" t="s">
        <v>13</v>
      </c>
      <c r="E24" s="2"/>
      <c r="F24" s="2" t="n">
        <v>22</v>
      </c>
      <c r="G24" s="2" t="n">
        <f aca="false">COUNTIFS(Map!$D:$D,$A24,Map!$F:$F,"Y")</f>
        <v>1</v>
      </c>
      <c r="H24" s="2" t="str">
        <f aca="false">IF(G24&gt;=Settings!$B$3,"High",IF(G24&gt;=Settings!$B$5,"Medium","Low"))</f>
        <v>Medium</v>
      </c>
      <c r="I24" s="2" t="n">
        <f aca="false">COUNTIFS(Map!$D:$D,$A24,Map!$G:$G,"Y")</f>
        <v>1</v>
      </c>
      <c r="J24" s="2" t="str">
        <f aca="false">IF(I24&gt;=Settings!$B$4,"High",IF(I24&gt;=Settings!$B$5,"Medium","Low"))</f>
        <v>Medium</v>
      </c>
      <c r="K24" s="2" t="n">
        <f aca="false">COUNTIF(Map!$D:$D,$A24)</f>
        <v>8</v>
      </c>
    </row>
    <row r="25" customFormat="false" ht="15" hidden="false" customHeight="false" outlineLevel="0" collapsed="false">
      <c r="A25" s="2" t="n">
        <v>24</v>
      </c>
      <c r="B25" s="2" t="s">
        <v>34</v>
      </c>
      <c r="C25" s="2" t="s">
        <v>41</v>
      </c>
      <c r="D25" s="2" t="s">
        <v>13</v>
      </c>
      <c r="E25" s="2"/>
      <c r="F25" s="2" t="n">
        <v>23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2</v>
      </c>
    </row>
    <row r="26" customFormat="false" ht="15" hidden="false" customHeight="false" outlineLevel="0" collapsed="false">
      <c r="A26" s="2" t="n">
        <v>25</v>
      </c>
      <c r="B26" s="2" t="s">
        <v>34</v>
      </c>
      <c r="C26" s="2" t="s">
        <v>42</v>
      </c>
      <c r="D26" s="2" t="s">
        <v>13</v>
      </c>
      <c r="E26" s="2"/>
      <c r="F26" s="2" t="n">
        <v>24</v>
      </c>
      <c r="G26" s="2" t="n">
        <f aca="false">COUNTIFS(Map!$D:$D,$A26,Map!$F:$F,"Y")</f>
        <v>0</v>
      </c>
      <c r="H26" s="2" t="str">
        <f aca="false">IF(G26&gt;=Settings!$B$3,"High",IF(G26&gt;=Settings!$B$5,"Medium","Low"))</f>
        <v>Low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4</v>
      </c>
    </row>
    <row r="27" customFormat="false" ht="15" hidden="false" customHeight="false" outlineLevel="0" collapsed="false">
      <c r="A27" s="2" t="n">
        <v>26</v>
      </c>
      <c r="B27" s="2" t="s">
        <v>34</v>
      </c>
      <c r="C27" s="2" t="s">
        <v>43</v>
      </c>
      <c r="D27" s="2" t="s">
        <v>13</v>
      </c>
      <c r="E27" s="2"/>
      <c r="F27" s="2" t="n">
        <v>25</v>
      </c>
      <c r="G27" s="2" t="n">
        <f aca="false">COUNTIFS(Map!$D:$D,$A27,Map!$F:$F,"Y")</f>
        <v>1</v>
      </c>
      <c r="H27" s="2" t="str">
        <f aca="false">IF(G27&gt;=Settings!$B$3,"High",IF(G27&gt;=Settings!$B$5,"Medium","Low"))</f>
        <v>Medium</v>
      </c>
      <c r="I27" s="2" t="n">
        <f aca="false">COUNTIFS(Map!$D:$D,$A27,Map!$G:$G,"Y")</f>
        <v>1</v>
      </c>
      <c r="J27" s="2" t="str">
        <f aca="false">IF(I27&gt;=Settings!$B$4,"High",IF(I27&gt;=Settings!$B$5,"Medium","Low"))</f>
        <v>Medium</v>
      </c>
      <c r="K27" s="2" t="n">
        <f aca="false">COUNTIF(Map!$D:$D,$A27)</f>
        <v>6</v>
      </c>
    </row>
    <row r="28" customFormat="false" ht="15" hidden="false" customHeight="false" outlineLevel="0" collapsed="false">
      <c r="A28" s="2" t="n">
        <v>27</v>
      </c>
      <c r="B28" s="2" t="s">
        <v>34</v>
      </c>
      <c r="C28" s="2" t="s">
        <v>44</v>
      </c>
      <c r="D28" s="2" t="s">
        <v>13</v>
      </c>
      <c r="E28" s="2"/>
      <c r="F28" s="2" t="n">
        <v>26</v>
      </c>
      <c r="G28" s="2" t="n">
        <f aca="false">COUNTIFS(Map!$D:$D,$A28,Map!$F:$F,"Y")</f>
        <v>2</v>
      </c>
      <c r="H28" s="2" t="str">
        <f aca="false">IF(G28&gt;=Settings!$B$3,"High",IF(G28&gt;=Settings!$B$5,"Medium","Low"))</f>
        <v>Medium</v>
      </c>
      <c r="I28" s="2" t="n">
        <f aca="false">COUNTIFS(Map!$D:$D,$A28,Map!$G:$G,"Y")</f>
        <v>2</v>
      </c>
      <c r="J28" s="2" t="str">
        <f aca="false">IF(I28&gt;=Settings!$B$4,"High",IF(I28&gt;=Settings!$B$5,"Medium","Low"))</f>
        <v>Medium</v>
      </c>
      <c r="K28" s="2" t="n">
        <f aca="false">COUNTIF(Map!$D:$D,$A28)</f>
        <v>9</v>
      </c>
    </row>
    <row r="29" customFormat="false" ht="23.85" hidden="false" customHeight="false" outlineLevel="0" collapsed="false">
      <c r="A29" s="2" t="n">
        <v>28</v>
      </c>
      <c r="B29" s="2" t="s">
        <v>34</v>
      </c>
      <c r="C29" s="2" t="s">
        <v>45</v>
      </c>
      <c r="D29" s="2" t="s">
        <v>13</v>
      </c>
      <c r="E29" s="2"/>
      <c r="F29" s="2" t="n">
        <v>27</v>
      </c>
      <c r="G29" s="2" t="n">
        <f aca="false">COUNTIFS(Map!$D:$D,$A29,Map!$F:$F,"Y")</f>
        <v>1</v>
      </c>
      <c r="H29" s="2" t="str">
        <f aca="false">IF(G29&gt;=Settings!$B$3,"High",IF(G29&gt;=Settings!$B$5,"Medium","Low"))</f>
        <v>Medium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3</v>
      </c>
    </row>
    <row r="30" customFormat="false" ht="15" hidden="false" customHeight="false" outlineLevel="0" collapsed="false">
      <c r="A30" s="2" t="n">
        <v>29</v>
      </c>
      <c r="B30" s="2" t="s">
        <v>34</v>
      </c>
      <c r="C30" s="2" t="s">
        <v>46</v>
      </c>
      <c r="D30" s="2" t="s">
        <v>13</v>
      </c>
      <c r="E30" s="2"/>
      <c r="F30" s="2" t="n">
        <v>28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2</v>
      </c>
    </row>
    <row r="31" customFormat="false" ht="15" hidden="false" customHeight="false" outlineLevel="0" collapsed="false">
      <c r="A31" s="2" t="n">
        <v>30</v>
      </c>
      <c r="B31" s="2" t="s">
        <v>47</v>
      </c>
      <c r="C31" s="2" t="s">
        <v>48</v>
      </c>
      <c r="D31" s="2" t="s">
        <v>13</v>
      </c>
      <c r="E31" s="2"/>
      <c r="F31" s="2" t="n">
        <v>29</v>
      </c>
      <c r="G31" s="2" t="n">
        <f aca="false">COUNTIFS(Map!$D:$D,$A31,Map!$F:$F,"Y")</f>
        <v>0</v>
      </c>
      <c r="H31" s="2" t="str">
        <f aca="false">IF(G31&gt;=Settings!$B$3,"High",IF(G31&gt;=Settings!$B$5,"Medium","Low"))</f>
        <v>Low</v>
      </c>
      <c r="I31" s="2" t="n">
        <f aca="false">COUNTIFS(Map!$D:$D,$A31,Map!$G:$G,"Y")</f>
        <v>0</v>
      </c>
      <c r="J31" s="2" t="str">
        <f aca="false">IF(I31&gt;=Settings!$B$4,"High",IF(I31&gt;=Settings!$B$5,"Medium","Low"))</f>
        <v>Low</v>
      </c>
      <c r="K31" s="2" t="n">
        <f aca="false">COUNTIF(Map!$D:$D,$A31)</f>
        <v>0</v>
      </c>
    </row>
    <row r="32" customFormat="false" ht="15" hidden="false" customHeight="false" outlineLevel="0" collapsed="false">
      <c r="A32" s="2" t="n">
        <v>31</v>
      </c>
      <c r="B32" s="2" t="s">
        <v>47</v>
      </c>
      <c r="C32" s="2" t="s">
        <v>49</v>
      </c>
      <c r="D32" s="2" t="s">
        <v>13</v>
      </c>
      <c r="E32" s="2"/>
      <c r="F32" s="2" t="n">
        <v>30</v>
      </c>
      <c r="G32" s="2" t="n">
        <f aca="false">COUNTIFS(Map!$D:$D,$A32,Map!$F:$F,"Y")</f>
        <v>0</v>
      </c>
      <c r="H32" s="2" t="str">
        <f aca="false">IF(G32&gt;=Settings!$B$3,"High",IF(G32&gt;=Settings!$B$5,"Medium","Low"))</f>
        <v>Low</v>
      </c>
      <c r="I32" s="2" t="n">
        <f aca="false">COUNTIFS(Map!$D:$D,$A32,Map!$G:$G,"Y")</f>
        <v>0</v>
      </c>
      <c r="J32" s="2" t="str">
        <f aca="false">IF(I32&gt;=Settings!$B$4,"High",IF(I32&gt;=Settings!$B$5,"Medium","Low"))</f>
        <v>Low</v>
      </c>
      <c r="K32" s="2" t="n">
        <f aca="false">COUNTIF(Map!$D:$D,$A32)</f>
        <v>0</v>
      </c>
    </row>
    <row r="33" customFormat="false" ht="15" hidden="false" customHeight="false" outlineLevel="0" collapsed="false">
      <c r="A33" s="2" t="n">
        <v>32</v>
      </c>
      <c r="B33" s="2" t="s">
        <v>50</v>
      </c>
      <c r="C33" s="2" t="s">
        <v>51</v>
      </c>
      <c r="D33" s="2" t="s">
        <v>13</v>
      </c>
      <c r="E33" s="2"/>
      <c r="F33" s="2" t="n">
        <v>31</v>
      </c>
      <c r="G33" s="2" t="n">
        <f aca="false">COUNTIFS(Map!$D:$D,$A33,Map!$F:$F,"Y")</f>
        <v>0</v>
      </c>
      <c r="H33" s="2" t="str">
        <f aca="false">IF(G33&gt;=Settings!$B$3,"High",IF(G33&gt;=Settings!$B$5,"Medium","Low"))</f>
        <v>Low</v>
      </c>
      <c r="I33" s="2" t="n">
        <f aca="false">COUNTIFS(Map!$D:$D,$A33,Map!$G:$G,"Y")</f>
        <v>0</v>
      </c>
      <c r="J33" s="2" t="str">
        <f aca="false">IF(I33&gt;=Settings!$B$4,"High",IF(I33&gt;=Settings!$B$5,"Medium","Low"))</f>
        <v>Low</v>
      </c>
      <c r="K33" s="2" t="n">
        <f aca="false">COUNTIF(Map!$D:$D,$A33)</f>
        <v>0</v>
      </c>
    </row>
    <row r="34" customFormat="false" ht="15" hidden="false" customHeight="false" outlineLevel="0" collapsed="false">
      <c r="A34" s="2" t="n">
        <v>33</v>
      </c>
      <c r="B34" s="2" t="s">
        <v>50</v>
      </c>
      <c r="C34" s="2" t="s">
        <v>52</v>
      </c>
      <c r="D34" s="2" t="s">
        <v>13</v>
      </c>
      <c r="E34" s="2"/>
      <c r="F34" s="2" t="n">
        <v>32</v>
      </c>
      <c r="G34" s="2" t="n">
        <f aca="false">COUNTIFS(Map!$D:$D,$A34,Map!$F:$F,"Y")</f>
        <v>0</v>
      </c>
      <c r="H34" s="2" t="str">
        <f aca="false">IF(G34&gt;=Settings!$B$3,"High",IF(G34&gt;=Settings!$B$5,"Medium","Low"))</f>
        <v>Low</v>
      </c>
      <c r="I34" s="2" t="n">
        <f aca="false">COUNTIFS(Map!$D:$D,$A34,Map!$G:$G,"Y")</f>
        <v>0</v>
      </c>
      <c r="J34" s="2" t="str">
        <f aca="false">IF(I34&gt;=Settings!$B$4,"High",IF(I34&gt;=Settings!$B$5,"Medium","Low"))</f>
        <v>Low</v>
      </c>
      <c r="K34" s="2" t="n">
        <f aca="false">COUNTIF(Map!$D:$D,$A34)</f>
        <v>0</v>
      </c>
    </row>
    <row r="35" customFormat="false" ht="15" hidden="false" customHeight="false" outlineLevel="0" collapsed="false">
      <c r="A35" s="2" t="n">
        <v>34</v>
      </c>
      <c r="B35" s="2" t="s">
        <v>50</v>
      </c>
      <c r="C35" s="2" t="s">
        <v>53</v>
      </c>
      <c r="D35" s="2" t="s">
        <v>13</v>
      </c>
      <c r="E35" s="2"/>
      <c r="F35" s="2" t="n">
        <v>33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5</v>
      </c>
    </row>
    <row r="36" customFormat="false" ht="15" hidden="false" customHeight="false" outlineLevel="0" collapsed="false">
      <c r="A36" s="2" t="n">
        <v>35</v>
      </c>
      <c r="B36" s="2" t="s">
        <v>54</v>
      </c>
      <c r="C36" s="2" t="s">
        <v>55</v>
      </c>
      <c r="D36" s="2" t="s">
        <v>13</v>
      </c>
      <c r="E36" s="2"/>
      <c r="F36" s="2" t="n">
        <v>34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5</v>
      </c>
    </row>
    <row r="37" customFormat="false" ht="15" hidden="false" customHeight="false" outlineLevel="0" collapsed="false">
      <c r="A37" s="2" t="n">
        <v>36</v>
      </c>
      <c r="B37" s="2" t="s">
        <v>56</v>
      </c>
      <c r="C37" s="2" t="s">
        <v>57</v>
      </c>
      <c r="D37" s="2" t="s">
        <v>13</v>
      </c>
      <c r="E37" s="2"/>
      <c r="F37" s="2" t="n">
        <v>35</v>
      </c>
      <c r="G37" s="2" t="n">
        <f aca="false">COUNTIFS(Map!$D:$D,$A37,Map!$F:$F,"Y")</f>
        <v>9</v>
      </c>
      <c r="H37" s="2" t="str">
        <f aca="false">IF(G37&gt;=Settings!$B$3,"High",IF(G37&gt;=Settings!$B$5,"Medium","Low"))</f>
        <v>High</v>
      </c>
      <c r="I37" s="2" t="n">
        <f aca="false">COUNTIFS(Map!$D:$D,$A37,Map!$G:$G,"Y")</f>
        <v>6</v>
      </c>
      <c r="J37" s="2" t="str">
        <f aca="false">IF(I37&gt;=Settings!$B$4,"High",IF(I37&gt;=Settings!$B$5,"Medium","Low"))</f>
        <v>High</v>
      </c>
      <c r="K37" s="2" t="n">
        <f aca="false">COUNTIF(Map!$D:$D,$A37)</f>
        <v>24</v>
      </c>
    </row>
    <row r="38" customFormat="false" ht="15" hidden="false" customHeight="false" outlineLevel="0" collapsed="false">
      <c r="A38" s="2" t="n">
        <v>37</v>
      </c>
      <c r="B38" s="2" t="s">
        <v>56</v>
      </c>
      <c r="C38" s="2" t="s">
        <v>58</v>
      </c>
      <c r="D38" s="2" t="s">
        <v>13</v>
      </c>
      <c r="E38" s="2"/>
      <c r="F38" s="2" t="n">
        <v>36</v>
      </c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3</v>
      </c>
    </row>
    <row r="39" customFormat="false" ht="15" hidden="false" customHeight="false" outlineLevel="0" collapsed="false">
      <c r="A39" s="2" t="n">
        <v>38</v>
      </c>
      <c r="B39" s="2" t="s">
        <v>59</v>
      </c>
      <c r="C39" s="2" t="s">
        <v>60</v>
      </c>
      <c r="D39" s="2" t="s">
        <v>13</v>
      </c>
      <c r="E39" s="2"/>
      <c r="F39" s="2" t="n">
        <v>37</v>
      </c>
      <c r="G39" s="2" t="n">
        <f aca="false">COUNTIFS(Map!$D:$D,$A39,Map!$F:$F,"Y")</f>
        <v>0</v>
      </c>
      <c r="H39" s="2" t="str">
        <f aca="false">IF(G39&gt;=Settings!$B$3,"High",IF(G39&gt;=Settings!$B$5,"Medium","Low"))</f>
        <v>Low</v>
      </c>
      <c r="I39" s="2" t="n">
        <f aca="false">COUNTIFS(Map!$D:$D,$A39,Map!$G:$G,"Y")</f>
        <v>0</v>
      </c>
      <c r="J39" s="2" t="str">
        <f aca="false">IF(I39&gt;=Settings!$B$4,"High",IF(I39&gt;=Settings!$B$5,"Medium","Low"))</f>
        <v>Low</v>
      </c>
      <c r="K39" s="2" t="n">
        <f aca="false">COUNTIF(Map!$D:$D,$A39)</f>
        <v>7</v>
      </c>
    </row>
    <row r="40" customFormat="false" ht="15" hidden="false" customHeight="false" outlineLevel="0" collapsed="false">
      <c r="A40" s="2" t="n">
        <v>39</v>
      </c>
      <c r="B40" s="2" t="s">
        <v>59</v>
      </c>
      <c r="C40" s="2" t="s">
        <v>61</v>
      </c>
      <c r="D40" s="2" t="s">
        <v>13</v>
      </c>
      <c r="E40" s="2"/>
      <c r="F40" s="2" t="n">
        <v>38</v>
      </c>
      <c r="G40" s="2" t="n">
        <f aca="false">COUNTIFS(Map!$D:$D,$A40,Map!$F:$F,"Y")</f>
        <v>0</v>
      </c>
      <c r="H40" s="2" t="str">
        <f aca="false">IF(G40&gt;=Settings!$B$3,"High",IF(G40&gt;=Settings!$B$5,"Medium","Low"))</f>
        <v>Low</v>
      </c>
      <c r="I40" s="2" t="n">
        <f aca="false">COUNTIFS(Map!$D:$D,$A40,Map!$G:$G,"Y")</f>
        <v>0</v>
      </c>
      <c r="J40" s="2" t="str">
        <f aca="false">IF(I40&gt;=Settings!$B$4,"High",IF(I40&gt;=Settings!$B$5,"Medium","Low"))</f>
        <v>Low</v>
      </c>
      <c r="K40" s="2" t="n">
        <f aca="false">COUNTIF(Map!$D:$D,$A40)</f>
        <v>0</v>
      </c>
    </row>
    <row r="41" customFormat="false" ht="23.85" hidden="false" customHeight="false" outlineLevel="0" collapsed="false">
      <c r="A41" s="2" t="n">
        <v>40</v>
      </c>
      <c r="B41" s="2" t="s">
        <v>59</v>
      </c>
      <c r="C41" s="2" t="s">
        <v>62</v>
      </c>
      <c r="D41" s="2" t="s">
        <v>13</v>
      </c>
      <c r="E41" s="2"/>
      <c r="F41" s="2" t="n">
        <v>39</v>
      </c>
      <c r="G41" s="2" t="n">
        <f aca="false">COUNTIFS(Map!$D:$D,$A41,Map!$F:$F,"Y")</f>
        <v>0</v>
      </c>
      <c r="H41" s="2" t="str">
        <f aca="false">IF(G41&gt;=Settings!$B$3,"High",IF(G41&gt;=Settings!$B$5,"Medium","Low"))</f>
        <v>Low</v>
      </c>
      <c r="I41" s="2" t="n">
        <f aca="false">COUNTIFS(Map!$D:$D,$A41,Map!$G:$G,"Y")</f>
        <v>0</v>
      </c>
      <c r="J41" s="2" t="str">
        <f aca="false">IF(I41&gt;=Settings!$B$4,"High",IF(I41&gt;=Settings!$B$5,"Medium","Low"))</f>
        <v>Low</v>
      </c>
      <c r="K41" s="2" t="n">
        <f aca="false">COUNTIF(Map!$D:$D,$A41)</f>
        <v>0</v>
      </c>
    </row>
    <row r="42" customFormat="false" ht="15" hidden="false" customHeight="false" outlineLevel="0" collapsed="false">
      <c r="A42" s="2" t="n">
        <v>41</v>
      </c>
      <c r="B42" s="2" t="s">
        <v>63</v>
      </c>
      <c r="C42" s="2" t="s">
        <v>64</v>
      </c>
      <c r="D42" s="2" t="s">
        <v>13</v>
      </c>
      <c r="E42" s="2"/>
      <c r="F42" s="2" t="n">
        <v>40</v>
      </c>
      <c r="G42" s="2" t="n">
        <f aca="false">COUNTIFS(Map!$D:$D,$A42,Map!$F:$F,"Y")</f>
        <v>6</v>
      </c>
      <c r="H42" s="2" t="str">
        <f aca="false">IF(G42&gt;=Settings!$B$3,"High",IF(G42&gt;=Settings!$B$5,"Medium","Low"))</f>
        <v>High</v>
      </c>
      <c r="I42" s="2" t="n">
        <f aca="false">COUNTIFS(Map!$D:$D,$A42,Map!$G:$G,"Y")</f>
        <v>7</v>
      </c>
      <c r="J42" s="2" t="str">
        <f aca="false">IF(I42&gt;=Settings!$B$4,"High",IF(I42&gt;=Settings!$B$5,"Medium","Low"))</f>
        <v>High</v>
      </c>
      <c r="K42" s="2" t="n">
        <f aca="false">COUNTIF(Map!$D:$D,$A42)</f>
        <v>13</v>
      </c>
    </row>
    <row r="43" customFormat="false" ht="23.85" hidden="false" customHeight="false" outlineLevel="0" collapsed="false">
      <c r="A43" s="2" t="n">
        <v>42</v>
      </c>
      <c r="B43" s="2" t="s">
        <v>63</v>
      </c>
      <c r="C43" s="2" t="s">
        <v>65</v>
      </c>
      <c r="D43" s="2" t="s">
        <v>13</v>
      </c>
      <c r="E43" s="2"/>
      <c r="F43" s="2" t="n">
        <v>41</v>
      </c>
      <c r="G43" s="2" t="n">
        <f aca="false">COUNTIFS(Map!$D:$D,$A43,Map!$F:$F,"Y")</f>
        <v>0</v>
      </c>
      <c r="H43" s="2" t="str">
        <f aca="false">IF(G43&gt;=Settings!$B$3,"High",IF(G43&gt;=Settings!$B$5,"Medium","Low"))</f>
        <v>Low</v>
      </c>
      <c r="I43" s="2" t="n">
        <f aca="false">COUNTIFS(Map!$D:$D,$A43,Map!$G:$G,"Y")</f>
        <v>0</v>
      </c>
      <c r="J43" s="2" t="str">
        <f aca="false">IF(I43&gt;=Settings!$B$4,"High",IF(I43&gt;=Settings!$B$5,"Medium","Low"))</f>
        <v>Low</v>
      </c>
      <c r="K43" s="2" t="n">
        <f aca="false">COUNTIF(Map!$D:$D,$A43)</f>
        <v>1</v>
      </c>
    </row>
    <row r="44" customFormat="false" ht="23.85" hidden="false" customHeight="false" outlineLevel="0" collapsed="false">
      <c r="A44" s="2" t="n">
        <v>43</v>
      </c>
      <c r="B44" s="2" t="s">
        <v>63</v>
      </c>
      <c r="C44" s="2" t="s">
        <v>66</v>
      </c>
      <c r="D44" s="2" t="s">
        <v>13</v>
      </c>
      <c r="E44" s="2"/>
      <c r="F44" s="2" t="n">
        <v>42</v>
      </c>
      <c r="G44" s="2" t="n">
        <f aca="false">COUNTIFS(Map!$D:$D,$A44,Map!$F:$F,"Y")</f>
        <v>3</v>
      </c>
      <c r="H44" s="2" t="str">
        <f aca="false">IF(G44&gt;=Settings!$B$3,"High",IF(G44&gt;=Settings!$B$5,"Medium","Low"))</f>
        <v>Medium</v>
      </c>
      <c r="I44" s="2" t="n">
        <f aca="false">COUNTIFS(Map!$D:$D,$A44,Map!$G:$G,"Y")</f>
        <v>0</v>
      </c>
      <c r="J44" s="2" t="str">
        <f aca="false">IF(I44&gt;=Settings!$B$4,"High",IF(I44&gt;=Settings!$B$5,"Medium","Low"))</f>
        <v>Low</v>
      </c>
      <c r="K44" s="2" t="n">
        <f aca="false">COUNTIF(Map!$D:$D,$A44)</f>
        <v>24</v>
      </c>
    </row>
    <row r="45" customFormat="false" ht="15" hidden="false" customHeight="false" outlineLevel="0" collapsed="false">
      <c r="A45" s="2" t="n">
        <v>44</v>
      </c>
      <c r="B45" s="2" t="s">
        <v>63</v>
      </c>
      <c r="C45" s="2" t="s">
        <v>67</v>
      </c>
      <c r="D45" s="2" t="s">
        <v>13</v>
      </c>
      <c r="E45" s="2"/>
      <c r="F45" s="2" t="n">
        <v>43</v>
      </c>
      <c r="G45" s="2" t="n">
        <f aca="false">COUNTIFS(Map!$D:$D,$A45,Map!$F:$F,"Y")</f>
        <v>2</v>
      </c>
      <c r="H45" s="2" t="str">
        <f aca="false">IF(G45&gt;=Settings!$B$3,"High",IF(G45&gt;=Settings!$B$5,"Medium","Low"))</f>
        <v>Medium</v>
      </c>
      <c r="I45" s="2" t="n">
        <f aca="false">COUNTIFS(Map!$D:$D,$A45,Map!$G:$G,"Y")</f>
        <v>2</v>
      </c>
      <c r="J45" s="2" t="str">
        <f aca="false">IF(I45&gt;=Settings!$B$4,"High",IF(I45&gt;=Settings!$B$5,"Medium","Low"))</f>
        <v>Medium</v>
      </c>
      <c r="K45" s="2" t="n">
        <f aca="false">COUNTIF(Map!$D:$D,$A45)</f>
        <v>5</v>
      </c>
    </row>
    <row r="46" customFormat="false" ht="15" hidden="false" customHeight="false" outlineLevel="0" collapsed="false">
      <c r="A46" s="2" t="n">
        <v>45</v>
      </c>
      <c r="B46" s="2" t="s">
        <v>63</v>
      </c>
      <c r="C46" s="2" t="s">
        <v>68</v>
      </c>
      <c r="D46" s="2" t="s">
        <v>13</v>
      </c>
      <c r="E46" s="2"/>
      <c r="F46" s="2" t="n">
        <v>44</v>
      </c>
      <c r="G46" s="2" t="n">
        <f aca="false">COUNTIFS(Map!$D:$D,$A46,Map!$F:$F,"Y")</f>
        <v>6</v>
      </c>
      <c r="H46" s="2" t="str">
        <f aca="false">IF(G46&gt;=Settings!$B$3,"High",IF(G46&gt;=Settings!$B$5,"Medium","Low"))</f>
        <v>High</v>
      </c>
      <c r="I46" s="2" t="n">
        <f aca="false">COUNTIFS(Map!$D:$D,$A46,Map!$G:$G,"Y")</f>
        <v>5</v>
      </c>
      <c r="J46" s="2" t="str">
        <f aca="false">IF(I46&gt;=Settings!$B$4,"High",IF(I46&gt;=Settings!$B$5,"Medium","Low"))</f>
        <v>High</v>
      </c>
      <c r="K46" s="2" t="n">
        <f aca="false">COUNTIF(Map!$D:$D,$A46)</f>
        <v>9</v>
      </c>
    </row>
    <row r="47" customFormat="false" ht="15" hidden="false" customHeight="false" outlineLevel="0" collapsed="false">
      <c r="A47" s="2" t="n">
        <v>46</v>
      </c>
      <c r="B47" s="2" t="s">
        <v>63</v>
      </c>
      <c r="C47" s="2" t="s">
        <v>69</v>
      </c>
      <c r="D47" s="2" t="s">
        <v>13</v>
      </c>
      <c r="E47" s="2"/>
      <c r="F47" s="2" t="n">
        <v>45</v>
      </c>
      <c r="G47" s="2" t="n">
        <f aca="false">COUNTIFS(Map!$D:$D,$A47,Map!$F:$F,"Y")</f>
        <v>0</v>
      </c>
      <c r="H47" s="2" t="str">
        <f aca="false">IF(G47&gt;=Settings!$B$3,"High",IF(G47&gt;=Settings!$B$5,"Medium","Low"))</f>
        <v>Low</v>
      </c>
      <c r="I47" s="2" t="n">
        <f aca="false">COUNTIFS(Map!$D:$D,$A47,Map!$G:$G,"Y")</f>
        <v>1</v>
      </c>
      <c r="J47" s="2" t="str">
        <f aca="false">IF(I47&gt;=Settings!$B$4,"High",IF(I47&gt;=Settings!$B$5,"Medium","Low"))</f>
        <v>Medium</v>
      </c>
      <c r="K47" s="2" t="n">
        <f aca="false">COUNTIF(Map!$D:$D,$A47)</f>
        <v>2</v>
      </c>
    </row>
    <row r="48" customFormat="false" ht="23.85" hidden="false" customHeight="false" outlineLevel="0" collapsed="false">
      <c r="A48" s="2" t="n">
        <v>47</v>
      </c>
      <c r="B48" s="2" t="s">
        <v>63</v>
      </c>
      <c r="C48" s="2" t="s">
        <v>70</v>
      </c>
      <c r="D48" s="2" t="s">
        <v>13</v>
      </c>
      <c r="E48" s="2"/>
      <c r="F48" s="2" t="n">
        <v>46</v>
      </c>
      <c r="G48" s="2" t="n">
        <f aca="false">COUNTIFS(Map!$D:$D,$A48,Map!$F:$F,"Y")</f>
        <v>0</v>
      </c>
      <c r="H48" s="2" t="str">
        <f aca="false">IF(G48&gt;=Settings!$B$3,"High",IF(G48&gt;=Settings!$B$5,"Medium","Low"))</f>
        <v>Low</v>
      </c>
      <c r="I48" s="2" t="n">
        <f aca="false">COUNTIFS(Map!$D:$D,$A48,Map!$G:$G,"Y")</f>
        <v>1</v>
      </c>
      <c r="J48" s="2" t="str">
        <f aca="false">IF(I48&gt;=Settings!$B$4,"High",IF(I48&gt;=Settings!$B$5,"Medium","Low"))</f>
        <v>Medium</v>
      </c>
      <c r="K48" s="2" t="n">
        <f aca="false">COUNTIF(Map!$D:$D,$A48)</f>
        <v>9</v>
      </c>
    </row>
    <row r="49" customFormat="false" ht="15" hidden="false" customHeight="false" outlineLevel="0" collapsed="false">
      <c r="A49" s="2" t="n">
        <v>48</v>
      </c>
      <c r="B49" s="2" t="s">
        <v>63</v>
      </c>
      <c r="C49" s="2" t="s">
        <v>71</v>
      </c>
      <c r="D49" s="2" t="s">
        <v>13</v>
      </c>
      <c r="E49" s="2"/>
      <c r="F49" s="2" t="n">
        <v>47</v>
      </c>
      <c r="G49" s="2" t="n">
        <f aca="false">COUNTIFS(Map!$D:$D,$A49,Map!$F:$F,"Y")</f>
        <v>0</v>
      </c>
      <c r="H49" s="2" t="str">
        <f aca="false">IF(G49&gt;=Settings!$B$3,"High",IF(G49&gt;=Settings!$B$5,"Medium","Low"))</f>
        <v>Low</v>
      </c>
      <c r="I49" s="2" t="n">
        <f aca="false">COUNTIFS(Map!$D:$D,$A49,Map!$G:$G,"Y")</f>
        <v>0</v>
      </c>
      <c r="J49" s="2" t="str">
        <f aca="false">IF(I49&gt;=Settings!$B$4,"High",IF(I49&gt;=Settings!$B$5,"Medium","Low"))</f>
        <v>Low</v>
      </c>
      <c r="K49" s="2" t="n">
        <f aca="false">COUNTIF(Map!$D:$D,$A49)</f>
        <v>1</v>
      </c>
    </row>
    <row r="50" customFormat="false" ht="23.85" hidden="false" customHeight="false" outlineLevel="0" collapsed="false">
      <c r="A50" s="2" t="n">
        <v>49</v>
      </c>
      <c r="B50" s="2" t="s">
        <v>63</v>
      </c>
      <c r="C50" s="2" t="s">
        <v>72</v>
      </c>
      <c r="D50" s="2" t="s">
        <v>13</v>
      </c>
      <c r="E50" s="2"/>
      <c r="F50" s="2" t="n">
        <v>48</v>
      </c>
      <c r="G50" s="2" t="n">
        <f aca="false">COUNTIFS(Map!$D:$D,$A50,Map!$F:$F,"Y")</f>
        <v>1</v>
      </c>
      <c r="H50" s="2" t="str">
        <f aca="false">IF(G50&gt;=Settings!$B$3,"High",IF(G50&gt;=Settings!$B$5,"Medium","Low"))</f>
        <v>Medium</v>
      </c>
      <c r="I50" s="2" t="n">
        <f aca="false">COUNTIFS(Map!$D:$D,$A50,Map!$G:$G,"Y")</f>
        <v>1</v>
      </c>
      <c r="J50" s="2" t="str">
        <f aca="false">IF(I50&gt;=Settings!$B$4,"High",IF(I50&gt;=Settings!$B$5,"Medium","Low"))</f>
        <v>Medium</v>
      </c>
      <c r="K50" s="2" t="n">
        <f aca="false">COUNTIF(Map!$D:$D,$A50)</f>
        <v>2</v>
      </c>
    </row>
    <row r="51" customFormat="false" ht="15" hidden="false" customHeight="false" outlineLevel="0" collapsed="false">
      <c r="A51" s="2" t="n">
        <v>50</v>
      </c>
      <c r="B51" s="2" t="s">
        <v>63</v>
      </c>
      <c r="C51" s="2" t="s">
        <v>73</v>
      </c>
      <c r="D51" s="2" t="s">
        <v>13</v>
      </c>
      <c r="E51" s="2"/>
      <c r="F51" s="2" t="n">
        <v>49</v>
      </c>
      <c r="G51" s="2" t="n">
        <f aca="false">COUNTIFS(Map!$D:$D,$A51,Map!$F:$F,"Y")</f>
        <v>0</v>
      </c>
      <c r="H51" s="2" t="str">
        <f aca="false">IF(G51&gt;=Settings!$B$3,"High",IF(G51&gt;=Settings!$B$5,"Medium","Low"))</f>
        <v>Low</v>
      </c>
      <c r="I51" s="2" t="n">
        <f aca="false">COUNTIFS(Map!$D:$D,$A51,Map!$G:$G,"Y")</f>
        <v>1</v>
      </c>
      <c r="J51" s="2" t="str">
        <f aca="false">IF(I51&gt;=Settings!$B$4,"High",IF(I51&gt;=Settings!$B$5,"Medium","Low"))</f>
        <v>Medium</v>
      </c>
      <c r="K51" s="2" t="n">
        <f aca="false">COUNTIF(Map!$D:$D,$A51)</f>
        <v>2</v>
      </c>
    </row>
    <row r="52" customFormat="false" ht="15" hidden="false" customHeight="false" outlineLevel="0" collapsed="false">
      <c r="A52" s="2" t="n">
        <v>51</v>
      </c>
      <c r="B52" s="2" t="s">
        <v>63</v>
      </c>
      <c r="C52" s="2" t="s">
        <v>74</v>
      </c>
      <c r="D52" s="2" t="s">
        <v>13</v>
      </c>
      <c r="E52" s="2"/>
      <c r="F52" s="2" t="n">
        <v>50</v>
      </c>
      <c r="G52" s="2" t="n">
        <f aca="false">COUNTIFS(Map!$D:$D,$A52,Map!$F:$F,"Y")</f>
        <v>0</v>
      </c>
      <c r="H52" s="2" t="str">
        <f aca="false">IF(G52&gt;=Settings!$B$3,"High",IF(G52&gt;=Settings!$B$5,"Medium","Low"))</f>
        <v>Low</v>
      </c>
      <c r="I52" s="2" t="n">
        <f aca="false">COUNTIFS(Map!$D:$D,$A52,Map!$G:$G,"Y")</f>
        <v>0</v>
      </c>
      <c r="J52" s="2" t="str">
        <f aca="false">IF(I52&gt;=Settings!$B$4,"High",IF(I52&gt;=Settings!$B$5,"Medium","Low"))</f>
        <v>Low</v>
      </c>
      <c r="K52" s="2" t="n">
        <f aca="false">COUNTIF(Map!$D:$D,$A52)</f>
        <v>1</v>
      </c>
    </row>
    <row r="53" customFormat="false" ht="23.85" hidden="false" customHeight="false" outlineLevel="0" collapsed="false">
      <c r="A53" s="2" t="n">
        <v>52</v>
      </c>
      <c r="B53" s="2" t="s">
        <v>63</v>
      </c>
      <c r="C53" s="2" t="s">
        <v>75</v>
      </c>
      <c r="D53" s="2" t="s">
        <v>13</v>
      </c>
      <c r="E53" s="2"/>
      <c r="F53" s="2" t="n">
        <v>51</v>
      </c>
      <c r="G53" s="2" t="n">
        <f aca="false">COUNTIFS(Map!$D:$D,$A53,Map!$F:$F,"Y")</f>
        <v>2</v>
      </c>
      <c r="H53" s="2" t="str">
        <f aca="false">IF(G53&gt;=Settings!$B$3,"High",IF(G53&gt;=Settings!$B$5,"Medium","Low"))</f>
        <v>Medium</v>
      </c>
      <c r="I53" s="2" t="n">
        <f aca="false">COUNTIFS(Map!$D:$D,$A53,Map!$G:$G,"Y")</f>
        <v>1</v>
      </c>
      <c r="J53" s="2" t="str">
        <f aca="false">IF(I53&gt;=Settings!$B$4,"High",IF(I53&gt;=Settings!$B$5,"Medium","Low"))</f>
        <v>Medium</v>
      </c>
      <c r="K53" s="2" t="n">
        <f aca="false">COUNTIF(Map!$D:$D,$A53)</f>
        <v>2</v>
      </c>
    </row>
    <row r="54" customFormat="false" ht="15" hidden="false" customHeight="false" outlineLevel="0" collapsed="false">
      <c r="A54" s="2" t="n">
        <v>53</v>
      </c>
      <c r="B54" s="2" t="s">
        <v>76</v>
      </c>
      <c r="C54" s="2" t="s">
        <v>77</v>
      </c>
      <c r="D54" s="2" t="s">
        <v>13</v>
      </c>
      <c r="E54" s="2"/>
      <c r="F54" s="2" t="n">
        <v>52</v>
      </c>
      <c r="G54" s="2" t="n">
        <f aca="false">COUNTIFS(Map!$D:$D,$A54,Map!$F:$F,"Y")</f>
        <v>1</v>
      </c>
      <c r="H54" s="2" t="str">
        <f aca="false">IF(G54&gt;=Settings!$B$3,"High",IF(G54&gt;=Settings!$B$5,"Medium","Low"))</f>
        <v>Medium</v>
      </c>
      <c r="I54" s="2" t="n">
        <f aca="false">COUNTIFS(Map!$D:$D,$A54,Map!$G:$G,"Y")</f>
        <v>2</v>
      </c>
      <c r="J54" s="2" t="str">
        <f aca="false">IF(I54&gt;=Settings!$B$4,"High",IF(I54&gt;=Settings!$B$5,"Medium","Low"))</f>
        <v>Medium</v>
      </c>
      <c r="K54" s="2" t="n">
        <f aca="false">COUNTIF(Map!$D:$D,$A54)</f>
        <v>5</v>
      </c>
    </row>
    <row r="55" customFormat="false" ht="15" hidden="false" customHeight="false" outlineLevel="0" collapsed="false">
      <c r="A55" s="2" t="n">
        <v>54</v>
      </c>
      <c r="B55" s="2" t="s">
        <v>76</v>
      </c>
      <c r="C55" s="2" t="s">
        <v>78</v>
      </c>
      <c r="D55" s="2" t="s">
        <v>13</v>
      </c>
      <c r="E55" s="2"/>
      <c r="F55" s="2" t="n">
        <v>53</v>
      </c>
      <c r="G55" s="2" t="n">
        <f aca="false">COUNTIFS(Map!$D:$D,$A55,Map!$F:$F,"Y")</f>
        <v>1</v>
      </c>
      <c r="H55" s="2" t="str">
        <f aca="false">IF(G55&gt;=Settings!$B$3,"High",IF(G55&gt;=Settings!$B$5,"Medium","Low"))</f>
        <v>Medium</v>
      </c>
      <c r="I55" s="2" t="n">
        <f aca="false">COUNTIFS(Map!$D:$D,$A55,Map!$G:$G,"Y")</f>
        <v>0</v>
      </c>
      <c r="J55" s="2" t="str">
        <f aca="false">IF(I55&gt;=Settings!$B$4,"High",IF(I55&gt;=Settings!$B$5,"Medium","Low"))</f>
        <v>Low</v>
      </c>
      <c r="K55" s="2" t="n">
        <f aca="false">COUNTIF(Map!$D:$D,$A55)</f>
        <v>4</v>
      </c>
    </row>
    <row r="56" customFormat="false" ht="15" hidden="false" customHeight="false" outlineLevel="0" collapsed="false">
      <c r="A56" s="2" t="n">
        <v>55</v>
      </c>
      <c r="B56" s="2" t="s">
        <v>76</v>
      </c>
      <c r="C56" s="2" t="s">
        <v>79</v>
      </c>
      <c r="D56" s="2" t="s">
        <v>13</v>
      </c>
      <c r="E56" s="2"/>
      <c r="F56" s="2" t="n">
        <v>54</v>
      </c>
      <c r="G56" s="2" t="n">
        <f aca="false">COUNTIFS(Map!$D:$D,$A56,Map!$F:$F,"Y")</f>
        <v>0</v>
      </c>
      <c r="H56" s="2" t="str">
        <f aca="false">IF(G56&gt;=Settings!$B$3,"High",IF(G56&gt;=Settings!$B$5,"Medium","Low"))</f>
        <v>Low</v>
      </c>
      <c r="I56" s="2" t="n">
        <f aca="false">COUNTIFS(Map!$D:$D,$A56,Map!$G:$G,"Y")</f>
        <v>0</v>
      </c>
      <c r="J56" s="2" t="str">
        <f aca="false">IF(I56&gt;=Settings!$B$4,"High",IF(I56&gt;=Settings!$B$5,"Medium","Low"))</f>
        <v>Low</v>
      </c>
      <c r="K56" s="2" t="n">
        <f aca="false">COUNTIF(Map!$D:$D,$A56)</f>
        <v>0</v>
      </c>
    </row>
    <row r="57" customFormat="false" ht="23.85" hidden="false" customHeight="false" outlineLevel="0" collapsed="false">
      <c r="A57" s="2" t="n">
        <v>56</v>
      </c>
      <c r="B57" s="2" t="s">
        <v>76</v>
      </c>
      <c r="C57" s="2" t="s">
        <v>80</v>
      </c>
      <c r="D57" s="2" t="s">
        <v>13</v>
      </c>
      <c r="E57" s="2"/>
      <c r="F57" s="2" t="n">
        <v>55</v>
      </c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0</v>
      </c>
    </row>
    <row r="58" customFormat="false" ht="15" hidden="false" customHeight="false" outlineLevel="0" collapsed="false">
      <c r="A58" s="2" t="n">
        <v>57</v>
      </c>
      <c r="B58" s="2" t="s">
        <v>76</v>
      </c>
      <c r="C58" s="2" t="s">
        <v>81</v>
      </c>
      <c r="D58" s="2" t="s">
        <v>13</v>
      </c>
      <c r="E58" s="2"/>
      <c r="F58" s="2" t="n">
        <v>56</v>
      </c>
      <c r="G58" s="2" t="n">
        <f aca="false">COUNTIFS(Map!$D:$D,$A58,Map!$F:$F,"Y")</f>
        <v>1</v>
      </c>
      <c r="H58" s="2" t="str">
        <f aca="false">IF(G58&gt;=Settings!$B$3,"High",IF(G58&gt;=Settings!$B$5,"Medium","Low"))</f>
        <v>Medium</v>
      </c>
      <c r="I58" s="2" t="n">
        <f aca="false">COUNTIFS(Map!$D:$D,$A58,Map!$G:$G,"Y")</f>
        <v>0</v>
      </c>
      <c r="J58" s="2" t="str">
        <f aca="false">IF(I58&gt;=Settings!$B$4,"High",IF(I58&gt;=Settings!$B$5,"Medium","Low"))</f>
        <v>Low</v>
      </c>
      <c r="K58" s="2" t="n">
        <f aca="false">COUNTIF(Map!$D:$D,$A58)</f>
        <v>1</v>
      </c>
    </row>
    <row r="59" customFormat="false" ht="15" hidden="false" customHeight="false" outlineLevel="0" collapsed="false">
      <c r="A59" s="2" t="n">
        <v>58</v>
      </c>
      <c r="B59" s="2" t="s">
        <v>76</v>
      </c>
      <c r="C59" s="2" t="s">
        <v>82</v>
      </c>
      <c r="D59" s="2" t="s">
        <v>13</v>
      </c>
      <c r="E59" s="2"/>
      <c r="F59" s="2" t="n">
        <v>57</v>
      </c>
      <c r="G59" s="2" t="n">
        <f aca="false">COUNTIFS(Map!$D:$D,$A59,Map!$F:$F,"Y")</f>
        <v>0</v>
      </c>
      <c r="H59" s="2" t="str">
        <f aca="false">IF(G59&gt;=Settings!$B$3,"High",IF(G59&gt;=Settings!$B$5,"Medium","Low"))</f>
        <v>Low</v>
      </c>
      <c r="I59" s="2" t="n">
        <f aca="false">COUNTIFS(Map!$D:$D,$A59,Map!$G:$G,"Y")</f>
        <v>0</v>
      </c>
      <c r="J59" s="2" t="str">
        <f aca="false">IF(I59&gt;=Settings!$B$4,"High",IF(I59&gt;=Settings!$B$5,"Medium","Low"))</f>
        <v>Low</v>
      </c>
      <c r="K59" s="2" t="n">
        <f aca="false">COUNTIF(Map!$D:$D,$A59)</f>
        <v>0</v>
      </c>
    </row>
    <row r="60" customFormat="false" ht="23.85" hidden="false" customHeight="false" outlineLevel="0" collapsed="false">
      <c r="A60" s="2" t="n">
        <v>59</v>
      </c>
      <c r="B60" s="2" t="s">
        <v>76</v>
      </c>
      <c r="C60" s="2" t="s">
        <v>83</v>
      </c>
      <c r="D60" s="2" t="s">
        <v>13</v>
      </c>
      <c r="E60" s="2"/>
      <c r="F60" s="2" t="n">
        <v>58</v>
      </c>
      <c r="G60" s="2" t="n">
        <f aca="false">COUNTIFS(Map!$D:$D,$A60,Map!$F:$F,"Y")</f>
        <v>0</v>
      </c>
      <c r="H60" s="2" t="str">
        <f aca="false">IF(G60&gt;=Settings!$B$3,"High",IF(G60&gt;=Settings!$B$5,"Medium","Low"))</f>
        <v>Low</v>
      </c>
      <c r="I60" s="2" t="n">
        <f aca="false">COUNTIFS(Map!$D:$D,$A60,Map!$G:$G,"Y")</f>
        <v>0</v>
      </c>
      <c r="J60" s="2" t="str">
        <f aca="false">IF(I60&gt;=Settings!$B$4,"High",IF(I60&gt;=Settings!$B$5,"Medium","Low"))</f>
        <v>Low</v>
      </c>
      <c r="K60" s="2" t="n">
        <f aca="false">COUNTIF(Map!$D:$D,$A60)</f>
        <v>0</v>
      </c>
    </row>
    <row r="61" customFormat="false" ht="15" hidden="false" customHeight="false" outlineLevel="0" collapsed="false">
      <c r="A61" s="2" t="n">
        <v>60</v>
      </c>
      <c r="B61" s="2" t="s">
        <v>76</v>
      </c>
      <c r="C61" s="2" t="s">
        <v>84</v>
      </c>
      <c r="D61" s="2" t="s">
        <v>13</v>
      </c>
      <c r="E61" s="2"/>
      <c r="F61" s="2" t="n">
        <v>59</v>
      </c>
      <c r="G61" s="2" t="n">
        <f aca="false">COUNTIFS(Map!$D:$D,$A61,Map!$F:$F,"Y")</f>
        <v>0</v>
      </c>
      <c r="H61" s="2" t="str">
        <f aca="false">IF(G61&gt;=Settings!$B$3,"High",IF(G61&gt;=Settings!$B$5,"Medium","Low"))</f>
        <v>Low</v>
      </c>
      <c r="I61" s="2" t="n">
        <f aca="false">COUNTIFS(Map!$D:$D,$A61,Map!$G:$G,"Y")</f>
        <v>0</v>
      </c>
      <c r="J61" s="2" t="str">
        <f aca="false">IF(I61&gt;=Settings!$B$4,"High",IF(I61&gt;=Settings!$B$5,"Medium","Low"))</f>
        <v>Low</v>
      </c>
      <c r="K61" s="2" t="n">
        <f aca="false">COUNTIF(Map!$D:$D,$A61)</f>
        <v>0</v>
      </c>
    </row>
    <row r="62" customFormat="false" ht="23.85" hidden="false" customHeight="false" outlineLevel="0" collapsed="false">
      <c r="A62" s="2" t="n">
        <v>61</v>
      </c>
      <c r="B62" s="2" t="s">
        <v>76</v>
      </c>
      <c r="C62" s="2" t="s">
        <v>85</v>
      </c>
      <c r="D62" s="2" t="s">
        <v>13</v>
      </c>
      <c r="E62" s="2"/>
      <c r="F62" s="2" t="n">
        <v>60</v>
      </c>
      <c r="G62" s="2" t="n">
        <f aca="false">COUNTIFS(Map!$D:$D,$A62,Map!$F:$F,"Y")</f>
        <v>0</v>
      </c>
      <c r="H62" s="2" t="str">
        <f aca="false">IF(G62&gt;=Settings!$B$3,"High",IF(G62&gt;=Settings!$B$5,"Medium","Low"))</f>
        <v>Low</v>
      </c>
      <c r="I62" s="2" t="n">
        <f aca="false">COUNTIFS(Map!$D:$D,$A62,Map!$G:$G,"Y")</f>
        <v>0</v>
      </c>
      <c r="J62" s="2" t="str">
        <f aca="false">IF(I62&gt;=Settings!$B$4,"High",IF(I62&gt;=Settings!$B$5,"Medium","Low"))</f>
        <v>Low</v>
      </c>
      <c r="K62" s="2" t="n">
        <f aca="false">COUNTIF(Map!$D:$D,$A62)</f>
        <v>0</v>
      </c>
    </row>
    <row r="63" customFormat="false" ht="15" hidden="false" customHeight="false" outlineLevel="0" collapsed="false">
      <c r="A63" s="2" t="n">
        <v>62</v>
      </c>
      <c r="B63" s="2" t="s">
        <v>76</v>
      </c>
      <c r="C63" s="2" t="s">
        <v>86</v>
      </c>
      <c r="D63" s="2" t="s">
        <v>13</v>
      </c>
      <c r="E63" s="2"/>
      <c r="F63" s="2" t="n">
        <v>61</v>
      </c>
      <c r="G63" s="2" t="n">
        <f aca="false">COUNTIFS(Map!$D:$D,$A63,Map!$F:$F,"Y")</f>
        <v>0</v>
      </c>
      <c r="H63" s="2" t="str">
        <f aca="false">IF(G63&gt;=Settings!$B$3,"High",IF(G63&gt;=Settings!$B$5,"Medium","Low"))</f>
        <v>Low</v>
      </c>
      <c r="I63" s="2" t="n">
        <f aca="false">COUNTIFS(Map!$D:$D,$A63,Map!$G:$G,"Y")</f>
        <v>0</v>
      </c>
      <c r="J63" s="2" t="str">
        <f aca="false">IF(I63&gt;=Settings!$B$4,"High",IF(I63&gt;=Settings!$B$5,"Medium","Low"))</f>
        <v>Low</v>
      </c>
      <c r="K63" s="2" t="n">
        <f aca="false">COUNTIF(Map!$D:$D,$A63)</f>
        <v>0</v>
      </c>
    </row>
    <row r="64" customFormat="false" ht="15" hidden="false" customHeight="false" outlineLevel="0" collapsed="false">
      <c r="A64" s="2" t="n">
        <v>63</v>
      </c>
      <c r="B64" s="2" t="s">
        <v>87</v>
      </c>
      <c r="C64" s="2" t="s">
        <v>88</v>
      </c>
      <c r="D64" s="2" t="s">
        <v>13</v>
      </c>
      <c r="E64" s="2"/>
      <c r="F64" s="2" t="n">
        <v>62</v>
      </c>
      <c r="G64" s="2" t="n">
        <f aca="false">COUNTIFS(Map!$D:$D,$A64,Map!$F:$F,"Y")</f>
        <v>0</v>
      </c>
      <c r="H64" s="2" t="str">
        <f aca="false">IF(G64&gt;=Settings!$B$3,"High",IF(G64&gt;=Settings!$B$5,"Medium","Low"))</f>
        <v>Low</v>
      </c>
      <c r="I64" s="2" t="n">
        <f aca="false">COUNTIFS(Map!$D:$D,$A64,Map!$G:$G,"Y")</f>
        <v>0</v>
      </c>
      <c r="J64" s="2" t="str">
        <f aca="false">IF(I64&gt;=Settings!$B$4,"High",IF(I64&gt;=Settings!$B$5,"Medium","Low"))</f>
        <v>Low</v>
      </c>
      <c r="K64" s="2" t="n">
        <f aca="false">COUNTIF(Map!$D:$D,$A64)</f>
        <v>5</v>
      </c>
    </row>
    <row r="65" customFormat="false" ht="23.85" hidden="false" customHeight="false" outlineLevel="0" collapsed="false">
      <c r="A65" s="2" t="n">
        <v>64</v>
      </c>
      <c r="B65" s="2" t="s">
        <v>87</v>
      </c>
      <c r="C65" s="2" t="s">
        <v>89</v>
      </c>
      <c r="D65" s="2" t="s">
        <v>13</v>
      </c>
      <c r="E65" s="2"/>
      <c r="F65" s="2" t="n">
        <v>63</v>
      </c>
      <c r="G65" s="2" t="n">
        <f aca="false">COUNTIFS(Map!$D:$D,$A65,Map!$F:$F,"Y")</f>
        <v>0</v>
      </c>
      <c r="H65" s="2" t="str">
        <f aca="false">IF(G65&gt;=Settings!$B$3,"High",IF(G65&gt;=Settings!$B$5,"Medium","Low"))</f>
        <v>Low</v>
      </c>
      <c r="I65" s="2" t="n">
        <f aca="false">COUNTIFS(Map!$D:$D,$A65,Map!$G:$G,"Y")</f>
        <v>0</v>
      </c>
      <c r="J65" s="2" t="str">
        <f aca="false">IF(I65&gt;=Settings!$B$4,"High",IF(I65&gt;=Settings!$B$5,"Medium","Low"))</f>
        <v>Low</v>
      </c>
      <c r="K65" s="2" t="n">
        <f aca="false">COUNTIF(Map!$D:$D,$A65)</f>
        <v>7</v>
      </c>
    </row>
    <row r="66" customFormat="false" ht="23.85" hidden="false" customHeight="false" outlineLevel="0" collapsed="false">
      <c r="A66" s="2" t="n">
        <v>65</v>
      </c>
      <c r="B66" s="2" t="s">
        <v>87</v>
      </c>
      <c r="C66" s="2" t="s">
        <v>90</v>
      </c>
      <c r="D66" s="2" t="s">
        <v>13</v>
      </c>
      <c r="E66" s="2"/>
      <c r="F66" s="2" t="n">
        <v>64</v>
      </c>
      <c r="G66" s="2" t="n">
        <f aca="false">COUNTIFS(Map!$D:$D,$A66,Map!$F:$F,"Y")</f>
        <v>0</v>
      </c>
      <c r="H66" s="2" t="str">
        <f aca="false">IF(G66&gt;=Settings!$B$3,"High",IF(G66&gt;=Settings!$B$5,"Medium","Low"))</f>
        <v>Low</v>
      </c>
      <c r="I66" s="2" t="n">
        <f aca="false">COUNTIFS(Map!$D:$D,$A66,Map!$G:$G,"Y")</f>
        <v>0</v>
      </c>
      <c r="J66" s="2" t="str">
        <f aca="false">IF(I66&gt;=Settings!$B$4,"High",IF(I66&gt;=Settings!$B$5,"Medium","Low"))</f>
        <v>Low</v>
      </c>
      <c r="K66" s="2" t="n">
        <f aca="false">COUNTIF(Map!$D:$D,$A66)</f>
        <v>1</v>
      </c>
    </row>
    <row r="67" customFormat="false" ht="23.85" hidden="false" customHeight="false" outlineLevel="0" collapsed="false">
      <c r="A67" s="2" t="n">
        <v>66</v>
      </c>
      <c r="B67" s="2" t="s">
        <v>87</v>
      </c>
      <c r="C67" s="2" t="s">
        <v>91</v>
      </c>
      <c r="D67" s="2" t="s">
        <v>13</v>
      </c>
      <c r="E67" s="2"/>
      <c r="F67" s="2" t="n">
        <v>65</v>
      </c>
      <c r="G67" s="2" t="n">
        <f aca="false">COUNTIFS(Map!$D:$D,$A67,Map!$F:$F,"Y")</f>
        <v>0</v>
      </c>
      <c r="H67" s="2" t="str">
        <f aca="false">IF(G67&gt;=Settings!$B$3,"High",IF(G67&gt;=Settings!$B$5,"Medium","Low"))</f>
        <v>Low</v>
      </c>
      <c r="I67" s="2" t="n">
        <f aca="false">COUNTIFS(Map!$D:$D,$A67,Map!$G:$G,"Y")</f>
        <v>0</v>
      </c>
      <c r="J67" s="2" t="str">
        <f aca="false">IF(I67&gt;=Settings!$B$4,"High",IF(I67&gt;=Settings!$B$5,"Medium","Low"))</f>
        <v>Low</v>
      </c>
      <c r="K67" s="2" t="n">
        <f aca="false">COUNTIF(Map!$D:$D,$A67)</f>
        <v>0</v>
      </c>
    </row>
    <row r="68" customFormat="false" ht="15" hidden="false" customHeight="false" outlineLevel="0" collapsed="false">
      <c r="A68" s="2" t="n">
        <v>67</v>
      </c>
      <c r="B68" s="2" t="s">
        <v>87</v>
      </c>
      <c r="C68" s="2" t="s">
        <v>92</v>
      </c>
      <c r="D68" s="2" t="s">
        <v>13</v>
      </c>
      <c r="E68" s="2"/>
      <c r="F68" s="2" t="n">
        <v>66</v>
      </c>
      <c r="G68" s="2" t="n">
        <f aca="false">COUNTIFS(Map!$D:$D,$A68,Map!$F:$F,"Y")</f>
        <v>0</v>
      </c>
      <c r="H68" s="2" t="str">
        <f aca="false">IF(G68&gt;=Settings!$B$3,"High",IF(G68&gt;=Settings!$B$5,"Medium","Low"))</f>
        <v>Low</v>
      </c>
      <c r="I68" s="2" t="n">
        <f aca="false">COUNTIFS(Map!$D:$D,$A68,Map!$G:$G,"Y")</f>
        <v>0</v>
      </c>
      <c r="J68" s="2" t="str">
        <f aca="false">IF(I68&gt;=Settings!$B$4,"High",IF(I68&gt;=Settings!$B$5,"Medium","Low"))</f>
        <v>Low</v>
      </c>
      <c r="K68" s="2" t="n">
        <f aca="false">COUNTIF(Map!$D:$D,$A68)</f>
        <v>5</v>
      </c>
    </row>
    <row r="69" customFormat="false" ht="15" hidden="false" customHeight="false" outlineLevel="0" collapsed="false">
      <c r="A69" s="2" t="n">
        <v>68</v>
      </c>
      <c r="B69" s="2" t="s">
        <v>87</v>
      </c>
      <c r="C69" s="2" t="s">
        <v>93</v>
      </c>
      <c r="D69" s="2" t="s">
        <v>13</v>
      </c>
      <c r="E69" s="2"/>
      <c r="F69" s="2" t="n">
        <v>67</v>
      </c>
      <c r="G69" s="2" t="n">
        <f aca="false">COUNTIFS(Map!$D:$D,$A69,Map!$F:$F,"Y")</f>
        <v>0</v>
      </c>
      <c r="H69" s="2" t="str">
        <f aca="false">IF(G69&gt;=Settings!$B$3,"High",IF(G69&gt;=Settings!$B$5,"Medium","Low"))</f>
        <v>Low</v>
      </c>
      <c r="I69" s="2" t="n">
        <f aca="false">COUNTIFS(Map!$D:$D,$A69,Map!$G:$G,"Y")</f>
        <v>0</v>
      </c>
      <c r="J69" s="2" t="str">
        <f aca="false">IF(I69&gt;=Settings!$B$4,"High",IF(I69&gt;=Settings!$B$5,"Medium","Low"))</f>
        <v>Low</v>
      </c>
      <c r="K69" s="2" t="n">
        <f aca="false">COUNTIF(Map!$D:$D,$A69)</f>
        <v>5</v>
      </c>
    </row>
  </sheetData>
  <autoFilter ref="A1:K69"/>
  <conditionalFormatting sqref="H2:H69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69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</row>
    <row r="2" customFormat="false" ht="15" hidden="false" customHeight="false" outlineLevel="0" collapsed="false">
      <c r="A2" s="3" t="s">
        <v>102</v>
      </c>
      <c r="B2" s="3" t="n">
        <v>7</v>
      </c>
      <c r="C2" s="3" t="s">
        <v>103</v>
      </c>
      <c r="D2" s="3" t="n">
        <v>1</v>
      </c>
      <c r="E2" s="3" t="s">
        <v>104</v>
      </c>
      <c r="F2" s="3" t="s">
        <v>105</v>
      </c>
      <c r="G2" s="3" t="s">
        <v>105</v>
      </c>
      <c r="H2" s="3" t="s">
        <v>106</v>
      </c>
    </row>
    <row r="3" customFormat="false" ht="15" hidden="false" customHeight="false" outlineLevel="0" collapsed="false">
      <c r="A3" s="3" t="s">
        <v>102</v>
      </c>
      <c r="B3" s="3" t="n">
        <v>8</v>
      </c>
      <c r="C3" s="3" t="s">
        <v>103</v>
      </c>
      <c r="D3" s="3" t="n">
        <v>23</v>
      </c>
      <c r="E3" s="3" t="s">
        <v>104</v>
      </c>
      <c r="F3" s="3" t="s">
        <v>105</v>
      </c>
      <c r="G3" s="3" t="s">
        <v>105</v>
      </c>
      <c r="H3" s="3" t="s">
        <v>107</v>
      </c>
    </row>
    <row r="4" customFormat="false" ht="15" hidden="false" customHeight="false" outlineLevel="0" collapsed="false">
      <c r="A4" s="3" t="s">
        <v>102</v>
      </c>
      <c r="B4" s="3" t="n">
        <v>9</v>
      </c>
      <c r="C4" s="3" t="s">
        <v>103</v>
      </c>
      <c r="D4" s="3" t="n">
        <v>27</v>
      </c>
      <c r="E4" s="3" t="s">
        <v>104</v>
      </c>
      <c r="F4" s="3" t="s">
        <v>105</v>
      </c>
      <c r="G4" s="3" t="s">
        <v>105</v>
      </c>
      <c r="H4" s="3" t="s">
        <v>108</v>
      </c>
    </row>
    <row r="5" customFormat="false" ht="15" hidden="false" customHeight="false" outlineLevel="0" collapsed="false">
      <c r="A5" s="3" t="s">
        <v>102</v>
      </c>
      <c r="B5" s="3" t="n">
        <v>9</v>
      </c>
      <c r="C5" s="3" t="s">
        <v>103</v>
      </c>
      <c r="D5" s="3" t="n">
        <v>20</v>
      </c>
      <c r="E5" s="3" t="s">
        <v>109</v>
      </c>
      <c r="F5" s="3" t="s">
        <v>105</v>
      </c>
      <c r="G5" s="3" t="s">
        <v>105</v>
      </c>
      <c r="H5" s="3" t="s">
        <v>108</v>
      </c>
    </row>
    <row r="6" customFormat="false" ht="15" hidden="false" customHeight="false" outlineLevel="0" collapsed="false">
      <c r="A6" s="3" t="s">
        <v>102</v>
      </c>
      <c r="B6" s="3" t="n">
        <v>10</v>
      </c>
      <c r="C6" s="3" t="s">
        <v>103</v>
      </c>
      <c r="D6" s="3" t="n">
        <v>3</v>
      </c>
      <c r="E6" s="3" t="s">
        <v>104</v>
      </c>
      <c r="F6" s="3" t="s">
        <v>105</v>
      </c>
      <c r="G6" s="3" t="s">
        <v>105</v>
      </c>
      <c r="H6" s="3" t="s">
        <v>110</v>
      </c>
    </row>
    <row r="7" customFormat="false" ht="15" hidden="false" customHeight="false" outlineLevel="0" collapsed="false">
      <c r="A7" s="3" t="s">
        <v>102</v>
      </c>
      <c r="B7" s="3" t="n">
        <v>12</v>
      </c>
      <c r="C7" s="3" t="s">
        <v>103</v>
      </c>
      <c r="D7" s="3" t="n">
        <v>20</v>
      </c>
      <c r="E7" s="3" t="s">
        <v>104</v>
      </c>
      <c r="F7" s="3" t="s">
        <v>105</v>
      </c>
      <c r="G7" s="3" t="s">
        <v>105</v>
      </c>
      <c r="H7" s="3" t="s">
        <v>111</v>
      </c>
    </row>
    <row r="8" customFormat="false" ht="15" hidden="false" customHeight="false" outlineLevel="0" collapsed="false">
      <c r="A8" s="3" t="s">
        <v>102</v>
      </c>
      <c r="B8" s="3" t="n">
        <v>14</v>
      </c>
      <c r="C8" s="3" t="s">
        <v>103</v>
      </c>
      <c r="D8" s="3" t="n">
        <v>20</v>
      </c>
      <c r="E8" s="3" t="s">
        <v>104</v>
      </c>
      <c r="F8" s="3" t="s">
        <v>105</v>
      </c>
      <c r="G8" s="3" t="s">
        <v>105</v>
      </c>
      <c r="H8" s="3" t="s">
        <v>112</v>
      </c>
    </row>
    <row r="9" customFormat="false" ht="15" hidden="false" customHeight="false" outlineLevel="0" collapsed="false">
      <c r="A9" s="3" t="s">
        <v>102</v>
      </c>
      <c r="B9" s="3" t="n">
        <v>15</v>
      </c>
      <c r="C9" s="3" t="s">
        <v>103</v>
      </c>
      <c r="D9" s="3" t="n">
        <v>1</v>
      </c>
      <c r="E9" s="3" t="s">
        <v>104</v>
      </c>
      <c r="F9" s="3" t="s">
        <v>105</v>
      </c>
      <c r="G9" s="3" t="s">
        <v>105</v>
      </c>
      <c r="H9" s="3" t="s">
        <v>113</v>
      </c>
    </row>
    <row r="10" customFormat="false" ht="15" hidden="false" customHeight="false" outlineLevel="0" collapsed="false">
      <c r="A10" s="3" t="s">
        <v>102</v>
      </c>
      <c r="B10" s="3" t="n">
        <v>27</v>
      </c>
      <c r="C10" s="3" t="s">
        <v>103</v>
      </c>
      <c r="D10" s="3" t="n">
        <v>51</v>
      </c>
      <c r="E10" s="3" t="s">
        <v>104</v>
      </c>
      <c r="F10" s="3" t="s">
        <v>105</v>
      </c>
      <c r="G10" s="3" t="s">
        <v>105</v>
      </c>
      <c r="H10" s="3" t="s">
        <v>114</v>
      </c>
    </row>
    <row r="11" customFormat="false" ht="15" hidden="false" customHeight="false" outlineLevel="0" collapsed="false">
      <c r="A11" s="3" t="s">
        <v>102</v>
      </c>
      <c r="B11" s="3" t="n">
        <v>27</v>
      </c>
      <c r="C11" s="3" t="s">
        <v>103</v>
      </c>
      <c r="D11" s="3" t="n">
        <v>45</v>
      </c>
      <c r="E11" s="3" t="s">
        <v>109</v>
      </c>
      <c r="F11" s="3" t="s">
        <v>105</v>
      </c>
      <c r="G11" s="3" t="s">
        <v>105</v>
      </c>
      <c r="H11" s="3" t="s">
        <v>114</v>
      </c>
    </row>
    <row r="12" customFormat="false" ht="15" hidden="false" customHeight="false" outlineLevel="0" collapsed="false">
      <c r="A12" s="3" t="s">
        <v>102</v>
      </c>
      <c r="B12" s="3" t="n">
        <v>28</v>
      </c>
      <c r="C12" s="3" t="s">
        <v>103</v>
      </c>
      <c r="D12" s="3" t="n">
        <v>36</v>
      </c>
      <c r="E12" s="3" t="s">
        <v>104</v>
      </c>
      <c r="F12" s="3" t="s">
        <v>105</v>
      </c>
      <c r="G12" s="3" t="s">
        <v>105</v>
      </c>
      <c r="H12" s="3" t="s">
        <v>115</v>
      </c>
    </row>
    <row r="13" customFormat="false" ht="15" hidden="false" customHeight="false" outlineLevel="0" collapsed="false">
      <c r="A13" s="3" t="s">
        <v>102</v>
      </c>
      <c r="B13" s="3" t="n">
        <v>28</v>
      </c>
      <c r="C13" s="3" t="s">
        <v>103</v>
      </c>
      <c r="D13" s="3" t="n">
        <v>67</v>
      </c>
      <c r="E13" s="3" t="s">
        <v>109</v>
      </c>
      <c r="F13" s="3" t="s">
        <v>105</v>
      </c>
      <c r="G13" s="3" t="s">
        <v>105</v>
      </c>
      <c r="H13" s="3" t="s">
        <v>115</v>
      </c>
    </row>
    <row r="14" customFormat="false" ht="15" hidden="false" customHeight="false" outlineLevel="0" collapsed="false">
      <c r="A14" s="3" t="s">
        <v>102</v>
      </c>
      <c r="B14" s="3" t="n">
        <v>34</v>
      </c>
      <c r="C14" s="3" t="s">
        <v>103</v>
      </c>
      <c r="D14" s="3" t="n">
        <v>36</v>
      </c>
      <c r="E14" s="3" t="s">
        <v>104</v>
      </c>
      <c r="F14" s="3" t="s">
        <v>105</v>
      </c>
      <c r="G14" s="3" t="s">
        <v>105</v>
      </c>
      <c r="H14" s="3" t="s">
        <v>116</v>
      </c>
    </row>
    <row r="15" customFormat="false" ht="15" hidden="false" customHeight="false" outlineLevel="0" collapsed="false">
      <c r="A15" s="3" t="s">
        <v>102</v>
      </c>
      <c r="B15" s="3" t="n">
        <v>34</v>
      </c>
      <c r="C15" s="3" t="s">
        <v>103</v>
      </c>
      <c r="D15" s="3" t="n">
        <v>37</v>
      </c>
      <c r="E15" s="3" t="s">
        <v>109</v>
      </c>
      <c r="F15" s="3" t="s">
        <v>105</v>
      </c>
      <c r="G15" s="3" t="s">
        <v>105</v>
      </c>
      <c r="H15" s="3" t="s">
        <v>116</v>
      </c>
    </row>
    <row r="16" customFormat="false" ht="15" hidden="false" customHeight="false" outlineLevel="0" collapsed="false">
      <c r="A16" s="3" t="s">
        <v>102</v>
      </c>
      <c r="B16" s="3" t="n">
        <v>36</v>
      </c>
      <c r="C16" s="3" t="s">
        <v>103</v>
      </c>
      <c r="D16" s="3" t="n">
        <v>34</v>
      </c>
      <c r="E16" s="3" t="s">
        <v>104</v>
      </c>
      <c r="F16" s="3" t="s">
        <v>105</v>
      </c>
      <c r="G16" s="3" t="s">
        <v>105</v>
      </c>
      <c r="H16" s="3" t="s">
        <v>117</v>
      </c>
    </row>
    <row r="17" customFormat="false" ht="15" hidden="false" customHeight="false" outlineLevel="0" collapsed="false">
      <c r="A17" s="3" t="s">
        <v>102</v>
      </c>
      <c r="B17" s="3" t="n">
        <v>37</v>
      </c>
      <c r="C17" s="3" t="s">
        <v>103</v>
      </c>
      <c r="D17" s="3" t="n">
        <v>38</v>
      </c>
      <c r="E17" s="3" t="s">
        <v>104</v>
      </c>
      <c r="F17" s="3" t="s">
        <v>105</v>
      </c>
      <c r="G17" s="3" t="s">
        <v>105</v>
      </c>
      <c r="H17" s="3" t="s">
        <v>118</v>
      </c>
    </row>
    <row r="18" customFormat="false" ht="15" hidden="false" customHeight="false" outlineLevel="0" collapsed="false">
      <c r="A18" s="3" t="s">
        <v>102</v>
      </c>
      <c r="B18" s="3" t="n">
        <v>37</v>
      </c>
      <c r="C18" s="3" t="s">
        <v>103</v>
      </c>
      <c r="D18" s="3" t="n">
        <v>43</v>
      </c>
      <c r="E18" s="3" t="s">
        <v>109</v>
      </c>
      <c r="F18" s="3" t="s">
        <v>105</v>
      </c>
      <c r="G18" s="3" t="s">
        <v>105</v>
      </c>
      <c r="H18" s="3" t="s">
        <v>118</v>
      </c>
    </row>
    <row r="19" customFormat="false" ht="15" hidden="false" customHeight="false" outlineLevel="0" collapsed="false">
      <c r="A19" s="3" t="s">
        <v>102</v>
      </c>
      <c r="B19" s="3" t="n">
        <v>38</v>
      </c>
      <c r="C19" s="3" t="s">
        <v>103</v>
      </c>
      <c r="D19" s="3" t="n">
        <v>47</v>
      </c>
      <c r="E19" s="3" t="s">
        <v>104</v>
      </c>
      <c r="F19" s="3" t="s">
        <v>105</v>
      </c>
      <c r="G19" s="3" t="s">
        <v>105</v>
      </c>
      <c r="H19" s="3" t="s">
        <v>119</v>
      </c>
    </row>
    <row r="20" customFormat="false" ht="15" hidden="false" customHeight="false" outlineLevel="0" collapsed="false">
      <c r="A20" s="3" t="s">
        <v>102</v>
      </c>
      <c r="B20" s="3" t="n">
        <v>39</v>
      </c>
      <c r="C20" s="3" t="s">
        <v>103</v>
      </c>
      <c r="D20" s="3" t="n">
        <v>14</v>
      </c>
      <c r="E20" s="3" t="s">
        <v>104</v>
      </c>
      <c r="F20" s="3" t="s">
        <v>105</v>
      </c>
      <c r="G20" s="3" t="s">
        <v>105</v>
      </c>
      <c r="H20" s="3" t="s">
        <v>120</v>
      </c>
    </row>
    <row r="21" customFormat="false" ht="15" hidden="false" customHeight="false" outlineLevel="0" collapsed="false">
      <c r="A21" s="3" t="s">
        <v>102</v>
      </c>
      <c r="B21" s="3" t="n">
        <v>40</v>
      </c>
      <c r="C21" s="3" t="s">
        <v>103</v>
      </c>
      <c r="D21" s="3" t="n">
        <v>47</v>
      </c>
      <c r="E21" s="3" t="s">
        <v>104</v>
      </c>
      <c r="F21" s="3" t="s">
        <v>105</v>
      </c>
      <c r="G21" s="3" t="s">
        <v>105</v>
      </c>
      <c r="H21" s="3" t="s">
        <v>121</v>
      </c>
    </row>
    <row r="22" customFormat="false" ht="15" hidden="false" customHeight="false" outlineLevel="0" collapsed="false">
      <c r="A22" s="3" t="s">
        <v>102</v>
      </c>
      <c r="B22" s="3" t="n">
        <v>40</v>
      </c>
      <c r="C22" s="3" t="s">
        <v>103</v>
      </c>
      <c r="D22" s="3" t="n">
        <v>8</v>
      </c>
      <c r="E22" s="3" t="s">
        <v>109</v>
      </c>
      <c r="F22" s="3" t="s">
        <v>105</v>
      </c>
      <c r="G22" s="3" t="s">
        <v>105</v>
      </c>
      <c r="H22" s="3" t="s">
        <v>121</v>
      </c>
    </row>
    <row r="23" customFormat="false" ht="15" hidden="false" customHeight="false" outlineLevel="0" collapsed="false">
      <c r="A23" s="3" t="s">
        <v>102</v>
      </c>
      <c r="B23" s="3" t="n">
        <v>41</v>
      </c>
      <c r="C23" s="3" t="s">
        <v>103</v>
      </c>
      <c r="D23" s="3" t="n">
        <v>35</v>
      </c>
      <c r="E23" s="3" t="s">
        <v>104</v>
      </c>
      <c r="F23" s="3" t="s">
        <v>105</v>
      </c>
      <c r="G23" s="3" t="s">
        <v>105</v>
      </c>
      <c r="H23" s="3" t="s">
        <v>122</v>
      </c>
    </row>
    <row r="24" customFormat="false" ht="15" hidden="false" customHeight="false" outlineLevel="0" collapsed="false">
      <c r="A24" s="3" t="s">
        <v>102</v>
      </c>
      <c r="B24" s="3" t="n">
        <v>42</v>
      </c>
      <c r="C24" s="3" t="s">
        <v>103</v>
      </c>
      <c r="D24" s="3" t="n">
        <v>63</v>
      </c>
      <c r="E24" s="3" t="s">
        <v>104</v>
      </c>
      <c r="F24" s="3" t="s">
        <v>105</v>
      </c>
      <c r="G24" s="3" t="s">
        <v>105</v>
      </c>
      <c r="H24" s="3" t="s">
        <v>123</v>
      </c>
    </row>
    <row r="25" customFormat="false" ht="15" hidden="false" customHeight="false" outlineLevel="0" collapsed="false">
      <c r="A25" s="3" t="s">
        <v>102</v>
      </c>
      <c r="B25" s="3" t="n">
        <v>42</v>
      </c>
      <c r="C25" s="3" t="s">
        <v>103</v>
      </c>
      <c r="D25" s="3" t="n">
        <v>5</v>
      </c>
      <c r="E25" s="3" t="s">
        <v>109</v>
      </c>
      <c r="F25" s="3" t="s">
        <v>105</v>
      </c>
      <c r="G25" s="3" t="s">
        <v>105</v>
      </c>
      <c r="H25" s="3" t="s">
        <v>123</v>
      </c>
    </row>
    <row r="26" customFormat="false" ht="15" hidden="false" customHeight="false" outlineLevel="0" collapsed="false">
      <c r="A26" s="3" t="s">
        <v>124</v>
      </c>
      <c r="B26" s="3" t="n">
        <v>1</v>
      </c>
      <c r="C26" s="3" t="s">
        <v>103</v>
      </c>
      <c r="D26" s="3" t="n">
        <v>27</v>
      </c>
      <c r="E26" s="3" t="s">
        <v>104</v>
      </c>
      <c r="F26" s="3" t="s">
        <v>105</v>
      </c>
      <c r="G26" s="3" t="s">
        <v>105</v>
      </c>
      <c r="H26" s="3" t="s">
        <v>125</v>
      </c>
    </row>
    <row r="27" customFormat="false" ht="15" hidden="false" customHeight="false" outlineLevel="0" collapsed="false">
      <c r="A27" s="3" t="s">
        <v>124</v>
      </c>
      <c r="B27" s="3" t="n">
        <v>2</v>
      </c>
      <c r="C27" s="3" t="s">
        <v>103</v>
      </c>
      <c r="D27" s="3" t="n">
        <v>3</v>
      </c>
      <c r="E27" s="3" t="s">
        <v>104</v>
      </c>
      <c r="F27" s="3" t="s">
        <v>105</v>
      </c>
      <c r="G27" s="3" t="s">
        <v>105</v>
      </c>
      <c r="H27" s="3" t="s">
        <v>126</v>
      </c>
    </row>
    <row r="28" customFormat="false" ht="15" hidden="false" customHeight="false" outlineLevel="0" collapsed="false">
      <c r="A28" s="3" t="s">
        <v>124</v>
      </c>
      <c r="B28" s="3" t="n">
        <v>3</v>
      </c>
      <c r="C28" s="3" t="s">
        <v>103</v>
      </c>
      <c r="D28" s="3" t="n">
        <v>18</v>
      </c>
      <c r="E28" s="3" t="s">
        <v>104</v>
      </c>
      <c r="F28" s="3" t="s">
        <v>105</v>
      </c>
      <c r="G28" s="3" t="s">
        <v>105</v>
      </c>
      <c r="H28" s="3" t="s">
        <v>127</v>
      </c>
    </row>
    <row r="29" customFormat="false" ht="15" hidden="false" customHeight="false" outlineLevel="0" collapsed="false">
      <c r="A29" s="3" t="s">
        <v>124</v>
      </c>
      <c r="B29" s="3" t="n">
        <v>9</v>
      </c>
      <c r="C29" s="3" t="s">
        <v>103</v>
      </c>
      <c r="D29" s="3" t="n">
        <v>15</v>
      </c>
      <c r="E29" s="3" t="s">
        <v>104</v>
      </c>
      <c r="F29" s="3" t="s">
        <v>105</v>
      </c>
      <c r="G29" s="3" t="s">
        <v>105</v>
      </c>
      <c r="H29" s="3" t="s">
        <v>128</v>
      </c>
    </row>
    <row r="30" customFormat="false" ht="15" hidden="false" customHeight="false" outlineLevel="0" collapsed="false">
      <c r="A30" s="3" t="s">
        <v>124</v>
      </c>
      <c r="B30" s="3" t="n">
        <v>9</v>
      </c>
      <c r="C30" s="3" t="s">
        <v>103</v>
      </c>
      <c r="D30" s="3" t="n">
        <v>26</v>
      </c>
      <c r="E30" s="3" t="s">
        <v>109</v>
      </c>
      <c r="F30" s="3" t="s">
        <v>105</v>
      </c>
      <c r="G30" s="3" t="s">
        <v>105</v>
      </c>
      <c r="H30" s="3" t="s">
        <v>128</v>
      </c>
    </row>
    <row r="31" customFormat="false" ht="15" hidden="false" customHeight="false" outlineLevel="0" collapsed="false">
      <c r="A31" s="3" t="s">
        <v>124</v>
      </c>
      <c r="B31" s="3" t="n">
        <v>10</v>
      </c>
      <c r="C31" s="3" t="s">
        <v>103</v>
      </c>
      <c r="D31" s="3" t="n">
        <v>15</v>
      </c>
      <c r="E31" s="3" t="s">
        <v>104</v>
      </c>
      <c r="F31" s="3" t="s">
        <v>105</v>
      </c>
      <c r="G31" s="3" t="s">
        <v>105</v>
      </c>
      <c r="H31" s="3" t="s">
        <v>129</v>
      </c>
    </row>
    <row r="32" customFormat="false" ht="15" hidden="false" customHeight="false" outlineLevel="0" collapsed="false">
      <c r="A32" s="3" t="s">
        <v>124</v>
      </c>
      <c r="B32" s="3" t="n">
        <v>10</v>
      </c>
      <c r="C32" s="3" t="s">
        <v>103</v>
      </c>
      <c r="D32" s="3" t="n">
        <v>6</v>
      </c>
      <c r="E32" s="3" t="s">
        <v>109</v>
      </c>
      <c r="F32" s="3" t="s">
        <v>105</v>
      </c>
      <c r="G32" s="3" t="s">
        <v>105</v>
      </c>
      <c r="H32" s="3" t="s">
        <v>129</v>
      </c>
    </row>
    <row r="33" customFormat="false" ht="15" hidden="false" customHeight="false" outlineLevel="0" collapsed="false">
      <c r="A33" s="3" t="s">
        <v>124</v>
      </c>
      <c r="B33" s="3" t="n">
        <v>12</v>
      </c>
      <c r="C33" s="3" t="s">
        <v>103</v>
      </c>
      <c r="D33" s="3" t="n">
        <v>35</v>
      </c>
      <c r="E33" s="3" t="s">
        <v>104</v>
      </c>
      <c r="F33" s="3" t="s">
        <v>105</v>
      </c>
      <c r="G33" s="3" t="s">
        <v>105</v>
      </c>
      <c r="H33" s="3" t="s">
        <v>130</v>
      </c>
    </row>
    <row r="34" customFormat="false" ht="15" hidden="false" customHeight="false" outlineLevel="0" collapsed="false">
      <c r="A34" s="3" t="s">
        <v>124</v>
      </c>
      <c r="B34" s="3" t="n">
        <v>15</v>
      </c>
      <c r="C34" s="3" t="s">
        <v>103</v>
      </c>
      <c r="D34" s="3" t="n">
        <v>38</v>
      </c>
      <c r="E34" s="3" t="s">
        <v>104</v>
      </c>
      <c r="F34" s="3" t="s">
        <v>105</v>
      </c>
      <c r="G34" s="3" t="s">
        <v>105</v>
      </c>
      <c r="H34" s="3" t="s">
        <v>131</v>
      </c>
    </row>
    <row r="35" customFormat="false" ht="15" hidden="false" customHeight="false" outlineLevel="0" collapsed="false">
      <c r="A35" s="3" t="s">
        <v>124</v>
      </c>
      <c r="B35" s="3" t="n">
        <v>28</v>
      </c>
      <c r="C35" s="3" t="s">
        <v>103</v>
      </c>
      <c r="D35" s="3" t="n">
        <v>18</v>
      </c>
      <c r="E35" s="3" t="s">
        <v>104</v>
      </c>
      <c r="F35" s="3" t="s">
        <v>105</v>
      </c>
      <c r="G35" s="3" t="s">
        <v>105</v>
      </c>
      <c r="H35" s="3" t="s">
        <v>132</v>
      </c>
    </row>
    <row r="36" customFormat="false" ht="15" hidden="false" customHeight="false" outlineLevel="0" collapsed="false">
      <c r="A36" s="3" t="s">
        <v>124</v>
      </c>
      <c r="B36" s="3" t="n">
        <v>28</v>
      </c>
      <c r="C36" s="3" t="s">
        <v>103</v>
      </c>
      <c r="D36" s="3" t="n">
        <v>6</v>
      </c>
      <c r="E36" s="3" t="s">
        <v>109</v>
      </c>
      <c r="F36" s="3" t="s">
        <v>105</v>
      </c>
      <c r="G36" s="3" t="s">
        <v>105</v>
      </c>
      <c r="H36" s="3" t="s">
        <v>132</v>
      </c>
    </row>
    <row r="37" customFormat="false" ht="15" hidden="false" customHeight="false" outlineLevel="0" collapsed="false">
      <c r="A37" s="3" t="s">
        <v>124</v>
      </c>
      <c r="B37" s="3" t="n">
        <v>29</v>
      </c>
      <c r="C37" s="3" t="s">
        <v>103</v>
      </c>
      <c r="D37" s="3" t="n">
        <v>64</v>
      </c>
      <c r="E37" s="3" t="s">
        <v>104</v>
      </c>
      <c r="F37" s="3" t="s">
        <v>105</v>
      </c>
      <c r="G37" s="3" t="s">
        <v>105</v>
      </c>
      <c r="H37" s="3" t="s">
        <v>133</v>
      </c>
    </row>
    <row r="38" customFormat="false" ht="15" hidden="false" customHeight="false" outlineLevel="0" collapsed="false">
      <c r="A38" s="3" t="s">
        <v>124</v>
      </c>
      <c r="B38" s="3" t="n">
        <v>29</v>
      </c>
      <c r="C38" s="3" t="s">
        <v>103</v>
      </c>
      <c r="D38" s="3" t="n">
        <v>36</v>
      </c>
      <c r="E38" s="3" t="s">
        <v>109</v>
      </c>
      <c r="F38" s="3" t="s">
        <v>105</v>
      </c>
      <c r="G38" s="3" t="s">
        <v>105</v>
      </c>
      <c r="H38" s="3" t="s">
        <v>133</v>
      </c>
    </row>
    <row r="39" customFormat="false" ht="15" hidden="false" customHeight="false" outlineLevel="0" collapsed="false">
      <c r="A39" s="3" t="s">
        <v>124</v>
      </c>
      <c r="B39" s="3" t="n">
        <v>30</v>
      </c>
      <c r="C39" s="3" t="s">
        <v>103</v>
      </c>
      <c r="D39" s="3" t="n">
        <v>46</v>
      </c>
      <c r="E39" s="3" t="s">
        <v>104</v>
      </c>
      <c r="F39" s="3" t="s">
        <v>105</v>
      </c>
      <c r="G39" s="3" t="s">
        <v>105</v>
      </c>
      <c r="H39" s="3" t="s">
        <v>134</v>
      </c>
    </row>
    <row r="40" customFormat="false" ht="15" hidden="false" customHeight="false" outlineLevel="0" collapsed="false">
      <c r="A40" s="3" t="s">
        <v>124</v>
      </c>
      <c r="B40" s="3" t="n">
        <v>30</v>
      </c>
      <c r="C40" s="3" t="s">
        <v>103</v>
      </c>
      <c r="D40" s="3" t="n">
        <v>8</v>
      </c>
      <c r="E40" s="3" t="s">
        <v>109</v>
      </c>
      <c r="F40" s="3" t="s">
        <v>105</v>
      </c>
      <c r="G40" s="3" t="s">
        <v>105</v>
      </c>
      <c r="H40" s="3" t="s">
        <v>134</v>
      </c>
    </row>
    <row r="41" customFormat="false" ht="15" hidden="false" customHeight="false" outlineLevel="0" collapsed="false">
      <c r="A41" s="3" t="s">
        <v>124</v>
      </c>
      <c r="B41" s="3" t="n">
        <v>31</v>
      </c>
      <c r="C41" s="3" t="s">
        <v>103</v>
      </c>
      <c r="D41" s="3" t="n">
        <v>36</v>
      </c>
      <c r="E41" s="3" t="s">
        <v>104</v>
      </c>
      <c r="F41" s="3" t="s">
        <v>105</v>
      </c>
      <c r="G41" s="3" t="s">
        <v>105</v>
      </c>
      <c r="H41" s="3" t="s">
        <v>135</v>
      </c>
    </row>
    <row r="42" customFormat="false" ht="15" hidden="false" customHeight="false" outlineLevel="0" collapsed="false">
      <c r="A42" s="3" t="s">
        <v>124</v>
      </c>
      <c r="B42" s="3" t="n">
        <v>32</v>
      </c>
      <c r="C42" s="3" t="s">
        <v>103</v>
      </c>
      <c r="D42" s="3" t="n">
        <v>42</v>
      </c>
      <c r="E42" s="3" t="s">
        <v>104</v>
      </c>
      <c r="F42" s="3" t="s">
        <v>105</v>
      </c>
      <c r="G42" s="3" t="s">
        <v>105</v>
      </c>
      <c r="H42" s="3" t="s">
        <v>136</v>
      </c>
    </row>
    <row r="43" customFormat="false" ht="15" hidden="false" customHeight="false" outlineLevel="0" collapsed="false">
      <c r="A43" s="3" t="s">
        <v>124</v>
      </c>
      <c r="B43" s="3" t="n">
        <v>32</v>
      </c>
      <c r="C43" s="3" t="s">
        <v>103</v>
      </c>
      <c r="D43" s="3" t="n">
        <v>36</v>
      </c>
      <c r="E43" s="3" t="s">
        <v>109</v>
      </c>
      <c r="F43" s="3" t="s">
        <v>105</v>
      </c>
      <c r="G43" s="3" t="s">
        <v>105</v>
      </c>
      <c r="H43" s="3" t="s">
        <v>136</v>
      </c>
    </row>
    <row r="44" customFormat="false" ht="15" hidden="false" customHeight="false" outlineLevel="0" collapsed="false">
      <c r="A44" s="3" t="s">
        <v>124</v>
      </c>
      <c r="B44" s="3" t="n">
        <v>33</v>
      </c>
      <c r="C44" s="3" t="s">
        <v>103</v>
      </c>
      <c r="D44" s="3" t="n">
        <v>50</v>
      </c>
      <c r="E44" s="3" t="s">
        <v>104</v>
      </c>
      <c r="F44" s="3" t="s">
        <v>105</v>
      </c>
      <c r="G44" s="3" t="s">
        <v>105</v>
      </c>
      <c r="H44" s="3" t="s">
        <v>137</v>
      </c>
    </row>
    <row r="45" customFormat="false" ht="15" hidden="false" customHeight="false" outlineLevel="0" collapsed="false">
      <c r="A45" s="3" t="s">
        <v>124</v>
      </c>
      <c r="B45" s="3" t="n">
        <v>43</v>
      </c>
      <c r="C45" s="3" t="s">
        <v>103</v>
      </c>
      <c r="D45" s="3" t="n">
        <v>36</v>
      </c>
      <c r="E45" s="3" t="s">
        <v>104</v>
      </c>
      <c r="F45" s="3" t="s">
        <v>105</v>
      </c>
      <c r="G45" s="3" t="s">
        <v>105</v>
      </c>
      <c r="H45" s="3" t="s">
        <v>138</v>
      </c>
    </row>
    <row r="46" customFormat="false" ht="15" hidden="false" customHeight="false" outlineLevel="0" collapsed="false">
      <c r="A46" s="3" t="s">
        <v>124</v>
      </c>
      <c r="B46" s="3" t="n">
        <v>43</v>
      </c>
      <c r="C46" s="3" t="s">
        <v>103</v>
      </c>
      <c r="D46" s="3" t="n">
        <v>43</v>
      </c>
      <c r="E46" s="3" t="s">
        <v>109</v>
      </c>
      <c r="F46" s="3" t="s">
        <v>105</v>
      </c>
      <c r="G46" s="3" t="s">
        <v>105</v>
      </c>
      <c r="H46" s="3" t="s">
        <v>138</v>
      </c>
    </row>
    <row r="47" customFormat="false" ht="15" hidden="false" customHeight="false" outlineLevel="0" collapsed="false">
      <c r="A47" s="3" t="s">
        <v>124</v>
      </c>
      <c r="B47" s="3" t="n">
        <v>46</v>
      </c>
      <c r="C47" s="3" t="s">
        <v>103</v>
      </c>
      <c r="D47" s="3" t="n">
        <v>43</v>
      </c>
      <c r="E47" s="3" t="s">
        <v>104</v>
      </c>
      <c r="F47" s="3" t="s">
        <v>105</v>
      </c>
      <c r="G47" s="3" t="s">
        <v>105</v>
      </c>
      <c r="H47" s="3" t="s">
        <v>139</v>
      </c>
    </row>
    <row r="48" customFormat="false" ht="15" hidden="false" customHeight="false" outlineLevel="0" collapsed="false">
      <c r="A48" s="3" t="s">
        <v>124</v>
      </c>
      <c r="B48" s="3" t="n">
        <v>46</v>
      </c>
      <c r="C48" s="3" t="s">
        <v>103</v>
      </c>
      <c r="D48" s="3" t="n">
        <v>36</v>
      </c>
      <c r="E48" s="3" t="s">
        <v>109</v>
      </c>
      <c r="F48" s="3" t="s">
        <v>105</v>
      </c>
      <c r="G48" s="3" t="s">
        <v>105</v>
      </c>
      <c r="H48" s="3" t="s">
        <v>139</v>
      </c>
    </row>
    <row r="49" customFormat="false" ht="15" hidden="false" customHeight="false" outlineLevel="0" collapsed="false">
      <c r="A49" s="3" t="s">
        <v>124</v>
      </c>
      <c r="B49" s="3" t="n">
        <v>49</v>
      </c>
      <c r="C49" s="3" t="s">
        <v>103</v>
      </c>
      <c r="D49" s="3" t="n">
        <v>53</v>
      </c>
      <c r="E49" s="3" t="s">
        <v>104</v>
      </c>
      <c r="F49" s="3" t="s">
        <v>105</v>
      </c>
      <c r="G49" s="3" t="s">
        <v>105</v>
      </c>
      <c r="H49" s="3" t="s">
        <v>140</v>
      </c>
    </row>
    <row r="50" customFormat="false" ht="15" hidden="false" customHeight="false" outlineLevel="0" collapsed="false">
      <c r="A50" s="3" t="s">
        <v>124</v>
      </c>
      <c r="B50" s="3" t="n">
        <v>54</v>
      </c>
      <c r="C50" s="3" t="s">
        <v>103</v>
      </c>
      <c r="D50" s="3" t="n">
        <v>63</v>
      </c>
      <c r="E50" s="3" t="s">
        <v>104</v>
      </c>
      <c r="F50" s="3" t="s">
        <v>105</v>
      </c>
      <c r="G50" s="3" t="s">
        <v>105</v>
      </c>
      <c r="H50" s="3" t="s">
        <v>141</v>
      </c>
    </row>
    <row r="51" customFormat="false" ht="15" hidden="false" customHeight="false" outlineLevel="0" collapsed="false">
      <c r="A51" s="3" t="s">
        <v>124</v>
      </c>
      <c r="B51" s="3" t="n">
        <v>54</v>
      </c>
      <c r="C51" s="3" t="s">
        <v>103</v>
      </c>
      <c r="D51" s="3" t="n">
        <v>43</v>
      </c>
      <c r="E51" s="3" t="s">
        <v>109</v>
      </c>
      <c r="F51" s="3" t="s">
        <v>105</v>
      </c>
      <c r="G51" s="3" t="s">
        <v>105</v>
      </c>
      <c r="H51" s="3" t="s">
        <v>141</v>
      </c>
    </row>
    <row r="52" customFormat="false" ht="15" hidden="false" customHeight="false" outlineLevel="0" collapsed="false">
      <c r="A52" s="3" t="s">
        <v>124</v>
      </c>
      <c r="B52" s="3" t="n">
        <v>55</v>
      </c>
      <c r="C52" s="3" t="s">
        <v>103</v>
      </c>
      <c r="D52" s="3" t="n">
        <v>68</v>
      </c>
      <c r="E52" s="3" t="s">
        <v>104</v>
      </c>
      <c r="F52" s="3" t="s">
        <v>105</v>
      </c>
      <c r="G52" s="3" t="s">
        <v>105</v>
      </c>
      <c r="H52" s="3" t="s">
        <v>142</v>
      </c>
    </row>
    <row r="53" customFormat="false" ht="15" hidden="false" customHeight="false" outlineLevel="0" collapsed="false">
      <c r="A53" s="3" t="s">
        <v>124</v>
      </c>
      <c r="B53" s="3" t="n">
        <v>55</v>
      </c>
      <c r="C53" s="3" t="s">
        <v>103</v>
      </c>
      <c r="D53" s="3" t="n">
        <v>63</v>
      </c>
      <c r="E53" s="3" t="s">
        <v>109</v>
      </c>
      <c r="F53" s="3" t="s">
        <v>105</v>
      </c>
      <c r="G53" s="3" t="s">
        <v>105</v>
      </c>
      <c r="H53" s="3" t="s">
        <v>142</v>
      </c>
    </row>
    <row r="54" customFormat="false" ht="15" hidden="false" customHeight="false" outlineLevel="0" collapsed="false">
      <c r="A54" s="3" t="s">
        <v>124</v>
      </c>
      <c r="B54" s="3" t="n">
        <v>57</v>
      </c>
      <c r="C54" s="3" t="s">
        <v>103</v>
      </c>
      <c r="D54" s="3" t="n">
        <v>20</v>
      </c>
      <c r="E54" s="3" t="s">
        <v>104</v>
      </c>
      <c r="F54" s="3" t="s">
        <v>105</v>
      </c>
      <c r="G54" s="3" t="s">
        <v>105</v>
      </c>
      <c r="H54" s="3" t="s">
        <v>143</v>
      </c>
    </row>
    <row r="55" customFormat="false" ht="15" hidden="false" customHeight="false" outlineLevel="0" collapsed="false">
      <c r="A55" s="3" t="s">
        <v>124</v>
      </c>
      <c r="B55" s="3" t="n">
        <v>57</v>
      </c>
      <c r="C55" s="3" t="s">
        <v>103</v>
      </c>
      <c r="D55" s="3" t="n">
        <v>8</v>
      </c>
      <c r="E55" s="3" t="s">
        <v>109</v>
      </c>
      <c r="F55" s="3" t="s">
        <v>105</v>
      </c>
      <c r="G55" s="3" t="s">
        <v>105</v>
      </c>
      <c r="H55" s="3" t="s">
        <v>143</v>
      </c>
    </row>
    <row r="56" customFormat="false" ht="15" hidden="false" customHeight="false" outlineLevel="0" collapsed="false">
      <c r="A56" s="3" t="s">
        <v>124</v>
      </c>
      <c r="B56" s="3" t="n">
        <v>59</v>
      </c>
      <c r="C56" s="3" t="s">
        <v>103</v>
      </c>
      <c r="D56" s="3" t="n">
        <v>44</v>
      </c>
      <c r="E56" s="3" t="s">
        <v>104</v>
      </c>
      <c r="F56" s="3" t="s">
        <v>105</v>
      </c>
      <c r="G56" s="3" t="s">
        <v>105</v>
      </c>
      <c r="H56" s="3" t="s">
        <v>144</v>
      </c>
    </row>
    <row r="57" customFormat="false" ht="15" hidden="false" customHeight="false" outlineLevel="0" collapsed="false">
      <c r="A57" s="3" t="s">
        <v>124</v>
      </c>
      <c r="B57" s="3" t="n">
        <v>59</v>
      </c>
      <c r="C57" s="3" t="s">
        <v>103</v>
      </c>
      <c r="D57" s="3" t="n">
        <v>54</v>
      </c>
      <c r="E57" s="3" t="s">
        <v>109</v>
      </c>
      <c r="F57" s="3" t="s">
        <v>105</v>
      </c>
      <c r="G57" s="3" t="s">
        <v>105</v>
      </c>
      <c r="H57" s="3" t="s">
        <v>144</v>
      </c>
    </row>
    <row r="58" customFormat="false" ht="15" hidden="false" customHeight="false" outlineLevel="0" collapsed="false">
      <c r="A58" s="3" t="s">
        <v>124</v>
      </c>
      <c r="B58" s="3" t="n">
        <v>60</v>
      </c>
      <c r="C58" s="3" t="s">
        <v>103</v>
      </c>
      <c r="D58" s="3" t="n">
        <v>44</v>
      </c>
      <c r="E58" s="3" t="s">
        <v>104</v>
      </c>
      <c r="F58" s="3" t="s">
        <v>105</v>
      </c>
      <c r="G58" s="3" t="s">
        <v>105</v>
      </c>
      <c r="H58" s="3" t="s">
        <v>145</v>
      </c>
    </row>
    <row r="59" customFormat="false" ht="15" hidden="false" customHeight="false" outlineLevel="0" collapsed="false">
      <c r="A59" s="3" t="s">
        <v>124</v>
      </c>
      <c r="B59" s="3" t="n">
        <v>61</v>
      </c>
      <c r="C59" s="3" t="s">
        <v>103</v>
      </c>
      <c r="D59" s="3" t="n">
        <v>54</v>
      </c>
      <c r="E59" s="3" t="s">
        <v>104</v>
      </c>
      <c r="F59" s="3" t="s">
        <v>105</v>
      </c>
      <c r="G59" s="3" t="s">
        <v>105</v>
      </c>
      <c r="H59" s="3" t="s">
        <v>146</v>
      </c>
    </row>
    <row r="60" customFormat="false" ht="15" hidden="false" customHeight="false" outlineLevel="0" collapsed="false">
      <c r="A60" s="3" t="s">
        <v>124</v>
      </c>
      <c r="B60" s="3" t="n">
        <v>75</v>
      </c>
      <c r="C60" s="3" t="s">
        <v>103</v>
      </c>
      <c r="D60" s="3" t="n">
        <v>1</v>
      </c>
      <c r="E60" s="3" t="s">
        <v>104</v>
      </c>
      <c r="F60" s="3" t="s">
        <v>105</v>
      </c>
      <c r="G60" s="3" t="s">
        <v>105</v>
      </c>
      <c r="H60" s="3" t="s">
        <v>147</v>
      </c>
    </row>
    <row r="61" customFormat="false" ht="15" hidden="false" customHeight="false" outlineLevel="0" collapsed="false">
      <c r="A61" s="3" t="s">
        <v>124</v>
      </c>
      <c r="B61" s="3" t="n">
        <v>75</v>
      </c>
      <c r="C61" s="3" t="s">
        <v>103</v>
      </c>
      <c r="D61" s="3" t="n">
        <v>25</v>
      </c>
      <c r="E61" s="3" t="s">
        <v>109</v>
      </c>
      <c r="F61" s="3" t="s">
        <v>105</v>
      </c>
      <c r="G61" s="3" t="s">
        <v>105</v>
      </c>
      <c r="H61" s="3" t="s">
        <v>147</v>
      </c>
    </row>
    <row r="62" customFormat="false" ht="15" hidden="false" customHeight="false" outlineLevel="0" collapsed="false">
      <c r="A62" s="3" t="s">
        <v>124</v>
      </c>
      <c r="B62" s="3" t="n">
        <v>80</v>
      </c>
      <c r="C62" s="3" t="s">
        <v>103</v>
      </c>
      <c r="D62" s="3" t="n">
        <v>29</v>
      </c>
      <c r="E62" s="3" t="s">
        <v>104</v>
      </c>
      <c r="F62" s="3" t="s">
        <v>105</v>
      </c>
      <c r="G62" s="3" t="s">
        <v>105</v>
      </c>
      <c r="H62" s="3" t="s">
        <v>148</v>
      </c>
    </row>
    <row r="63" customFormat="false" ht="15" hidden="false" customHeight="false" outlineLevel="0" collapsed="false">
      <c r="A63" s="3" t="s">
        <v>124</v>
      </c>
      <c r="B63" s="3" t="n">
        <v>81</v>
      </c>
      <c r="C63" s="3" t="s">
        <v>103</v>
      </c>
      <c r="D63" s="3" t="n">
        <v>6</v>
      </c>
      <c r="E63" s="3" t="s">
        <v>104</v>
      </c>
      <c r="F63" s="3" t="s">
        <v>105</v>
      </c>
      <c r="G63" s="3" t="s">
        <v>105</v>
      </c>
      <c r="H63" s="3" t="s">
        <v>149</v>
      </c>
    </row>
    <row r="64" customFormat="false" ht="15" hidden="false" customHeight="false" outlineLevel="0" collapsed="false">
      <c r="A64" s="3" t="s">
        <v>124</v>
      </c>
      <c r="B64" s="3" t="n">
        <v>81</v>
      </c>
      <c r="C64" s="3" t="s">
        <v>103</v>
      </c>
      <c r="D64" s="3" t="n">
        <v>41</v>
      </c>
      <c r="E64" s="3" t="s">
        <v>109</v>
      </c>
      <c r="F64" s="3" t="s">
        <v>105</v>
      </c>
      <c r="G64" s="3" t="s">
        <v>105</v>
      </c>
      <c r="H64" s="3" t="s">
        <v>149</v>
      </c>
    </row>
    <row r="65" customFormat="false" ht="15" hidden="false" customHeight="false" outlineLevel="0" collapsed="false">
      <c r="A65" s="3" t="s">
        <v>124</v>
      </c>
      <c r="B65" s="3" t="n">
        <v>82</v>
      </c>
      <c r="C65" s="3" t="s">
        <v>103</v>
      </c>
      <c r="D65" s="3" t="n">
        <v>20</v>
      </c>
      <c r="E65" s="3" t="s">
        <v>104</v>
      </c>
      <c r="F65" s="3" t="s">
        <v>105</v>
      </c>
      <c r="G65" s="3" t="s">
        <v>105</v>
      </c>
      <c r="H65" s="3" t="s">
        <v>150</v>
      </c>
    </row>
    <row r="66" customFormat="false" ht="15" hidden="false" customHeight="false" outlineLevel="0" collapsed="false">
      <c r="A66" s="3" t="s">
        <v>124</v>
      </c>
      <c r="B66" s="3" t="n">
        <v>82</v>
      </c>
      <c r="C66" s="3" t="s">
        <v>103</v>
      </c>
      <c r="D66" s="3" t="n">
        <v>6</v>
      </c>
      <c r="E66" s="3" t="s">
        <v>109</v>
      </c>
      <c r="F66" s="3" t="s">
        <v>105</v>
      </c>
      <c r="G66" s="3" t="s">
        <v>105</v>
      </c>
      <c r="H66" s="3" t="s">
        <v>150</v>
      </c>
    </row>
    <row r="67" customFormat="false" ht="15" hidden="false" customHeight="false" outlineLevel="0" collapsed="false">
      <c r="A67" s="3" t="s">
        <v>124</v>
      </c>
      <c r="B67" s="3" t="n">
        <v>91</v>
      </c>
      <c r="C67" s="3" t="s">
        <v>103</v>
      </c>
      <c r="D67" s="3" t="n">
        <v>20</v>
      </c>
      <c r="E67" s="3" t="s">
        <v>104</v>
      </c>
      <c r="F67" s="3" t="s">
        <v>105</v>
      </c>
      <c r="G67" s="3" t="s">
        <v>105</v>
      </c>
      <c r="H67" s="3" t="s">
        <v>151</v>
      </c>
    </row>
    <row r="68" customFormat="false" ht="15" hidden="false" customHeight="false" outlineLevel="0" collapsed="false">
      <c r="A68" s="3" t="s">
        <v>124</v>
      </c>
      <c r="B68" s="3" t="n">
        <v>93</v>
      </c>
      <c r="C68" s="3" t="s">
        <v>103</v>
      </c>
      <c r="D68" s="3" t="n">
        <v>8</v>
      </c>
      <c r="E68" s="3" t="s">
        <v>104</v>
      </c>
      <c r="F68" s="3" t="s">
        <v>105</v>
      </c>
      <c r="G68" s="3" t="s">
        <v>105</v>
      </c>
      <c r="H68" s="3" t="s">
        <v>152</v>
      </c>
    </row>
    <row r="69" customFormat="false" ht="15" hidden="false" customHeight="false" outlineLevel="0" collapsed="false">
      <c r="A69" s="3" t="s">
        <v>124</v>
      </c>
      <c r="B69" s="3" t="n">
        <v>94</v>
      </c>
      <c r="C69" s="3" t="s">
        <v>103</v>
      </c>
      <c r="D69" s="3" t="n">
        <v>10</v>
      </c>
      <c r="E69" s="3" t="s">
        <v>104</v>
      </c>
      <c r="F69" s="3" t="s">
        <v>105</v>
      </c>
      <c r="G69" s="3" t="s">
        <v>105</v>
      </c>
      <c r="H69" s="3" t="s">
        <v>153</v>
      </c>
    </row>
    <row r="70" customFormat="false" ht="15" hidden="false" customHeight="false" outlineLevel="0" collapsed="false">
      <c r="A70" s="3" t="s">
        <v>124</v>
      </c>
      <c r="B70" s="3" t="n">
        <v>94</v>
      </c>
      <c r="C70" s="3" t="s">
        <v>103</v>
      </c>
      <c r="D70" s="3" t="n">
        <v>8</v>
      </c>
      <c r="E70" s="3" t="s">
        <v>109</v>
      </c>
      <c r="F70" s="3" t="s">
        <v>105</v>
      </c>
      <c r="G70" s="3" t="s">
        <v>105</v>
      </c>
      <c r="H70" s="3" t="s">
        <v>153</v>
      </c>
    </row>
    <row r="71" customFormat="false" ht="15" hidden="false" customHeight="false" outlineLevel="0" collapsed="false">
      <c r="A71" s="3" t="s">
        <v>124</v>
      </c>
      <c r="B71" s="3" t="n">
        <v>95</v>
      </c>
      <c r="C71" s="3" t="s">
        <v>103</v>
      </c>
      <c r="D71" s="3" t="n">
        <v>1</v>
      </c>
      <c r="E71" s="3" t="s">
        <v>104</v>
      </c>
      <c r="F71" s="3" t="s">
        <v>105</v>
      </c>
      <c r="G71" s="3" t="s">
        <v>105</v>
      </c>
      <c r="H71" s="3" t="s">
        <v>154</v>
      </c>
    </row>
    <row r="72" customFormat="false" ht="15" hidden="false" customHeight="false" outlineLevel="0" collapsed="false">
      <c r="A72" s="3" t="s">
        <v>124</v>
      </c>
      <c r="B72" s="3" t="n">
        <v>95</v>
      </c>
      <c r="C72" s="3" t="s">
        <v>103</v>
      </c>
      <c r="D72" s="3" t="n">
        <v>25</v>
      </c>
      <c r="E72" s="3" t="s">
        <v>109</v>
      </c>
      <c r="F72" s="3" t="s">
        <v>105</v>
      </c>
      <c r="G72" s="3" t="s">
        <v>105</v>
      </c>
      <c r="H72" s="3" t="s">
        <v>154</v>
      </c>
    </row>
    <row r="73" customFormat="false" ht="15" hidden="false" customHeight="false" outlineLevel="0" collapsed="false">
      <c r="A73" s="3" t="s">
        <v>124</v>
      </c>
      <c r="B73" s="3" t="n">
        <v>96</v>
      </c>
      <c r="C73" s="3" t="s">
        <v>103</v>
      </c>
      <c r="D73" s="3" t="n">
        <v>6</v>
      </c>
      <c r="E73" s="3" t="s">
        <v>104</v>
      </c>
      <c r="F73" s="3" t="s">
        <v>105</v>
      </c>
      <c r="G73" s="3" t="s">
        <v>105</v>
      </c>
      <c r="H73" s="3" t="s">
        <v>155</v>
      </c>
    </row>
    <row r="74" customFormat="false" ht="15" hidden="false" customHeight="false" outlineLevel="0" collapsed="false">
      <c r="A74" s="3" t="s">
        <v>124</v>
      </c>
      <c r="B74" s="3" t="n">
        <v>96</v>
      </c>
      <c r="C74" s="3" t="s">
        <v>103</v>
      </c>
      <c r="D74" s="3" t="n">
        <v>18</v>
      </c>
      <c r="E74" s="3" t="s">
        <v>109</v>
      </c>
      <c r="F74" s="3" t="s">
        <v>105</v>
      </c>
      <c r="G74" s="3" t="s">
        <v>105</v>
      </c>
      <c r="H74" s="3" t="s">
        <v>155</v>
      </c>
    </row>
    <row r="75" customFormat="false" ht="15" hidden="false" customHeight="false" outlineLevel="0" collapsed="false">
      <c r="A75" s="3" t="s">
        <v>124</v>
      </c>
      <c r="B75" s="3" t="n">
        <v>96</v>
      </c>
      <c r="C75" s="3" t="s">
        <v>103</v>
      </c>
      <c r="D75" s="3" t="n">
        <v>15</v>
      </c>
      <c r="E75" s="3" t="s">
        <v>109</v>
      </c>
      <c r="F75" s="3" t="s">
        <v>105</v>
      </c>
      <c r="G75" s="3" t="s">
        <v>105</v>
      </c>
      <c r="H75" s="3" t="s">
        <v>155</v>
      </c>
    </row>
    <row r="76" customFormat="false" ht="15" hidden="false" customHeight="false" outlineLevel="0" collapsed="false">
      <c r="A76" s="3" t="s">
        <v>124</v>
      </c>
      <c r="B76" s="3" t="n">
        <v>97</v>
      </c>
      <c r="C76" s="3" t="s">
        <v>103</v>
      </c>
      <c r="D76" s="3" t="n">
        <v>49</v>
      </c>
      <c r="E76" s="3" t="s">
        <v>104</v>
      </c>
      <c r="F76" s="3" t="s">
        <v>105</v>
      </c>
      <c r="G76" s="3" t="s">
        <v>105</v>
      </c>
      <c r="H76" s="3" t="s">
        <v>156</v>
      </c>
    </row>
    <row r="77" customFormat="false" ht="15" hidden="false" customHeight="false" outlineLevel="0" collapsed="false">
      <c r="A77" s="3" t="s">
        <v>124</v>
      </c>
      <c r="B77" s="3" t="n">
        <v>97</v>
      </c>
      <c r="C77" s="3" t="s">
        <v>103</v>
      </c>
      <c r="D77" s="3" t="n">
        <v>38</v>
      </c>
      <c r="E77" s="3" t="s">
        <v>109</v>
      </c>
      <c r="F77" s="3" t="s">
        <v>105</v>
      </c>
      <c r="G77" s="3" t="s">
        <v>105</v>
      </c>
      <c r="H77" s="3" t="s">
        <v>156</v>
      </c>
    </row>
    <row r="78" customFormat="false" ht="15" hidden="false" customHeight="false" outlineLevel="0" collapsed="false">
      <c r="A78" s="3" t="s">
        <v>124</v>
      </c>
      <c r="B78" s="3" t="n">
        <v>98</v>
      </c>
      <c r="C78" s="3" t="s">
        <v>103</v>
      </c>
      <c r="D78" s="3" t="n">
        <v>64</v>
      </c>
      <c r="E78" s="3" t="s">
        <v>104</v>
      </c>
      <c r="F78" s="3" t="s">
        <v>105</v>
      </c>
      <c r="G78" s="3" t="s">
        <v>105</v>
      </c>
      <c r="H78" s="3" t="s">
        <v>157</v>
      </c>
    </row>
    <row r="79" customFormat="false" ht="15" hidden="false" customHeight="false" outlineLevel="0" collapsed="false">
      <c r="A79" s="3" t="s">
        <v>124</v>
      </c>
      <c r="B79" s="3" t="n">
        <v>98</v>
      </c>
      <c r="C79" s="3" t="s">
        <v>103</v>
      </c>
      <c r="D79" s="3" t="n">
        <v>43</v>
      </c>
      <c r="E79" s="3" t="s">
        <v>109</v>
      </c>
      <c r="F79" s="3" t="s">
        <v>105</v>
      </c>
      <c r="G79" s="3" t="s">
        <v>105</v>
      </c>
      <c r="H79" s="3" t="s">
        <v>157</v>
      </c>
    </row>
    <row r="80" customFormat="false" ht="15" hidden="false" customHeight="false" outlineLevel="0" collapsed="false">
      <c r="A80" s="3" t="s">
        <v>158</v>
      </c>
      <c r="B80" s="3" t="n">
        <v>2</v>
      </c>
      <c r="C80" s="3" t="s">
        <v>103</v>
      </c>
      <c r="D80" s="3" t="n">
        <v>3</v>
      </c>
      <c r="E80" s="3" t="s">
        <v>104</v>
      </c>
      <c r="F80" s="3" t="s">
        <v>159</v>
      </c>
      <c r="G80" s="3" t="s">
        <v>159</v>
      </c>
      <c r="H80" s="3" t="s">
        <v>160</v>
      </c>
    </row>
    <row r="81" customFormat="false" ht="15" hidden="false" customHeight="false" outlineLevel="0" collapsed="false">
      <c r="A81" s="3" t="s">
        <v>158</v>
      </c>
      <c r="B81" s="3" t="n">
        <v>2</v>
      </c>
      <c r="C81" s="3" t="s">
        <v>103</v>
      </c>
      <c r="D81" s="3" t="n">
        <v>6</v>
      </c>
      <c r="E81" s="3" t="s">
        <v>109</v>
      </c>
      <c r="F81" s="3" t="s">
        <v>159</v>
      </c>
      <c r="G81" s="3" t="s">
        <v>159</v>
      </c>
      <c r="H81" s="3" t="s">
        <v>160</v>
      </c>
    </row>
    <row r="82" customFormat="false" ht="15" hidden="false" customHeight="false" outlineLevel="0" collapsed="false">
      <c r="A82" s="3" t="s">
        <v>158</v>
      </c>
      <c r="B82" s="3" t="n">
        <v>7</v>
      </c>
      <c r="C82" s="3" t="s">
        <v>103</v>
      </c>
      <c r="D82" s="3" t="n">
        <v>41</v>
      </c>
      <c r="E82" s="3" t="s">
        <v>104</v>
      </c>
      <c r="F82" s="3" t="s">
        <v>159</v>
      </c>
      <c r="G82" s="3" t="s">
        <v>159</v>
      </c>
      <c r="H82" s="3" t="s">
        <v>161</v>
      </c>
    </row>
    <row r="83" customFormat="false" ht="15" hidden="false" customHeight="false" outlineLevel="0" collapsed="false">
      <c r="A83" s="3" t="s">
        <v>158</v>
      </c>
      <c r="B83" s="3" t="n">
        <v>7</v>
      </c>
      <c r="C83" s="3" t="s">
        <v>103</v>
      </c>
      <c r="D83" s="3" t="n">
        <v>49</v>
      </c>
      <c r="E83" s="3" t="s">
        <v>109</v>
      </c>
      <c r="F83" s="3" t="s">
        <v>159</v>
      </c>
      <c r="G83" s="3" t="s">
        <v>159</v>
      </c>
      <c r="H83" s="3" t="s">
        <v>161</v>
      </c>
    </row>
    <row r="84" customFormat="false" ht="15" hidden="false" customHeight="false" outlineLevel="0" collapsed="false">
      <c r="A84" s="3" t="s">
        <v>158</v>
      </c>
      <c r="B84" s="3" t="n">
        <v>14</v>
      </c>
      <c r="C84" s="3" t="s">
        <v>103</v>
      </c>
      <c r="D84" s="3" t="n">
        <v>20</v>
      </c>
      <c r="E84" s="3" t="s">
        <v>104</v>
      </c>
      <c r="F84" s="3" t="s">
        <v>159</v>
      </c>
      <c r="G84" s="3" t="s">
        <v>159</v>
      </c>
      <c r="H84" s="3" t="s">
        <v>162</v>
      </c>
    </row>
    <row r="85" customFormat="false" ht="15" hidden="false" customHeight="false" outlineLevel="0" collapsed="false">
      <c r="A85" s="3" t="s">
        <v>158</v>
      </c>
      <c r="B85" s="3" t="n">
        <v>15</v>
      </c>
      <c r="C85" s="3" t="s">
        <v>103</v>
      </c>
      <c r="D85" s="3" t="n">
        <v>45</v>
      </c>
      <c r="E85" s="3" t="s">
        <v>104</v>
      </c>
      <c r="F85" s="3" t="s">
        <v>159</v>
      </c>
      <c r="G85" s="3" t="s">
        <v>159</v>
      </c>
      <c r="H85" s="3" t="s">
        <v>163</v>
      </c>
    </row>
    <row r="86" customFormat="false" ht="15" hidden="false" customHeight="false" outlineLevel="0" collapsed="false">
      <c r="A86" s="3" t="s">
        <v>158</v>
      </c>
      <c r="B86" s="3" t="n">
        <v>15</v>
      </c>
      <c r="C86" s="3" t="s">
        <v>103</v>
      </c>
      <c r="D86" s="3" t="n">
        <v>36</v>
      </c>
      <c r="E86" s="3" t="s">
        <v>109</v>
      </c>
      <c r="F86" s="3" t="s">
        <v>159</v>
      </c>
      <c r="G86" s="3" t="s">
        <v>159</v>
      </c>
      <c r="H86" s="3" t="s">
        <v>163</v>
      </c>
    </row>
    <row r="87" customFormat="false" ht="15" hidden="false" customHeight="false" outlineLevel="0" collapsed="false">
      <c r="A87" s="3" t="s">
        <v>158</v>
      </c>
      <c r="B87" s="3" t="n">
        <v>19</v>
      </c>
      <c r="C87" s="3" t="s">
        <v>103</v>
      </c>
      <c r="D87" s="3" t="n">
        <v>20</v>
      </c>
      <c r="E87" s="3" t="s">
        <v>104</v>
      </c>
      <c r="F87" s="3" t="s">
        <v>159</v>
      </c>
      <c r="G87" s="3" t="s">
        <v>159</v>
      </c>
      <c r="H87" s="3" t="s">
        <v>164</v>
      </c>
    </row>
    <row r="88" customFormat="false" ht="15" hidden="false" customHeight="false" outlineLevel="0" collapsed="false">
      <c r="A88" s="3" t="s">
        <v>158</v>
      </c>
      <c r="B88" s="3" t="n">
        <v>20</v>
      </c>
      <c r="C88" s="3" t="s">
        <v>103</v>
      </c>
      <c r="D88" s="3" t="n">
        <v>41</v>
      </c>
      <c r="E88" s="3" t="s">
        <v>104</v>
      </c>
      <c r="F88" s="3" t="s">
        <v>159</v>
      </c>
      <c r="G88" s="3" t="s">
        <v>159</v>
      </c>
      <c r="H88" s="3" t="s">
        <v>165</v>
      </c>
    </row>
    <row r="89" customFormat="false" ht="15" hidden="false" customHeight="false" outlineLevel="0" collapsed="false">
      <c r="A89" s="3" t="s">
        <v>158</v>
      </c>
      <c r="B89" s="3" t="n">
        <v>23</v>
      </c>
      <c r="C89" s="3" t="s">
        <v>103</v>
      </c>
      <c r="D89" s="3" t="n">
        <v>41</v>
      </c>
      <c r="E89" s="3" t="s">
        <v>104</v>
      </c>
      <c r="F89" s="3" t="s">
        <v>159</v>
      </c>
      <c r="G89" s="3" t="s">
        <v>159</v>
      </c>
      <c r="H89" s="3" t="s">
        <v>166</v>
      </c>
    </row>
    <row r="90" customFormat="false" ht="15" hidden="false" customHeight="false" outlineLevel="0" collapsed="false">
      <c r="A90" s="3" t="s">
        <v>158</v>
      </c>
      <c r="B90" s="3" t="n">
        <v>26</v>
      </c>
      <c r="C90" s="3" t="s">
        <v>103</v>
      </c>
      <c r="D90" s="3" t="n">
        <v>8</v>
      </c>
      <c r="E90" s="3" t="s">
        <v>104</v>
      </c>
      <c r="F90" s="3" t="s">
        <v>159</v>
      </c>
      <c r="G90" s="3" t="s">
        <v>159</v>
      </c>
      <c r="H90" s="3" t="s">
        <v>167</v>
      </c>
    </row>
    <row r="91" customFormat="false" ht="15" hidden="false" customHeight="false" outlineLevel="0" collapsed="false">
      <c r="A91" s="3" t="s">
        <v>158</v>
      </c>
      <c r="B91" s="3" t="n">
        <v>26</v>
      </c>
      <c r="C91" s="3" t="s">
        <v>103</v>
      </c>
      <c r="D91" s="3" t="n">
        <v>6</v>
      </c>
      <c r="E91" s="3" t="s">
        <v>109</v>
      </c>
      <c r="F91" s="3" t="s">
        <v>159</v>
      </c>
      <c r="G91" s="3" t="s">
        <v>159</v>
      </c>
      <c r="H91" s="3" t="s">
        <v>167</v>
      </c>
    </row>
    <row r="92" customFormat="false" ht="15" hidden="false" customHeight="false" outlineLevel="0" collapsed="false">
      <c r="A92" s="3" t="s">
        <v>158</v>
      </c>
      <c r="B92" s="3" t="n">
        <v>30</v>
      </c>
      <c r="C92" s="3" t="s">
        <v>103</v>
      </c>
      <c r="D92" s="3" t="n">
        <v>15</v>
      </c>
      <c r="E92" s="3" t="s">
        <v>104</v>
      </c>
      <c r="F92" s="3" t="s">
        <v>159</v>
      </c>
      <c r="G92" s="3" t="s">
        <v>159</v>
      </c>
      <c r="H92" s="3" t="s">
        <v>168</v>
      </c>
    </row>
    <row r="93" customFormat="false" ht="15" hidden="false" customHeight="false" outlineLevel="0" collapsed="false">
      <c r="A93" s="3" t="s">
        <v>158</v>
      </c>
      <c r="B93" s="3" t="n">
        <v>30</v>
      </c>
      <c r="C93" s="3" t="s">
        <v>103</v>
      </c>
      <c r="D93" s="3" t="n">
        <v>6</v>
      </c>
      <c r="E93" s="3" t="s">
        <v>109</v>
      </c>
      <c r="F93" s="3" t="s">
        <v>159</v>
      </c>
      <c r="G93" s="3" t="s">
        <v>159</v>
      </c>
      <c r="H93" s="3" t="s">
        <v>168</v>
      </c>
    </row>
    <row r="94" customFormat="false" ht="15" hidden="false" customHeight="false" outlineLevel="0" collapsed="false">
      <c r="A94" s="3" t="s">
        <v>158</v>
      </c>
      <c r="B94" s="3" t="n">
        <v>31</v>
      </c>
      <c r="C94" s="3" t="s">
        <v>103</v>
      </c>
      <c r="D94" s="3" t="n">
        <v>41</v>
      </c>
      <c r="E94" s="3" t="s">
        <v>104</v>
      </c>
      <c r="F94" s="3" t="s">
        <v>159</v>
      </c>
      <c r="G94" s="3" t="s">
        <v>159</v>
      </c>
      <c r="H94" s="3" t="s">
        <v>169</v>
      </c>
    </row>
    <row r="95" customFormat="false" ht="15" hidden="false" customHeight="false" outlineLevel="0" collapsed="false">
      <c r="A95" s="3" t="s">
        <v>158</v>
      </c>
      <c r="B95" s="3" t="n">
        <v>31</v>
      </c>
      <c r="C95" s="3" t="s">
        <v>103</v>
      </c>
      <c r="D95" s="3" t="n">
        <v>6</v>
      </c>
      <c r="E95" s="3" t="s">
        <v>109</v>
      </c>
      <c r="F95" s="3" t="s">
        <v>159</v>
      </c>
      <c r="G95" s="3" t="s">
        <v>159</v>
      </c>
      <c r="H95" s="3" t="s">
        <v>169</v>
      </c>
    </row>
    <row r="96" customFormat="false" ht="15" hidden="false" customHeight="false" outlineLevel="0" collapsed="false">
      <c r="A96" s="3" t="s">
        <v>158</v>
      </c>
      <c r="B96" s="3" t="n">
        <v>36</v>
      </c>
      <c r="C96" s="3" t="s">
        <v>103</v>
      </c>
      <c r="D96" s="3" t="n">
        <v>15</v>
      </c>
      <c r="E96" s="3" t="s">
        <v>104</v>
      </c>
      <c r="F96" s="3" t="s">
        <v>159</v>
      </c>
      <c r="G96" s="3" t="s">
        <v>159</v>
      </c>
      <c r="H96" s="3" t="s">
        <v>170</v>
      </c>
    </row>
    <row r="97" customFormat="false" ht="15" hidden="false" customHeight="false" outlineLevel="0" collapsed="false">
      <c r="A97" s="3" t="s">
        <v>158</v>
      </c>
      <c r="B97" s="3" t="n">
        <v>38</v>
      </c>
      <c r="C97" s="3" t="s">
        <v>103</v>
      </c>
      <c r="D97" s="3" t="n">
        <v>17</v>
      </c>
      <c r="E97" s="3" t="s">
        <v>104</v>
      </c>
      <c r="F97" s="3" t="s">
        <v>159</v>
      </c>
      <c r="G97" s="3" t="s">
        <v>159</v>
      </c>
      <c r="H97" s="3" t="s">
        <v>171</v>
      </c>
    </row>
    <row r="98" customFormat="false" ht="15" hidden="false" customHeight="false" outlineLevel="0" collapsed="false">
      <c r="A98" s="3" t="s">
        <v>158</v>
      </c>
      <c r="B98" s="3" t="n">
        <v>38</v>
      </c>
      <c r="C98" s="3" t="s">
        <v>103</v>
      </c>
      <c r="D98" s="3" t="n">
        <v>41</v>
      </c>
      <c r="E98" s="3" t="s">
        <v>109</v>
      </c>
      <c r="F98" s="3" t="s">
        <v>159</v>
      </c>
      <c r="G98" s="3" t="s">
        <v>159</v>
      </c>
      <c r="H98" s="3" t="s">
        <v>171</v>
      </c>
    </row>
    <row r="99" customFormat="false" ht="15" hidden="false" customHeight="false" outlineLevel="0" collapsed="false">
      <c r="A99" s="3" t="s">
        <v>158</v>
      </c>
      <c r="B99" s="3" t="n">
        <v>38</v>
      </c>
      <c r="C99" s="3" t="s">
        <v>103</v>
      </c>
      <c r="D99" s="3" t="n">
        <v>14</v>
      </c>
      <c r="E99" s="3" t="s">
        <v>109</v>
      </c>
      <c r="F99" s="3" t="s">
        <v>159</v>
      </c>
      <c r="G99" s="3" t="s">
        <v>159</v>
      </c>
      <c r="H99" s="3" t="s">
        <v>171</v>
      </c>
    </row>
    <row r="100" customFormat="false" ht="15" hidden="false" customHeight="false" outlineLevel="0" collapsed="false">
      <c r="A100" s="3" t="s">
        <v>158</v>
      </c>
      <c r="B100" s="3" t="n">
        <v>41</v>
      </c>
      <c r="C100" s="3" t="s">
        <v>103</v>
      </c>
      <c r="D100" s="3" t="n">
        <v>36</v>
      </c>
      <c r="E100" s="3" t="s">
        <v>104</v>
      </c>
      <c r="F100" s="3" t="s">
        <v>159</v>
      </c>
      <c r="G100" s="3" t="s">
        <v>159</v>
      </c>
      <c r="H100" s="3" t="s">
        <v>172</v>
      </c>
    </row>
    <row r="101" customFormat="false" ht="15" hidden="false" customHeight="false" outlineLevel="0" collapsed="false">
      <c r="A101" s="3" t="s">
        <v>158</v>
      </c>
      <c r="B101" s="3" t="n">
        <v>41</v>
      </c>
      <c r="C101" s="3" t="s">
        <v>103</v>
      </c>
      <c r="D101" s="3" t="n">
        <v>45</v>
      </c>
      <c r="E101" s="3" t="s">
        <v>109</v>
      </c>
      <c r="F101" s="3" t="s">
        <v>159</v>
      </c>
      <c r="G101" s="3" t="s">
        <v>159</v>
      </c>
      <c r="H101" s="3" t="s">
        <v>172</v>
      </c>
    </row>
    <row r="102" customFormat="false" ht="15" hidden="false" customHeight="false" outlineLevel="0" collapsed="false">
      <c r="A102" s="3" t="s">
        <v>158</v>
      </c>
      <c r="B102" s="3" t="n">
        <v>42</v>
      </c>
      <c r="C102" s="3" t="s">
        <v>103</v>
      </c>
      <c r="D102" s="3" t="n">
        <v>44</v>
      </c>
      <c r="E102" s="3" t="s">
        <v>104</v>
      </c>
      <c r="F102" s="3" t="s">
        <v>159</v>
      </c>
      <c r="G102" s="3" t="s">
        <v>159</v>
      </c>
      <c r="H102" s="3" t="s">
        <v>173</v>
      </c>
    </row>
    <row r="103" customFormat="false" ht="15" hidden="false" customHeight="false" outlineLevel="0" collapsed="false">
      <c r="A103" s="3" t="s">
        <v>158</v>
      </c>
      <c r="B103" s="3" t="n">
        <v>42</v>
      </c>
      <c r="C103" s="3" t="s">
        <v>103</v>
      </c>
      <c r="D103" s="3" t="n">
        <v>41</v>
      </c>
      <c r="E103" s="3" t="s">
        <v>109</v>
      </c>
      <c r="F103" s="3" t="s">
        <v>159</v>
      </c>
      <c r="G103" s="3" t="s">
        <v>159</v>
      </c>
      <c r="H103" s="3" t="s">
        <v>173</v>
      </c>
    </row>
    <row r="104" customFormat="false" ht="15" hidden="false" customHeight="false" outlineLevel="0" collapsed="false">
      <c r="A104" s="3" t="s">
        <v>174</v>
      </c>
      <c r="B104" s="3" t="n">
        <v>11</v>
      </c>
      <c r="C104" s="3" t="s">
        <v>103</v>
      </c>
      <c r="D104" s="3" t="n">
        <v>43</v>
      </c>
      <c r="E104" s="3" t="s">
        <v>104</v>
      </c>
      <c r="F104" s="3" t="s">
        <v>105</v>
      </c>
      <c r="G104" s="3" t="s">
        <v>105</v>
      </c>
      <c r="H104" s="3" t="s">
        <v>175</v>
      </c>
    </row>
    <row r="105" customFormat="false" ht="15" hidden="false" customHeight="false" outlineLevel="0" collapsed="false">
      <c r="A105" s="3" t="s">
        <v>174</v>
      </c>
      <c r="B105" s="3" t="n">
        <v>12</v>
      </c>
      <c r="C105" s="3" t="s">
        <v>103</v>
      </c>
      <c r="D105" s="3" t="n">
        <v>43</v>
      </c>
      <c r="E105" s="3" t="s">
        <v>104</v>
      </c>
      <c r="F105" s="3" t="s">
        <v>105</v>
      </c>
      <c r="G105" s="3" t="s">
        <v>105</v>
      </c>
      <c r="H105" s="3" t="s">
        <v>176</v>
      </c>
    </row>
    <row r="106" customFormat="false" ht="15" hidden="false" customHeight="false" outlineLevel="0" collapsed="false">
      <c r="A106" s="3" t="s">
        <v>174</v>
      </c>
      <c r="B106" s="3" t="n">
        <v>18</v>
      </c>
      <c r="C106" s="3" t="s">
        <v>103</v>
      </c>
      <c r="D106" s="3" t="n">
        <v>41</v>
      </c>
      <c r="E106" s="3" t="s">
        <v>104</v>
      </c>
      <c r="F106" s="3" t="s">
        <v>105</v>
      </c>
      <c r="G106" s="3" t="s">
        <v>105</v>
      </c>
      <c r="H106" s="3" t="s">
        <v>177</v>
      </c>
    </row>
    <row r="107" customFormat="false" ht="15" hidden="false" customHeight="false" outlineLevel="0" collapsed="false">
      <c r="A107" s="3" t="s">
        <v>174</v>
      </c>
      <c r="B107" s="3" t="n">
        <v>18</v>
      </c>
      <c r="C107" s="3" t="s">
        <v>103</v>
      </c>
      <c r="D107" s="3" t="n">
        <v>8</v>
      </c>
      <c r="E107" s="3" t="s">
        <v>109</v>
      </c>
      <c r="F107" s="3" t="s">
        <v>105</v>
      </c>
      <c r="G107" s="3" t="s">
        <v>105</v>
      </c>
      <c r="H107" s="3" t="s">
        <v>177</v>
      </c>
    </row>
    <row r="108" customFormat="false" ht="15" hidden="false" customHeight="false" outlineLevel="0" collapsed="false">
      <c r="A108" s="3" t="s">
        <v>174</v>
      </c>
      <c r="B108" s="3" t="n">
        <v>20</v>
      </c>
      <c r="C108" s="3" t="s">
        <v>103</v>
      </c>
      <c r="D108" s="3" t="n">
        <v>25</v>
      </c>
      <c r="E108" s="3" t="s">
        <v>104</v>
      </c>
      <c r="F108" s="3" t="s">
        <v>105</v>
      </c>
      <c r="G108" s="3" t="s">
        <v>105</v>
      </c>
      <c r="H108" s="3"/>
    </row>
    <row r="109" customFormat="false" ht="15" hidden="false" customHeight="false" outlineLevel="0" collapsed="false">
      <c r="A109" s="3" t="s">
        <v>174</v>
      </c>
      <c r="B109" s="3" t="n">
        <v>20</v>
      </c>
      <c r="C109" s="3" t="s">
        <v>103</v>
      </c>
      <c r="D109" s="3" t="n">
        <v>1</v>
      </c>
      <c r="E109" s="3" t="s">
        <v>109</v>
      </c>
      <c r="F109" s="3" t="s">
        <v>105</v>
      </c>
      <c r="G109" s="3" t="s">
        <v>105</v>
      </c>
      <c r="H109" s="3"/>
    </row>
    <row r="110" customFormat="false" ht="15" hidden="false" customHeight="false" outlineLevel="0" collapsed="false">
      <c r="A110" s="3" t="s">
        <v>178</v>
      </c>
      <c r="B110" s="3" t="n">
        <v>1</v>
      </c>
      <c r="C110" s="3" t="s">
        <v>103</v>
      </c>
      <c r="D110" s="3" t="n">
        <v>43</v>
      </c>
      <c r="E110" s="3" t="s">
        <v>104</v>
      </c>
      <c r="F110" s="3" t="s">
        <v>105</v>
      </c>
      <c r="G110" s="3" t="s">
        <v>105</v>
      </c>
      <c r="H110" s="3" t="s">
        <v>179</v>
      </c>
    </row>
    <row r="111" customFormat="false" ht="15" hidden="false" customHeight="false" outlineLevel="0" collapsed="false">
      <c r="A111" s="3" t="s">
        <v>178</v>
      </c>
      <c r="B111" s="3" t="n">
        <v>1</v>
      </c>
      <c r="C111" s="3" t="s">
        <v>103</v>
      </c>
      <c r="D111" s="3" t="n">
        <v>14</v>
      </c>
      <c r="E111" s="3" t="s">
        <v>109</v>
      </c>
      <c r="F111" s="3" t="s">
        <v>105</v>
      </c>
      <c r="G111" s="3" t="s">
        <v>105</v>
      </c>
      <c r="H111" s="3" t="s">
        <v>179</v>
      </c>
    </row>
    <row r="112" customFormat="false" ht="15" hidden="false" customHeight="false" outlineLevel="0" collapsed="false">
      <c r="A112" s="3" t="s">
        <v>178</v>
      </c>
      <c r="B112" s="3" t="n">
        <v>2</v>
      </c>
      <c r="C112" s="3" t="s">
        <v>103</v>
      </c>
      <c r="D112" s="3" t="n">
        <v>47</v>
      </c>
      <c r="E112" s="3" t="s">
        <v>104</v>
      </c>
      <c r="F112" s="3" t="s">
        <v>105</v>
      </c>
      <c r="G112" s="3" t="s">
        <v>105</v>
      </c>
      <c r="H112" s="3" t="s">
        <v>180</v>
      </c>
    </row>
    <row r="113" customFormat="false" ht="15" hidden="false" customHeight="false" outlineLevel="0" collapsed="false">
      <c r="A113" s="3" t="s">
        <v>178</v>
      </c>
      <c r="B113" s="3" t="n">
        <v>3</v>
      </c>
      <c r="C113" s="3" t="s">
        <v>103</v>
      </c>
      <c r="D113" s="3" t="n">
        <v>28</v>
      </c>
      <c r="E113" s="3" t="s">
        <v>104</v>
      </c>
      <c r="F113" s="3" t="s">
        <v>105</v>
      </c>
      <c r="G113" s="3" t="s">
        <v>105</v>
      </c>
      <c r="H113" s="3" t="s">
        <v>181</v>
      </c>
    </row>
    <row r="114" customFormat="false" ht="15" hidden="false" customHeight="false" outlineLevel="0" collapsed="false">
      <c r="A114" s="3" t="s">
        <v>178</v>
      </c>
      <c r="B114" s="3" t="n">
        <v>3</v>
      </c>
      <c r="C114" s="3" t="s">
        <v>103</v>
      </c>
      <c r="D114" s="3" t="n">
        <v>6</v>
      </c>
      <c r="E114" s="3" t="s">
        <v>109</v>
      </c>
      <c r="F114" s="3" t="s">
        <v>105</v>
      </c>
      <c r="G114" s="3" t="s">
        <v>105</v>
      </c>
      <c r="H114" s="3" t="s">
        <v>181</v>
      </c>
    </row>
    <row r="115" customFormat="false" ht="15" hidden="false" customHeight="false" outlineLevel="0" collapsed="false">
      <c r="A115" s="3" t="s">
        <v>178</v>
      </c>
      <c r="B115" s="3" t="n">
        <v>4</v>
      </c>
      <c r="C115" s="3" t="s">
        <v>103</v>
      </c>
      <c r="D115" s="3" t="n">
        <v>68</v>
      </c>
      <c r="E115" s="3" t="s">
        <v>104</v>
      </c>
      <c r="F115" s="3" t="s">
        <v>105</v>
      </c>
      <c r="G115" s="3" t="s">
        <v>105</v>
      </c>
      <c r="H115" s="3" t="s">
        <v>182</v>
      </c>
    </row>
    <row r="116" customFormat="false" ht="15" hidden="false" customHeight="false" outlineLevel="0" collapsed="false">
      <c r="A116" s="3" t="s">
        <v>178</v>
      </c>
      <c r="B116" s="3" t="n">
        <v>4</v>
      </c>
      <c r="C116" s="3" t="s">
        <v>103</v>
      </c>
      <c r="D116" s="3" t="n">
        <v>43</v>
      </c>
      <c r="E116" s="3" t="s">
        <v>109</v>
      </c>
      <c r="F116" s="3" t="s">
        <v>105</v>
      </c>
      <c r="G116" s="3" t="s">
        <v>105</v>
      </c>
      <c r="H116" s="3" t="s">
        <v>182</v>
      </c>
    </row>
    <row r="117" customFormat="false" ht="15" hidden="false" customHeight="false" outlineLevel="0" collapsed="false">
      <c r="A117" s="3" t="s">
        <v>178</v>
      </c>
      <c r="B117" s="3" t="n">
        <v>22</v>
      </c>
      <c r="C117" s="3" t="s">
        <v>103</v>
      </c>
      <c r="D117" s="3" t="n">
        <v>47</v>
      </c>
      <c r="E117" s="3" t="s">
        <v>104</v>
      </c>
      <c r="F117" s="3" t="s">
        <v>105</v>
      </c>
      <c r="G117" s="3" t="s">
        <v>105</v>
      </c>
      <c r="H117" s="3" t="s">
        <v>183</v>
      </c>
    </row>
    <row r="118" customFormat="false" ht="15" hidden="false" customHeight="false" outlineLevel="0" collapsed="false">
      <c r="A118" s="3" t="s">
        <v>178</v>
      </c>
      <c r="B118" s="3" t="n">
        <v>23</v>
      </c>
      <c r="C118" s="3" t="s">
        <v>103</v>
      </c>
      <c r="D118" s="3" t="n">
        <v>47</v>
      </c>
      <c r="E118" s="3" t="s">
        <v>104</v>
      </c>
      <c r="F118" s="3" t="s">
        <v>105</v>
      </c>
      <c r="G118" s="3" t="s">
        <v>105</v>
      </c>
      <c r="H118" s="3" t="s">
        <v>184</v>
      </c>
    </row>
    <row r="119" customFormat="false" ht="15" hidden="false" customHeight="false" outlineLevel="0" collapsed="false">
      <c r="A119" s="3" t="s">
        <v>178</v>
      </c>
      <c r="B119" s="3" t="n">
        <v>24</v>
      </c>
      <c r="C119" s="3" t="s">
        <v>103</v>
      </c>
      <c r="D119" s="3" t="n">
        <v>38</v>
      </c>
      <c r="E119" s="3" t="s">
        <v>104</v>
      </c>
      <c r="F119" s="3" t="s">
        <v>105</v>
      </c>
      <c r="G119" s="3" t="s">
        <v>105</v>
      </c>
      <c r="H119" s="3" t="s">
        <v>185</v>
      </c>
    </row>
    <row r="120" customFormat="false" ht="15" hidden="false" customHeight="false" outlineLevel="0" collapsed="false">
      <c r="A120" s="3" t="s">
        <v>178</v>
      </c>
      <c r="B120" s="3" t="n">
        <v>24</v>
      </c>
      <c r="C120" s="3" t="s">
        <v>103</v>
      </c>
      <c r="D120" s="3" t="n">
        <v>54</v>
      </c>
      <c r="E120" s="3" t="s">
        <v>109</v>
      </c>
      <c r="F120" s="3" t="s">
        <v>105</v>
      </c>
      <c r="G120" s="3" t="s">
        <v>105</v>
      </c>
      <c r="H120" s="3" t="s">
        <v>185</v>
      </c>
    </row>
    <row r="121" customFormat="false" ht="15" hidden="false" customHeight="false" outlineLevel="0" collapsed="false">
      <c r="A121" s="3" t="s">
        <v>178</v>
      </c>
      <c r="B121" s="3" t="n">
        <v>25</v>
      </c>
      <c r="C121" s="3" t="s">
        <v>103</v>
      </c>
      <c r="D121" s="3" t="n">
        <v>43</v>
      </c>
      <c r="E121" s="3" t="s">
        <v>104</v>
      </c>
      <c r="F121" s="3" t="s">
        <v>105</v>
      </c>
      <c r="G121" s="3" t="s">
        <v>105</v>
      </c>
      <c r="H121" s="3" t="s">
        <v>186</v>
      </c>
    </row>
    <row r="122" customFormat="false" ht="15" hidden="false" customHeight="false" outlineLevel="0" collapsed="false">
      <c r="A122" s="3" t="s">
        <v>178</v>
      </c>
      <c r="B122" s="3" t="n">
        <v>26</v>
      </c>
      <c r="C122" s="3" t="s">
        <v>103</v>
      </c>
      <c r="D122" s="3" t="n">
        <v>64</v>
      </c>
      <c r="E122" s="3" t="s">
        <v>104</v>
      </c>
      <c r="F122" s="3" t="s">
        <v>105</v>
      </c>
      <c r="G122" s="3" t="s">
        <v>105</v>
      </c>
      <c r="H122" s="3" t="s">
        <v>187</v>
      </c>
    </row>
    <row r="123" customFormat="false" ht="15" hidden="false" customHeight="false" outlineLevel="0" collapsed="false">
      <c r="A123" s="3" t="s">
        <v>178</v>
      </c>
      <c r="B123" s="3" t="n">
        <v>27</v>
      </c>
      <c r="C123" s="3" t="s">
        <v>103</v>
      </c>
      <c r="D123" s="3" t="n">
        <v>43</v>
      </c>
      <c r="E123" s="3" t="s">
        <v>104</v>
      </c>
      <c r="F123" s="3" t="s">
        <v>105</v>
      </c>
      <c r="G123" s="3" t="s">
        <v>105</v>
      </c>
      <c r="H123" s="3" t="s">
        <v>188</v>
      </c>
    </row>
    <row r="124" customFormat="false" ht="15" hidden="false" customHeight="false" outlineLevel="0" collapsed="false">
      <c r="A124" s="3" t="s">
        <v>178</v>
      </c>
      <c r="B124" s="3" t="n">
        <v>28</v>
      </c>
      <c r="C124" s="3" t="s">
        <v>103</v>
      </c>
      <c r="D124" s="3" t="n">
        <v>36</v>
      </c>
      <c r="E124" s="3" t="s">
        <v>104</v>
      </c>
      <c r="F124" s="3" t="s">
        <v>105</v>
      </c>
      <c r="G124" s="3" t="s">
        <v>105</v>
      </c>
      <c r="H124" s="3" t="s">
        <v>189</v>
      </c>
    </row>
    <row r="125" customFormat="false" ht="15" hidden="false" customHeight="false" outlineLevel="0" collapsed="false">
      <c r="A125" s="3" t="s">
        <v>178</v>
      </c>
      <c r="B125" s="3" t="n">
        <v>29</v>
      </c>
      <c r="C125" s="3" t="s">
        <v>103</v>
      </c>
      <c r="D125" s="3" t="n">
        <v>20</v>
      </c>
      <c r="E125" s="3" t="s">
        <v>104</v>
      </c>
      <c r="F125" s="3" t="s">
        <v>105</v>
      </c>
      <c r="G125" s="3" t="s">
        <v>105</v>
      </c>
      <c r="H125" s="3" t="s">
        <v>190</v>
      </c>
    </row>
    <row r="126" customFormat="false" ht="15" hidden="false" customHeight="false" outlineLevel="0" collapsed="false">
      <c r="A126" s="3" t="s">
        <v>178</v>
      </c>
      <c r="B126" s="3" t="n">
        <v>30</v>
      </c>
      <c r="C126" s="3" t="s">
        <v>103</v>
      </c>
      <c r="D126" s="3" t="n">
        <v>63</v>
      </c>
      <c r="E126" s="3" t="s">
        <v>104</v>
      </c>
      <c r="F126" s="3" t="s">
        <v>105</v>
      </c>
      <c r="G126" s="3" t="s">
        <v>105</v>
      </c>
      <c r="H126" s="3" t="s">
        <v>191</v>
      </c>
    </row>
    <row r="127" customFormat="false" ht="15" hidden="false" customHeight="false" outlineLevel="0" collapsed="false">
      <c r="A127" s="3" t="s">
        <v>178</v>
      </c>
      <c r="B127" s="3" t="n">
        <v>30</v>
      </c>
      <c r="C127" s="3" t="s">
        <v>103</v>
      </c>
      <c r="D127" s="3" t="n">
        <v>5</v>
      </c>
      <c r="E127" s="3" t="s">
        <v>109</v>
      </c>
      <c r="F127" s="3" t="s">
        <v>105</v>
      </c>
      <c r="G127" s="3" t="s">
        <v>105</v>
      </c>
      <c r="H127" s="3" t="s">
        <v>191</v>
      </c>
    </row>
    <row r="128" customFormat="false" ht="15" hidden="false" customHeight="false" outlineLevel="0" collapsed="false">
      <c r="A128" s="3" t="s">
        <v>178</v>
      </c>
      <c r="B128" s="3" t="n">
        <v>31</v>
      </c>
      <c r="C128" s="3" t="s">
        <v>103</v>
      </c>
      <c r="D128" s="3" t="n">
        <v>41</v>
      </c>
      <c r="E128" s="3" t="s">
        <v>104</v>
      </c>
      <c r="F128" s="3" t="s">
        <v>105</v>
      </c>
      <c r="G128" s="3" t="s">
        <v>105</v>
      </c>
      <c r="H128" s="3" t="s">
        <v>192</v>
      </c>
    </row>
    <row r="129" customFormat="false" ht="15" hidden="false" customHeight="false" outlineLevel="0" collapsed="false">
      <c r="A129" s="3" t="s">
        <v>178</v>
      </c>
      <c r="B129" s="3" t="n">
        <v>32</v>
      </c>
      <c r="C129" s="3" t="s">
        <v>103</v>
      </c>
      <c r="D129" s="3" t="n">
        <v>43</v>
      </c>
      <c r="E129" s="3" t="s">
        <v>104</v>
      </c>
      <c r="F129" s="3" t="s">
        <v>105</v>
      </c>
      <c r="G129" s="3" t="s">
        <v>105</v>
      </c>
      <c r="H129" s="3" t="s">
        <v>193</v>
      </c>
    </row>
    <row r="130" customFormat="false" ht="15" hidden="false" customHeight="false" outlineLevel="0" collapsed="false">
      <c r="A130" s="3" t="s">
        <v>178</v>
      </c>
      <c r="B130" s="3" t="n">
        <v>32</v>
      </c>
      <c r="C130" s="3" t="s">
        <v>103</v>
      </c>
      <c r="D130" s="3" t="n">
        <v>36</v>
      </c>
      <c r="E130" s="3" t="s">
        <v>109</v>
      </c>
      <c r="F130" s="3" t="s">
        <v>105</v>
      </c>
      <c r="G130" s="3" t="s">
        <v>105</v>
      </c>
      <c r="H130" s="3" t="s">
        <v>193</v>
      </c>
    </row>
    <row r="131" customFormat="false" ht="15" hidden="false" customHeight="false" outlineLevel="0" collapsed="false">
      <c r="A131" s="3" t="s">
        <v>178</v>
      </c>
      <c r="B131" s="3" t="n">
        <v>33</v>
      </c>
      <c r="C131" s="3" t="s">
        <v>103</v>
      </c>
      <c r="D131" s="3" t="n">
        <v>36</v>
      </c>
      <c r="E131" s="3" t="s">
        <v>104</v>
      </c>
      <c r="F131" s="3" t="s">
        <v>105</v>
      </c>
      <c r="G131" s="3" t="s">
        <v>105</v>
      </c>
      <c r="H131" s="3" t="s">
        <v>194</v>
      </c>
    </row>
    <row r="132" customFormat="false" ht="15" hidden="false" customHeight="false" outlineLevel="0" collapsed="false">
      <c r="A132" s="3" t="s">
        <v>178</v>
      </c>
      <c r="B132" s="3" t="n">
        <v>33</v>
      </c>
      <c r="C132" s="3" t="s">
        <v>103</v>
      </c>
      <c r="D132" s="3" t="n">
        <v>35</v>
      </c>
      <c r="E132" s="3" t="s">
        <v>109</v>
      </c>
      <c r="F132" s="3" t="s">
        <v>105</v>
      </c>
      <c r="G132" s="3" t="s">
        <v>105</v>
      </c>
      <c r="H132" s="3" t="s">
        <v>194</v>
      </c>
    </row>
    <row r="133" customFormat="false" ht="15" hidden="false" customHeight="false" outlineLevel="0" collapsed="false">
      <c r="A133" s="3" t="s">
        <v>178</v>
      </c>
      <c r="B133" s="3" t="n">
        <v>34</v>
      </c>
      <c r="C133" s="3" t="s">
        <v>103</v>
      </c>
      <c r="D133" s="3" t="n">
        <v>68</v>
      </c>
      <c r="E133" s="3" t="s">
        <v>104</v>
      </c>
      <c r="F133" s="3" t="s">
        <v>105</v>
      </c>
      <c r="G133" s="3" t="s">
        <v>105</v>
      </c>
      <c r="H133" s="3" t="s">
        <v>195</v>
      </c>
    </row>
    <row r="134" customFormat="false" ht="15" hidden="false" customHeight="false" outlineLevel="0" collapsed="false">
      <c r="A134" s="3" t="s">
        <v>178</v>
      </c>
      <c r="B134" s="3" t="n">
        <v>35</v>
      </c>
      <c r="C134" s="3" t="s">
        <v>103</v>
      </c>
      <c r="D134" s="3" t="n">
        <v>35</v>
      </c>
      <c r="E134" s="3" t="s">
        <v>104</v>
      </c>
      <c r="F134" s="3" t="s">
        <v>105</v>
      </c>
      <c r="G134" s="3" t="s">
        <v>105</v>
      </c>
      <c r="H134" s="3" t="s">
        <v>196</v>
      </c>
    </row>
    <row r="135" customFormat="false" ht="15" hidden="false" customHeight="false" outlineLevel="0" collapsed="false">
      <c r="A135" s="3" t="s">
        <v>178</v>
      </c>
      <c r="B135" s="3" t="n">
        <v>36</v>
      </c>
      <c r="C135" s="3" t="s">
        <v>103</v>
      </c>
      <c r="D135" s="3" t="n">
        <v>28</v>
      </c>
      <c r="E135" s="3" t="s">
        <v>104</v>
      </c>
      <c r="F135" s="3" t="s">
        <v>105</v>
      </c>
      <c r="G135" s="3" t="s">
        <v>105</v>
      </c>
      <c r="H135" s="3" t="s">
        <v>197</v>
      </c>
    </row>
    <row r="136" customFormat="false" ht="15" hidden="false" customHeight="false" outlineLevel="0" collapsed="false">
      <c r="A136" s="3" t="s">
        <v>178</v>
      </c>
      <c r="B136" s="3" t="n">
        <v>37</v>
      </c>
      <c r="C136" s="3" t="s">
        <v>103</v>
      </c>
      <c r="D136" s="3" t="n">
        <v>35</v>
      </c>
      <c r="E136" s="3" t="s">
        <v>104</v>
      </c>
      <c r="F136" s="3" t="s">
        <v>105</v>
      </c>
      <c r="G136" s="3" t="s">
        <v>105</v>
      </c>
      <c r="H136" s="3" t="s">
        <v>198</v>
      </c>
    </row>
    <row r="137" customFormat="false" ht="15" hidden="false" customHeight="false" outlineLevel="0" collapsed="false">
      <c r="A137" s="3" t="s">
        <v>178</v>
      </c>
      <c r="B137" s="3" t="n">
        <v>38</v>
      </c>
      <c r="C137" s="3" t="s">
        <v>103</v>
      </c>
      <c r="D137" s="3" t="n">
        <v>67</v>
      </c>
      <c r="E137" s="3" t="s">
        <v>104</v>
      </c>
      <c r="F137" s="3" t="s">
        <v>105</v>
      </c>
      <c r="G137" s="3" t="s">
        <v>105</v>
      </c>
      <c r="H137" s="3" t="s">
        <v>199</v>
      </c>
    </row>
    <row r="138" customFormat="false" ht="15" hidden="false" customHeight="false" outlineLevel="0" collapsed="false">
      <c r="A138" s="3" t="s">
        <v>178</v>
      </c>
      <c r="B138" s="3" t="n">
        <v>38</v>
      </c>
      <c r="C138" s="3" t="s">
        <v>103</v>
      </c>
      <c r="D138" s="3" t="n">
        <v>43</v>
      </c>
      <c r="E138" s="3" t="s">
        <v>109</v>
      </c>
      <c r="F138" s="3" t="s">
        <v>105</v>
      </c>
      <c r="G138" s="3" t="s">
        <v>105</v>
      </c>
      <c r="H138" s="3" t="s">
        <v>199</v>
      </c>
    </row>
    <row r="139" customFormat="false" ht="15" hidden="false" customHeight="false" outlineLevel="0" collapsed="false">
      <c r="A139" s="3" t="s">
        <v>178</v>
      </c>
      <c r="B139" s="3" t="n">
        <v>44</v>
      </c>
      <c r="C139" s="3" t="s">
        <v>103</v>
      </c>
      <c r="D139" s="3" t="n">
        <v>20</v>
      </c>
      <c r="E139" s="3" t="s">
        <v>104</v>
      </c>
      <c r="F139" s="3" t="s">
        <v>105</v>
      </c>
      <c r="G139" s="3" t="s">
        <v>105</v>
      </c>
      <c r="H139" s="3" t="s">
        <v>200</v>
      </c>
    </row>
    <row r="140" customFormat="false" ht="15" hidden="false" customHeight="false" outlineLevel="0" collapsed="false">
      <c r="A140" s="3" t="s">
        <v>178</v>
      </c>
      <c r="B140" s="3" t="n">
        <v>44</v>
      </c>
      <c r="C140" s="3" t="s">
        <v>103</v>
      </c>
      <c r="D140" s="3" t="n">
        <v>27</v>
      </c>
      <c r="E140" s="3" t="s">
        <v>109</v>
      </c>
      <c r="F140" s="3" t="s">
        <v>105</v>
      </c>
      <c r="G140" s="3" t="s">
        <v>105</v>
      </c>
      <c r="H140" s="3" t="s">
        <v>200</v>
      </c>
    </row>
    <row r="141" customFormat="false" ht="15" hidden="false" customHeight="false" outlineLevel="0" collapsed="false">
      <c r="A141" s="3" t="s">
        <v>178</v>
      </c>
      <c r="B141" s="3" t="n">
        <v>55</v>
      </c>
      <c r="C141" s="3" t="s">
        <v>103</v>
      </c>
      <c r="D141" s="3" t="n">
        <v>23</v>
      </c>
      <c r="E141" s="3" t="s">
        <v>104</v>
      </c>
      <c r="F141" s="3" t="s">
        <v>105</v>
      </c>
      <c r="G141" s="3" t="s">
        <v>105</v>
      </c>
      <c r="H141" s="3" t="s">
        <v>201</v>
      </c>
    </row>
    <row r="142" customFormat="false" ht="15" hidden="false" customHeight="false" outlineLevel="0" collapsed="false">
      <c r="A142" s="3" t="s">
        <v>178</v>
      </c>
      <c r="B142" s="3" t="n">
        <v>63</v>
      </c>
      <c r="C142" s="3" t="s">
        <v>103</v>
      </c>
      <c r="D142" s="3" t="n">
        <v>64</v>
      </c>
      <c r="E142" s="3" t="s">
        <v>104</v>
      </c>
      <c r="F142" s="3" t="s">
        <v>105</v>
      </c>
      <c r="G142" s="3" t="s">
        <v>105</v>
      </c>
      <c r="H142" s="3" t="s">
        <v>202</v>
      </c>
    </row>
    <row r="143" customFormat="false" ht="15" hidden="false" customHeight="false" outlineLevel="0" collapsed="false">
      <c r="A143" s="3" t="s">
        <v>178</v>
      </c>
      <c r="B143" s="3" t="n">
        <v>64</v>
      </c>
      <c r="C143" s="3" t="s">
        <v>103</v>
      </c>
      <c r="D143" s="3" t="n">
        <v>47</v>
      </c>
      <c r="E143" s="3" t="s">
        <v>104</v>
      </c>
      <c r="F143" s="3" t="s">
        <v>105</v>
      </c>
      <c r="G143" s="3" t="s">
        <v>105</v>
      </c>
      <c r="H143" s="3" t="s">
        <v>203</v>
      </c>
    </row>
    <row r="144" customFormat="false" ht="15" hidden="false" customHeight="false" outlineLevel="0" collapsed="false">
      <c r="A144" s="3" t="s">
        <v>178</v>
      </c>
      <c r="B144" s="3" t="n">
        <v>64</v>
      </c>
      <c r="C144" s="3" t="s">
        <v>103</v>
      </c>
      <c r="D144" s="3" t="n">
        <v>43</v>
      </c>
      <c r="E144" s="3" t="s">
        <v>109</v>
      </c>
      <c r="F144" s="3" t="s">
        <v>105</v>
      </c>
      <c r="G144" s="3" t="s">
        <v>105</v>
      </c>
      <c r="H144" s="3" t="s">
        <v>203</v>
      </c>
    </row>
    <row r="145" customFormat="false" ht="15" hidden="false" customHeight="false" outlineLevel="0" collapsed="false">
      <c r="A145" s="3" t="s">
        <v>178</v>
      </c>
      <c r="B145" s="3" t="n">
        <v>64</v>
      </c>
      <c r="C145" s="3" t="s">
        <v>103</v>
      </c>
      <c r="D145" s="3" t="n">
        <v>64</v>
      </c>
      <c r="E145" s="3" t="s">
        <v>109</v>
      </c>
      <c r="F145" s="3" t="s">
        <v>105</v>
      </c>
      <c r="G145" s="3" t="s">
        <v>105</v>
      </c>
      <c r="H145" s="3" t="s">
        <v>203</v>
      </c>
    </row>
    <row r="146" customFormat="false" ht="15" hidden="false" customHeight="false" outlineLevel="0" collapsed="false">
      <c r="A146" s="3" t="s">
        <v>178</v>
      </c>
      <c r="B146" s="3" t="n">
        <v>65</v>
      </c>
      <c r="C146" s="3" t="s">
        <v>103</v>
      </c>
      <c r="D146" s="3" t="n">
        <v>15</v>
      </c>
      <c r="E146" s="3" t="s">
        <v>104</v>
      </c>
      <c r="F146" s="3" t="s">
        <v>105</v>
      </c>
      <c r="G146" s="3" t="s">
        <v>105</v>
      </c>
      <c r="H146" s="3" t="s">
        <v>204</v>
      </c>
    </row>
    <row r="147" customFormat="false" ht="15" hidden="false" customHeight="false" outlineLevel="0" collapsed="false">
      <c r="A147" s="3" t="s">
        <v>178</v>
      </c>
      <c r="B147" s="3" t="n">
        <v>65</v>
      </c>
      <c r="C147" s="3" t="s">
        <v>103</v>
      </c>
      <c r="D147" s="3" t="n">
        <v>1</v>
      </c>
      <c r="E147" s="3" t="s">
        <v>109</v>
      </c>
      <c r="F147" s="3" t="s">
        <v>105</v>
      </c>
      <c r="G147" s="3" t="s">
        <v>105</v>
      </c>
      <c r="H147" s="3" t="s">
        <v>204</v>
      </c>
    </row>
    <row r="148" customFormat="false" ht="15" hidden="false" customHeight="false" outlineLevel="0" collapsed="false">
      <c r="A148" s="3" t="s">
        <v>205</v>
      </c>
      <c r="B148" s="3" t="n">
        <v>4</v>
      </c>
      <c r="C148" s="3" t="s">
        <v>103</v>
      </c>
      <c r="D148" s="3" t="n">
        <v>9</v>
      </c>
      <c r="E148" s="3" t="s">
        <v>104</v>
      </c>
      <c r="F148" s="3" t="s">
        <v>159</v>
      </c>
      <c r="G148" s="3" t="s">
        <v>105</v>
      </c>
      <c r="H148" s="3" t="s">
        <v>206</v>
      </c>
    </row>
    <row r="149" customFormat="false" ht="15" hidden="false" customHeight="false" outlineLevel="0" collapsed="false">
      <c r="A149" s="3" t="s">
        <v>205</v>
      </c>
      <c r="B149" s="3" t="n">
        <v>4</v>
      </c>
      <c r="C149" s="3" t="s">
        <v>103</v>
      </c>
      <c r="D149" s="3" t="n">
        <v>19</v>
      </c>
      <c r="E149" s="3" t="s">
        <v>109</v>
      </c>
      <c r="F149" s="3" t="s">
        <v>159</v>
      </c>
      <c r="G149" s="3" t="s">
        <v>105</v>
      </c>
      <c r="H149" s="3" t="s">
        <v>206</v>
      </c>
    </row>
    <row r="150" customFormat="false" ht="15" hidden="false" customHeight="false" outlineLevel="0" collapsed="false">
      <c r="A150" s="3" t="s">
        <v>205</v>
      </c>
      <c r="B150" s="3" t="n">
        <v>5</v>
      </c>
      <c r="C150" s="3" t="s">
        <v>103</v>
      </c>
      <c r="D150" s="3" t="n">
        <v>28</v>
      </c>
      <c r="E150" s="3" t="s">
        <v>104</v>
      </c>
      <c r="F150" s="3" t="s">
        <v>159</v>
      </c>
      <c r="G150" s="3" t="s">
        <v>105</v>
      </c>
      <c r="H150" s="3" t="s">
        <v>207</v>
      </c>
    </row>
    <row r="151" customFormat="false" ht="15" hidden="false" customHeight="false" outlineLevel="0" collapsed="false">
      <c r="A151" s="3" t="s">
        <v>205</v>
      </c>
      <c r="B151" s="3" t="n">
        <v>6</v>
      </c>
      <c r="C151" s="3" t="s">
        <v>103</v>
      </c>
      <c r="D151" s="3" t="n">
        <v>21</v>
      </c>
      <c r="E151" s="3" t="s">
        <v>104</v>
      </c>
      <c r="F151" s="3" t="s">
        <v>159</v>
      </c>
      <c r="G151" s="3" t="s">
        <v>105</v>
      </c>
      <c r="H151" s="3" t="s">
        <v>208</v>
      </c>
    </row>
    <row r="152" customFormat="false" ht="15" hidden="false" customHeight="false" outlineLevel="0" collapsed="false">
      <c r="A152" s="3" t="s">
        <v>205</v>
      </c>
      <c r="B152" s="3" t="n">
        <v>6</v>
      </c>
      <c r="C152" s="3" t="s">
        <v>103</v>
      </c>
      <c r="D152" s="3" t="n">
        <v>6</v>
      </c>
      <c r="E152" s="3" t="s">
        <v>109</v>
      </c>
      <c r="F152" s="3" t="s">
        <v>159</v>
      </c>
      <c r="G152" s="3" t="s">
        <v>105</v>
      </c>
      <c r="H152" s="3" t="s">
        <v>208</v>
      </c>
    </row>
    <row r="153" customFormat="false" ht="15" hidden="false" customHeight="false" outlineLevel="0" collapsed="false">
      <c r="A153" s="3" t="s">
        <v>205</v>
      </c>
      <c r="B153" s="3" t="n">
        <v>7</v>
      </c>
      <c r="C153" s="3" t="s">
        <v>103</v>
      </c>
      <c r="D153" s="3" t="n">
        <v>10</v>
      </c>
      <c r="E153" s="3" t="s">
        <v>104</v>
      </c>
      <c r="F153" s="3" t="s">
        <v>159</v>
      </c>
      <c r="G153" s="3" t="s">
        <v>105</v>
      </c>
      <c r="H153" s="3" t="s">
        <v>209</v>
      </c>
    </row>
    <row r="154" customFormat="false" ht="15" hidden="false" customHeight="false" outlineLevel="0" collapsed="false">
      <c r="A154" s="3" t="s">
        <v>205</v>
      </c>
      <c r="B154" s="3" t="n">
        <v>7</v>
      </c>
      <c r="C154" s="3" t="s">
        <v>103</v>
      </c>
      <c r="D154" s="3" t="n">
        <v>6</v>
      </c>
      <c r="E154" s="3" t="s">
        <v>109</v>
      </c>
      <c r="F154" s="3" t="s">
        <v>159</v>
      </c>
      <c r="G154" s="3" t="s">
        <v>105</v>
      </c>
      <c r="H154" s="3" t="s">
        <v>209</v>
      </c>
    </row>
    <row r="155" customFormat="false" ht="15" hidden="false" customHeight="false" outlineLevel="0" collapsed="false">
      <c r="A155" s="3" t="s">
        <v>205</v>
      </c>
      <c r="B155" s="3" t="n">
        <v>8</v>
      </c>
      <c r="C155" s="3" t="s">
        <v>103</v>
      </c>
      <c r="D155" s="3" t="n">
        <v>43</v>
      </c>
      <c r="E155" s="3" t="s">
        <v>104</v>
      </c>
      <c r="F155" s="3" t="s">
        <v>159</v>
      </c>
      <c r="G155" s="3" t="s">
        <v>105</v>
      </c>
      <c r="H155" s="3" t="s">
        <v>210</v>
      </c>
    </row>
    <row r="156" customFormat="false" ht="15" hidden="false" customHeight="false" outlineLevel="0" collapsed="false">
      <c r="A156" s="3" t="s">
        <v>205</v>
      </c>
      <c r="B156" s="3" t="n">
        <v>9</v>
      </c>
      <c r="C156" s="3" t="s">
        <v>103</v>
      </c>
      <c r="D156" s="3" t="n">
        <v>27</v>
      </c>
      <c r="E156" s="3" t="s">
        <v>104</v>
      </c>
      <c r="F156" s="3" t="s">
        <v>159</v>
      </c>
      <c r="G156" s="3" t="s">
        <v>105</v>
      </c>
      <c r="H156" s="3" t="s">
        <v>211</v>
      </c>
    </row>
    <row r="157" customFormat="false" ht="15" hidden="false" customHeight="false" outlineLevel="0" collapsed="false">
      <c r="A157" s="3" t="s">
        <v>205</v>
      </c>
      <c r="B157" s="3" t="n">
        <v>9</v>
      </c>
      <c r="C157" s="3" t="s">
        <v>103</v>
      </c>
      <c r="D157" s="3" t="n">
        <v>36</v>
      </c>
      <c r="E157" s="3" t="s">
        <v>109</v>
      </c>
      <c r="F157" s="3" t="s">
        <v>159</v>
      </c>
      <c r="G157" s="3" t="s">
        <v>105</v>
      </c>
      <c r="H157" s="3" t="s">
        <v>211</v>
      </c>
    </row>
    <row r="158" customFormat="false" ht="15" hidden="false" customHeight="false" outlineLevel="0" collapsed="false">
      <c r="A158" s="3" t="s">
        <v>205</v>
      </c>
      <c r="B158" s="3" t="n">
        <v>17</v>
      </c>
      <c r="C158" s="3" t="s">
        <v>103</v>
      </c>
      <c r="D158" s="3" t="n">
        <v>45</v>
      </c>
      <c r="E158" s="3" t="s">
        <v>104</v>
      </c>
      <c r="F158" s="3" t="s">
        <v>159</v>
      </c>
      <c r="G158" s="3" t="s">
        <v>105</v>
      </c>
      <c r="H158" s="3" t="s">
        <v>212</v>
      </c>
    </row>
    <row r="159" customFormat="false" ht="15" hidden="false" customHeight="false" outlineLevel="0" collapsed="false">
      <c r="A159" s="3" t="s">
        <v>205</v>
      </c>
      <c r="B159" s="3" t="n">
        <v>17</v>
      </c>
      <c r="C159" s="3" t="s">
        <v>103</v>
      </c>
      <c r="D159" s="3" t="n">
        <v>36</v>
      </c>
      <c r="E159" s="3" t="s">
        <v>109</v>
      </c>
      <c r="F159" s="3" t="s">
        <v>159</v>
      </c>
      <c r="G159" s="3" t="s">
        <v>105</v>
      </c>
      <c r="H159" s="3" t="s">
        <v>212</v>
      </c>
    </row>
    <row r="160" customFormat="false" ht="15" hidden="false" customHeight="false" outlineLevel="0" collapsed="false">
      <c r="A160" s="3" t="s">
        <v>205</v>
      </c>
      <c r="B160" s="3" t="n">
        <v>18</v>
      </c>
      <c r="C160" s="3" t="s">
        <v>103</v>
      </c>
      <c r="D160" s="3" t="n">
        <v>43</v>
      </c>
      <c r="E160" s="3" t="s">
        <v>104</v>
      </c>
      <c r="F160" s="3" t="s">
        <v>159</v>
      </c>
      <c r="G160" s="3" t="s">
        <v>105</v>
      </c>
      <c r="H160" s="3" t="s">
        <v>213</v>
      </c>
    </row>
    <row r="161" customFormat="false" ht="15" hidden="false" customHeight="false" outlineLevel="0" collapsed="false">
      <c r="A161" s="3" t="s">
        <v>205</v>
      </c>
      <c r="B161" s="3" t="n">
        <v>19</v>
      </c>
      <c r="C161" s="3" t="s">
        <v>103</v>
      </c>
      <c r="D161" s="3" t="n">
        <v>15</v>
      </c>
      <c r="E161" s="3" t="s">
        <v>104</v>
      </c>
      <c r="F161" s="3" t="s">
        <v>159</v>
      </c>
      <c r="G161" s="3" t="s">
        <v>105</v>
      </c>
      <c r="H161" s="3" t="s">
        <v>214</v>
      </c>
    </row>
    <row r="162" customFormat="false" ht="15" hidden="false" customHeight="false" outlineLevel="0" collapsed="false">
      <c r="A162" s="3" t="s">
        <v>205</v>
      </c>
      <c r="B162" s="3" t="n">
        <v>20</v>
      </c>
      <c r="C162" s="3" t="s">
        <v>103</v>
      </c>
      <c r="D162" s="3" t="n">
        <v>43</v>
      </c>
      <c r="E162" s="3" t="s">
        <v>104</v>
      </c>
      <c r="F162" s="3" t="s">
        <v>159</v>
      </c>
      <c r="G162" s="3" t="s">
        <v>105</v>
      </c>
      <c r="H162" s="3" t="s">
        <v>215</v>
      </c>
    </row>
    <row r="163" customFormat="false" ht="15" hidden="false" customHeight="false" outlineLevel="0" collapsed="false">
      <c r="A163" s="3" t="s">
        <v>205</v>
      </c>
      <c r="B163" s="3" t="n">
        <v>32</v>
      </c>
      <c r="C163" s="3" t="s">
        <v>103</v>
      </c>
      <c r="D163" s="3" t="n">
        <v>6</v>
      </c>
      <c r="E163" s="3" t="s">
        <v>104</v>
      </c>
      <c r="F163" s="3" t="s">
        <v>159</v>
      </c>
      <c r="G163" s="3" t="s">
        <v>105</v>
      </c>
      <c r="H163" s="3" t="s">
        <v>216</v>
      </c>
    </row>
    <row r="164" customFormat="false" ht="15" hidden="false" customHeight="false" outlineLevel="0" collapsed="false">
      <c r="A164" s="3" t="s">
        <v>205</v>
      </c>
      <c r="B164" s="3" t="n">
        <v>32</v>
      </c>
      <c r="C164" s="3" t="s">
        <v>103</v>
      </c>
      <c r="D164" s="3" t="n">
        <v>8</v>
      </c>
      <c r="E164" s="3" t="s">
        <v>109</v>
      </c>
      <c r="F164" s="3" t="s">
        <v>159</v>
      </c>
      <c r="G164" s="3" t="s">
        <v>105</v>
      </c>
      <c r="H164" s="3" t="s">
        <v>216</v>
      </c>
    </row>
    <row r="165" customFormat="false" ht="15" hidden="false" customHeight="false" outlineLevel="0" collapsed="false">
      <c r="A165" s="3" t="s">
        <v>205</v>
      </c>
      <c r="B165" s="3" t="n">
        <v>34</v>
      </c>
      <c r="C165" s="3" t="s">
        <v>103</v>
      </c>
      <c r="D165" s="3" t="n">
        <v>52</v>
      </c>
      <c r="E165" s="3" t="s">
        <v>104</v>
      </c>
      <c r="F165" s="3" t="s">
        <v>159</v>
      </c>
      <c r="G165" s="3" t="s">
        <v>105</v>
      </c>
      <c r="H165" s="3" t="s">
        <v>217</v>
      </c>
    </row>
    <row r="166" customFormat="false" ht="15" hidden="false" customHeight="false" outlineLevel="0" collapsed="false">
      <c r="A166" s="3" t="s">
        <v>205</v>
      </c>
      <c r="B166" s="3" t="n">
        <v>35</v>
      </c>
      <c r="C166" s="3" t="s">
        <v>103</v>
      </c>
      <c r="D166" s="3" t="n">
        <v>36</v>
      </c>
      <c r="E166" s="3" t="s">
        <v>104</v>
      </c>
      <c r="F166" s="3" t="s">
        <v>159</v>
      </c>
      <c r="G166" s="3" t="s">
        <v>105</v>
      </c>
      <c r="H166" s="3" t="s">
        <v>218</v>
      </c>
    </row>
    <row r="167" customFormat="false" ht="15" hidden="false" customHeight="false" outlineLevel="0" collapsed="false">
      <c r="A167" s="3" t="s">
        <v>205</v>
      </c>
      <c r="B167" s="3" t="n">
        <v>36</v>
      </c>
      <c r="C167" s="3" t="s">
        <v>103</v>
      </c>
      <c r="D167" s="3" t="n">
        <v>15</v>
      </c>
      <c r="E167" s="3" t="s">
        <v>104</v>
      </c>
      <c r="F167" s="3" t="s">
        <v>159</v>
      </c>
      <c r="G167" s="3" t="s">
        <v>105</v>
      </c>
      <c r="H167" s="3" t="s">
        <v>219</v>
      </c>
    </row>
    <row r="168" customFormat="false" ht="15" hidden="false" customHeight="false" outlineLevel="0" collapsed="false">
      <c r="A168" s="3" t="s">
        <v>205</v>
      </c>
      <c r="B168" s="3" t="n">
        <v>36</v>
      </c>
      <c r="C168" s="3" t="s">
        <v>103</v>
      </c>
      <c r="D168" s="3" t="n">
        <v>6</v>
      </c>
      <c r="E168" s="3" t="s">
        <v>109</v>
      </c>
      <c r="F168" s="3" t="s">
        <v>159</v>
      </c>
      <c r="G168" s="3" t="s">
        <v>105</v>
      </c>
      <c r="H168" s="3" t="s">
        <v>219</v>
      </c>
    </row>
    <row r="169" customFormat="false" ht="15" hidden="false" customHeight="false" outlineLevel="0" collapsed="false">
      <c r="A169" s="3" t="s">
        <v>205</v>
      </c>
      <c r="B169" s="3" t="n">
        <v>37</v>
      </c>
      <c r="C169" s="3" t="s">
        <v>103</v>
      </c>
      <c r="D169" s="3" t="n">
        <v>3</v>
      </c>
      <c r="E169" s="3" t="s">
        <v>104</v>
      </c>
      <c r="F169" s="3" t="s">
        <v>159</v>
      </c>
      <c r="G169" s="3" t="s">
        <v>105</v>
      </c>
      <c r="H169" s="3" t="s">
        <v>220</v>
      </c>
    </row>
    <row r="170" customFormat="false" ht="15" hidden="false" customHeight="false" outlineLevel="0" collapsed="false">
      <c r="A170" s="3" t="s">
        <v>205</v>
      </c>
      <c r="B170" s="3" t="n">
        <v>37</v>
      </c>
      <c r="C170" s="3" t="s">
        <v>103</v>
      </c>
      <c r="D170" s="3" t="n">
        <v>6</v>
      </c>
      <c r="E170" s="3" t="s">
        <v>109</v>
      </c>
      <c r="F170" s="3" t="s">
        <v>159</v>
      </c>
      <c r="G170" s="3" t="s">
        <v>105</v>
      </c>
      <c r="H170" s="3" t="s">
        <v>220</v>
      </c>
    </row>
    <row r="171" customFormat="false" ht="15" hidden="false" customHeight="false" outlineLevel="0" collapsed="false">
      <c r="A171" s="3" t="s">
        <v>205</v>
      </c>
      <c r="B171" s="3" t="n">
        <v>38</v>
      </c>
      <c r="C171" s="3" t="s">
        <v>103</v>
      </c>
      <c r="D171" s="3" t="n">
        <v>20</v>
      </c>
      <c r="E171" s="3" t="s">
        <v>104</v>
      </c>
      <c r="F171" s="3" t="s">
        <v>159</v>
      </c>
      <c r="G171" s="3" t="s">
        <v>105</v>
      </c>
      <c r="H171" s="3" t="s">
        <v>221</v>
      </c>
    </row>
    <row r="172" customFormat="false" ht="15" hidden="false" customHeight="false" outlineLevel="0" collapsed="false">
      <c r="A172" s="3" t="s">
        <v>205</v>
      </c>
      <c r="B172" s="3" t="n">
        <v>38</v>
      </c>
      <c r="C172" s="3" t="s">
        <v>103</v>
      </c>
      <c r="D172" s="3" t="n">
        <v>6</v>
      </c>
      <c r="E172" s="3" t="s">
        <v>109</v>
      </c>
      <c r="F172" s="3" t="s">
        <v>159</v>
      </c>
      <c r="G172" s="3" t="s">
        <v>105</v>
      </c>
      <c r="H172" s="3" t="s">
        <v>221</v>
      </c>
    </row>
    <row r="173" customFormat="false" ht="15" hidden="false" customHeight="false" outlineLevel="0" collapsed="false">
      <c r="A173" s="3" t="s">
        <v>205</v>
      </c>
      <c r="B173" s="3" t="n">
        <v>39</v>
      </c>
      <c r="C173" s="3" t="s">
        <v>103</v>
      </c>
      <c r="D173" s="3" t="n">
        <v>15</v>
      </c>
      <c r="E173" s="3" t="s">
        <v>104</v>
      </c>
      <c r="F173" s="3" t="s">
        <v>159</v>
      </c>
      <c r="G173" s="3" t="s">
        <v>105</v>
      </c>
      <c r="H173" s="3" t="s">
        <v>222</v>
      </c>
    </row>
    <row r="174" customFormat="false" ht="15" hidden="false" customHeight="false" outlineLevel="0" collapsed="false">
      <c r="A174" s="3" t="s">
        <v>205</v>
      </c>
      <c r="B174" s="3" t="n">
        <v>44</v>
      </c>
      <c r="C174" s="3" t="s">
        <v>103</v>
      </c>
      <c r="D174" s="3" t="n">
        <v>8</v>
      </c>
      <c r="E174" s="3" t="s">
        <v>104</v>
      </c>
      <c r="F174" s="3" t="s">
        <v>159</v>
      </c>
      <c r="G174" s="3" t="s">
        <v>105</v>
      </c>
      <c r="H174" s="3" t="s">
        <v>223</v>
      </c>
    </row>
    <row r="175" customFormat="false" ht="15" hidden="false" customHeight="false" outlineLevel="0" collapsed="false">
      <c r="A175" s="3" t="s">
        <v>205</v>
      </c>
      <c r="B175" s="3" t="n">
        <v>44</v>
      </c>
      <c r="C175" s="3" t="s">
        <v>103</v>
      </c>
      <c r="D175" s="3" t="n">
        <v>6</v>
      </c>
      <c r="E175" s="3" t="s">
        <v>109</v>
      </c>
      <c r="F175" s="3" t="s">
        <v>159</v>
      </c>
      <c r="G175" s="3" t="s">
        <v>105</v>
      </c>
      <c r="H175" s="3" t="s">
        <v>223</v>
      </c>
    </row>
    <row r="176" customFormat="false" ht="15" hidden="false" customHeight="false" outlineLevel="0" collapsed="false">
      <c r="A176" s="3" t="s">
        <v>205</v>
      </c>
      <c r="B176" s="3" t="n">
        <v>54</v>
      </c>
      <c r="C176" s="3" t="s">
        <v>103</v>
      </c>
      <c r="D176" s="3" t="n">
        <v>3</v>
      </c>
      <c r="E176" s="3" t="s">
        <v>104</v>
      </c>
      <c r="F176" s="3" t="s">
        <v>159</v>
      </c>
      <c r="G176" s="3" t="s">
        <v>105</v>
      </c>
      <c r="H176" s="3" t="s">
        <v>224</v>
      </c>
    </row>
    <row r="177" customFormat="false" ht="15" hidden="false" customHeight="false" outlineLevel="0" collapsed="false">
      <c r="A177" s="3" t="s">
        <v>205</v>
      </c>
      <c r="B177" s="3" t="n">
        <v>54</v>
      </c>
      <c r="C177" s="3" t="s">
        <v>103</v>
      </c>
      <c r="D177" s="3" t="n">
        <v>6</v>
      </c>
      <c r="E177" s="3" t="s">
        <v>109</v>
      </c>
      <c r="F177" s="3" t="s">
        <v>159</v>
      </c>
      <c r="G177" s="3" t="s">
        <v>105</v>
      </c>
      <c r="H177" s="3" t="s">
        <v>224</v>
      </c>
    </row>
    <row r="178" customFormat="false" ht="15" hidden="false" customHeight="false" outlineLevel="0" collapsed="false">
      <c r="A178" s="3" t="s">
        <v>205</v>
      </c>
      <c r="B178" s="3" t="n">
        <v>55</v>
      </c>
      <c r="C178" s="3" t="s">
        <v>103</v>
      </c>
      <c r="D178" s="3" t="n">
        <v>44</v>
      </c>
      <c r="E178" s="3" t="s">
        <v>104</v>
      </c>
      <c r="F178" s="3" t="s">
        <v>159</v>
      </c>
      <c r="G178" s="3" t="s">
        <v>105</v>
      </c>
      <c r="H178" s="3" t="s">
        <v>225</v>
      </c>
    </row>
    <row r="179" customFormat="false" ht="15" hidden="false" customHeight="false" outlineLevel="0" collapsed="false">
      <c r="A179" s="3" t="s">
        <v>205</v>
      </c>
      <c r="B179" s="3" t="n">
        <v>55</v>
      </c>
      <c r="C179" s="3" t="s">
        <v>103</v>
      </c>
      <c r="D179" s="3" t="n">
        <v>57</v>
      </c>
      <c r="E179" s="3" t="s">
        <v>109</v>
      </c>
      <c r="F179" s="3" t="s">
        <v>159</v>
      </c>
      <c r="G179" s="3" t="s">
        <v>105</v>
      </c>
      <c r="H179" s="3" t="s">
        <v>225</v>
      </c>
    </row>
    <row r="180" customFormat="false" ht="15" hidden="false" customHeight="false" outlineLevel="0" collapsed="false">
      <c r="A180" s="3" t="s">
        <v>205</v>
      </c>
      <c r="B180" s="3" t="n">
        <v>56</v>
      </c>
      <c r="C180" s="3" t="s">
        <v>103</v>
      </c>
      <c r="D180" s="3" t="n">
        <v>6</v>
      </c>
      <c r="E180" s="3" t="s">
        <v>104</v>
      </c>
      <c r="F180" s="3" t="s">
        <v>159</v>
      </c>
      <c r="G180" s="3" t="s">
        <v>105</v>
      </c>
      <c r="H180" s="3" t="s">
        <v>226</v>
      </c>
    </row>
    <row r="181" customFormat="false" ht="15" hidden="false" customHeight="false" outlineLevel="0" collapsed="false">
      <c r="A181" s="3" t="s">
        <v>205</v>
      </c>
      <c r="B181" s="3" t="n">
        <v>57</v>
      </c>
      <c r="C181" s="3" t="s">
        <v>103</v>
      </c>
      <c r="D181" s="3" t="n">
        <v>26</v>
      </c>
      <c r="E181" s="3" t="s">
        <v>104</v>
      </c>
      <c r="F181" s="3" t="s">
        <v>159</v>
      </c>
      <c r="G181" s="3" t="s">
        <v>105</v>
      </c>
      <c r="H181" s="3" t="s">
        <v>227</v>
      </c>
    </row>
    <row r="182" customFormat="false" ht="15" hidden="false" customHeight="false" outlineLevel="0" collapsed="false">
      <c r="A182" s="3" t="s">
        <v>205</v>
      </c>
      <c r="B182" s="3" t="n">
        <v>57</v>
      </c>
      <c r="C182" s="3" t="s">
        <v>103</v>
      </c>
      <c r="D182" s="3" t="n">
        <v>8</v>
      </c>
      <c r="E182" s="3" t="s">
        <v>109</v>
      </c>
      <c r="F182" s="3" t="s">
        <v>159</v>
      </c>
      <c r="G182" s="3" t="s">
        <v>105</v>
      </c>
      <c r="H182" s="3" t="s">
        <v>227</v>
      </c>
    </row>
    <row r="183" customFormat="false" ht="15" hidden="false" customHeight="false" outlineLevel="0" collapsed="false">
      <c r="A183" s="3" t="s">
        <v>205</v>
      </c>
      <c r="B183" s="3" t="n">
        <v>58</v>
      </c>
      <c r="C183" s="3" t="s">
        <v>103</v>
      </c>
      <c r="D183" s="3" t="n">
        <v>54</v>
      </c>
      <c r="E183" s="3" t="s">
        <v>104</v>
      </c>
      <c r="F183" s="3" t="s">
        <v>159</v>
      </c>
      <c r="G183" s="3" t="s">
        <v>105</v>
      </c>
      <c r="H183" s="3" t="s">
        <v>228</v>
      </c>
    </row>
    <row r="184" customFormat="false" ht="15" hidden="false" customHeight="false" outlineLevel="0" collapsed="false">
      <c r="A184" s="3" t="s">
        <v>205</v>
      </c>
      <c r="B184" s="3" t="n">
        <v>58</v>
      </c>
      <c r="C184" s="3" t="s">
        <v>103</v>
      </c>
      <c r="D184" s="3" t="n">
        <v>10</v>
      </c>
      <c r="E184" s="3" t="s">
        <v>109</v>
      </c>
      <c r="F184" s="3" t="s">
        <v>159</v>
      </c>
      <c r="G184" s="3" t="s">
        <v>105</v>
      </c>
      <c r="H184" s="3" t="s">
        <v>228</v>
      </c>
    </row>
    <row r="185" customFormat="false" ht="15" hidden="false" customHeight="false" outlineLevel="0" collapsed="false">
      <c r="A185" s="3" t="s">
        <v>205</v>
      </c>
      <c r="B185" s="3" t="n">
        <v>59</v>
      </c>
      <c r="C185" s="3" t="s">
        <v>103</v>
      </c>
      <c r="D185" s="3" t="n">
        <v>20</v>
      </c>
      <c r="E185" s="3" t="s">
        <v>104</v>
      </c>
      <c r="F185" s="3" t="s">
        <v>159</v>
      </c>
      <c r="G185" s="3" t="s">
        <v>105</v>
      </c>
      <c r="H185" s="3" t="s">
        <v>229</v>
      </c>
    </row>
    <row r="186" customFormat="false" ht="15" hidden="false" customHeight="false" outlineLevel="0" collapsed="false">
      <c r="A186" s="3" t="s">
        <v>205</v>
      </c>
      <c r="B186" s="3" t="n">
        <v>65</v>
      </c>
      <c r="C186" s="3" t="s">
        <v>103</v>
      </c>
      <c r="D186" s="3" t="n">
        <v>6</v>
      </c>
      <c r="E186" s="3" t="s">
        <v>104</v>
      </c>
      <c r="F186" s="3" t="s">
        <v>159</v>
      </c>
      <c r="G186" s="3" t="s">
        <v>105</v>
      </c>
      <c r="H186" s="3" t="s">
        <v>230</v>
      </c>
    </row>
    <row r="187" customFormat="false" ht="15" hidden="false" customHeight="false" outlineLevel="0" collapsed="false">
      <c r="A187" s="3" t="s">
        <v>205</v>
      </c>
      <c r="B187" s="3" t="n">
        <v>65</v>
      </c>
      <c r="C187" s="3" t="s">
        <v>103</v>
      </c>
      <c r="D187" s="3" t="n">
        <v>20</v>
      </c>
      <c r="E187" s="3" t="s">
        <v>109</v>
      </c>
      <c r="F187" s="3" t="s">
        <v>159</v>
      </c>
      <c r="G187" s="3" t="s">
        <v>105</v>
      </c>
      <c r="H187" s="3" t="s">
        <v>230</v>
      </c>
    </row>
    <row r="188" customFormat="false" ht="15" hidden="false" customHeight="false" outlineLevel="0" collapsed="false">
      <c r="A188" s="3" t="s">
        <v>205</v>
      </c>
      <c r="B188" s="3" t="n">
        <v>66</v>
      </c>
      <c r="C188" s="3" t="s">
        <v>103</v>
      </c>
      <c r="D188" s="3" t="n">
        <v>36</v>
      </c>
      <c r="E188" s="3" t="s">
        <v>104</v>
      </c>
      <c r="F188" s="3" t="s">
        <v>159</v>
      </c>
      <c r="G188" s="3" t="s">
        <v>105</v>
      </c>
      <c r="H188" s="3" t="s">
        <v>231</v>
      </c>
    </row>
    <row r="189" customFormat="false" ht="15" hidden="false" customHeight="false" outlineLevel="0" collapsed="false">
      <c r="A189" s="3" t="s">
        <v>205</v>
      </c>
      <c r="B189" s="3" t="n">
        <v>66</v>
      </c>
      <c r="C189" s="3" t="s">
        <v>103</v>
      </c>
      <c r="D189" s="3" t="n">
        <v>45</v>
      </c>
      <c r="E189" s="3" t="s">
        <v>109</v>
      </c>
      <c r="F189" s="3" t="s">
        <v>159</v>
      </c>
      <c r="G189" s="3" t="s">
        <v>105</v>
      </c>
      <c r="H189" s="3" t="s">
        <v>231</v>
      </c>
    </row>
    <row r="190" customFormat="false" ht="15" hidden="false" customHeight="false" outlineLevel="0" collapsed="false">
      <c r="A190" s="3" t="s">
        <v>205</v>
      </c>
      <c r="B190" s="3" t="n">
        <v>67</v>
      </c>
      <c r="C190" s="3" t="s">
        <v>103</v>
      </c>
      <c r="D190" s="3" t="n">
        <v>36</v>
      </c>
      <c r="E190" s="3" t="s">
        <v>104</v>
      </c>
      <c r="F190" s="3" t="s">
        <v>159</v>
      </c>
      <c r="G190" s="3" t="s">
        <v>105</v>
      </c>
      <c r="H190" s="3" t="s">
        <v>232</v>
      </c>
    </row>
    <row r="191" customFormat="false" ht="15" hidden="false" customHeight="false" outlineLevel="0" collapsed="false">
      <c r="A191" s="3" t="s">
        <v>205</v>
      </c>
      <c r="B191" s="3" t="n">
        <v>67</v>
      </c>
      <c r="C191" s="3" t="s">
        <v>103</v>
      </c>
      <c r="D191" s="3" t="n">
        <v>6</v>
      </c>
      <c r="E191" s="3" t="s">
        <v>109</v>
      </c>
      <c r="F191" s="3" t="s">
        <v>159</v>
      </c>
      <c r="G191" s="3" t="s">
        <v>105</v>
      </c>
      <c r="H191" s="3" t="s">
        <v>232</v>
      </c>
    </row>
    <row r="192" customFormat="false" ht="15" hidden="false" customHeight="false" outlineLevel="0" collapsed="false">
      <c r="A192" s="3" t="s">
        <v>233</v>
      </c>
      <c r="B192" s="3" t="n">
        <v>9</v>
      </c>
      <c r="C192" s="3" t="s">
        <v>103</v>
      </c>
      <c r="D192" s="3" t="n">
        <v>45</v>
      </c>
      <c r="E192" s="3" t="s">
        <v>104</v>
      </c>
      <c r="F192" s="3" t="s">
        <v>105</v>
      </c>
      <c r="G192" s="3" t="s">
        <v>159</v>
      </c>
      <c r="H192" s="3" t="s">
        <v>234</v>
      </c>
    </row>
    <row r="193" customFormat="false" ht="15" hidden="false" customHeight="false" outlineLevel="0" collapsed="false">
      <c r="A193" s="3" t="s">
        <v>233</v>
      </c>
      <c r="B193" s="3" t="n">
        <v>9</v>
      </c>
      <c r="C193" s="3" t="s">
        <v>103</v>
      </c>
      <c r="D193" s="3" t="n">
        <v>36</v>
      </c>
      <c r="E193" s="3" t="s">
        <v>109</v>
      </c>
      <c r="F193" s="3" t="s">
        <v>105</v>
      </c>
      <c r="G193" s="3" t="s">
        <v>159</v>
      </c>
      <c r="H193" s="3" t="s">
        <v>234</v>
      </c>
    </row>
    <row r="194" customFormat="false" ht="15" hidden="false" customHeight="false" outlineLevel="0" collapsed="false">
      <c r="A194" s="3" t="s">
        <v>233</v>
      </c>
      <c r="B194" s="3" t="n">
        <v>10</v>
      </c>
      <c r="C194" s="3" t="s">
        <v>103</v>
      </c>
      <c r="D194" s="3" t="n">
        <v>47</v>
      </c>
      <c r="E194" s="3" t="s">
        <v>104</v>
      </c>
      <c r="F194" s="3" t="s">
        <v>105</v>
      </c>
      <c r="G194" s="3" t="s">
        <v>159</v>
      </c>
      <c r="H194" s="3" t="s">
        <v>235</v>
      </c>
    </row>
    <row r="195" customFormat="false" ht="15" hidden="false" customHeight="false" outlineLevel="0" collapsed="false">
      <c r="A195" s="3" t="s">
        <v>233</v>
      </c>
      <c r="B195" s="3" t="n">
        <v>11</v>
      </c>
      <c r="C195" s="3" t="s">
        <v>103</v>
      </c>
      <c r="D195" s="3" t="n">
        <v>44</v>
      </c>
      <c r="E195" s="3" t="s">
        <v>104</v>
      </c>
      <c r="F195" s="3" t="s">
        <v>105</v>
      </c>
      <c r="G195" s="3" t="s">
        <v>159</v>
      </c>
      <c r="H195" s="3" t="s">
        <v>236</v>
      </c>
    </row>
    <row r="196" customFormat="false" ht="15" hidden="false" customHeight="false" outlineLevel="0" collapsed="false">
      <c r="A196" s="3" t="s">
        <v>233</v>
      </c>
      <c r="B196" s="3" t="n">
        <v>11</v>
      </c>
      <c r="C196" s="3" t="s">
        <v>103</v>
      </c>
      <c r="D196" s="3" t="n">
        <v>19</v>
      </c>
      <c r="E196" s="3" t="s">
        <v>109</v>
      </c>
      <c r="F196" s="3" t="s">
        <v>105</v>
      </c>
      <c r="G196" s="3" t="s">
        <v>159</v>
      </c>
      <c r="H196" s="3" t="s">
        <v>236</v>
      </c>
    </row>
    <row r="197" customFormat="false" ht="15" hidden="false" customHeight="false" outlineLevel="0" collapsed="false">
      <c r="A197" s="3" t="s">
        <v>233</v>
      </c>
      <c r="B197" s="3" t="n">
        <v>22</v>
      </c>
      <c r="C197" s="3" t="s">
        <v>103</v>
      </c>
      <c r="D197" s="3" t="n">
        <v>6</v>
      </c>
      <c r="E197" s="3" t="s">
        <v>104</v>
      </c>
      <c r="F197" s="3" t="s">
        <v>105</v>
      </c>
      <c r="G197" s="3" t="s">
        <v>159</v>
      </c>
      <c r="H197" s="3" t="s">
        <v>237</v>
      </c>
    </row>
    <row r="198" customFormat="false" ht="15" hidden="false" customHeight="false" outlineLevel="0" collapsed="false">
      <c r="A198" s="3" t="s">
        <v>233</v>
      </c>
      <c r="B198" s="3" t="n">
        <v>23</v>
      </c>
      <c r="C198" s="3" t="s">
        <v>103</v>
      </c>
      <c r="D198" s="3" t="n">
        <v>14</v>
      </c>
      <c r="E198" s="3" t="s">
        <v>104</v>
      </c>
      <c r="F198" s="3" t="s">
        <v>105</v>
      </c>
      <c r="G198" s="3" t="s">
        <v>159</v>
      </c>
      <c r="H198" s="3" t="s">
        <v>238</v>
      </c>
    </row>
    <row r="199" customFormat="false" ht="15" hidden="false" customHeight="false" outlineLevel="0" collapsed="false">
      <c r="A199" s="3" t="s">
        <v>233</v>
      </c>
      <c r="B199" s="3" t="n">
        <v>23</v>
      </c>
      <c r="C199" s="3" t="s">
        <v>103</v>
      </c>
      <c r="D199" s="3" t="n">
        <v>20</v>
      </c>
      <c r="E199" s="3" t="s">
        <v>109</v>
      </c>
      <c r="F199" s="3" t="s">
        <v>105</v>
      </c>
      <c r="G199" s="3" t="s">
        <v>159</v>
      </c>
      <c r="H199" s="3" t="s">
        <v>238</v>
      </c>
    </row>
    <row r="200" customFormat="false" ht="15" hidden="false" customHeight="false" outlineLevel="0" collapsed="false">
      <c r="A200" s="3" t="s">
        <v>233</v>
      </c>
      <c r="B200" s="3" t="n">
        <v>24</v>
      </c>
      <c r="C200" s="3" t="s">
        <v>103</v>
      </c>
      <c r="D200" s="3" t="n">
        <v>36</v>
      </c>
      <c r="E200" s="3" t="s">
        <v>104</v>
      </c>
      <c r="F200" s="3" t="s">
        <v>105</v>
      </c>
      <c r="G200" s="3" t="s">
        <v>159</v>
      </c>
      <c r="H200" s="3" t="s">
        <v>239</v>
      </c>
    </row>
    <row r="201" customFormat="false" ht="15" hidden="false" customHeight="false" outlineLevel="0" collapsed="false">
      <c r="A201" s="3" t="s">
        <v>233</v>
      </c>
      <c r="B201" s="3" t="n">
        <v>25</v>
      </c>
      <c r="C201" s="3" t="s">
        <v>103</v>
      </c>
      <c r="D201" s="3" t="n">
        <v>20</v>
      </c>
      <c r="E201" s="3" t="s">
        <v>104</v>
      </c>
      <c r="F201" s="3" t="s">
        <v>105</v>
      </c>
      <c r="G201" s="3" t="s">
        <v>159</v>
      </c>
      <c r="H201" s="3" t="s">
        <v>240</v>
      </c>
    </row>
    <row r="202" customFormat="false" ht="15" hidden="false" customHeight="false" outlineLevel="0" collapsed="false">
      <c r="A202" s="3" t="s">
        <v>233</v>
      </c>
      <c r="B202" s="3" t="n">
        <v>26</v>
      </c>
      <c r="C202" s="3" t="s">
        <v>103</v>
      </c>
      <c r="D202" s="3" t="n">
        <v>50</v>
      </c>
      <c r="E202" s="3" t="s">
        <v>104</v>
      </c>
      <c r="F202" s="3" t="s">
        <v>105</v>
      </c>
      <c r="G202" s="3" t="s">
        <v>159</v>
      </c>
      <c r="H202" s="3" t="s">
        <v>241</v>
      </c>
    </row>
    <row r="203" customFormat="false" ht="15" hidden="false" customHeight="false" outlineLevel="0" collapsed="false">
      <c r="A203" s="3" t="s">
        <v>233</v>
      </c>
      <c r="B203" s="3" t="n">
        <v>27</v>
      </c>
      <c r="C203" s="3" t="s">
        <v>103</v>
      </c>
      <c r="D203" s="3" t="n">
        <v>15</v>
      </c>
      <c r="E203" s="3" t="s">
        <v>104</v>
      </c>
      <c r="F203" s="3" t="s">
        <v>105</v>
      </c>
      <c r="G203" s="3" t="s">
        <v>159</v>
      </c>
      <c r="H203" s="3" t="s">
        <v>242</v>
      </c>
    </row>
    <row r="204" customFormat="false" ht="15" hidden="false" customHeight="false" outlineLevel="0" collapsed="false">
      <c r="A204" s="3" t="s">
        <v>233</v>
      </c>
      <c r="B204" s="3" t="n">
        <v>28</v>
      </c>
      <c r="C204" s="3" t="s">
        <v>103</v>
      </c>
      <c r="D204" s="3" t="n">
        <v>41</v>
      </c>
      <c r="E204" s="3" t="s">
        <v>104</v>
      </c>
      <c r="F204" s="3" t="s">
        <v>105</v>
      </c>
      <c r="G204" s="3" t="s">
        <v>159</v>
      </c>
      <c r="H204" s="3" t="s">
        <v>243</v>
      </c>
    </row>
    <row r="205" customFormat="false" ht="15" hidden="false" customHeight="false" outlineLevel="0" collapsed="false">
      <c r="A205" s="3" t="s">
        <v>233</v>
      </c>
      <c r="B205" s="3" t="n">
        <v>28</v>
      </c>
      <c r="C205" s="3" t="s">
        <v>103</v>
      </c>
      <c r="D205" s="3" t="n">
        <v>46</v>
      </c>
      <c r="E205" s="3" t="s">
        <v>109</v>
      </c>
      <c r="F205" s="3" t="s">
        <v>105</v>
      </c>
      <c r="G205" s="3" t="s">
        <v>159</v>
      </c>
      <c r="H205" s="3" t="s">
        <v>243</v>
      </c>
    </row>
    <row r="206" customFormat="false" ht="15" hidden="false" customHeight="false" outlineLevel="0" collapsed="false">
      <c r="A206" s="3" t="s">
        <v>233</v>
      </c>
      <c r="B206" s="3" t="n">
        <v>29</v>
      </c>
      <c r="C206" s="3" t="s">
        <v>103</v>
      </c>
      <c r="D206" s="3" t="n">
        <v>27</v>
      </c>
      <c r="E206" s="3" t="s">
        <v>104</v>
      </c>
      <c r="F206" s="3" t="s">
        <v>105</v>
      </c>
      <c r="G206" s="3" t="s">
        <v>159</v>
      </c>
      <c r="H206" s="3" t="s">
        <v>244</v>
      </c>
    </row>
    <row r="207" customFormat="false" ht="15" hidden="false" customHeight="false" outlineLevel="0" collapsed="false">
      <c r="A207" s="3" t="s">
        <v>233</v>
      </c>
      <c r="B207" s="3" t="n">
        <v>29</v>
      </c>
      <c r="C207" s="3" t="s">
        <v>103</v>
      </c>
      <c r="D207" s="3" t="n">
        <v>8</v>
      </c>
      <c r="E207" s="3" t="s">
        <v>109</v>
      </c>
      <c r="F207" s="3" t="s">
        <v>105</v>
      </c>
      <c r="G207" s="3" t="s">
        <v>159</v>
      </c>
      <c r="H207" s="3" t="s">
        <v>244</v>
      </c>
    </row>
    <row r="208" customFormat="false" ht="15" hidden="false" customHeight="false" outlineLevel="0" collapsed="false">
      <c r="A208" s="3" t="s">
        <v>233</v>
      </c>
      <c r="B208" s="3" t="n">
        <v>30</v>
      </c>
      <c r="C208" s="3" t="s">
        <v>103</v>
      </c>
      <c r="D208" s="3" t="n">
        <v>8</v>
      </c>
      <c r="E208" s="3" t="s">
        <v>104</v>
      </c>
      <c r="F208" s="3" t="s">
        <v>105</v>
      </c>
      <c r="G208" s="3" t="s">
        <v>159</v>
      </c>
      <c r="H208" s="3" t="s">
        <v>245</v>
      </c>
    </row>
    <row r="209" customFormat="false" ht="15" hidden="false" customHeight="false" outlineLevel="0" collapsed="false">
      <c r="A209" s="3" t="s">
        <v>233</v>
      </c>
      <c r="B209" s="3" t="n">
        <v>30</v>
      </c>
      <c r="C209" s="3" t="s">
        <v>103</v>
      </c>
      <c r="D209" s="3" t="n">
        <v>6</v>
      </c>
      <c r="E209" s="3" t="s">
        <v>109</v>
      </c>
      <c r="F209" s="3" t="s">
        <v>105</v>
      </c>
      <c r="G209" s="3" t="s">
        <v>159</v>
      </c>
      <c r="H209" s="3" t="s">
        <v>245</v>
      </c>
    </row>
    <row r="210" customFormat="false" ht="15" hidden="false" customHeight="false" outlineLevel="0" collapsed="false">
      <c r="A210" s="3" t="s">
        <v>233</v>
      </c>
      <c r="B210" s="3" t="n">
        <v>38</v>
      </c>
      <c r="C210" s="3" t="s">
        <v>103</v>
      </c>
      <c r="D210" s="3" t="n">
        <v>53</v>
      </c>
      <c r="E210" s="3" t="s">
        <v>104</v>
      </c>
      <c r="F210" s="3" t="s">
        <v>105</v>
      </c>
      <c r="G210" s="3" t="s">
        <v>159</v>
      </c>
      <c r="H210" s="3" t="s">
        <v>246</v>
      </c>
    </row>
    <row r="211" customFormat="false" ht="15" hidden="false" customHeight="false" outlineLevel="0" collapsed="false">
      <c r="A211" s="3" t="s">
        <v>233</v>
      </c>
      <c r="B211" s="3" t="n">
        <v>39</v>
      </c>
      <c r="C211" s="3" t="s">
        <v>103</v>
      </c>
      <c r="D211" s="3" t="n">
        <v>6</v>
      </c>
      <c r="E211" s="3" t="s">
        <v>104</v>
      </c>
      <c r="F211" s="3" t="s">
        <v>105</v>
      </c>
      <c r="G211" s="3" t="s">
        <v>159</v>
      </c>
      <c r="H211" s="3" t="s">
        <v>247</v>
      </c>
    </row>
    <row r="212" customFormat="false" ht="15" hidden="false" customHeight="false" outlineLevel="0" collapsed="false">
      <c r="A212" s="3" t="s">
        <v>233</v>
      </c>
      <c r="B212" s="3" t="n">
        <v>40</v>
      </c>
      <c r="C212" s="3" t="s">
        <v>103</v>
      </c>
      <c r="D212" s="3" t="n">
        <v>19</v>
      </c>
      <c r="E212" s="3" t="s">
        <v>104</v>
      </c>
      <c r="F212" s="3" t="s">
        <v>105</v>
      </c>
      <c r="G212" s="3" t="s">
        <v>159</v>
      </c>
      <c r="H212" s="3" t="s">
        <v>248</v>
      </c>
    </row>
    <row r="213" customFormat="false" ht="15" hidden="false" customHeight="false" outlineLevel="0" collapsed="false">
      <c r="A213" s="3" t="s">
        <v>233</v>
      </c>
      <c r="B213" s="3" t="n">
        <v>40</v>
      </c>
      <c r="C213" s="3" t="s">
        <v>103</v>
      </c>
      <c r="D213" s="3" t="n">
        <v>23</v>
      </c>
      <c r="E213" s="3" t="s">
        <v>109</v>
      </c>
      <c r="F213" s="3" t="s">
        <v>105</v>
      </c>
      <c r="G213" s="3" t="s">
        <v>159</v>
      </c>
      <c r="H213" s="3" t="s">
        <v>248</v>
      </c>
    </row>
    <row r="214" customFormat="false" ht="15" hidden="false" customHeight="false" outlineLevel="0" collapsed="false">
      <c r="A214" s="3" t="s">
        <v>233</v>
      </c>
      <c r="B214" s="3" t="n">
        <v>41</v>
      </c>
      <c r="C214" s="3" t="s">
        <v>103</v>
      </c>
      <c r="D214" s="3" t="n">
        <v>8</v>
      </c>
      <c r="E214" s="3" t="s">
        <v>104</v>
      </c>
      <c r="F214" s="3" t="s">
        <v>105</v>
      </c>
      <c r="G214" s="3" t="s">
        <v>159</v>
      </c>
      <c r="H214" s="3" t="s">
        <v>249</v>
      </c>
    </row>
    <row r="215" customFormat="false" ht="15" hidden="false" customHeight="false" outlineLevel="0" collapsed="false">
      <c r="A215" s="3" t="s">
        <v>233</v>
      </c>
      <c r="B215" s="3" t="n">
        <v>41</v>
      </c>
      <c r="C215" s="3" t="s">
        <v>103</v>
      </c>
      <c r="D215" s="3" t="n">
        <v>6</v>
      </c>
      <c r="E215" s="3" t="s">
        <v>109</v>
      </c>
      <c r="F215" s="3" t="s">
        <v>105</v>
      </c>
      <c r="G215" s="3" t="s">
        <v>159</v>
      </c>
      <c r="H215" s="3" t="s">
        <v>249</v>
      </c>
    </row>
    <row r="216" customFormat="false" ht="15" hidden="false" customHeight="false" outlineLevel="0" collapsed="false">
      <c r="A216" s="3" t="s">
        <v>233</v>
      </c>
      <c r="B216" s="3" t="n">
        <v>42</v>
      </c>
      <c r="C216" s="3" t="s">
        <v>103</v>
      </c>
      <c r="D216" s="3" t="n">
        <v>18</v>
      </c>
      <c r="E216" s="3" t="s">
        <v>104</v>
      </c>
      <c r="F216" s="3" t="s">
        <v>105</v>
      </c>
      <c r="G216" s="3" t="s">
        <v>159</v>
      </c>
      <c r="H216" s="3" t="s">
        <v>250</v>
      </c>
    </row>
    <row r="217" customFormat="false" ht="15" hidden="false" customHeight="false" outlineLevel="0" collapsed="false">
      <c r="A217" s="3" t="s">
        <v>233</v>
      </c>
      <c r="B217" s="3" t="n">
        <v>42</v>
      </c>
      <c r="C217" s="3" t="s">
        <v>103</v>
      </c>
      <c r="D217" s="3" t="n">
        <v>17</v>
      </c>
      <c r="E217" s="3" t="s">
        <v>109</v>
      </c>
      <c r="F217" s="3" t="s">
        <v>105</v>
      </c>
      <c r="G217" s="3" t="s">
        <v>159</v>
      </c>
      <c r="H217" s="3" t="s">
        <v>250</v>
      </c>
    </row>
    <row r="218" customFormat="false" ht="15" hidden="false" customHeight="false" outlineLevel="0" collapsed="false">
      <c r="A218" s="3" t="s">
        <v>233</v>
      </c>
      <c r="B218" s="3" t="n">
        <v>43</v>
      </c>
      <c r="C218" s="3" t="s">
        <v>103</v>
      </c>
      <c r="D218" s="3" t="n">
        <v>3</v>
      </c>
      <c r="E218" s="3" t="s">
        <v>104</v>
      </c>
      <c r="F218" s="3" t="s">
        <v>105</v>
      </c>
      <c r="G218" s="3" t="s">
        <v>159</v>
      </c>
      <c r="H218" s="3" t="s">
        <v>251</v>
      </c>
    </row>
    <row r="219" customFormat="false" ht="15" hidden="false" customHeight="false" outlineLevel="0" collapsed="false">
      <c r="A219" s="3" t="s">
        <v>233</v>
      </c>
      <c r="B219" s="3" t="n">
        <v>44</v>
      </c>
      <c r="C219" s="3" t="s">
        <v>103</v>
      </c>
      <c r="D219" s="3" t="n">
        <v>6</v>
      </c>
      <c r="E219" s="3" t="s">
        <v>104</v>
      </c>
      <c r="F219" s="3" t="s">
        <v>105</v>
      </c>
      <c r="G219" s="3" t="s">
        <v>159</v>
      </c>
      <c r="H219" s="3" t="s">
        <v>252</v>
      </c>
    </row>
    <row r="220" customFormat="false" ht="15" hidden="false" customHeight="false" outlineLevel="0" collapsed="false">
      <c r="A220" s="3" t="s">
        <v>233</v>
      </c>
      <c r="B220" s="3" t="n">
        <v>44</v>
      </c>
      <c r="C220" s="3" t="s">
        <v>103</v>
      </c>
      <c r="D220" s="3" t="n">
        <v>8</v>
      </c>
      <c r="E220" s="3" t="s">
        <v>109</v>
      </c>
      <c r="F220" s="3" t="s">
        <v>105</v>
      </c>
      <c r="G220" s="3" t="s">
        <v>159</v>
      </c>
      <c r="H220" s="3" t="s">
        <v>252</v>
      </c>
    </row>
    <row r="221" customFormat="false" ht="15" hidden="false" customHeight="false" outlineLevel="0" collapsed="false">
      <c r="A221" s="3" t="s">
        <v>233</v>
      </c>
      <c r="B221" s="3" t="n">
        <v>46</v>
      </c>
      <c r="C221" s="3" t="s">
        <v>103</v>
      </c>
      <c r="D221" s="3" t="n">
        <v>20</v>
      </c>
      <c r="E221" s="3" t="s">
        <v>104</v>
      </c>
      <c r="F221" s="3" t="s">
        <v>105</v>
      </c>
      <c r="G221" s="3" t="s">
        <v>159</v>
      </c>
      <c r="H221" s="3" t="s">
        <v>253</v>
      </c>
    </row>
    <row r="222" customFormat="false" ht="15" hidden="false" customHeight="false" outlineLevel="0" collapsed="false">
      <c r="A222" s="3" t="s">
        <v>233</v>
      </c>
      <c r="B222" s="3" t="n">
        <v>47</v>
      </c>
      <c r="C222" s="3" t="s">
        <v>103</v>
      </c>
      <c r="D222" s="3" t="n">
        <v>6</v>
      </c>
      <c r="E222" s="3" t="s">
        <v>104</v>
      </c>
      <c r="F222" s="3" t="s">
        <v>105</v>
      </c>
      <c r="G222" s="3" t="s">
        <v>159</v>
      </c>
      <c r="H222" s="3" t="s">
        <v>254</v>
      </c>
    </row>
    <row r="223" customFormat="false" ht="15" hidden="false" customHeight="false" outlineLevel="0" collapsed="false">
      <c r="A223" s="3" t="s">
        <v>233</v>
      </c>
      <c r="B223" s="3" t="n">
        <v>47</v>
      </c>
      <c r="C223" s="3" t="s">
        <v>103</v>
      </c>
      <c r="D223" s="3" t="n">
        <v>8</v>
      </c>
      <c r="E223" s="3" t="s">
        <v>109</v>
      </c>
      <c r="F223" s="3" t="s">
        <v>105</v>
      </c>
      <c r="G223" s="3" t="s">
        <v>159</v>
      </c>
      <c r="H223" s="3" t="s">
        <v>254</v>
      </c>
    </row>
    <row r="224" customFormat="false" ht="15" hidden="false" customHeight="false" outlineLevel="0" collapsed="false">
      <c r="A224" s="3" t="s">
        <v>233</v>
      </c>
      <c r="B224" s="3" t="n">
        <v>48</v>
      </c>
      <c r="C224" s="3" t="s">
        <v>103</v>
      </c>
      <c r="D224" s="3" t="n">
        <v>6</v>
      </c>
      <c r="E224" s="3" t="s">
        <v>104</v>
      </c>
      <c r="F224" s="3" t="s">
        <v>105</v>
      </c>
      <c r="G224" s="3" t="s">
        <v>159</v>
      </c>
      <c r="H224" s="3" t="s">
        <v>255</v>
      </c>
    </row>
    <row r="225" customFormat="false" ht="15" hidden="false" customHeight="false" outlineLevel="0" collapsed="false">
      <c r="A225" s="3" t="s">
        <v>233</v>
      </c>
      <c r="B225" s="3" t="n">
        <v>50</v>
      </c>
      <c r="C225" s="3" t="s">
        <v>103</v>
      </c>
      <c r="D225" s="3" t="n">
        <v>8</v>
      </c>
      <c r="E225" s="3" t="s">
        <v>104</v>
      </c>
      <c r="F225" s="3" t="s">
        <v>105</v>
      </c>
      <c r="G225" s="3" t="s">
        <v>159</v>
      </c>
      <c r="H225" s="3" t="s">
        <v>256</v>
      </c>
    </row>
    <row r="226" customFormat="false" ht="15" hidden="false" customHeight="false" outlineLevel="0" collapsed="false">
      <c r="A226" s="3" t="s">
        <v>233</v>
      </c>
      <c r="B226" s="3" t="n">
        <v>50</v>
      </c>
      <c r="C226" s="3" t="s">
        <v>103</v>
      </c>
      <c r="D226" s="3" t="n">
        <v>20</v>
      </c>
      <c r="E226" s="3" t="s">
        <v>109</v>
      </c>
      <c r="F226" s="3" t="s">
        <v>105</v>
      </c>
      <c r="G226" s="3" t="s">
        <v>159</v>
      </c>
      <c r="H226" s="3" t="s">
        <v>256</v>
      </c>
    </row>
    <row r="227" customFormat="false" ht="15" hidden="false" customHeight="false" outlineLevel="0" collapsed="false">
      <c r="A227" s="3" t="s">
        <v>233</v>
      </c>
      <c r="B227" s="3" t="n">
        <v>58</v>
      </c>
      <c r="C227" s="3" t="s">
        <v>103</v>
      </c>
      <c r="D227" s="3" t="n">
        <v>8</v>
      </c>
      <c r="E227" s="3" t="s">
        <v>104</v>
      </c>
      <c r="F227" s="3" t="s">
        <v>105</v>
      </c>
      <c r="G227" s="3" t="s">
        <v>159</v>
      </c>
      <c r="H227" s="3" t="s">
        <v>257</v>
      </c>
    </row>
    <row r="228" customFormat="false" ht="15" hidden="false" customHeight="false" outlineLevel="0" collapsed="false">
      <c r="A228" s="3" t="s">
        <v>233</v>
      </c>
      <c r="B228" s="3" t="n">
        <v>59</v>
      </c>
      <c r="C228" s="3" t="s">
        <v>103</v>
      </c>
      <c r="D228" s="3" t="n">
        <v>15</v>
      </c>
      <c r="E228" s="3" t="s">
        <v>104</v>
      </c>
      <c r="F228" s="3" t="s">
        <v>105</v>
      </c>
      <c r="G228" s="3" t="s">
        <v>159</v>
      </c>
      <c r="H228" s="3" t="s">
        <v>258</v>
      </c>
    </row>
    <row r="229" customFormat="false" ht="15" hidden="false" customHeight="false" outlineLevel="0" collapsed="false">
      <c r="A229" s="3" t="s">
        <v>233</v>
      </c>
      <c r="B229" s="3" t="n">
        <v>62</v>
      </c>
      <c r="C229" s="3" t="s">
        <v>103</v>
      </c>
      <c r="D229" s="3" t="n">
        <v>26</v>
      </c>
      <c r="E229" s="3" t="s">
        <v>104</v>
      </c>
      <c r="F229" s="3" t="s">
        <v>105</v>
      </c>
      <c r="G229" s="3" t="s">
        <v>159</v>
      </c>
      <c r="H229" s="3" t="s">
        <v>259</v>
      </c>
    </row>
    <row r="230" customFormat="false" ht="15" hidden="false" customHeight="false" outlineLevel="0" collapsed="false">
      <c r="A230" s="3" t="s">
        <v>233</v>
      </c>
      <c r="B230" s="3" t="n">
        <v>62</v>
      </c>
      <c r="C230" s="3" t="s">
        <v>103</v>
      </c>
      <c r="D230" s="3" t="n">
        <v>6</v>
      </c>
      <c r="E230" s="3" t="s">
        <v>109</v>
      </c>
      <c r="F230" s="3" t="s">
        <v>105</v>
      </c>
      <c r="G230" s="3" t="s">
        <v>159</v>
      </c>
      <c r="H230" s="3" t="s">
        <v>259</v>
      </c>
    </row>
    <row r="231" customFormat="false" ht="15" hidden="false" customHeight="false" outlineLevel="0" collapsed="false">
      <c r="A231" s="3" t="s">
        <v>260</v>
      </c>
      <c r="B231" s="3" t="n">
        <v>1</v>
      </c>
      <c r="C231" s="3" t="s">
        <v>261</v>
      </c>
      <c r="D231" s="3" t="n">
        <v>23</v>
      </c>
      <c r="E231" s="3" t="s">
        <v>104</v>
      </c>
      <c r="F231" s="3" t="s">
        <v>105</v>
      </c>
      <c r="G231" s="3" t="s">
        <v>105</v>
      </c>
      <c r="H231" s="3" t="s">
        <v>262</v>
      </c>
    </row>
    <row r="232" customFormat="false" ht="15" hidden="false" customHeight="false" outlineLevel="0" collapsed="false">
      <c r="A232" s="3" t="s">
        <v>260</v>
      </c>
      <c r="B232" s="3" t="n">
        <v>2</v>
      </c>
      <c r="C232" s="3" t="s">
        <v>261</v>
      </c>
      <c r="D232" s="3" t="n">
        <v>25</v>
      </c>
      <c r="E232" s="3" t="s">
        <v>104</v>
      </c>
      <c r="F232" s="3" t="s">
        <v>105</v>
      </c>
      <c r="G232" s="3" t="s">
        <v>105</v>
      </c>
      <c r="H232" s="3" t="s">
        <v>263</v>
      </c>
    </row>
    <row r="233" customFormat="false" ht="15" hidden="false" customHeight="false" outlineLevel="0" collapsed="false">
      <c r="A233" s="3" t="s">
        <v>260</v>
      </c>
      <c r="B233" s="3" t="n">
        <v>3</v>
      </c>
      <c r="C233" s="3" t="s">
        <v>261</v>
      </c>
      <c r="D233" s="3" t="n">
        <v>24</v>
      </c>
      <c r="E233" s="3" t="s">
        <v>104</v>
      </c>
      <c r="F233" s="3" t="s">
        <v>105</v>
      </c>
      <c r="G233" s="3" t="s">
        <v>105</v>
      </c>
      <c r="H233" s="3" t="s">
        <v>264</v>
      </c>
    </row>
    <row r="234" customFormat="false" ht="15" hidden="false" customHeight="false" outlineLevel="0" collapsed="false">
      <c r="A234" s="3" t="s">
        <v>260</v>
      </c>
      <c r="B234" s="3" t="n">
        <v>4</v>
      </c>
      <c r="C234" s="3" t="s">
        <v>261</v>
      </c>
      <c r="D234" s="3" t="n">
        <v>63</v>
      </c>
      <c r="E234" s="3" t="s">
        <v>104</v>
      </c>
      <c r="F234" s="3" t="s">
        <v>105</v>
      </c>
      <c r="G234" s="3" t="s">
        <v>105</v>
      </c>
      <c r="H234" s="3" t="s">
        <v>265</v>
      </c>
    </row>
    <row r="235" customFormat="false" ht="15" hidden="false" customHeight="false" outlineLevel="0" collapsed="false">
      <c r="A235" s="3" t="s">
        <v>260</v>
      </c>
      <c r="B235" s="3" t="n">
        <v>5</v>
      </c>
      <c r="C235" s="3" t="s">
        <v>261</v>
      </c>
      <c r="D235" s="3" t="n">
        <v>26</v>
      </c>
      <c r="E235" s="3" t="s">
        <v>104</v>
      </c>
      <c r="F235" s="3" t="s">
        <v>105</v>
      </c>
      <c r="G235" s="3" t="s">
        <v>105</v>
      </c>
      <c r="H235" s="3" t="s">
        <v>266</v>
      </c>
    </row>
    <row r="236" customFormat="false" ht="15" hidden="false" customHeight="false" outlineLevel="0" collapsed="false">
      <c r="A236" s="3" t="s">
        <v>260</v>
      </c>
      <c r="B236" s="3" t="n">
        <v>5</v>
      </c>
      <c r="C236" s="3" t="s">
        <v>261</v>
      </c>
      <c r="D236" s="3" t="n">
        <v>8</v>
      </c>
      <c r="E236" s="3" t="s">
        <v>109</v>
      </c>
      <c r="F236" s="3" t="s">
        <v>105</v>
      </c>
      <c r="G236" s="3" t="s">
        <v>105</v>
      </c>
      <c r="H236" s="3" t="s">
        <v>266</v>
      </c>
    </row>
    <row r="237" customFormat="false" ht="15" hidden="false" customHeight="false" outlineLevel="0" collapsed="false">
      <c r="A237" s="3" t="s">
        <v>260</v>
      </c>
      <c r="B237" s="3" t="n">
        <v>6</v>
      </c>
      <c r="C237" s="3" t="s">
        <v>261</v>
      </c>
      <c r="D237" s="3" t="n">
        <v>2</v>
      </c>
      <c r="E237" s="3" t="s">
        <v>104</v>
      </c>
      <c r="F237" s="3" t="s">
        <v>105</v>
      </c>
      <c r="G237" s="3" t="s">
        <v>105</v>
      </c>
      <c r="H237" s="3" t="s">
        <v>267</v>
      </c>
    </row>
    <row r="238" customFormat="false" ht="15" hidden="false" customHeight="false" outlineLevel="0" collapsed="false">
      <c r="A238" s="3" t="s">
        <v>260</v>
      </c>
      <c r="B238" s="3" t="n">
        <v>7</v>
      </c>
      <c r="C238" s="3" t="s">
        <v>261</v>
      </c>
      <c r="D238" s="3" t="n">
        <v>29</v>
      </c>
      <c r="E238" s="3" t="s">
        <v>104</v>
      </c>
      <c r="F238" s="3" t="s">
        <v>105</v>
      </c>
      <c r="G238" s="3" t="s">
        <v>105</v>
      </c>
      <c r="H238" s="3" t="s">
        <v>268</v>
      </c>
    </row>
    <row r="239" customFormat="false" ht="15" hidden="false" customHeight="false" outlineLevel="0" collapsed="false">
      <c r="A239" s="3" t="s">
        <v>260</v>
      </c>
      <c r="B239" s="3" t="n">
        <v>7</v>
      </c>
      <c r="C239" s="3" t="s">
        <v>261</v>
      </c>
      <c r="D239" s="3" t="n">
        <v>6</v>
      </c>
      <c r="E239" s="3" t="s">
        <v>109</v>
      </c>
      <c r="F239" s="3" t="s">
        <v>105</v>
      </c>
      <c r="G239" s="3" t="s">
        <v>105</v>
      </c>
      <c r="H239" s="3" t="s">
        <v>268</v>
      </c>
    </row>
    <row r="240" customFormat="false" ht="15" hidden="false" customHeight="false" outlineLevel="0" collapsed="false">
      <c r="A240" s="3" t="s">
        <v>260</v>
      </c>
      <c r="B240" s="3" t="n">
        <v>8</v>
      </c>
      <c r="C240" s="3" t="s">
        <v>261</v>
      </c>
      <c r="D240" s="3" t="n">
        <v>8</v>
      </c>
      <c r="E240" s="3" t="s">
        <v>104</v>
      </c>
      <c r="F240" s="3" t="s">
        <v>105</v>
      </c>
      <c r="G240" s="3" t="s">
        <v>105</v>
      </c>
      <c r="H240" s="3" t="s">
        <v>269</v>
      </c>
    </row>
    <row r="241" customFormat="false" ht="15" hidden="false" customHeight="false" outlineLevel="0" collapsed="false">
      <c r="A241" s="3" t="s">
        <v>260</v>
      </c>
      <c r="B241" s="3" t="n">
        <v>8</v>
      </c>
      <c r="C241" s="3" t="s">
        <v>261</v>
      </c>
      <c r="D241" s="3" t="n">
        <v>6</v>
      </c>
      <c r="E241" s="3" t="s">
        <v>109</v>
      </c>
      <c r="F241" s="3" t="s">
        <v>105</v>
      </c>
      <c r="G241" s="3" t="s">
        <v>105</v>
      </c>
      <c r="H241" s="3" t="s">
        <v>269</v>
      </c>
    </row>
    <row r="242" customFormat="false" ht="15" hidden="false" customHeight="false" outlineLevel="0" collapsed="false">
      <c r="A242" s="3" t="s">
        <v>260</v>
      </c>
      <c r="B242" s="3" t="n">
        <v>9</v>
      </c>
      <c r="C242" s="3" t="s">
        <v>261</v>
      </c>
      <c r="D242" s="3" t="n">
        <v>23</v>
      </c>
      <c r="E242" s="3" t="s">
        <v>104</v>
      </c>
      <c r="F242" s="3" t="s">
        <v>105</v>
      </c>
      <c r="G242" s="3" t="s">
        <v>105</v>
      </c>
      <c r="H242" s="3" t="s">
        <v>270</v>
      </c>
    </row>
    <row r="243" customFormat="false" ht="15" hidden="false" customHeight="false" outlineLevel="0" collapsed="false">
      <c r="A243" s="3" t="s">
        <v>260</v>
      </c>
      <c r="B243" s="3" t="n">
        <v>10</v>
      </c>
      <c r="C243" s="3" t="s">
        <v>261</v>
      </c>
      <c r="D243" s="3" t="n">
        <v>27</v>
      </c>
      <c r="E243" s="3" t="s">
        <v>104</v>
      </c>
      <c r="F243" s="3" t="s">
        <v>105</v>
      </c>
      <c r="G243" s="3" t="s">
        <v>105</v>
      </c>
      <c r="H243" s="3" t="s">
        <v>271</v>
      </c>
    </row>
    <row r="244" customFormat="false" ht="15" hidden="false" customHeight="false" outlineLevel="0" collapsed="false">
      <c r="A244" s="3" t="s">
        <v>260</v>
      </c>
      <c r="B244" s="3" t="n">
        <v>11</v>
      </c>
      <c r="C244" s="3" t="s">
        <v>261</v>
      </c>
      <c r="D244" s="3" t="n">
        <v>6</v>
      </c>
      <c r="E244" s="3" t="s">
        <v>104</v>
      </c>
      <c r="F244" s="3" t="s">
        <v>105</v>
      </c>
      <c r="G244" s="3" t="s">
        <v>105</v>
      </c>
      <c r="H244" s="3" t="s">
        <v>272</v>
      </c>
    </row>
    <row r="245" customFormat="false" ht="15" hidden="false" customHeight="false" outlineLevel="0" collapsed="false">
      <c r="A245" s="3" t="s">
        <v>260</v>
      </c>
      <c r="B245" s="3" t="n">
        <v>12</v>
      </c>
      <c r="C245" s="3" t="s">
        <v>261</v>
      </c>
      <c r="D245" s="3" t="n">
        <v>2</v>
      </c>
      <c r="E245" s="3" t="s">
        <v>104</v>
      </c>
      <c r="F245" s="3" t="s">
        <v>105</v>
      </c>
      <c r="G245" s="3" t="s">
        <v>105</v>
      </c>
      <c r="H245" s="3" t="s">
        <v>273</v>
      </c>
    </row>
    <row r="246" customFormat="false" ht="15" hidden="false" customHeight="false" outlineLevel="0" collapsed="false">
      <c r="A246" s="3" t="s">
        <v>260</v>
      </c>
      <c r="B246" s="3" t="n">
        <v>12</v>
      </c>
      <c r="C246" s="3" t="s">
        <v>261</v>
      </c>
      <c r="D246" s="3" t="n">
        <v>23</v>
      </c>
      <c r="E246" s="3" t="s">
        <v>109</v>
      </c>
      <c r="F246" s="3" t="s">
        <v>105</v>
      </c>
      <c r="G246" s="3" t="s">
        <v>105</v>
      </c>
      <c r="H246" s="3" t="s">
        <v>273</v>
      </c>
    </row>
    <row r="247" customFormat="false" ht="15" hidden="false" customHeight="false" outlineLevel="0" collapsed="false">
      <c r="A247" s="3" t="s">
        <v>260</v>
      </c>
      <c r="B247" s="3" t="n">
        <v>13</v>
      </c>
      <c r="C247" s="3" t="s">
        <v>261</v>
      </c>
      <c r="D247" s="3" t="n">
        <v>23</v>
      </c>
      <c r="E247" s="3" t="s">
        <v>104</v>
      </c>
      <c r="F247" s="3" t="s">
        <v>105</v>
      </c>
      <c r="G247" s="3" t="s">
        <v>105</v>
      </c>
      <c r="H247" s="3" t="s">
        <v>274</v>
      </c>
    </row>
    <row r="248" customFormat="false" ht="15" hidden="false" customHeight="false" outlineLevel="0" collapsed="false">
      <c r="A248" s="3" t="s">
        <v>260</v>
      </c>
      <c r="B248" s="3" t="n">
        <v>13</v>
      </c>
      <c r="C248" s="3" t="s">
        <v>261</v>
      </c>
      <c r="D248" s="3" t="n">
        <v>14</v>
      </c>
      <c r="E248" s="3" t="s">
        <v>109</v>
      </c>
      <c r="F248" s="3" t="s">
        <v>105</v>
      </c>
      <c r="G248" s="3" t="s">
        <v>105</v>
      </c>
      <c r="H248" s="3" t="s">
        <v>274</v>
      </c>
    </row>
    <row r="249" customFormat="false" ht="15" hidden="false" customHeight="false" outlineLevel="0" collapsed="false">
      <c r="A249" s="3" t="s">
        <v>260</v>
      </c>
      <c r="B249" s="3" t="n">
        <v>14</v>
      </c>
      <c r="C249" s="3" t="s">
        <v>261</v>
      </c>
      <c r="D249" s="3" t="n">
        <v>43</v>
      </c>
      <c r="E249" s="3" t="s">
        <v>104</v>
      </c>
      <c r="F249" s="3" t="s">
        <v>105</v>
      </c>
      <c r="G249" s="3" t="s">
        <v>105</v>
      </c>
      <c r="H249" s="3" t="s">
        <v>275</v>
      </c>
    </row>
    <row r="250" customFormat="false" ht="15" hidden="false" customHeight="false" outlineLevel="0" collapsed="false">
      <c r="A250" s="3" t="s">
        <v>260</v>
      </c>
      <c r="B250" s="3" t="n">
        <v>15</v>
      </c>
      <c r="C250" s="3" t="s">
        <v>261</v>
      </c>
      <c r="D250" s="3" t="n">
        <v>43</v>
      </c>
      <c r="E250" s="3" t="s">
        <v>104</v>
      </c>
      <c r="F250" s="3" t="s">
        <v>105</v>
      </c>
      <c r="G250" s="3" t="s">
        <v>105</v>
      </c>
      <c r="H250" s="3" t="s">
        <v>276</v>
      </c>
    </row>
    <row r="251" customFormat="false" ht="15" hidden="false" customHeight="false" outlineLevel="0" collapsed="false">
      <c r="A251" s="3" t="s">
        <v>260</v>
      </c>
      <c r="B251" s="3" t="n">
        <v>16</v>
      </c>
      <c r="C251" s="3" t="s">
        <v>261</v>
      </c>
      <c r="D251" s="3" t="n">
        <v>43</v>
      </c>
      <c r="E251" s="3" t="s">
        <v>104</v>
      </c>
      <c r="F251" s="3" t="s">
        <v>105</v>
      </c>
      <c r="G251" s="3" t="s">
        <v>105</v>
      </c>
      <c r="H251" s="3" t="s">
        <v>277</v>
      </c>
    </row>
    <row r="252" customFormat="false" ht="15" hidden="false" customHeight="false" outlineLevel="0" collapsed="false">
      <c r="A252" s="3" t="s">
        <v>260</v>
      </c>
      <c r="B252" s="3" t="n">
        <v>17</v>
      </c>
      <c r="C252" s="3" t="s">
        <v>261</v>
      </c>
      <c r="D252" s="3" t="n">
        <v>7</v>
      </c>
      <c r="E252" s="3" t="s">
        <v>104</v>
      </c>
      <c r="F252" s="3" t="s">
        <v>105</v>
      </c>
      <c r="G252" s="3" t="s">
        <v>105</v>
      </c>
      <c r="H252" s="3" t="s">
        <v>278</v>
      </c>
    </row>
    <row r="253" customFormat="false" ht="15" hidden="false" customHeight="false" outlineLevel="0" collapsed="false">
      <c r="A253" s="3" t="s">
        <v>279</v>
      </c>
      <c r="B253" s="3" t="n">
        <v>1</v>
      </c>
      <c r="C253" s="3" t="s">
        <v>261</v>
      </c>
      <c r="D253" s="3" t="n">
        <v>34</v>
      </c>
      <c r="E253" s="3" t="s">
        <v>104</v>
      </c>
      <c r="F253" s="3" t="s">
        <v>105</v>
      </c>
      <c r="G253" s="3" t="s">
        <v>105</v>
      </c>
      <c r="H253" s="3" t="s">
        <v>280</v>
      </c>
    </row>
    <row r="254" customFormat="false" ht="15" hidden="false" customHeight="false" outlineLevel="0" collapsed="false">
      <c r="A254" s="3" t="s">
        <v>279</v>
      </c>
      <c r="B254" s="3" t="n">
        <v>2</v>
      </c>
      <c r="C254" s="3" t="s">
        <v>261</v>
      </c>
      <c r="D254" s="3" t="n">
        <v>37</v>
      </c>
      <c r="E254" s="3" t="s">
        <v>104</v>
      </c>
      <c r="F254" s="3" t="s">
        <v>105</v>
      </c>
      <c r="G254" s="3" t="s">
        <v>105</v>
      </c>
      <c r="H254" s="3" t="s">
        <v>281</v>
      </c>
    </row>
    <row r="255" customFormat="false" ht="15" hidden="false" customHeight="false" outlineLevel="0" collapsed="false">
      <c r="A255" s="3" t="s">
        <v>279</v>
      </c>
      <c r="B255" s="3" t="n">
        <v>3</v>
      </c>
      <c r="C255" s="3" t="s">
        <v>261</v>
      </c>
      <c r="D255" s="3" t="n">
        <v>36</v>
      </c>
      <c r="E255" s="3" t="s">
        <v>104</v>
      </c>
      <c r="F255" s="3" t="s">
        <v>105</v>
      </c>
      <c r="G255" s="3" t="s">
        <v>105</v>
      </c>
      <c r="H255" s="3" t="s">
        <v>282</v>
      </c>
    </row>
    <row r="256" customFormat="false" ht="15" hidden="false" customHeight="false" outlineLevel="0" collapsed="false">
      <c r="A256" s="3" t="s">
        <v>279</v>
      </c>
      <c r="B256" s="3" t="n">
        <v>4</v>
      </c>
      <c r="C256" s="3" t="s">
        <v>261</v>
      </c>
      <c r="D256" s="3" t="n">
        <v>41</v>
      </c>
      <c r="E256" s="3" t="s">
        <v>104</v>
      </c>
      <c r="F256" s="3" t="s">
        <v>105</v>
      </c>
      <c r="G256" s="3" t="s">
        <v>105</v>
      </c>
      <c r="H256" s="3" t="s">
        <v>283</v>
      </c>
    </row>
    <row r="257" customFormat="false" ht="15" hidden="false" customHeight="false" outlineLevel="0" collapsed="false">
      <c r="A257" s="3" t="s">
        <v>279</v>
      </c>
      <c r="B257" s="3" t="n">
        <v>5</v>
      </c>
      <c r="C257" s="3" t="s">
        <v>261</v>
      </c>
      <c r="D257" s="3" t="n">
        <v>36</v>
      </c>
      <c r="E257" s="3" t="s">
        <v>104</v>
      </c>
      <c r="F257" s="3" t="s">
        <v>105</v>
      </c>
      <c r="G257" s="3" t="s">
        <v>105</v>
      </c>
      <c r="H257" s="3" t="s">
        <v>284</v>
      </c>
    </row>
    <row r="258" customFormat="false" ht="15" hidden="false" customHeight="false" outlineLevel="0" collapsed="false">
      <c r="A258" s="3" t="s">
        <v>279</v>
      </c>
      <c r="B258" s="3" t="n">
        <v>6</v>
      </c>
      <c r="C258" s="3" t="s">
        <v>261</v>
      </c>
      <c r="D258" s="3" t="n">
        <v>43</v>
      </c>
      <c r="E258" s="3" t="s">
        <v>104</v>
      </c>
      <c r="F258" s="3" t="s">
        <v>105</v>
      </c>
      <c r="G258" s="3" t="s">
        <v>105</v>
      </c>
      <c r="H258" s="3" t="s">
        <v>285</v>
      </c>
    </row>
    <row r="259" customFormat="false" ht="15" hidden="false" customHeight="false" outlineLevel="0" collapsed="false">
      <c r="A259" s="3" t="s">
        <v>279</v>
      </c>
      <c r="B259" s="3" t="n">
        <v>6</v>
      </c>
      <c r="C259" s="3" t="s">
        <v>261</v>
      </c>
      <c r="D259" s="3" t="n">
        <v>47</v>
      </c>
      <c r="E259" s="3" t="s">
        <v>109</v>
      </c>
      <c r="F259" s="3" t="s">
        <v>105</v>
      </c>
      <c r="G259" s="3" t="s">
        <v>105</v>
      </c>
      <c r="H259" s="3" t="s">
        <v>285</v>
      </c>
    </row>
    <row r="260" customFormat="false" ht="15" hidden="false" customHeight="false" outlineLevel="0" collapsed="false">
      <c r="A260" s="3" t="s">
        <v>279</v>
      </c>
      <c r="B260" s="3" t="n">
        <v>7</v>
      </c>
      <c r="C260" s="3" t="s">
        <v>261</v>
      </c>
      <c r="D260" s="3" t="n">
        <v>41</v>
      </c>
      <c r="E260" s="3" t="s">
        <v>104</v>
      </c>
      <c r="F260" s="3" t="s">
        <v>105</v>
      </c>
      <c r="G260" s="3" t="s">
        <v>105</v>
      </c>
      <c r="H260" s="3" t="s">
        <v>286</v>
      </c>
    </row>
    <row r="261" customFormat="false" ht="15" hidden="false" customHeight="false" outlineLevel="0" collapsed="false">
      <c r="A261" s="3" t="s">
        <v>279</v>
      </c>
      <c r="B261" s="3" t="n">
        <v>7</v>
      </c>
      <c r="C261" s="3" t="s">
        <v>261</v>
      </c>
      <c r="D261" s="3" t="n">
        <v>8</v>
      </c>
      <c r="E261" s="3" t="s">
        <v>109</v>
      </c>
      <c r="F261" s="3" t="s">
        <v>105</v>
      </c>
      <c r="G261" s="3" t="s">
        <v>105</v>
      </c>
      <c r="H261" s="3" t="s">
        <v>286</v>
      </c>
    </row>
    <row r="262" customFormat="false" ht="15" hidden="false" customHeight="false" outlineLevel="0" collapsed="false">
      <c r="A262" s="3" t="s">
        <v>279</v>
      </c>
      <c r="B262" s="3" t="n">
        <v>8</v>
      </c>
      <c r="C262" s="3" t="s">
        <v>261</v>
      </c>
      <c r="D262" s="3" t="n">
        <v>43</v>
      </c>
      <c r="E262" s="3" t="s">
        <v>104</v>
      </c>
      <c r="F262" s="3" t="s">
        <v>105</v>
      </c>
      <c r="G262" s="3" t="s">
        <v>105</v>
      </c>
      <c r="H262" s="3" t="s">
        <v>287</v>
      </c>
    </row>
    <row r="263" customFormat="false" ht="15" hidden="false" customHeight="false" outlineLevel="0" collapsed="false">
      <c r="A263" s="3" t="s">
        <v>279</v>
      </c>
      <c r="B263" s="3" t="n">
        <v>9</v>
      </c>
      <c r="C263" s="3" t="s">
        <v>261</v>
      </c>
      <c r="D263" s="3" t="n">
        <v>27</v>
      </c>
      <c r="E263" s="3" t="s">
        <v>104</v>
      </c>
      <c r="F263" s="3" t="s">
        <v>105</v>
      </c>
      <c r="G263" s="3" t="s">
        <v>105</v>
      </c>
      <c r="H263" s="3" t="s">
        <v>288</v>
      </c>
    </row>
    <row r="264" customFormat="false" ht="15" hidden="false" customHeight="false" outlineLevel="0" collapsed="false">
      <c r="A264" s="3" t="s">
        <v>279</v>
      </c>
      <c r="B264" s="3" t="n">
        <v>9</v>
      </c>
      <c r="C264" s="3" t="s">
        <v>261</v>
      </c>
      <c r="D264" s="3" t="n">
        <v>24</v>
      </c>
      <c r="E264" s="3" t="s">
        <v>109</v>
      </c>
      <c r="F264" s="3" t="s">
        <v>105</v>
      </c>
      <c r="G264" s="3" t="s">
        <v>105</v>
      </c>
      <c r="H264" s="3" t="s">
        <v>288</v>
      </c>
    </row>
    <row r="265" customFormat="false" ht="15" hidden="false" customHeight="false" outlineLevel="0" collapsed="false">
      <c r="A265" s="3" t="s">
        <v>279</v>
      </c>
      <c r="B265" s="3" t="n">
        <v>10</v>
      </c>
      <c r="C265" s="3" t="s">
        <v>261</v>
      </c>
      <c r="D265" s="3" t="n">
        <v>26</v>
      </c>
      <c r="E265" s="3" t="s">
        <v>104</v>
      </c>
      <c r="F265" s="3" t="s">
        <v>105</v>
      </c>
      <c r="G265" s="3" t="s">
        <v>105</v>
      </c>
      <c r="H265" s="3" t="s">
        <v>289</v>
      </c>
    </row>
    <row r="266" customFormat="false" ht="15" hidden="false" customHeight="false" outlineLevel="0" collapsed="false">
      <c r="A266" s="3" t="s">
        <v>279</v>
      </c>
      <c r="B266" s="3" t="n">
        <v>10</v>
      </c>
      <c r="C266" s="3" t="s">
        <v>261</v>
      </c>
      <c r="D266" s="3" t="n">
        <v>14</v>
      </c>
      <c r="E266" s="3" t="s">
        <v>109</v>
      </c>
      <c r="F266" s="3" t="s">
        <v>105</v>
      </c>
      <c r="G266" s="3" t="s">
        <v>105</v>
      </c>
      <c r="H266" s="3" t="s">
        <v>289</v>
      </c>
    </row>
    <row r="267" customFormat="false" ht="15" hidden="false" customHeight="false" outlineLevel="0" collapsed="false">
      <c r="A267" s="3" t="s">
        <v>279</v>
      </c>
      <c r="B267" s="3" t="n">
        <v>10</v>
      </c>
      <c r="C267" s="3" t="s">
        <v>261</v>
      </c>
      <c r="D267" s="3" t="n">
        <v>38</v>
      </c>
      <c r="E267" s="3" t="s">
        <v>109</v>
      </c>
      <c r="F267" s="3" t="s">
        <v>105</v>
      </c>
      <c r="G267" s="3" t="s">
        <v>105</v>
      </c>
      <c r="H267" s="3" t="s">
        <v>289</v>
      </c>
    </row>
    <row r="268" customFormat="false" ht="15" hidden="false" customHeight="false" outlineLevel="0" collapsed="false">
      <c r="A268" s="3" t="s">
        <v>279</v>
      </c>
      <c r="B268" s="3" t="n">
        <v>14</v>
      </c>
      <c r="C268" s="3" t="s">
        <v>261</v>
      </c>
      <c r="D268" s="3" t="n">
        <v>34</v>
      </c>
      <c r="E268" s="3" t="s">
        <v>104</v>
      </c>
      <c r="F268" s="3" t="s">
        <v>105</v>
      </c>
      <c r="G268" s="3" t="s">
        <v>105</v>
      </c>
      <c r="H268" s="3" t="s">
        <v>290</v>
      </c>
    </row>
    <row r="269" customFormat="false" ht="15" hidden="false" customHeight="false" outlineLevel="0" collapsed="false">
      <c r="A269" s="3" t="s">
        <v>279</v>
      </c>
      <c r="B269" s="3" t="n">
        <v>15</v>
      </c>
      <c r="C269" s="3" t="s">
        <v>261</v>
      </c>
      <c r="D269" s="3" t="n">
        <v>34</v>
      </c>
      <c r="E269" s="3" t="s">
        <v>104</v>
      </c>
      <c r="F269" s="3" t="s">
        <v>105</v>
      </c>
      <c r="G269" s="3" t="s">
        <v>105</v>
      </c>
      <c r="H269" s="3" t="s">
        <v>291</v>
      </c>
    </row>
    <row r="270" customFormat="false" ht="15" hidden="false" customHeight="false" outlineLevel="0" collapsed="false">
      <c r="A270" s="3" t="s">
        <v>292</v>
      </c>
      <c r="B270" s="3" t="n">
        <v>1</v>
      </c>
      <c r="C270" s="3" t="s">
        <v>261</v>
      </c>
      <c r="D270" s="3" t="n">
        <v>53</v>
      </c>
      <c r="E270" s="3" t="s">
        <v>104</v>
      </c>
      <c r="F270" s="3" t="s">
        <v>105</v>
      </c>
      <c r="G270" s="3" t="s">
        <v>105</v>
      </c>
      <c r="H270" s="3" t="s">
        <v>293</v>
      </c>
    </row>
    <row r="271" customFormat="false" ht="15" hidden="false" customHeight="false" outlineLevel="0" collapsed="false">
      <c r="A271" s="3" t="s">
        <v>292</v>
      </c>
      <c r="B271" s="3" t="n">
        <v>2</v>
      </c>
      <c r="C271" s="3" t="s">
        <v>261</v>
      </c>
      <c r="D271" s="3" t="n">
        <v>38</v>
      </c>
      <c r="E271" s="3" t="s">
        <v>104</v>
      </c>
      <c r="F271" s="3" t="s">
        <v>105</v>
      </c>
      <c r="G271" s="3" t="s">
        <v>105</v>
      </c>
      <c r="H271" s="3" t="s">
        <v>294</v>
      </c>
    </row>
    <row r="272" customFormat="false" ht="15" hidden="false" customHeight="false" outlineLevel="0" collapsed="false">
      <c r="A272" s="3" t="s">
        <v>292</v>
      </c>
      <c r="B272" s="3" t="n">
        <v>3</v>
      </c>
      <c r="C272" s="3" t="s">
        <v>261</v>
      </c>
      <c r="D272" s="3" t="n">
        <v>43</v>
      </c>
      <c r="E272" s="3" t="s">
        <v>104</v>
      </c>
      <c r="F272" s="3" t="s">
        <v>105</v>
      </c>
      <c r="G272" s="3" t="s">
        <v>105</v>
      </c>
      <c r="H272" s="3" t="s">
        <v>295</v>
      </c>
    </row>
    <row r="273" customFormat="false" ht="15" hidden="false" customHeight="false" outlineLevel="0" collapsed="false">
      <c r="A273" s="3" t="s">
        <v>292</v>
      </c>
      <c r="B273" s="3" t="n">
        <v>4</v>
      </c>
      <c r="C273" s="3" t="s">
        <v>261</v>
      </c>
      <c r="D273" s="3" t="n">
        <v>34</v>
      </c>
      <c r="E273" s="3" t="s">
        <v>104</v>
      </c>
      <c r="F273" s="3" t="s">
        <v>105</v>
      </c>
      <c r="G273" s="3" t="s">
        <v>105</v>
      </c>
      <c r="H273" s="3" t="s">
        <v>296</v>
      </c>
    </row>
    <row r="274" customFormat="false" ht="15" hidden="false" customHeight="false" outlineLevel="0" collapsed="false">
      <c r="A274" s="3" t="s">
        <v>292</v>
      </c>
      <c r="B274" s="3" t="n">
        <v>5</v>
      </c>
      <c r="C274" s="3" t="s">
        <v>261</v>
      </c>
      <c r="D274" s="3" t="n">
        <v>43</v>
      </c>
      <c r="E274" s="3" t="s">
        <v>104</v>
      </c>
      <c r="F274" s="3" t="s">
        <v>105</v>
      </c>
      <c r="G274" s="3" t="s">
        <v>105</v>
      </c>
      <c r="H274" s="3" t="s">
        <v>297</v>
      </c>
    </row>
    <row r="275" customFormat="false" ht="15" hidden="false" customHeight="false" outlineLevel="0" collapsed="false">
      <c r="A275" s="3" t="s">
        <v>292</v>
      </c>
      <c r="B275" s="3" t="n">
        <v>6</v>
      </c>
      <c r="C275" s="3" t="s">
        <v>261</v>
      </c>
      <c r="D275" s="3" t="n">
        <v>53</v>
      </c>
      <c r="E275" s="3" t="s">
        <v>104</v>
      </c>
      <c r="F275" s="3" t="s">
        <v>105</v>
      </c>
      <c r="G275" s="3" t="s">
        <v>105</v>
      </c>
      <c r="H275" s="3" t="s">
        <v>298</v>
      </c>
    </row>
    <row r="276" customFormat="false" ht="15" hidden="false" customHeight="false" outlineLevel="0" collapsed="false">
      <c r="A276" s="3" t="s">
        <v>292</v>
      </c>
      <c r="B276" s="3" t="n">
        <v>7</v>
      </c>
      <c r="C276" s="3" t="s">
        <v>261</v>
      </c>
      <c r="D276" s="3" t="n">
        <v>64</v>
      </c>
      <c r="E276" s="3" t="s">
        <v>104</v>
      </c>
      <c r="F276" s="3" t="s">
        <v>105</v>
      </c>
      <c r="G276" s="3" t="s">
        <v>105</v>
      </c>
      <c r="H276" s="3" t="s">
        <v>299</v>
      </c>
    </row>
    <row r="277" customFormat="false" ht="15" hidden="false" customHeight="false" outlineLevel="0" collapsed="false">
      <c r="A277" s="3" t="s">
        <v>292</v>
      </c>
      <c r="B277" s="3" t="n">
        <v>8</v>
      </c>
      <c r="C277" s="3" t="s">
        <v>261</v>
      </c>
      <c r="D277" s="3" t="n">
        <v>36</v>
      </c>
      <c r="E277" s="3" t="s">
        <v>104</v>
      </c>
      <c r="F277" s="3" t="s">
        <v>105</v>
      </c>
      <c r="G277" s="3" t="s">
        <v>105</v>
      </c>
      <c r="H277" s="3" t="s">
        <v>300</v>
      </c>
    </row>
    <row r="278" customFormat="false" ht="15" hidden="false" customHeight="false" outlineLevel="0" collapsed="false">
      <c r="A278" s="3" t="s">
        <v>292</v>
      </c>
      <c r="B278" s="3" t="n">
        <v>9</v>
      </c>
      <c r="C278" s="3" t="s">
        <v>261</v>
      </c>
      <c r="D278" s="3" t="n">
        <v>45</v>
      </c>
      <c r="E278" s="3" t="s">
        <v>104</v>
      </c>
      <c r="F278" s="3" t="s">
        <v>105</v>
      </c>
      <c r="G278" s="3" t="s">
        <v>105</v>
      </c>
      <c r="H278" s="3" t="s">
        <v>301</v>
      </c>
    </row>
    <row r="279" customFormat="false" ht="15" hidden="false" customHeight="false" outlineLevel="0" collapsed="false">
      <c r="A279" s="3" t="s">
        <v>292</v>
      </c>
      <c r="B279" s="3" t="n">
        <v>10</v>
      </c>
      <c r="C279" s="3" t="s">
        <v>261</v>
      </c>
      <c r="D279" s="3" t="n">
        <v>67</v>
      </c>
      <c r="E279" s="3" t="s">
        <v>104</v>
      </c>
      <c r="F279" s="3" t="s">
        <v>105</v>
      </c>
      <c r="G279" s="3" t="s">
        <v>105</v>
      </c>
      <c r="H279" s="3" t="s">
        <v>302</v>
      </c>
    </row>
    <row r="280" customFormat="false" ht="15" hidden="false" customHeight="false" outlineLevel="0" collapsed="false">
      <c r="A280" s="3" t="s">
        <v>292</v>
      </c>
      <c r="B280" s="3" t="n">
        <v>10</v>
      </c>
      <c r="C280" s="3" t="s">
        <v>261</v>
      </c>
      <c r="D280" s="3" t="n">
        <v>68</v>
      </c>
      <c r="E280" s="3" t="s">
        <v>109</v>
      </c>
      <c r="F280" s="3" t="s">
        <v>105</v>
      </c>
      <c r="G280" s="3" t="s">
        <v>105</v>
      </c>
      <c r="H280" s="3" t="s">
        <v>302</v>
      </c>
    </row>
    <row r="281" customFormat="false" ht="15" hidden="false" customHeight="false" outlineLevel="0" collapsed="false">
      <c r="A281" s="3" t="s">
        <v>292</v>
      </c>
      <c r="B281" s="3" t="n">
        <v>11</v>
      </c>
      <c r="C281" s="3" t="s">
        <v>261</v>
      </c>
      <c r="D281" s="3" t="n">
        <v>14</v>
      </c>
      <c r="E281" s="3" t="s">
        <v>104</v>
      </c>
      <c r="F281" s="3" t="s">
        <v>105</v>
      </c>
      <c r="G281" s="3" t="s">
        <v>105</v>
      </c>
      <c r="H281" s="3" t="s">
        <v>303</v>
      </c>
    </row>
    <row r="282" customFormat="false" ht="15" hidden="false" customHeight="false" outlineLevel="0" collapsed="false">
      <c r="A282" s="3" t="s">
        <v>292</v>
      </c>
      <c r="B282" s="3" t="n">
        <v>11</v>
      </c>
      <c r="C282" s="3" t="s">
        <v>261</v>
      </c>
      <c r="D282" s="3" t="n">
        <v>67</v>
      </c>
      <c r="E282" s="3" t="s">
        <v>109</v>
      </c>
      <c r="F282" s="3" t="s">
        <v>105</v>
      </c>
      <c r="G282" s="3" t="s">
        <v>105</v>
      </c>
      <c r="H282" s="3" t="s">
        <v>303</v>
      </c>
    </row>
    <row r="283" customFormat="false" ht="15" hidden="false" customHeight="false" outlineLevel="0" collapsed="false">
      <c r="A283" s="3" t="s">
        <v>292</v>
      </c>
      <c r="B283" s="3" t="n">
        <v>12</v>
      </c>
      <c r="C283" s="3" t="s">
        <v>261</v>
      </c>
      <c r="D283" s="3" t="n">
        <v>64</v>
      </c>
      <c r="E283" s="3" t="s">
        <v>104</v>
      </c>
      <c r="F283" s="3" t="s">
        <v>105</v>
      </c>
      <c r="G283" s="3" t="s">
        <v>105</v>
      </c>
      <c r="H283" s="3" t="s">
        <v>304</v>
      </c>
    </row>
    <row r="284" customFormat="false" ht="15" hidden="false" customHeight="false" outlineLevel="0" collapsed="false">
      <c r="A284" s="3" t="s">
        <v>292</v>
      </c>
      <c r="B284" s="3" t="n">
        <v>12</v>
      </c>
      <c r="C284" s="3" t="s">
        <v>261</v>
      </c>
      <c r="D284" s="3" t="n">
        <v>67</v>
      </c>
      <c r="E284" s="3" t="s">
        <v>109</v>
      </c>
      <c r="F284" s="3" t="s">
        <v>105</v>
      </c>
      <c r="G284" s="3" t="s">
        <v>105</v>
      </c>
      <c r="H284" s="3" t="s">
        <v>304</v>
      </c>
    </row>
    <row r="285" customFormat="false" ht="15" hidden="false" customHeight="false" outlineLevel="0" collapsed="false">
      <c r="A285" s="3" t="s">
        <v>292</v>
      </c>
      <c r="B285" s="3" t="n">
        <v>13</v>
      </c>
      <c r="C285" s="3" t="s">
        <v>261</v>
      </c>
      <c r="D285" s="3" t="n">
        <v>19</v>
      </c>
      <c r="E285" s="3" t="s">
        <v>104</v>
      </c>
      <c r="F285" s="3" t="s">
        <v>105</v>
      </c>
      <c r="G285" s="3" t="s">
        <v>105</v>
      </c>
      <c r="H285" s="3" t="s">
        <v>305</v>
      </c>
    </row>
    <row r="286" customFormat="false" ht="15" hidden="false" customHeight="false" outlineLevel="0" collapsed="false">
      <c r="A286" s="3" t="s">
        <v>292</v>
      </c>
      <c r="B286" s="3" t="n">
        <v>13</v>
      </c>
      <c r="C286" s="3" t="s">
        <v>261</v>
      </c>
      <c r="D286" s="3" t="n">
        <v>27</v>
      </c>
      <c r="E286" s="3" t="s">
        <v>109</v>
      </c>
      <c r="F286" s="3" t="s">
        <v>105</v>
      </c>
      <c r="G286" s="3" t="s">
        <v>105</v>
      </c>
      <c r="H286" s="3" t="s">
        <v>305</v>
      </c>
    </row>
    <row r="287" customFormat="false" ht="15" hidden="false" customHeight="false" outlineLevel="0" collapsed="false">
      <c r="A287" s="3" t="s">
        <v>292</v>
      </c>
      <c r="B287" s="3" t="n">
        <v>14</v>
      </c>
      <c r="C287" s="3" t="s">
        <v>261</v>
      </c>
      <c r="D287" s="3" t="n">
        <v>37</v>
      </c>
      <c r="E287" s="3" t="s">
        <v>104</v>
      </c>
      <c r="F287" s="3" t="s">
        <v>105</v>
      </c>
      <c r="G287" s="3" t="s">
        <v>105</v>
      </c>
      <c r="H287" s="3" t="s">
        <v>306</v>
      </c>
    </row>
    <row r="288" customFormat="false" ht="15" hidden="false" customHeight="false" outlineLevel="0" collapsed="false">
      <c r="A288" s="3" t="s">
        <v>292</v>
      </c>
      <c r="B288" s="3" t="n">
        <v>15</v>
      </c>
      <c r="C288" s="3" t="s">
        <v>261</v>
      </c>
      <c r="D288" s="3" t="n">
        <v>65</v>
      </c>
      <c r="E288" s="3" t="s">
        <v>104</v>
      </c>
      <c r="F288" s="3" t="s">
        <v>105</v>
      </c>
      <c r="G288" s="3" t="s">
        <v>105</v>
      </c>
      <c r="H288" s="3" t="s">
        <v>307</v>
      </c>
    </row>
    <row r="289" customFormat="false" ht="15" hidden="false" customHeight="false" outlineLevel="0" collapsed="false">
      <c r="A289" s="3" t="s">
        <v>292</v>
      </c>
      <c r="B289" s="3" t="n">
        <v>16</v>
      </c>
      <c r="C289" s="3" t="s">
        <v>261</v>
      </c>
      <c r="D289" s="3" t="n">
        <v>68</v>
      </c>
      <c r="E289" s="3" t="s">
        <v>104</v>
      </c>
      <c r="F289" s="3" t="s">
        <v>105</v>
      </c>
      <c r="G289" s="3" t="s">
        <v>105</v>
      </c>
      <c r="H289" s="3" t="s">
        <v>308</v>
      </c>
    </row>
    <row r="290" customFormat="false" ht="15" hidden="false" customHeight="false" outlineLevel="0" collapsed="false">
      <c r="A290" s="3" t="s">
        <v>309</v>
      </c>
      <c r="B290" s="3" t="n">
        <v>1</v>
      </c>
      <c r="C290" s="3" t="s">
        <v>261</v>
      </c>
      <c r="D290" s="3" t="n">
        <v>26</v>
      </c>
      <c r="E290" s="3" t="s">
        <v>104</v>
      </c>
      <c r="F290" s="3" t="s">
        <v>105</v>
      </c>
      <c r="G290" s="3" t="s">
        <v>105</v>
      </c>
      <c r="H290" s="3" t="s">
        <v>310</v>
      </c>
    </row>
    <row r="291" customFormat="false" ht="15" hidden="false" customHeight="false" outlineLevel="0" collapsed="false">
      <c r="A291" s="3" t="s">
        <v>309</v>
      </c>
      <c r="B291" s="3" t="n">
        <v>4</v>
      </c>
      <c r="C291" s="3" t="s">
        <v>261</v>
      </c>
      <c r="D291" s="3" t="n">
        <v>6</v>
      </c>
      <c r="E291" s="3" t="s">
        <v>104</v>
      </c>
      <c r="F291" s="3" t="s">
        <v>105</v>
      </c>
      <c r="G291" s="3" t="s">
        <v>105</v>
      </c>
      <c r="H291" s="3" t="s">
        <v>311</v>
      </c>
    </row>
    <row r="292" customFormat="false" ht="15" hidden="false" customHeight="false" outlineLevel="0" collapsed="false">
      <c r="A292" s="3" t="s">
        <v>309</v>
      </c>
      <c r="B292" s="3" t="n">
        <v>5</v>
      </c>
      <c r="C292" s="3" t="s">
        <v>261</v>
      </c>
      <c r="D292" s="3" t="n">
        <v>20</v>
      </c>
      <c r="E292" s="3" t="s">
        <v>104</v>
      </c>
      <c r="F292" s="3" t="s">
        <v>105</v>
      </c>
      <c r="G292" s="3" t="s">
        <v>105</v>
      </c>
      <c r="H292" s="3" t="s">
        <v>312</v>
      </c>
    </row>
    <row r="293" customFormat="false" ht="15" hidden="false" customHeight="false" outlineLevel="0" collapsed="false">
      <c r="A293" s="3" t="s">
        <v>309</v>
      </c>
      <c r="B293" s="3" t="n">
        <v>7</v>
      </c>
      <c r="C293" s="3" t="s">
        <v>261</v>
      </c>
      <c r="D293" s="3" t="n">
        <v>3</v>
      </c>
      <c r="E293" s="3" t="s">
        <v>104</v>
      </c>
      <c r="F293" s="3" t="s">
        <v>105</v>
      </c>
      <c r="G293" s="3" t="s">
        <v>105</v>
      </c>
      <c r="H293" s="3" t="s">
        <v>313</v>
      </c>
    </row>
    <row r="294" customFormat="false" ht="15" hidden="false" customHeight="false" outlineLevel="0" collapsed="false">
      <c r="A294" s="3" t="s">
        <v>309</v>
      </c>
      <c r="B294" s="3" t="n">
        <v>15</v>
      </c>
      <c r="C294" s="3" t="s">
        <v>261</v>
      </c>
      <c r="D294" s="3" t="n">
        <v>20</v>
      </c>
      <c r="E294" s="3" t="s">
        <v>104</v>
      </c>
      <c r="F294" s="3" t="s">
        <v>105</v>
      </c>
      <c r="G294" s="3" t="s">
        <v>105</v>
      </c>
      <c r="H294" s="3" t="s">
        <v>314</v>
      </c>
    </row>
    <row r="295" customFormat="false" ht="15" hidden="false" customHeight="false" outlineLevel="0" collapsed="false">
      <c r="A295" s="3" t="s">
        <v>309</v>
      </c>
      <c r="B295" s="3" t="n">
        <v>15</v>
      </c>
      <c r="C295" s="3" t="s">
        <v>261</v>
      </c>
      <c r="D295" s="3" t="n">
        <v>19</v>
      </c>
      <c r="E295" s="3" t="s">
        <v>109</v>
      </c>
      <c r="F295" s="3" t="s">
        <v>105</v>
      </c>
      <c r="G295" s="3" t="s">
        <v>105</v>
      </c>
      <c r="H295" s="3" t="s">
        <v>314</v>
      </c>
    </row>
    <row r="296" customFormat="false" ht="15" hidden="false" customHeight="false" outlineLevel="0" collapsed="false">
      <c r="A296" s="3" t="s">
        <v>315</v>
      </c>
      <c r="B296" s="3" t="n">
        <v>3</v>
      </c>
      <c r="C296" s="3" t="s">
        <v>261</v>
      </c>
      <c r="D296" s="3" t="n">
        <v>38</v>
      </c>
      <c r="E296" s="3" t="s">
        <v>104</v>
      </c>
      <c r="F296" s="3" t="s">
        <v>105</v>
      </c>
      <c r="G296" s="3" t="s">
        <v>105</v>
      </c>
      <c r="H296" s="3" t="s">
        <v>316</v>
      </c>
    </row>
    <row r="297" customFormat="false" ht="15" hidden="false" customHeight="false" outlineLevel="0" collapsed="false">
      <c r="A297" s="3" t="s">
        <v>315</v>
      </c>
      <c r="B297" s="3" t="n">
        <v>3</v>
      </c>
      <c r="C297" s="3" t="s">
        <v>261</v>
      </c>
      <c r="D297" s="3" t="n">
        <v>6</v>
      </c>
      <c r="E297" s="3" t="s">
        <v>109</v>
      </c>
      <c r="F297" s="3" t="s">
        <v>105</v>
      </c>
      <c r="G297" s="3" t="s">
        <v>105</v>
      </c>
      <c r="H297" s="3" t="s">
        <v>316</v>
      </c>
    </row>
    <row r="298" customFormat="false" ht="15" hidden="false" customHeight="false" outlineLevel="0" collapsed="false">
      <c r="A298" s="3" t="s">
        <v>315</v>
      </c>
      <c r="B298" s="3" t="n">
        <v>11</v>
      </c>
      <c r="C298" s="3" t="s">
        <v>261</v>
      </c>
      <c r="D298" s="3" t="n">
        <v>48</v>
      </c>
      <c r="E298" s="3" t="s">
        <v>104</v>
      </c>
      <c r="F298" s="3" t="s">
        <v>105</v>
      </c>
      <c r="G298" s="3" t="s">
        <v>105</v>
      </c>
      <c r="H298" s="3" t="s">
        <v>317</v>
      </c>
    </row>
    <row r="299" customFormat="false" ht="15" hidden="false" customHeight="false" outlineLevel="0" collapsed="false">
      <c r="A299" s="3" t="s">
        <v>315</v>
      </c>
      <c r="B299" s="3" t="n">
        <v>16</v>
      </c>
      <c r="C299" s="3" t="s">
        <v>261</v>
      </c>
      <c r="D299" s="3" t="n">
        <v>41</v>
      </c>
      <c r="E299" s="3" t="s">
        <v>104</v>
      </c>
      <c r="F299" s="3" t="s">
        <v>105</v>
      </c>
      <c r="G299" s="3" t="s">
        <v>105</v>
      </c>
      <c r="H299" s="3" t="s">
        <v>318</v>
      </c>
    </row>
    <row r="300" customFormat="false" ht="15" hidden="false" customHeight="false" outlineLevel="0" collapsed="false">
      <c r="A300" s="3" t="s">
        <v>315</v>
      </c>
      <c r="B300" s="3" t="n">
        <v>16</v>
      </c>
      <c r="C300" s="3" t="s">
        <v>261</v>
      </c>
      <c r="D300" s="3" t="n">
        <v>8</v>
      </c>
      <c r="E300" s="3" t="s">
        <v>109</v>
      </c>
      <c r="F300" s="3" t="s">
        <v>105</v>
      </c>
      <c r="G300" s="3" t="s">
        <v>105</v>
      </c>
      <c r="H300" s="3" t="s">
        <v>318</v>
      </c>
    </row>
    <row r="301" customFormat="false" ht="15" hidden="false" customHeight="false" outlineLevel="0" collapsed="false">
      <c r="A301" s="3" t="s">
        <v>315</v>
      </c>
      <c r="B301" s="3" t="n">
        <v>17</v>
      </c>
      <c r="C301" s="3" t="s">
        <v>261</v>
      </c>
      <c r="D301" s="3" t="n">
        <v>8</v>
      </c>
      <c r="E301" s="3" t="s">
        <v>104</v>
      </c>
      <c r="F301" s="3" t="s">
        <v>105</v>
      </c>
      <c r="G301" s="3" t="s">
        <v>105</v>
      </c>
      <c r="H301" s="3" t="s">
        <v>319</v>
      </c>
    </row>
    <row r="302" customFormat="false" ht="15" hidden="false" customHeight="false" outlineLevel="0" collapsed="false">
      <c r="A302" s="3" t="s">
        <v>315</v>
      </c>
      <c r="B302" s="3" t="n">
        <v>18</v>
      </c>
      <c r="C302" s="3" t="s">
        <v>261</v>
      </c>
      <c r="D302" s="3" t="n">
        <v>20</v>
      </c>
      <c r="E302" s="3" t="s">
        <v>104</v>
      </c>
      <c r="F302" s="3" t="s">
        <v>105</v>
      </c>
      <c r="G302" s="3" t="s">
        <v>105</v>
      </c>
      <c r="H302" s="3" t="s">
        <v>320</v>
      </c>
    </row>
    <row r="303" customFormat="false" ht="15" hidden="false" customHeight="false" outlineLevel="0" collapsed="false">
      <c r="A303" s="3" t="s">
        <v>315</v>
      </c>
      <c r="B303" s="3" t="n">
        <v>18</v>
      </c>
      <c r="C303" s="3" t="s">
        <v>261</v>
      </c>
      <c r="D303" s="3" t="n">
        <v>6</v>
      </c>
      <c r="E303" s="3" t="s">
        <v>109</v>
      </c>
      <c r="F303" s="3" t="s">
        <v>105</v>
      </c>
      <c r="G303" s="3" t="s">
        <v>105</v>
      </c>
      <c r="H303" s="3" t="s">
        <v>320</v>
      </c>
    </row>
    <row r="304" customFormat="false" ht="15" hidden="false" customHeight="false" outlineLevel="0" collapsed="false">
      <c r="A304" s="3" t="s">
        <v>321</v>
      </c>
      <c r="B304" s="3" t="n">
        <v>2</v>
      </c>
      <c r="C304" s="3" t="s">
        <v>261</v>
      </c>
      <c r="D304" s="3" t="n">
        <v>47</v>
      </c>
      <c r="E304" s="3" t="s">
        <v>104</v>
      </c>
      <c r="F304" s="3" t="s">
        <v>105</v>
      </c>
      <c r="G304" s="3" t="s">
        <v>105</v>
      </c>
      <c r="H304" s="3" t="s">
        <v>322</v>
      </c>
    </row>
    <row r="305" customFormat="false" ht="15" hidden="false" customHeight="false" outlineLevel="0" collapsed="false">
      <c r="A305" s="3" t="s">
        <v>321</v>
      </c>
      <c r="B305" s="3" t="n">
        <v>2</v>
      </c>
      <c r="C305" s="3" t="s">
        <v>261</v>
      </c>
      <c r="D305" s="3" t="n">
        <v>15</v>
      </c>
      <c r="E305" s="3" t="s">
        <v>109</v>
      </c>
      <c r="F305" s="3" t="s">
        <v>105</v>
      </c>
      <c r="G305" s="3" t="s">
        <v>105</v>
      </c>
      <c r="H305" s="3" t="s">
        <v>322</v>
      </c>
    </row>
    <row r="306" customFormat="false" ht="15" hidden="false" customHeight="false" outlineLevel="0" collapsed="false">
      <c r="A306" s="3" t="s">
        <v>323</v>
      </c>
      <c r="B306" s="3" t="n">
        <v>92</v>
      </c>
      <c r="C306" s="3" t="s">
        <v>324</v>
      </c>
      <c r="D306" s="3" t="n">
        <v>10</v>
      </c>
      <c r="E306" s="3" t="s">
        <v>104</v>
      </c>
      <c r="F306" s="3" t="s">
        <v>159</v>
      </c>
      <c r="G306" s="3" t="s">
        <v>159</v>
      </c>
      <c r="H306" s="3" t="s">
        <v>325</v>
      </c>
    </row>
    <row r="307" customFormat="false" ht="15" hidden="false" customHeight="false" outlineLevel="0" collapsed="false">
      <c r="A307" s="3" t="s">
        <v>323</v>
      </c>
      <c r="B307" s="3" t="n">
        <v>93</v>
      </c>
      <c r="C307" s="3" t="s">
        <v>324</v>
      </c>
      <c r="D307" s="3" t="n">
        <v>52</v>
      </c>
      <c r="E307" s="3" t="s">
        <v>104</v>
      </c>
      <c r="F307" s="3" t="s">
        <v>159</v>
      </c>
      <c r="G307" s="3" t="s">
        <v>159</v>
      </c>
      <c r="H307" s="3" t="s">
        <v>326</v>
      </c>
    </row>
    <row r="308" customFormat="false" ht="15" hidden="false" customHeight="false" outlineLevel="0" collapsed="false">
      <c r="A308" s="3" t="s">
        <v>323</v>
      </c>
      <c r="B308" s="3" t="n">
        <v>94</v>
      </c>
      <c r="C308" s="3" t="s">
        <v>324</v>
      </c>
      <c r="D308" s="3" t="n">
        <v>14</v>
      </c>
      <c r="E308" s="3" t="s">
        <v>104</v>
      </c>
      <c r="F308" s="3" t="s">
        <v>159</v>
      </c>
      <c r="G308" s="3" t="s">
        <v>159</v>
      </c>
      <c r="H308" s="3" t="s">
        <v>327</v>
      </c>
    </row>
    <row r="309" customFormat="false" ht="15" hidden="false" customHeight="false" outlineLevel="0" collapsed="false">
      <c r="A309" s="3" t="s">
        <v>323</v>
      </c>
      <c r="B309" s="3" t="n">
        <v>94</v>
      </c>
      <c r="C309" s="3" t="s">
        <v>324</v>
      </c>
      <c r="D309" s="3" t="n">
        <v>20</v>
      </c>
      <c r="E309" s="3" t="s">
        <v>109</v>
      </c>
      <c r="F309" s="3" t="s">
        <v>159</v>
      </c>
      <c r="G309" s="3" t="s">
        <v>159</v>
      </c>
      <c r="H309" s="3" t="s">
        <v>327</v>
      </c>
    </row>
    <row r="310" customFormat="false" ht="15" hidden="false" customHeight="false" outlineLevel="0" collapsed="false">
      <c r="A310" s="3" t="s">
        <v>323</v>
      </c>
      <c r="B310" s="3" t="n">
        <v>95</v>
      </c>
      <c r="C310" s="3" t="s">
        <v>324</v>
      </c>
      <c r="D310" s="3" t="n">
        <v>27</v>
      </c>
      <c r="E310" s="3" t="s">
        <v>104</v>
      </c>
      <c r="F310" s="3" t="s">
        <v>159</v>
      </c>
      <c r="G310" s="3" t="s">
        <v>159</v>
      </c>
      <c r="H310" s="3" t="s">
        <v>328</v>
      </c>
    </row>
    <row r="311" customFormat="false" ht="15" hidden="false" customHeight="false" outlineLevel="0" collapsed="false">
      <c r="A311" s="3" t="s">
        <v>323</v>
      </c>
      <c r="B311" s="3" t="n">
        <v>95</v>
      </c>
      <c r="C311" s="3" t="s">
        <v>324</v>
      </c>
      <c r="D311" s="3" t="n">
        <v>8</v>
      </c>
      <c r="E311" s="3" t="s">
        <v>109</v>
      </c>
      <c r="F311" s="3" t="s">
        <v>159</v>
      </c>
      <c r="G311" s="3" t="s">
        <v>159</v>
      </c>
      <c r="H311" s="3" t="s">
        <v>328</v>
      </c>
    </row>
    <row r="312" customFormat="false" ht="15" hidden="false" customHeight="false" outlineLevel="0" collapsed="false">
      <c r="A312" s="3" t="s">
        <v>323</v>
      </c>
      <c r="B312" s="3" t="n">
        <v>96</v>
      </c>
      <c r="C312" s="3" t="s">
        <v>324</v>
      </c>
      <c r="D312" s="3" t="n">
        <v>36</v>
      </c>
      <c r="E312" s="3" t="s">
        <v>104</v>
      </c>
      <c r="F312" s="3" t="s">
        <v>159</v>
      </c>
      <c r="G312" s="3" t="s">
        <v>159</v>
      </c>
      <c r="H312" s="3" t="s">
        <v>329</v>
      </c>
    </row>
    <row r="313" customFormat="false" ht="15" hidden="false" customHeight="false" outlineLevel="0" collapsed="false">
      <c r="A313" s="3" t="s">
        <v>323</v>
      </c>
      <c r="B313" s="3" t="n">
        <v>96</v>
      </c>
      <c r="C313" s="3" t="s">
        <v>324</v>
      </c>
      <c r="D313" s="3" t="n">
        <v>45</v>
      </c>
      <c r="E313" s="3" t="s">
        <v>109</v>
      </c>
      <c r="F313" s="3" t="s">
        <v>159</v>
      </c>
      <c r="G313" s="3" t="s">
        <v>159</v>
      </c>
      <c r="H313" s="3" t="s">
        <v>329</v>
      </c>
    </row>
    <row r="314" customFormat="false" ht="15" hidden="false" customHeight="false" outlineLevel="0" collapsed="false">
      <c r="A314" s="3" t="s">
        <v>323</v>
      </c>
      <c r="B314" s="3" t="n">
        <v>97</v>
      </c>
      <c r="C314" s="3" t="s">
        <v>324</v>
      </c>
      <c r="D314" s="3" t="n">
        <v>8</v>
      </c>
      <c r="E314" s="3" t="s">
        <v>104</v>
      </c>
      <c r="F314" s="3" t="s">
        <v>159</v>
      </c>
      <c r="G314" s="3" t="s">
        <v>159</v>
      </c>
      <c r="H314" s="3" t="s">
        <v>330</v>
      </c>
    </row>
    <row r="315" customFormat="false" ht="15" hidden="false" customHeight="false" outlineLevel="0" collapsed="false">
      <c r="A315" s="3" t="s">
        <v>323</v>
      </c>
      <c r="B315" s="3" t="n">
        <v>97</v>
      </c>
      <c r="C315" s="3" t="s">
        <v>324</v>
      </c>
      <c r="D315" s="3" t="n">
        <v>6</v>
      </c>
      <c r="E315" s="3" t="s">
        <v>109</v>
      </c>
      <c r="F315" s="3" t="s">
        <v>159</v>
      </c>
      <c r="G315" s="3" t="s">
        <v>159</v>
      </c>
      <c r="H315" s="3" t="s">
        <v>330</v>
      </c>
    </row>
    <row r="316" customFormat="false" ht="15" hidden="false" customHeight="false" outlineLevel="0" collapsed="false">
      <c r="A316" s="3" t="s">
        <v>323</v>
      </c>
      <c r="B316" s="3" t="n">
        <v>98</v>
      </c>
      <c r="C316" s="3" t="s">
        <v>324</v>
      </c>
      <c r="D316" s="3" t="n">
        <v>6</v>
      </c>
      <c r="E316" s="3" t="s">
        <v>104</v>
      </c>
      <c r="F316" s="3" t="s">
        <v>159</v>
      </c>
      <c r="G316" s="3" t="s">
        <v>159</v>
      </c>
      <c r="H316" s="3" t="s">
        <v>331</v>
      </c>
    </row>
    <row r="317" customFormat="false" ht="15" hidden="false" customHeight="false" outlineLevel="0" collapsed="false">
      <c r="A317" s="3" t="s">
        <v>323</v>
      </c>
      <c r="B317" s="3" t="n">
        <v>99</v>
      </c>
      <c r="C317" s="3" t="s">
        <v>324</v>
      </c>
      <c r="D317" s="3" t="n">
        <v>10</v>
      </c>
      <c r="E317" s="3" t="s">
        <v>104</v>
      </c>
      <c r="F317" s="3" t="s">
        <v>159</v>
      </c>
      <c r="G317" s="3" t="s">
        <v>159</v>
      </c>
      <c r="H317" s="3" t="s">
        <v>332</v>
      </c>
    </row>
    <row r="318" customFormat="false" ht="15" hidden="false" customHeight="false" outlineLevel="0" collapsed="false">
      <c r="A318" s="3" t="s">
        <v>323</v>
      </c>
      <c r="B318" s="3" t="n">
        <v>100</v>
      </c>
      <c r="C318" s="3" t="s">
        <v>324</v>
      </c>
      <c r="D318" s="3" t="n">
        <v>10</v>
      </c>
      <c r="E318" s="3" t="s">
        <v>104</v>
      </c>
      <c r="F318" s="3" t="s">
        <v>159</v>
      </c>
      <c r="G318" s="3" t="s">
        <v>159</v>
      </c>
      <c r="H318" s="3" t="s">
        <v>333</v>
      </c>
    </row>
    <row r="319" customFormat="false" ht="15" hidden="false" customHeight="false" outlineLevel="0" collapsed="false">
      <c r="A319" s="3" t="s">
        <v>323</v>
      </c>
      <c r="B319" s="3" t="n">
        <v>100</v>
      </c>
      <c r="C319" s="3" t="s">
        <v>324</v>
      </c>
      <c r="D319" s="3" t="n">
        <v>6</v>
      </c>
      <c r="E319" s="3" t="s">
        <v>109</v>
      </c>
      <c r="F319" s="3" t="s">
        <v>159</v>
      </c>
      <c r="G319" s="3" t="s">
        <v>159</v>
      </c>
      <c r="H319" s="3" t="s">
        <v>333</v>
      </c>
    </row>
    <row r="320" customFormat="false" ht="15" hidden="false" customHeight="false" outlineLevel="0" collapsed="false">
      <c r="A320" s="3" t="s">
        <v>323</v>
      </c>
      <c r="B320" s="3" t="n">
        <v>101</v>
      </c>
      <c r="C320" s="3" t="s">
        <v>324</v>
      </c>
      <c r="D320" s="3" t="n">
        <v>53</v>
      </c>
      <c r="E320" s="3" t="s">
        <v>104</v>
      </c>
      <c r="F320" s="3" t="s">
        <v>159</v>
      </c>
      <c r="G320" s="3" t="s">
        <v>159</v>
      </c>
      <c r="H320" s="3" t="s">
        <v>334</v>
      </c>
    </row>
    <row r="321" customFormat="false" ht="15" hidden="false" customHeight="false" outlineLevel="0" collapsed="false">
      <c r="A321" s="3" t="s">
        <v>323</v>
      </c>
      <c r="B321" s="3" t="n">
        <v>102</v>
      </c>
      <c r="C321" s="3" t="s">
        <v>324</v>
      </c>
      <c r="D321" s="3" t="n">
        <v>8</v>
      </c>
      <c r="E321" s="3" t="s">
        <v>104</v>
      </c>
      <c r="F321" s="3" t="s">
        <v>159</v>
      </c>
      <c r="G321" s="3" t="s">
        <v>159</v>
      </c>
      <c r="H321" s="3" t="s">
        <v>335</v>
      </c>
    </row>
    <row r="322" customFormat="false" ht="15" hidden="false" customHeight="false" outlineLevel="0" collapsed="false">
      <c r="A322" s="3" t="s">
        <v>323</v>
      </c>
      <c r="B322" s="3" t="n">
        <v>102</v>
      </c>
      <c r="C322" s="3" t="s">
        <v>324</v>
      </c>
      <c r="D322" s="3" t="n">
        <v>6</v>
      </c>
      <c r="E322" s="3" t="s">
        <v>109</v>
      </c>
      <c r="F322" s="3" t="s">
        <v>159</v>
      </c>
      <c r="G322" s="3" t="s">
        <v>159</v>
      </c>
      <c r="H322" s="3" t="s">
        <v>335</v>
      </c>
    </row>
    <row r="323" customFormat="false" ht="15" hidden="false" customHeight="false" outlineLevel="0" collapsed="false">
      <c r="A323" s="3" t="s">
        <v>323</v>
      </c>
      <c r="B323" s="3" t="n">
        <v>103</v>
      </c>
      <c r="C323" s="3" t="s">
        <v>324</v>
      </c>
      <c r="D323" s="3" t="n">
        <v>8</v>
      </c>
      <c r="E323" s="3" t="s">
        <v>104</v>
      </c>
      <c r="F323" s="3" t="s">
        <v>159</v>
      </c>
      <c r="G323" s="3" t="s">
        <v>105</v>
      </c>
      <c r="H323" s="3" t="s">
        <v>257</v>
      </c>
    </row>
    <row r="324" customFormat="false" ht="15" hidden="false" customHeight="false" outlineLevel="0" collapsed="false">
      <c r="A324" s="3" t="s">
        <v>323</v>
      </c>
      <c r="B324" s="3" t="n">
        <v>104</v>
      </c>
      <c r="C324" s="3" t="s">
        <v>324</v>
      </c>
      <c r="D324" s="3" t="n">
        <v>15</v>
      </c>
      <c r="E324" s="3" t="s">
        <v>104</v>
      </c>
      <c r="F324" s="3" t="s">
        <v>159</v>
      </c>
      <c r="G324" s="3" t="s">
        <v>105</v>
      </c>
      <c r="H324" s="3" t="s">
        <v>336</v>
      </c>
    </row>
    <row r="325" customFormat="false" ht="15" hidden="false" customHeight="false" outlineLevel="0" collapsed="false">
      <c r="A325" s="3" t="s">
        <v>323</v>
      </c>
      <c r="B325" s="3" t="n">
        <v>105</v>
      </c>
      <c r="C325" s="3" t="s">
        <v>324</v>
      </c>
      <c r="D325" s="3" t="n">
        <v>19</v>
      </c>
      <c r="E325" s="3" t="s">
        <v>104</v>
      </c>
      <c r="F325" s="3" t="s">
        <v>159</v>
      </c>
      <c r="G325" s="3" t="s">
        <v>105</v>
      </c>
      <c r="H325" s="3" t="s">
        <v>248</v>
      </c>
    </row>
    <row r="326" customFormat="false" ht="15" hidden="false" customHeight="false" outlineLevel="0" collapsed="false">
      <c r="A326" s="3" t="s">
        <v>323</v>
      </c>
      <c r="B326" s="3" t="n">
        <v>105</v>
      </c>
      <c r="C326" s="3" t="s">
        <v>324</v>
      </c>
      <c r="D326" s="3" t="n">
        <v>23</v>
      </c>
      <c r="E326" s="3" t="s">
        <v>109</v>
      </c>
      <c r="F326" s="3" t="s">
        <v>159</v>
      </c>
      <c r="G326" s="3" t="s">
        <v>105</v>
      </c>
      <c r="H326" s="3" t="s">
        <v>248</v>
      </c>
    </row>
    <row r="327" customFormat="false" ht="15" hidden="false" customHeight="false" outlineLevel="0" collapsed="false">
      <c r="A327" s="3" t="s">
        <v>323</v>
      </c>
      <c r="B327" s="3" t="n">
        <v>106</v>
      </c>
      <c r="C327" s="3" t="s">
        <v>324</v>
      </c>
      <c r="D327" s="3" t="n">
        <v>8</v>
      </c>
      <c r="E327" s="3" t="s">
        <v>104</v>
      </c>
      <c r="F327" s="3" t="s">
        <v>159</v>
      </c>
      <c r="G327" s="3" t="s">
        <v>105</v>
      </c>
      <c r="H327" s="3" t="s">
        <v>249</v>
      </c>
    </row>
    <row r="328" customFormat="false" ht="15" hidden="false" customHeight="false" outlineLevel="0" collapsed="false">
      <c r="A328" s="3" t="s">
        <v>323</v>
      </c>
      <c r="B328" s="3" t="n">
        <v>106</v>
      </c>
      <c r="C328" s="3" t="s">
        <v>324</v>
      </c>
      <c r="D328" s="3" t="n">
        <v>6</v>
      </c>
      <c r="E328" s="3" t="s">
        <v>109</v>
      </c>
      <c r="F328" s="3" t="s">
        <v>159</v>
      </c>
      <c r="G328" s="3" t="s">
        <v>105</v>
      </c>
      <c r="H328" s="3" t="s">
        <v>249</v>
      </c>
    </row>
    <row r="329" customFormat="false" ht="15" hidden="false" customHeight="false" outlineLevel="0" collapsed="false">
      <c r="A329" s="3" t="s">
        <v>323</v>
      </c>
      <c r="B329" s="3" t="n">
        <v>107</v>
      </c>
      <c r="C329" s="3" t="s">
        <v>324</v>
      </c>
      <c r="D329" s="3" t="n">
        <v>18</v>
      </c>
      <c r="E329" s="3" t="s">
        <v>104</v>
      </c>
      <c r="F329" s="3" t="s">
        <v>159</v>
      </c>
      <c r="G329" s="3" t="s">
        <v>105</v>
      </c>
      <c r="H329" s="3" t="s">
        <v>337</v>
      </c>
    </row>
    <row r="330" customFormat="false" ht="15" hidden="false" customHeight="false" outlineLevel="0" collapsed="false">
      <c r="A330" s="3" t="s">
        <v>323</v>
      </c>
      <c r="B330" s="3" t="n">
        <v>107</v>
      </c>
      <c r="C330" s="3" t="s">
        <v>324</v>
      </c>
      <c r="D330" s="3" t="n">
        <v>17</v>
      </c>
      <c r="E330" s="3" t="s">
        <v>109</v>
      </c>
      <c r="F330" s="3" t="s">
        <v>159</v>
      </c>
      <c r="G330" s="3" t="s">
        <v>105</v>
      </c>
      <c r="H330" s="3" t="s">
        <v>337</v>
      </c>
    </row>
    <row r="331" customFormat="false" ht="15" hidden="false" customHeight="false" outlineLevel="0" collapsed="false">
      <c r="A331" s="3" t="s">
        <v>323</v>
      </c>
      <c r="B331" s="3" t="n">
        <v>108</v>
      </c>
      <c r="C331" s="3" t="s">
        <v>324</v>
      </c>
      <c r="D331" s="3" t="n">
        <v>45</v>
      </c>
      <c r="E331" s="3" t="s">
        <v>104</v>
      </c>
      <c r="F331" s="3" t="s">
        <v>159</v>
      </c>
      <c r="G331" s="3" t="s">
        <v>159</v>
      </c>
      <c r="H331" s="3" t="s">
        <v>338</v>
      </c>
    </row>
    <row r="332" customFormat="false" ht="15" hidden="false" customHeight="false" outlineLevel="0" collapsed="false">
      <c r="A332" s="3" t="s">
        <v>323</v>
      </c>
      <c r="B332" s="3" t="n">
        <v>108</v>
      </c>
      <c r="C332" s="3" t="s">
        <v>324</v>
      </c>
      <c r="D332" s="3" t="n">
        <v>36</v>
      </c>
      <c r="E332" s="3" t="s">
        <v>109</v>
      </c>
      <c r="F332" s="3" t="s">
        <v>159</v>
      </c>
      <c r="G332" s="3" t="s">
        <v>159</v>
      </c>
      <c r="H332" s="3" t="s">
        <v>338</v>
      </c>
    </row>
    <row r="333" customFormat="false" ht="15" hidden="false" customHeight="false" outlineLevel="0" collapsed="false">
      <c r="A333" s="3" t="s">
        <v>323</v>
      </c>
      <c r="B333" s="3" t="n">
        <v>109</v>
      </c>
      <c r="C333" s="3" t="s">
        <v>324</v>
      </c>
      <c r="D333" s="3" t="n">
        <v>7</v>
      </c>
      <c r="E333" s="3" t="s">
        <v>104</v>
      </c>
      <c r="F333" s="3" t="s">
        <v>159</v>
      </c>
      <c r="G333" s="3" t="s">
        <v>159</v>
      </c>
      <c r="H333" s="3" t="s">
        <v>339</v>
      </c>
    </row>
    <row r="334" customFormat="false" ht="15" hidden="false" customHeight="false" outlineLevel="0" collapsed="false">
      <c r="A334" s="3" t="s">
        <v>323</v>
      </c>
      <c r="B334" s="3" t="n">
        <v>110</v>
      </c>
      <c r="C334" s="3" t="s">
        <v>324</v>
      </c>
      <c r="D334" s="3" t="n">
        <v>3</v>
      </c>
      <c r="E334" s="3" t="s">
        <v>104</v>
      </c>
      <c r="F334" s="3" t="s">
        <v>159</v>
      </c>
      <c r="G334" s="3" t="s">
        <v>105</v>
      </c>
      <c r="H334" s="3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94</v>
      </c>
      <c r="B1" s="1" t="s">
        <v>95</v>
      </c>
      <c r="C1" s="1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341</v>
      </c>
    </row>
    <row r="3" customFormat="false" ht="15" hidden="false" customHeight="false" outlineLevel="0" collapsed="false">
      <c r="A3" s="5" t="s">
        <v>342</v>
      </c>
      <c r="B3" s="6" t="n">
        <v>5</v>
      </c>
    </row>
    <row r="4" customFormat="false" ht="15" hidden="false" customHeight="false" outlineLevel="0" collapsed="false">
      <c r="A4" s="5" t="s">
        <v>343</v>
      </c>
      <c r="B4" s="6" t="n">
        <v>5</v>
      </c>
    </row>
    <row r="5" customFormat="false" ht="15" hidden="false" customHeight="false" outlineLevel="0" collapsed="false">
      <c r="A5" s="5" t="s">
        <v>344</v>
      </c>
      <c r="B5" s="6" t="n">
        <v>1</v>
      </c>
    </row>
    <row r="7" customFormat="false" ht="15" hidden="false" customHeight="false" outlineLevel="0" collapsed="false">
      <c r="A7" s="7" t="s">
        <v>345</v>
      </c>
    </row>
    <row r="8" customFormat="false" ht="15" hidden="false" customHeight="false" outlineLevel="0" collapsed="false">
      <c r="A8" s="7" t="s">
        <v>346</v>
      </c>
    </row>
    <row r="9" customFormat="false" ht="15" hidden="false" customHeight="false" outlineLevel="0" collapsed="false">
      <c r="A9" s="7" t="s">
        <v>347</v>
      </c>
    </row>
    <row r="10" customFormat="false" ht="15" hidden="false" customHeight="false" outlineLevel="0" collapsed="false">
      <c r="A10" s="7" t="s">
        <v>348</v>
      </c>
    </row>
    <row r="11" customFormat="false" ht="15" hidden="false" customHeight="false" outlineLevel="0" collapsed="false">
      <c r="A11" s="7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2026-10-17T17:44:35Z</dcterms:created>
  <dc:creator>openpyxl</dc:creator>
  <dc:description/>
  <dc:language>en-US</dc:language>
  <cp:lastModifiedBy/>
  <dcterms:modified xsi:type="dcterms:W3CDTF">2026-10-17T17:44:35Z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