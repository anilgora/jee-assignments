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Quadratic Equation</t>
        </is>
      </c>
      <c r="F2" s="2" t="n">
        <v>3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Eliminate x by cross-multiplication</t>
        </is>
      </c>
      <c r="N2" s="3" t="inlineStr">
        <is>
          <t>Routine elimination chain ending in b^3+3b=0; no insight, a few stages.</t>
        </is>
      </c>
      <c r="O2" s="3" t="inlineStr">
        <is>
          <t>2021-P2-Q17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Quadratic Equation</t>
        </is>
      </c>
      <c r="F3" s="2" t="n">
        <v>3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Reduce p to ax^2+c and argue real/imaginary nature of p(x)=±ik</t>
        </is>
      </c>
      <c r="N3" s="3" t="inlineStr">
        <is>
          <t>Conceptual argument with no computation; the trap is the unusual option (D) and the real vs purely imaginary distinction.</t>
        </is>
      </c>
      <c r="O3" s="3" t="inlineStr">
        <is>
          <t>2026-P1-Q13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Quadratic Equation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|x1-x2|^2 = 1/alpha^2 - 4 with product 1, then intersect with D&gt;0</t>
        </is>
      </c>
      <c r="N4" s="3" t="inlineStr">
        <is>
          <t>Two standard conditions intersected with endpoints and a subset check for each option.</t>
        </is>
      </c>
      <c r="O4" s="3" t="inlineStr">
        <is>
          <t>2026-P1-Q13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Para SCQ</t>
        </is>
      </c>
      <c r="E5" s="3" t="inlineStr">
        <is>
          <t>Quadratic Equation</t>
        </is>
      </c>
      <c r="F5" s="2" t="n">
        <v>3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Reduce a4 to 3a1+2a0 and split into rational and sqrt5 parts</t>
        </is>
      </c>
      <c r="N5" s="3" t="inlineStr">
        <is>
          <t>Recurrence plus the irrationality FACT; short but needs the idea of splitting.</t>
        </is>
      </c>
      <c r="O5" s="3" t="inlineStr">
        <is>
          <t>2026-P1-Q13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Para SCQ</t>
        </is>
      </c>
      <c r="E6" s="3" t="inlineStr">
        <is>
          <t>Quadratic Equation</t>
        </is>
      </c>
      <c r="F6" s="2" t="n">
        <v>3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alpha^2=alpha+1 gives the Fibonacci-type recurrence</t>
        </is>
      </c>
      <c r="N6" s="3" t="inlineStr">
        <is>
          <t>One familiar move applied once.</t>
        </is>
      </c>
      <c r="O6" s="3" t="inlineStr">
        <is>
          <t>2021-P2-Q17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Quadratic Equation</t>
        </is>
      </c>
      <c r="F7" s="2" t="n">
        <v>3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Group into (a^2+b^2)(c+d)-(a+b)(c^2+d^2)</t>
        </is>
      </c>
      <c r="N7" s="3" t="inlineStr">
        <is>
          <t>Routine symmetric-function chain, several steps, no insight.</t>
        </is>
      </c>
      <c r="O7" s="3" t="inlineStr">
        <is>
          <t>2024-P1-Q8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Quadratic Equation</t>
        </is>
      </c>
      <c r="F8" s="2" t="n">
        <v>4</v>
      </c>
      <c r="G8" s="8" t="n">
        <v>4</v>
      </c>
      <c r="H8" s="8" t="inlineStr">
        <is>
          <t>Slightly difficult</t>
        </is>
      </c>
      <c r="I8" s="5" t="n">
        <v>0</v>
      </c>
      <c r="J8" s="5" t="n">
        <v>2.5</v>
      </c>
      <c r="K8" s="5">
        <f>MIN(5,MAX(G8+I8,J8))</f>
        <v/>
      </c>
      <c r="L8" s="5">
        <f>F8*K8</f>
        <v/>
      </c>
      <c r="M8" s="3" t="inlineStr">
        <is>
          <t>Positive definite form: a&gt;0, b^2&lt;ac; then determinants of the two systems</t>
        </is>
      </c>
      <c r="N8" s="3" t="inlineStr">
        <is>
          <t>Same question as 2024-P1-Q6 rated L4 by the user; four statements, two concepts (form and linear systems).</t>
        </is>
      </c>
      <c r="O8" s="3" t="inlineStr">
        <is>
          <t>2024-P1-Q6 (L4)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Quadratic Equation</t>
        </is>
      </c>
      <c r="F9" s="2" t="n">
        <v>4</v>
      </c>
      <c r="G9" s="8" t="n">
        <v>4</v>
      </c>
      <c r="H9" s="8" t="inlineStr">
        <is>
          <t>Slightly difficult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Quadratic factor of f' has roots ±i sqrt3, fixing a, b</t>
        </is>
      </c>
      <c r="N9" s="3" t="inlineStr">
        <is>
          <t>Same question type as 2024-P1-Q9 (L4): derivative-root idea, then sum of |roots|^2, numerical answer.</t>
        </is>
      </c>
      <c r="O9" s="3" t="inlineStr">
        <is>
          <t>2024-P1-Q9 (L4)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Quadratic Equation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18=a^2 and sqrt1080=b^-3</t>
        </is>
      </c>
      <c r="N10" s="3" t="inlineStr">
        <is>
          <t>Same question as 2024-P1-Q8 rated L2: recognise powers then a 2x2 linear system.</t>
        </is>
      </c>
      <c r="O10" s="3" t="inlineStr">
        <is>
          <t>2024-P1-Q8 (L2)</t>
        </is>
      </c>
      <c r="P10" s="2" t="inlineStr">
        <is>
          <t>High</t>
        </is>
      </c>
    </row>
    <row r="12">
      <c r="A12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SHEET_QUADRATIC_EQUATION_FCopy_JA.pdf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COUNTIF(Evaluation!$G$2:$G$10,A5)</f>
        <v/>
      </c>
      <c r="D5" s="11">
        <f>SUMIF(Evaluation!$G$2:$G$10,A5,Evaluation!$F$2:$F$10)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COUNTIF(Evaluation!$G$2:$G$10,A6)</f>
        <v/>
      </c>
      <c r="D6" s="13">
        <f>SUMIF(Evaluation!$G$2:$G$10,A6,Evaluation!$F$2:$F$10)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COUNTIF(Evaluation!$G$2:$G$10,A7)</f>
        <v/>
      </c>
      <c r="D7" s="15">
        <f>SUMIF(Evaluation!$G$2:$G$10,A7,Evaluation!$F$2:$F$10)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COUNTIF(Evaluation!$G$2:$G$10,A8)</f>
        <v/>
      </c>
      <c r="D8" s="17">
        <f>SUMIF(Evaluation!$G$2:$G$10,A8,Evaluation!$F$2:$F$10)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COUNTIF(Evaluation!$G$2:$G$10,A9)</f>
        <v/>
      </c>
      <c r="D9" s="19">
        <f>SUMIF(Evaluation!$G$2:$G$10,A9,Evaluation!$F$2:$F$10)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COUNTIF(Evaluation!$G$2:$G$10,A10)</f>
        <v/>
      </c>
      <c r="D10" s="21">
        <f>SUMIF(Evaluation!$G$2:$G$10,A10,Evaluation!$F$2:$F$10)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SUM(Evaluation!$L$2:$L$10)/SUM(Evaluation!$F$2:$F$10)</f>
        <v/>
      </c>
      <c r="C14" s="24">
        <f>SUMPRODUCT(Evaluation!$F$2:$F$10,Evaluation!$G$2:$G$10)/SUM(Evaluation!$F$2:$F$10)</f>
        <v/>
      </c>
      <c r="D14" s="23">
        <f>SUM(Evaluation!$F$2:$F$10)</f>
        <v/>
      </c>
      <c r="E14" s="24">
        <f>AVERAGE(Evaluation!$G$2:$G$10)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2026-10-15T00:03:35Z</dcterms:created>
  <dcterms:modified xmlns:dcterms="http://purl.org/dc/terms/" xmlns:xsi="http://www.w3.org/2001/XMLSchema-instance" xsi:type="dcterms:W3CDTF">2026-10-15T00:03:35Z</dcterms:modified>
</cp:coreProperties>
</file>