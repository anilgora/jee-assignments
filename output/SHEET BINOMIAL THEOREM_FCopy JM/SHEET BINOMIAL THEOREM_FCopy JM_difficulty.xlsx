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Binomial Theorem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Read the sum as a coefficient of $x^{23}$ in $(1+x)^{22}(1+x)^{23}$ (Vandermonde).</t>
        </is>
      </c>
      <c r="N2" s="3" t="inlineStr">
        <is>
          <t>One familiar identity applied once after reflecting the lower index; same level of demand as the Level-1 binomial-coefficient comparison in 2023-P1-Q13.</t>
        </is>
      </c>
      <c r="O2" s="3" t="inlineStr">
        <is>
          <t>2023-P1-Q13 (L1)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Binomial Theorem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Reverse the order of the sum and add; the weights $r$ and $30-r$ add to the constant $30$.</t>
        </is>
      </c>
      <c r="N3" s="3" t="inlineStr">
        <is>
          <t>Two standard moves chained (reflection trick, then $\sum\binom{n}{r}^2=\binom{2n}{n}$); no insight beyond routine coaching patterns, so a Level 2 chain.</t>
        </is>
      </c>
      <c r="O3" s="3" t="inlineStr">
        <is>
          <t>2026-P2-Q12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Binomial Theorem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Ratio of consecutive coefficients cancels the power of $r$, leaving a cubic sum to evaluate.</t>
        </is>
      </c>
      <c r="N4" s="3" t="inlineStr">
        <is>
          <t>Routine chain: ratio of coefficients, expansion, three standard summation formulas. No insight needed but arithmetic is slightly heavy.</t>
        </is>
      </c>
      <c r="O4" s="3" t="inlineStr">
        <is>
          <t>2023-P1-Q13 (L1)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Binomial Theorem</t>
        </is>
      </c>
      <c r="F5" s="2" t="n">
        <v>4</v>
      </c>
      <c r="G5" s="4" t="n">
        <v>1</v>
      </c>
      <c r="H5" s="4" t="inlineStr">
        <is>
          <t>JEE Main level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Telescoping with Pascal's rule: a sum of $\binom{n}{3}$ over consecutive $n$ is a difference of two $\binom{\cdot}{4}$.</t>
        </is>
      </c>
      <c r="N5" s="3" t="inlineStr">
        <is>
          <t>One familiar identity (hockey stick) applied once; the only care is the lower limit 45.</t>
        </is>
      </c>
      <c r="O5" s="3" t="inlineStr">
        <is>
          <t>2023-P1-Q13 (L1)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Binomial Theorem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Compute $K=2^{98}$ and $a=\binom{200}{100}2^{50}$, then use the neighbour-ratio $100/101$.</t>
        </is>
      </c>
      <c r="N6" s="3" t="inlineStr">
        <is>
          <t>Several short standard facts chained with exact power-of-2 bookkeeping; no unfamiliar idea.</t>
        </is>
      </c>
      <c r="O6" s="3" t="inlineStr">
        <is>
          <t>2026-P2-Q12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Binomial Theorem</t>
        </is>
      </c>
      <c r="F7" s="2" t="n">
        <v>4</v>
      </c>
      <c r="G7" s="4" t="n">
        <v>1</v>
      </c>
      <c r="H7" s="4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Locate each term by solving the exponent equation, then equate coefficients; $\binom{15}{9}=\binom{15}{6}$ cancels.</t>
        </is>
      </c>
      <c r="N7" s="3" t="inlineStr">
        <is>
          <t>Same style as 2023-P1-Q13 (equate coefficients in two binomial expansions); one familiar move done twice.</t>
        </is>
      </c>
      <c r="O7" s="3" t="inlineStr">
        <is>
          <t>2023-P1-Q13 (L1)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Binomial Theorem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Recognise a geometric progression of binomials and sum it to $(1+x)^{501}-x^{501}$.</t>
        </is>
      </c>
      <c r="N8" s="3" t="inlineStr">
        <is>
          <t>Spot the G.P. (one idea) then read a single coefficient; routine for a prepared student.</t>
        </is>
      </c>
      <c r="O8" s="3" t="inlineStr">
        <is>
          <t>2026-P2-Q12 (L2)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Binomial Theorem</t>
        </is>
      </c>
      <c r="F9" s="2" t="n">
        <v>4</v>
      </c>
      <c r="G9" s="6" t="n">
        <v>2</v>
      </c>
      <c r="H9" s="6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Conjugate pair with $0&lt;x'&lt;1$: $x-x'$ is an even integer (odd powers of the irrational part cancel).</t>
        </is>
      </c>
      <c r="N9" s="3" t="inlineStr">
        <is>
          <t>Well-known coaching device (integral part via conjugate); two applications and a parity argument, so a Level-2 routine chain.</t>
        </is>
      </c>
      <c r="O9" s="3" t="inlineStr">
        <is>
          <t>2026-P1-Q7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Binomial Theorem</t>
        </is>
      </c>
      <c r="F10" s="2" t="n">
        <v>4</v>
      </c>
      <c r="G10" s="4" t="n">
        <v>1</v>
      </c>
      <c r="H10" s="4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Rewrite $\frac{1}{a!\,b!}$ with $a+b=51$ as $\frac1{51!}\binom{51}{a}$ and use the odd-rank sum $2^{50}$.</t>
        </is>
      </c>
      <c r="N10" s="3" t="inlineStr">
        <is>
          <t>One familiar move (recognise binomial coefficients with a common factorial), applied once.</t>
        </is>
      </c>
      <c r="O10" s="3" t="inlineStr">
        <is>
          <t>2023-P1-Q13 (L1)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Binomial Theorem</t>
        </is>
      </c>
      <c r="F11" s="2" t="n">
        <v>4</v>
      </c>
      <c r="G11" s="6" t="n">
        <v>2</v>
      </c>
      <c r="H11" s="6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Rewrite $2n^2+3n+4$ using $2n(2n-1)$ to reduce the series to $\cosh 1$, $\sinh 1$ series.</t>
        </is>
      </c>
      <c r="N11" s="3" t="inlineStr">
        <is>
          <t>A routine but precise chain: decomposition, three standard series, arithmetic with $e$ and $1/e$. Similar to the exponential-series sums in coaching sets.</t>
        </is>
      </c>
      <c r="O11" s="3" t="inlineStr">
        <is>
          <t>2026-P2-Q3 (L2)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Binomial Theorem</t>
        </is>
      </c>
      <c r="F12" s="2" t="n">
        <v>4</v>
      </c>
      <c r="G12" s="4" t="n">
        <v>1</v>
      </c>
      <c r="H12" s="4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General-term formula with $9-3r=-6$.</t>
        </is>
      </c>
      <c r="N12" s="3" t="inlineStr">
        <is>
          <t>Direct single-technique question; only arithmetic care.</t>
        </is>
      </c>
      <c r="O12" s="3" t="inlineStr">
        <is>
          <t>2023-P1-Q13 (L1)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Binomial Theorem</t>
        </is>
      </c>
      <c r="F13" s="2" t="n">
        <v>4</v>
      </c>
      <c r="G13" s="7" t="n">
        <v>3</v>
      </c>
      <c r="H13" s="7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The coefficient condition forces $2^{3r-9}=1$ (so $r=3$) and then fixes $\ell=5$; only after that can the second coefficient be written as $2^\alpha\beta$.</t>
        </is>
      </c>
      <c r="N13" s="3" t="inlineStr">
        <is>
          <t>Parameter chain with two unknown quantities ($\ell$, $r$), a number-theoretic argument to pin $r$, and a final $2$-adic factorisation, with a numerical answer and no options to check against.</t>
        </is>
      </c>
      <c r="O13" s="3" t="inlineStr">
        <is>
          <t>2023-P1-Q13 (L1)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Binomial Theorem</t>
        </is>
      </c>
      <c r="F14" s="2" t="n">
        <v>4</v>
      </c>
      <c r="G14" s="6" t="n">
        <v>2</v>
      </c>
      <c r="H14" s="6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Absorption identity twice (or differentiate twice) to get $n(n+1)2^{n-2}$.</t>
        </is>
      </c>
      <c r="N14" s="3" t="inlineStr">
        <is>
          <t>Two standard identities chained; numerical answer so no option check, but the pattern is well drilled.</t>
        </is>
      </c>
      <c r="O14" s="3" t="inlineStr">
        <is>
          <t>2023-P1-Q13 (L1)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Binomial Theorem</t>
        </is>
      </c>
      <c r="F15" s="2" t="n">
        <v>4</v>
      </c>
      <c r="G15" s="4" t="n">
        <v>1</v>
      </c>
      <c r="H15" s="4" t="inlineStr">
        <is>
          <t>JEE Main level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Quadratic in $n$ from three coefficients, then one general-term step.</t>
        </is>
      </c>
      <c r="N15" s="3" t="inlineStr">
        <is>
          <t>Two routine moves, each a single familiar step; answer key trap is only arithmetic.</t>
        </is>
      </c>
      <c r="O15" s="3" t="inlineStr">
        <is>
          <t>2023-P1-Q13 (L1)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Binomial Theorem</t>
        </is>
      </c>
      <c r="F16" s="2" t="n">
        <v>4</v>
      </c>
      <c r="G16" s="6" t="n">
        <v>2</v>
      </c>
      <c r="H16" s="6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Two linear equations in $(n_1,n_2,n_3)$; only $(1,1,3)$ qualifies.</t>
        </is>
      </c>
      <c r="N16" s="3" t="inlineStr">
        <is>
          <t>Multinomial setup with a small casework check; routine but needs systematic exclusion of other triples.</t>
        </is>
      </c>
      <c r="O16" s="3" t="inlineStr">
        <is>
          <t>2026-P2-Q12 (L2)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Binomial Theorem</t>
        </is>
      </c>
      <c r="F17" s="2" t="n">
        <v>4</v>
      </c>
      <c r="G17" s="6" t="n">
        <v>2</v>
      </c>
      <c r="H17" s="6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Replace $2023$ by $-7$ and use $(50-1)^{1011}$ to find the remainder modulo $5$ of $7^{2022}$.</t>
        </is>
      </c>
      <c r="N17" s="3" t="inlineStr">
        <is>
          <t>Routine remainder question with a composite modulus; one needs the reduction $-7\cdot(\ldots)$ but nothing non-standard.</t>
        </is>
      </c>
      <c r="O17" s="3" t="inlineStr">
        <is>
          <t>2023-P1-Q13 (L1)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Binomial Theorem</t>
        </is>
      </c>
      <c r="F18" s="2" t="n">
        <v>4</v>
      </c>
      <c r="G18" s="4" t="n">
        <v>1</v>
      </c>
      <c r="H18" s="4" t="inlineStr">
        <is>
          <t>JEE Main level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Two general-term computations; the equality collapses to $\alpha\beta=-1$.</t>
        </is>
      </c>
      <c r="N18" s="3" t="inlineStr">
        <is>
          <t>One familiar move done twice; no extra insight.</t>
        </is>
      </c>
      <c r="O18" s="3" t="inlineStr">
        <is>
          <t>2023-P1-Q13 (L1)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Binomial Theorem</t>
        </is>
      </c>
      <c r="F19" s="2" t="n">
        <v>4</v>
      </c>
      <c r="G19" s="6" t="n">
        <v>2</v>
      </c>
      <c r="H19" s="6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Two ratio conditions on consecutive coefficients give two linear equations in $(n,r)$.</t>
        </is>
      </c>
      <c r="N19" s="3" t="inlineStr">
        <is>
          <t>Short standard chain; the numerical answer allows verification, so it stays at Level 2.</t>
        </is>
      </c>
      <c r="O19" s="3" t="inlineStr">
        <is>
          <t>2023-P1-Q13 (L1)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Binomial Theorem</t>
        </is>
      </c>
      <c r="F20" s="2" t="n">
        <v>4</v>
      </c>
      <c r="G20" s="7" t="n">
        <v>3</v>
      </c>
      <c r="H20" s="7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Split the term into $n^3/n!$ and $(2n-1)/(2n)!$ and reduce each to $e$-series.</t>
        </is>
      </c>
      <c r="N20" s="3" t="inlineStr">
        <is>
          <t>Two series with different structures (factorial vs. even factorial), a hidden telescoping split of $(2n-1)/(2n)!$ and a Stirling-type decomposition; numerical answer with no options.</t>
        </is>
      </c>
      <c r="O20" s="3" t="inlineStr">
        <is>
          <t>2021-P1-Q15 (L3)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Numerical</t>
        </is>
      </c>
      <c r="E21" s="3" t="inlineStr">
        <is>
          <t>Binomial Theorem</t>
        </is>
      </c>
      <c r="F21" s="2" t="n">
        <v>4</v>
      </c>
      <c r="G21" s="6" t="n">
        <v>2</v>
      </c>
      <c r="H21" s="6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Factor $6^{50}$ and write $2^{50},3^{50}$ as powers of numbers close to multiples of $5$.</t>
        </is>
      </c>
      <c r="N21" s="3" t="inlineStr">
        <is>
          <t>Routine multi-step remainder question: factorisation, three binomial reductions, and recombination.</t>
        </is>
      </c>
      <c r="O21" s="3" t="inlineStr">
        <is>
          <t>2023-P1-Q13 (L1)</t>
        </is>
      </c>
      <c r="P21" s="2" t="inlineStr">
        <is>
          <t>Medium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Numerical</t>
        </is>
      </c>
      <c r="E22" s="3" t="inlineStr">
        <is>
          <t>Binomial Theorem</t>
        </is>
      </c>
      <c r="F22" s="2" t="n">
        <v>4</v>
      </c>
      <c r="G22" s="6" t="n">
        <v>2</v>
      </c>
      <c r="H22" s="6" t="inlineStr">
        <is>
          <t>Easier than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Exponents form an A.P. in $r$; pick the first negative one.</t>
        </is>
      </c>
      <c r="N22" s="3" t="inlineStr">
        <is>
          <t>One general-term step plus a small search over the A.P.; routine.</t>
        </is>
      </c>
      <c r="O22" s="3" t="inlineStr">
        <is>
          <t>2023-P1-Q13 (L1)</t>
        </is>
      </c>
      <c r="P22" s="2" t="inlineStr">
        <is>
          <t>High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Numerical</t>
        </is>
      </c>
      <c r="E23" s="3" t="inlineStr">
        <is>
          <t>Binomial Theorem</t>
        </is>
      </c>
      <c r="F23" s="2" t="n">
        <v>4</v>
      </c>
      <c r="G23" s="4" t="n">
        <v>1</v>
      </c>
      <c r="H23" s="4" t="inlineStr">
        <is>
          <t>JEE Main level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Find a power of $5$ congruent to $1$ modulo $11$.</t>
        </is>
      </c>
      <c r="N23" s="3" t="inlineStr">
        <is>
          <t>One familiar move: reduce the exponent using $5^5\equiv1$.</t>
        </is>
      </c>
      <c r="O23" s="3" t="inlineStr">
        <is>
          <t>2023-P1-Q13 (L1)</t>
        </is>
      </c>
      <c r="P23" s="2" t="inlineStr">
        <is>
          <t>High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Numerical</t>
        </is>
      </c>
      <c r="E24" s="3" t="inlineStr">
        <is>
          <t>Binomial Theorem</t>
        </is>
      </c>
      <c r="F24" s="2" t="n">
        <v>4</v>
      </c>
      <c r="G24" s="6" t="n">
        <v>2</v>
      </c>
      <c r="H24" s="6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Centre the bases at $21$ and use $21^2\equiv0\pmod{49}$.</t>
        </is>
      </c>
      <c r="N24" s="3" t="inlineStr">
        <is>
          <t>Routine for experienced students once the $21\pm2$ trick is seen; an extra stage reduces $2^{201}$.</t>
        </is>
      </c>
      <c r="O24" s="3" t="inlineStr">
        <is>
          <t>2023-P1-Q13 (L1)</t>
        </is>
      </c>
      <c r="P24" s="2" t="inlineStr">
        <is>
          <t>Medium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Numerical</t>
        </is>
      </c>
      <c r="E25" s="3" t="inlineStr">
        <is>
          <t>Binomial Theorem</t>
        </is>
      </c>
      <c r="F25" s="2" t="n">
        <v>4</v>
      </c>
      <c r="G25" s="7" t="n">
        <v>3</v>
      </c>
      <c r="H25" s="7" t="inlineStr">
        <is>
          <t>Average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Reduce the log-exponential terms, get $m=7$ from the A.P. condition and rejection of $m=2$, then solve a quadratic in $3^x$.</t>
        </is>
      </c>
      <c r="N25" s="3" t="inlineStr">
        <is>
          <t>Chain of four stages (simplification of exponentials, A.P. of binomial coefficients, sixth term, quadratic in $3^x$ with domain check), numerical answer with no options.</t>
        </is>
      </c>
      <c r="O25" s="3" t="inlineStr">
        <is>
          <t>2025-P2-Q16 (L4)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Numerical</t>
        </is>
      </c>
      <c r="E26" s="3" t="inlineStr">
        <is>
          <t>Binomial Theorem</t>
        </is>
      </c>
      <c r="F26" s="2" t="n">
        <v>4</v>
      </c>
      <c r="G26" s="4" t="n">
        <v>1</v>
      </c>
      <c r="H26" s="4" t="inlineStr">
        <is>
          <t>JEE Main level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Exponent equation gives $r=4$; the coefficient is $\binom{22}{4}\alpha^4$.</t>
        </is>
      </c>
      <c r="N26" s="3" t="inlineStr">
        <is>
          <t>Single general-term step; no decision beyond arithmetic.</t>
        </is>
      </c>
      <c r="O26" s="3" t="inlineStr">
        <is>
          <t>2023-P1-Q13 (L1)</t>
        </is>
      </c>
      <c r="P26" s="2" t="inlineStr">
        <is>
          <t>High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SCQ</t>
        </is>
      </c>
      <c r="E27" s="3" t="inlineStr">
        <is>
          <t>Binomial Theorem</t>
        </is>
      </c>
      <c r="F27" s="2" t="n">
        <v>4</v>
      </c>
      <c r="G27" s="6" t="n">
        <v>2</v>
      </c>
      <c r="H27" s="6" t="inlineStr">
        <is>
          <t>Easier than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Interchange the roles of the two terms for the term from the end; the ratio collapses to $6^{(n-8)/4}$.</t>
        </is>
      </c>
      <c r="N27" s="3" t="inlineStr">
        <is>
          <t>Routine but needs careful handling of 'from the end' and fractional exponents.</t>
        </is>
      </c>
      <c r="O27" s="3" t="inlineStr">
        <is>
          <t>2023-P1-Q13 (L1)</t>
        </is>
      </c>
      <c r="P27" s="2" t="inlineStr">
        <is>
          <t>Medium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SCQ</t>
        </is>
      </c>
      <c r="E28" s="3" t="inlineStr">
        <is>
          <t>Binomial Theorem</t>
        </is>
      </c>
      <c r="F28" s="2" t="n">
        <v>4</v>
      </c>
      <c r="G28" s="4" t="n">
        <v>1</v>
      </c>
      <c r="H28" s="4" t="inlineStr">
        <is>
          <t>JEE Main level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Two general-term computations with unequal powers; the equation reduces to $729ab=32$.</t>
        </is>
      </c>
      <c r="N28" s="3" t="inlineStr">
        <is>
          <t>Same as the coefficient-equality questions at L1 in the bank; only arithmetic.</t>
        </is>
      </c>
      <c r="O28" s="3" t="inlineStr">
        <is>
          <t>2023-P1-Q13 (L1)</t>
        </is>
      </c>
      <c r="P28" s="2" t="inlineStr">
        <is>
          <t>High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SCQ</t>
        </is>
      </c>
      <c r="E29" s="3" t="inlineStr">
        <is>
          <t>Binomial Theorem</t>
        </is>
      </c>
      <c r="F29" s="2" t="n">
        <v>4</v>
      </c>
      <c r="G29" s="7" t="n">
        <v>3</v>
      </c>
      <c r="H29" s="7" t="inlineStr">
        <is>
          <t>Average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Both statements need an idea: $x-y\mid x^n-y^n$ for (S1) and the reduction $13(12+1)^n-11n-13\equiv n\pmod{144}$ for (S2); one must also read 'infinitely many $n$'.</t>
        </is>
      </c>
      <c r="N29" s="3" t="inlineStr">
        <is>
          <t>Two statements each needing a genuine check, one of which hides a modular pattern; comparable to 2026-P1-Q7 (statement checks, L3).</t>
        </is>
      </c>
      <c r="O29" s="3" t="inlineStr">
        <is>
          <t>2026-P1-Q7 (L3)</t>
        </is>
      </c>
      <c r="P29" s="2" t="inlineStr">
        <is>
          <t>Medium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SCQ</t>
        </is>
      </c>
      <c r="E30" s="3" t="inlineStr">
        <is>
          <t>Binomial Theorem</t>
        </is>
      </c>
      <c r="F30" s="2" t="n">
        <v>4</v>
      </c>
      <c r="G30" s="6" t="n">
        <v>2</v>
      </c>
      <c r="H30" s="6" t="inlineStr">
        <is>
          <t>Easier than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Two ratio equations for $(n,r)$.</t>
        </is>
      </c>
      <c r="N30" s="3" t="inlineStr">
        <is>
          <t>Same chain as the standard three-consecutive-coefficients question; routine.</t>
        </is>
      </c>
      <c r="O30" s="3" t="inlineStr">
        <is>
          <t>2023-P1-Q13 (L1)</t>
        </is>
      </c>
      <c r="P30" s="2" t="inlineStr">
        <is>
          <t>High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SCQ</t>
        </is>
      </c>
      <c r="E31" s="3" t="inlineStr">
        <is>
          <t>Binomial Theorem</t>
        </is>
      </c>
      <c r="F31" s="2" t="n">
        <v>4</v>
      </c>
      <c r="G31" s="6" t="n">
        <v>2</v>
      </c>
      <c r="H31" s="6" t="inlineStr">
        <is>
          <t>Easier than Advanced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Locate $r=4$ and $r=5$; evaluate two coefficients and subtract.</t>
        </is>
      </c>
      <c r="N31" s="3" t="inlineStr">
        <is>
          <t>Two coefficient computations, routine arithmetic; no insight.</t>
        </is>
      </c>
      <c r="O31" s="3" t="inlineStr">
        <is>
          <t>2023-P1-Q13 (L1)</t>
        </is>
      </c>
      <c r="P31" s="2" t="inlineStr">
        <is>
          <t>Medium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SCQ</t>
        </is>
      </c>
      <c r="E32" s="3" t="inlineStr">
        <is>
          <t>Binomial Theorem</t>
        </is>
      </c>
      <c r="F32" s="2" t="n">
        <v>4</v>
      </c>
      <c r="G32" s="7" t="n">
        <v>3</v>
      </c>
      <c r="H32" s="7" t="inlineStr">
        <is>
          <t>Average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Regrouping the four terms in two ways to see divisibility by $6$ and $17$, then show non-divisibility by $7$.</t>
        </is>
      </c>
      <c r="N32" s="3" t="inlineStr">
        <is>
          <t>A clever grouping idea plus a separate residue check; options give some checking help but the double grouping is not the usual drill.</t>
        </is>
      </c>
      <c r="O32" s="3" t="inlineStr">
        <is>
          <t>2026-P1-Q7 (L3)</t>
        </is>
      </c>
      <c r="P32" s="2" t="inlineStr">
        <is>
          <t>Medium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SCQ</t>
        </is>
      </c>
      <c r="E33" s="3" t="inlineStr">
        <is>
          <t>Binomial Theorem</t>
        </is>
      </c>
      <c r="F33" s="2" t="n">
        <v>4</v>
      </c>
      <c r="G33" s="4" t="n">
        <v>1</v>
      </c>
      <c r="H33" s="4" t="inlineStr">
        <is>
          <t>JEE Main level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Two general-term computations; the ratio of the binomial coefficients gives $a^4b^4$.</t>
        </is>
      </c>
      <c r="N33" s="3" t="inlineStr">
        <is>
          <t>Same pattern as the Level-1 coefficient-equality questions.</t>
        </is>
      </c>
      <c r="O33" s="3" t="inlineStr">
        <is>
          <t>2023-P1-Q13 (L1)</t>
        </is>
      </c>
      <c r="P33" s="2" t="inlineStr">
        <is>
          <t>High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SCQ</t>
        </is>
      </c>
      <c r="E34" s="3" t="inlineStr">
        <is>
          <t>Binomial Theorem</t>
        </is>
      </c>
      <c r="F34" s="2" t="n">
        <v>4</v>
      </c>
      <c r="G34" s="6" t="n">
        <v>2</v>
      </c>
      <c r="H34" s="6" t="inlineStr">
        <is>
          <t>Easier than Advanced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Replace the bases by $21+1$ and $2023-1$.</t>
        </is>
      </c>
      <c r="N34" s="3" t="inlineStr">
        <is>
          <t>Two remainders, each one familiar step; routine chain.</t>
        </is>
      </c>
      <c r="O34" s="3" t="inlineStr">
        <is>
          <t>2023-P1-Q13 (L1)</t>
        </is>
      </c>
      <c r="P34" s="2" t="inlineStr">
        <is>
          <t>High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SCQ</t>
        </is>
      </c>
      <c r="E35" s="3" t="inlineStr">
        <is>
          <t>Binomial Theorem</t>
        </is>
      </c>
      <c r="F35" s="2" t="n">
        <v>4</v>
      </c>
      <c r="G35" s="6" t="n">
        <v>2</v>
      </c>
      <c r="H35" s="6" t="inlineStr">
        <is>
          <t>Easier than Advanced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Expand both brackets to second order; the quadratic collapses to $6-q=-5$.</t>
        </is>
      </c>
      <c r="N35" s="3" t="inlineStr">
        <is>
          <t>Routine algebra with two equations in two unknowns; no new idea.</t>
        </is>
      </c>
      <c r="O35" s="3" t="inlineStr">
        <is>
          <t>2023-P1-Q13 (L1)</t>
        </is>
      </c>
      <c r="P35" s="2" t="inlineStr">
        <is>
          <t>High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SCQ</t>
        </is>
      </c>
      <c r="E36" s="3" t="inlineStr">
        <is>
          <t>Binomial Theorem</t>
        </is>
      </c>
      <c r="F36" s="2" t="n">
        <v>4</v>
      </c>
      <c r="G36" s="6" t="n">
        <v>2</v>
      </c>
      <c r="H36" s="6" t="inlineStr">
        <is>
          <t>Easier than Advanced</t>
        </is>
      </c>
      <c r="I36" s="5" t="n">
        <v>0</v>
      </c>
      <c r="J36" s="5" t="n">
        <v>0</v>
      </c>
      <c r="K36" s="5">
        <f>MIN(5,MAX(G36+I36,J36))</f>
        <v/>
      </c>
      <c r="L36" s="5">
        <f>F36*K36</f>
        <v/>
      </c>
      <c r="M36" s="3" t="inlineStr">
        <is>
          <t>Interchange of positions for the term from the end; the binomial coefficient cancels and only a squared ratio remains.</t>
        </is>
      </c>
      <c r="N36" s="3" t="inlineStr">
        <is>
          <t>Needs correct term indexing (from the end) but then a short algebra step; no option fits so the student must also trust the bonus.</t>
        </is>
      </c>
      <c r="O36" s="3" t="inlineStr">
        <is>
          <t>2023-P1-Q13 (L1)</t>
        </is>
      </c>
      <c r="P36" s="2" t="inlineStr">
        <is>
          <t>Low</t>
        </is>
      </c>
    </row>
    <row r="37">
      <c r="A37" s="2" t="n">
        <v>36</v>
      </c>
      <c r="B37" s="2" t="inlineStr"/>
      <c r="C37" s="2" t="inlineStr">
        <is>
          <t>Q36</t>
        </is>
      </c>
      <c r="D37" s="2" t="inlineStr">
        <is>
          <t>SCQ</t>
        </is>
      </c>
      <c r="E37" s="3" t="inlineStr">
        <is>
          <t>Binomial Theorem</t>
        </is>
      </c>
      <c r="F37" s="2" t="n">
        <v>4</v>
      </c>
      <c r="G37" s="6" t="n">
        <v>2</v>
      </c>
      <c r="H37" s="6" t="inlineStr">
        <is>
          <t>Easier than Advanced</t>
        </is>
      </c>
      <c r="I37" s="5" t="n">
        <v>0</v>
      </c>
      <c r="J37" s="5" t="n">
        <v>0</v>
      </c>
      <c r="K37" s="5">
        <f>MIN(5,MAX(G37+I37,J37))</f>
        <v/>
      </c>
      <c r="L37" s="5">
        <f>F37*K37</f>
        <v/>
      </c>
      <c r="M37" s="3" t="inlineStr">
        <is>
          <t>Two consecutive-ratio equations for $(n,r)$.</t>
        </is>
      </c>
      <c r="N37" s="3" t="inlineStr">
        <is>
          <t>Same chain as 'three consecutive coefficients in ratio' standard questions; routine.</t>
        </is>
      </c>
      <c r="O37" s="3" t="inlineStr">
        <is>
          <t>2023-P1-Q13 (L1)</t>
        </is>
      </c>
      <c r="P37" s="2" t="inlineStr">
        <is>
          <t>High</t>
        </is>
      </c>
    </row>
    <row r="38">
      <c r="A38" s="2" t="n">
        <v>37</v>
      </c>
      <c r="B38" s="2" t="inlineStr"/>
      <c r="C38" s="2" t="inlineStr">
        <is>
          <t>Q37</t>
        </is>
      </c>
      <c r="D38" s="2" t="inlineStr">
        <is>
          <t>SCQ</t>
        </is>
      </c>
      <c r="E38" s="3" t="inlineStr">
        <is>
          <t>Binomial Theorem</t>
        </is>
      </c>
      <c r="F38" s="2" t="n">
        <v>4</v>
      </c>
      <c r="G38" s="4" t="n">
        <v>1</v>
      </c>
      <c r="H38" s="4" t="inlineStr">
        <is>
          <t>JEE Main level</t>
        </is>
      </c>
      <c r="I38" s="5" t="n">
        <v>0</v>
      </c>
      <c r="J38" s="5" t="n">
        <v>0</v>
      </c>
      <c r="K38" s="5">
        <f>MIN(5,MAX(G38+I38,J38))</f>
        <v/>
      </c>
      <c r="L38" s="5">
        <f>F38*K38</f>
        <v/>
      </c>
      <c r="M38" s="3" t="inlineStr">
        <is>
          <t>Recognise $\frac{1}{r+1}\binom nr=\frac1{n+1}\binom{n+1}{r+1}$ (or integrate $(1+x)^n$).</t>
        </is>
      </c>
      <c r="N38" s="3" t="inlineStr">
        <is>
          <t>One familiar identity applied once; option check available.</t>
        </is>
      </c>
      <c r="O38" s="3" t="inlineStr">
        <is>
          <t>2023-P1-Q13 (L1)</t>
        </is>
      </c>
      <c r="P38" s="2" t="inlineStr">
        <is>
          <t>High</t>
        </is>
      </c>
    </row>
    <row r="39">
      <c r="A39" s="2" t="n">
        <v>38</v>
      </c>
      <c r="B39" s="2" t="inlineStr"/>
      <c r="C39" s="2" t="inlineStr">
        <is>
          <t>Q38</t>
        </is>
      </c>
      <c r="D39" s="2" t="inlineStr">
        <is>
          <t>SCQ</t>
        </is>
      </c>
      <c r="E39" s="3" t="inlineStr">
        <is>
          <t>Binomial Theorem</t>
        </is>
      </c>
      <c r="F39" s="2" t="n">
        <v>4</v>
      </c>
      <c r="G39" s="6" t="n">
        <v>2</v>
      </c>
      <c r="H39" s="6" t="inlineStr">
        <is>
          <t>Easier than Advanced</t>
        </is>
      </c>
      <c r="I39" s="5" t="n">
        <v>0</v>
      </c>
      <c r="J39" s="5" t="n">
        <v>0</v>
      </c>
      <c r="K39" s="5">
        <f>MIN(5,MAX(G39+I39,J39))</f>
        <v/>
      </c>
      <c r="L39" s="5">
        <f>F39*K39</f>
        <v/>
      </c>
      <c r="M39" s="3" t="inlineStr">
        <is>
          <t>Use $\sum_{k=0}^{100}(-1)^k\binom{100}{k}=0$ with symmetry, or telescope with Pascal's rule.</t>
        </is>
      </c>
      <c r="N39" s="3" t="inlineStr">
        <is>
          <t>Two standard facts chained; the symmetric halving is a known trick; options help.</t>
        </is>
      </c>
      <c r="O39" s="3" t="inlineStr">
        <is>
          <t>2023-P1-Q13 (L1)</t>
        </is>
      </c>
      <c r="P39" s="2" t="inlineStr">
        <is>
          <t>Medium</t>
        </is>
      </c>
    </row>
    <row r="40">
      <c r="A40" s="2" t="n">
        <v>39</v>
      </c>
      <c r="B40" s="2" t="inlineStr"/>
      <c r="C40" s="2" t="inlineStr">
        <is>
          <t>Q39</t>
        </is>
      </c>
      <c r="D40" s="2" t="inlineStr">
        <is>
          <t>SCQ</t>
        </is>
      </c>
      <c r="E40" s="3" t="inlineStr">
        <is>
          <t>Binomial Theorem</t>
        </is>
      </c>
      <c r="F40" s="2" t="n">
        <v>4</v>
      </c>
      <c r="G40" s="4" t="n">
        <v>1</v>
      </c>
      <c r="H40" s="4" t="inlineStr">
        <is>
          <t>JEE Main level</t>
        </is>
      </c>
      <c r="I40" s="5" t="n">
        <v>0</v>
      </c>
      <c r="J40" s="5" t="n">
        <v>0</v>
      </c>
      <c r="K40" s="5">
        <f>MIN(5,MAX(G40+I40,J40))</f>
        <v/>
      </c>
      <c r="L40" s="5">
        <f>F40*K40</f>
        <v/>
      </c>
      <c r="M40" s="3" t="inlineStr">
        <is>
          <t>$4^2\equiv1\pmod{15}$.</t>
        </is>
      </c>
      <c r="N40" s="3" t="inlineStr">
        <is>
          <t>One familiar move (power reduction), applied once.</t>
        </is>
      </c>
      <c r="O40" s="3" t="inlineStr">
        <is>
          <t>2023-P1-Q13 (L1)</t>
        </is>
      </c>
      <c r="P40" s="2" t="inlineStr">
        <is>
          <t>High</t>
        </is>
      </c>
    </row>
    <row r="41">
      <c r="A41" s="2" t="n">
        <v>40</v>
      </c>
      <c r="B41" s="2" t="inlineStr"/>
      <c r="C41" s="2" t="inlineStr">
        <is>
          <t>Q40</t>
        </is>
      </c>
      <c r="D41" s="2" t="inlineStr">
        <is>
          <t>SCQ</t>
        </is>
      </c>
      <c r="E41" s="3" t="inlineStr">
        <is>
          <t>Binomial Theorem</t>
        </is>
      </c>
      <c r="F41" s="2" t="n">
        <v>4</v>
      </c>
      <c r="G41" s="4" t="n">
        <v>1</v>
      </c>
      <c r="H41" s="4" t="inlineStr">
        <is>
          <t>JEE Main level</t>
        </is>
      </c>
      <c r="I41" s="5" t="n">
        <v>0</v>
      </c>
      <c r="J41" s="5" t="n">
        <v>0</v>
      </c>
      <c r="K41" s="5">
        <f>MIN(5,MAX(G41+I41,J41))</f>
        <v/>
      </c>
      <c r="L41" s="5">
        <f>F41*K41</f>
        <v/>
      </c>
      <c r="M41" s="3" t="inlineStr">
        <is>
          <t>Exponent $15-5r=5$ gives $r=2$.</t>
        </is>
      </c>
      <c r="N41" s="3" t="inlineStr">
        <is>
          <t>One general-term step.</t>
        </is>
      </c>
      <c r="O41" s="3" t="inlineStr">
        <is>
          <t>2023-P1-Q13 (L1)</t>
        </is>
      </c>
      <c r="P41" s="2" t="inlineStr">
        <is>
          <t>High</t>
        </is>
      </c>
    </row>
    <row r="42">
      <c r="A42" s="2" t="n">
        <v>41</v>
      </c>
      <c r="B42" s="2" t="inlineStr"/>
      <c r="C42" s="2" t="inlineStr">
        <is>
          <t>Q41</t>
        </is>
      </c>
      <c r="D42" s="2" t="inlineStr">
        <is>
          <t>SCQ</t>
        </is>
      </c>
      <c r="E42" s="3" t="inlineStr">
        <is>
          <t>Binomial Theorem</t>
        </is>
      </c>
      <c r="F42" s="2" t="n">
        <v>4</v>
      </c>
      <c r="G42" s="6" t="n">
        <v>2</v>
      </c>
      <c r="H42" s="6" t="inlineStr">
        <is>
          <t>Easier than Advanced</t>
        </is>
      </c>
      <c r="I42" s="5" t="n">
        <v>0</v>
      </c>
      <c r="J42" s="5" t="n">
        <v>0</v>
      </c>
      <c r="K42" s="5">
        <f>MIN(5,MAX(G42+I42,J42))</f>
        <v/>
      </c>
      <c r="L42" s="5">
        <f>F42*K42</f>
        <v/>
      </c>
      <c r="M42" s="3" t="inlineStr">
        <is>
          <t>Read off $p_1$ and $p_2$ of the trinomial; natural-number constraint pins $a=1,b=2$.</t>
        </is>
      </c>
      <c r="N42" s="3" t="inlineStr">
        <is>
          <t>Two multinomial coefficients and a small number-theoretic deduction; routine.</t>
        </is>
      </c>
      <c r="O42" s="3" t="inlineStr">
        <is>
          <t>2023-P1-Q13 (L1)</t>
        </is>
      </c>
      <c r="P42" s="2" t="inlineStr">
        <is>
          <t>Medium</t>
        </is>
      </c>
    </row>
    <row r="43">
      <c r="A43" s="2" t="n">
        <v>42</v>
      </c>
      <c r="B43" s="2" t="inlineStr"/>
      <c r="C43" s="2" t="inlineStr">
        <is>
          <t>Q42</t>
        </is>
      </c>
      <c r="D43" s="2" t="inlineStr">
        <is>
          <t>Numerical</t>
        </is>
      </c>
      <c r="E43" s="3" t="inlineStr">
        <is>
          <t>Binomial Theorem</t>
        </is>
      </c>
      <c r="F43" s="2" t="n">
        <v>4</v>
      </c>
      <c r="G43" s="4" t="n">
        <v>1</v>
      </c>
      <c r="H43" s="4" t="inlineStr">
        <is>
          <t>JEE Main level</t>
        </is>
      </c>
      <c r="I43" s="5" t="n">
        <v>0</v>
      </c>
      <c r="J43" s="5" t="n">
        <v>0</v>
      </c>
      <c r="K43" s="5">
        <f>MIN(5,MAX(G43+I43,J43))</f>
        <v/>
      </c>
      <c r="L43" s="5">
        <f>F43*K43</f>
        <v/>
      </c>
      <c r="M43" s="3" t="inlineStr">
        <is>
          <t>$60-7r=18\Rightarrow r=6$.</t>
        </is>
      </c>
      <c r="N43" s="3" t="inlineStr">
        <is>
          <t>Single general-term step.</t>
        </is>
      </c>
      <c r="O43" s="3" t="inlineStr">
        <is>
          <t>2023-P1-Q13 (L1)</t>
        </is>
      </c>
      <c r="P43" s="2" t="inlineStr">
        <is>
          <t>High</t>
        </is>
      </c>
    </row>
    <row r="44">
      <c r="A44" s="2" t="n">
        <v>43</v>
      </c>
      <c r="B44" s="2" t="inlineStr"/>
      <c r="C44" s="2" t="inlineStr">
        <is>
          <t>Q43</t>
        </is>
      </c>
      <c r="D44" s="2" t="inlineStr">
        <is>
          <t>Numerical</t>
        </is>
      </c>
      <c r="E44" s="3" t="inlineStr">
        <is>
          <t>Binomial Theorem</t>
        </is>
      </c>
      <c r="F44" s="2" t="n">
        <v>4</v>
      </c>
      <c r="G44" s="4" t="n">
        <v>1</v>
      </c>
      <c r="H44" s="4" t="inlineStr">
        <is>
          <t>JEE Main level</t>
        </is>
      </c>
      <c r="I44" s="5" t="n">
        <v>0</v>
      </c>
      <c r="J44" s="5" t="n">
        <v>0</v>
      </c>
      <c r="K44" s="5">
        <f>MIN(5,MAX(G44+I44,J44))</f>
        <v/>
      </c>
      <c r="L44" s="5">
        <f>F44*K44</f>
        <v/>
      </c>
      <c r="M44" s="3" t="inlineStr">
        <is>
          <t>Exponent $14-7r=0$ gives $r=2$; then floor.</t>
        </is>
      </c>
      <c r="N44" s="3" t="inlineStr">
        <is>
          <t>One general-term step and a floor.</t>
        </is>
      </c>
      <c r="O44" s="3" t="inlineStr">
        <is>
          <t>2023-P1-Q13 (L1)</t>
        </is>
      </c>
      <c r="P44" s="2" t="inlineStr">
        <is>
          <t>High</t>
        </is>
      </c>
    </row>
    <row r="45">
      <c r="A45" s="2" t="n">
        <v>44</v>
      </c>
      <c r="B45" s="2" t="inlineStr"/>
      <c r="C45" s="2" t="inlineStr">
        <is>
          <t>Q44</t>
        </is>
      </c>
      <c r="D45" s="2" t="inlineStr">
        <is>
          <t>Numerical</t>
        </is>
      </c>
      <c r="E45" s="3" t="inlineStr">
        <is>
          <t>Binomial Theorem</t>
        </is>
      </c>
      <c r="F45" s="2" t="n">
        <v>4</v>
      </c>
      <c r="G45" s="6" t="n">
        <v>2</v>
      </c>
      <c r="H45" s="6" t="inlineStr">
        <is>
          <t>Easier than Advanced</t>
        </is>
      </c>
      <c r="I45" s="5" t="n">
        <v>0</v>
      </c>
      <c r="J45" s="5" t="n">
        <v>0</v>
      </c>
      <c r="K45" s="5">
        <f>MIN(5,MAX(G45+I45,J45))</f>
        <v/>
      </c>
      <c r="L45" s="5">
        <f>F45*K45</f>
        <v/>
      </c>
      <c r="M45" s="3" t="inlineStr">
        <is>
          <t>Weight equation $r_2+3r_3=7$ gives three triples; evaluate three multinomial terms.</t>
        </is>
      </c>
      <c r="N45" s="3" t="inlineStr">
        <is>
          <t>Systematic casework with signs and powers of $2$; one slip changes the answer.</t>
        </is>
      </c>
      <c r="O45" s="3" t="inlineStr">
        <is>
          <t>2026-P2-Q12 (L2)</t>
        </is>
      </c>
      <c r="P45" s="2" t="inlineStr">
        <is>
          <t>Medium</t>
        </is>
      </c>
    </row>
    <row r="46">
      <c r="A46" s="2" t="n">
        <v>45</v>
      </c>
      <c r="B46" s="2" t="inlineStr"/>
      <c r="C46" s="2" t="inlineStr">
        <is>
          <t>Q45</t>
        </is>
      </c>
      <c r="D46" s="2" t="inlineStr">
        <is>
          <t>Numerical</t>
        </is>
      </c>
      <c r="E46" s="3" t="inlineStr">
        <is>
          <t>Binomial Theorem</t>
        </is>
      </c>
      <c r="F46" s="2" t="n">
        <v>4</v>
      </c>
      <c r="G46" s="6" t="n">
        <v>2</v>
      </c>
      <c r="H46" s="6" t="inlineStr">
        <is>
          <t>Easier than Advanced</t>
        </is>
      </c>
      <c r="I46" s="5" t="n">
        <v>0</v>
      </c>
      <c r="J46" s="5" t="n">
        <v>0</v>
      </c>
      <c r="K46" s="5">
        <f>MIN(5,MAX(G46+I46,J46))</f>
        <v/>
      </c>
      <c r="L46" s="5">
        <f>F46*K46</f>
        <v/>
      </c>
      <c r="M46" s="3" t="inlineStr">
        <is>
          <t>Both exponent conditions reduce to $4\mid r$.</t>
        </is>
      </c>
      <c r="N46" s="3" t="inlineStr">
        <is>
          <t>Routine but needs both divisibility conditions checked and counted correctly.</t>
        </is>
      </c>
      <c r="O46" s="3" t="inlineStr">
        <is>
          <t>2026-P2-Q12 (L2)</t>
        </is>
      </c>
      <c r="P46" s="2" t="inlineStr">
        <is>
          <t>Medium</t>
        </is>
      </c>
    </row>
    <row r="47">
      <c r="A47" s="2" t="n">
        <v>46</v>
      </c>
      <c r="B47" s="2" t="inlineStr"/>
      <c r="C47" s="2" t="inlineStr">
        <is>
          <t>Q46</t>
        </is>
      </c>
      <c r="D47" s="2" t="inlineStr">
        <is>
          <t>Numerical</t>
        </is>
      </c>
      <c r="E47" s="3" t="inlineStr">
        <is>
          <t>Binomial Theorem</t>
        </is>
      </c>
      <c r="F47" s="2" t="n">
        <v>4</v>
      </c>
      <c r="G47" s="7" t="n">
        <v>3</v>
      </c>
      <c r="H47" s="7" t="inlineStr">
        <is>
          <t>Average Advanced</t>
        </is>
      </c>
      <c r="I47" s="5" t="n">
        <v>0</v>
      </c>
      <c r="J47" s="5" t="n">
        <v>0</v>
      </c>
      <c r="K47" s="5">
        <f>MIN(5,MAX(G47+I47,J47))</f>
        <v/>
      </c>
      <c r="L47" s="5">
        <f>F47*K47</f>
        <v/>
      </c>
      <c r="M47" s="3" t="inlineStr">
        <is>
          <t>The sum of the coefficients of the remaining terms is $(-5)^n-\alpha$; only $n=4$ fits.</t>
        </is>
      </c>
      <c r="N47" s="3" t="inlineStr">
        <is>
          <t>Parameter chain (constant-term condition, sum of coefficients, locating $n$ by inspection with the bound $n\le15$, then a second coefficient); numerical answer without options.</t>
        </is>
      </c>
      <c r="O47" s="3" t="inlineStr">
        <is>
          <t>2023-P1-Q13 (L1)</t>
        </is>
      </c>
      <c r="P47" s="2" t="inlineStr">
        <is>
          <t>Medium</t>
        </is>
      </c>
    </row>
    <row r="48">
      <c r="A48" s="2" t="n">
        <v>47</v>
      </c>
      <c r="B48" s="2" t="inlineStr"/>
      <c r="C48" s="2" t="inlineStr">
        <is>
          <t>Q47</t>
        </is>
      </c>
      <c r="D48" s="2" t="inlineStr">
        <is>
          <t>Numerical</t>
        </is>
      </c>
      <c r="E48" s="3" t="inlineStr">
        <is>
          <t>Binomial Theorem</t>
        </is>
      </c>
      <c r="F48" s="2" t="n">
        <v>4</v>
      </c>
      <c r="G48" s="4" t="n">
        <v>1</v>
      </c>
      <c r="H48" s="4" t="inlineStr">
        <is>
          <t>JEE Main level</t>
        </is>
      </c>
      <c r="I48" s="5" t="n">
        <v>0</v>
      </c>
      <c r="J48" s="5" t="n">
        <v>0</v>
      </c>
      <c r="K48" s="5">
        <f>MIN(5,MAX(G48+I48,J48))</f>
        <v/>
      </c>
      <c r="L48" s="5">
        <f>F48*K48</f>
        <v/>
      </c>
      <c r="M48" s="3" t="inlineStr">
        <is>
          <t>Repeated squaring modulo $17$, $7^{16}\equiv1$.</t>
        </is>
      </c>
      <c r="N48" s="3" t="inlineStr">
        <is>
          <t>One routine technique (power reduction), one pass.</t>
        </is>
      </c>
      <c r="O48" s="3" t="inlineStr">
        <is>
          <t>2023-P1-Q13 (L1)</t>
        </is>
      </c>
      <c r="P48" s="2" t="inlineStr">
        <is>
          <t>High</t>
        </is>
      </c>
    </row>
    <row r="49">
      <c r="A49" s="2" t="n">
        <v>48</v>
      </c>
      <c r="B49" s="2" t="inlineStr"/>
      <c r="C49" s="2" t="inlineStr">
        <is>
          <t>Q48</t>
        </is>
      </c>
      <c r="D49" s="2" t="inlineStr">
        <is>
          <t>Numerical</t>
        </is>
      </c>
      <c r="E49" s="3" t="inlineStr">
        <is>
          <t>Binomial Theorem</t>
        </is>
      </c>
      <c r="F49" s="2" t="n">
        <v>4</v>
      </c>
      <c r="G49" s="6" t="n">
        <v>2</v>
      </c>
      <c r="H49" s="6" t="inlineStr">
        <is>
          <t>Easier than Advanced</t>
        </is>
      </c>
      <c r="I49" s="5" t="n">
        <v>0</v>
      </c>
      <c r="J49" s="5" t="n">
        <v>0</v>
      </c>
      <c r="K49" s="5">
        <f>MIN(5,MAX(G49+I49,J49))</f>
        <v/>
      </c>
      <c r="L49" s="5">
        <f>F49*K49</f>
        <v/>
      </c>
      <c r="M49" s="3" t="inlineStr">
        <is>
          <t>Period $6$ of powers of $3$ modulo $7$ gives $n\equiv1\pmod 6$; count the A.P. in $[10,100]$.</t>
        </is>
      </c>
      <c r="N49" s="3" t="inlineStr">
        <is>
          <t>Two routine moves (residue cycle, counting terms of an A.P. in a range); easy to slip on the end points.</t>
        </is>
      </c>
      <c r="O49" s="3" t="inlineStr">
        <is>
          <t>2023-P1-Q13 (L1)</t>
        </is>
      </c>
      <c r="P49" s="2" t="inlineStr">
        <is>
          <t>Medium</t>
        </is>
      </c>
    </row>
    <row r="50">
      <c r="A50" s="2" t="n">
        <v>49</v>
      </c>
      <c r="B50" s="2" t="inlineStr"/>
      <c r="C50" s="2" t="inlineStr">
        <is>
          <t>Q49</t>
        </is>
      </c>
      <c r="D50" s="2" t="inlineStr">
        <is>
          <t>SCQ</t>
        </is>
      </c>
      <c r="E50" s="3" t="inlineStr">
        <is>
          <t>Binomial Theorem</t>
        </is>
      </c>
      <c r="F50" s="2" t="n">
        <v>4</v>
      </c>
      <c r="G50" s="4" t="n">
        <v>1</v>
      </c>
      <c r="H50" s="4" t="inlineStr">
        <is>
          <t>JEE Main level</t>
        </is>
      </c>
      <c r="I50" s="5" t="n">
        <v>0</v>
      </c>
      <c r="J50" s="5" t="n">
        <v>0</v>
      </c>
      <c r="K50" s="5">
        <f>MIN(5,MAX(G50+I50,J50))</f>
        <v/>
      </c>
      <c r="L50" s="5">
        <f>F50*K50</f>
        <v/>
      </c>
      <c r="M50" s="3" t="inlineStr">
        <is>
          <t>Substitute $x=1$.</t>
        </is>
      </c>
      <c r="N50" s="3" t="inlineStr">
        <is>
          <t>One familiar step.</t>
        </is>
      </c>
      <c r="O50" s="3" t="inlineStr">
        <is>
          <t>2024-P2-Q3 (L1)</t>
        </is>
      </c>
      <c r="P50" s="2" t="inlineStr">
        <is>
          <t>High</t>
        </is>
      </c>
    </row>
    <row r="51">
      <c r="A51" s="2" t="n">
        <v>50</v>
      </c>
      <c r="B51" s="2" t="inlineStr"/>
      <c r="C51" s="2" t="inlineStr">
        <is>
          <t>Q50</t>
        </is>
      </c>
      <c r="D51" s="2" t="inlineStr">
        <is>
          <t>SCQ</t>
        </is>
      </c>
      <c r="E51" s="3" t="inlineStr">
        <is>
          <t>Binomial Theorem</t>
        </is>
      </c>
      <c r="F51" s="2" t="n">
        <v>4</v>
      </c>
      <c r="G51" s="6" t="n">
        <v>2</v>
      </c>
      <c r="H51" s="6" t="inlineStr">
        <is>
          <t>Easier than Advanced</t>
        </is>
      </c>
      <c r="I51" s="5" t="n">
        <v>0</v>
      </c>
      <c r="J51" s="5" t="n">
        <v>0</v>
      </c>
      <c r="K51" s="5">
        <f>MIN(5,MAX(G51+I51,J51))</f>
        <v/>
      </c>
      <c r="L51" s="5">
        <f>F51*K51</f>
        <v/>
      </c>
      <c r="M51" s="3" t="inlineStr">
        <is>
          <t>Use $\binom{n}{r+1}=\frac{n}{r+1}\binom{n-1}{r}$ and bound $\frac{r+1}{n}\in(0,1]$.</t>
        </is>
      </c>
      <c r="N51" s="3" t="inlineStr">
        <is>
          <t>Two standard steps and an inequality with endpoint decisions; routine.</t>
        </is>
      </c>
      <c r="O51" s="3" t="inlineStr">
        <is>
          <t>2023-P1-Q13 (L1)</t>
        </is>
      </c>
      <c r="P51" s="2" t="inlineStr">
        <is>
          <t>Medium</t>
        </is>
      </c>
    </row>
    <row r="52">
      <c r="A52" s="2" t="n">
        <v>51</v>
      </c>
      <c r="B52" s="2" t="inlineStr"/>
      <c r="C52" s="2" t="inlineStr">
        <is>
          <t>Q51</t>
        </is>
      </c>
      <c r="D52" s="2" t="inlineStr">
        <is>
          <t>SCQ</t>
        </is>
      </c>
      <c r="E52" s="3" t="inlineStr">
        <is>
          <t>Binomial Theorem</t>
        </is>
      </c>
      <c r="F52" s="2" t="n">
        <v>4</v>
      </c>
      <c r="G52" s="7" t="n">
        <v>3</v>
      </c>
      <c r="H52" s="7" t="inlineStr">
        <is>
          <t>Average Advanced</t>
        </is>
      </c>
      <c r="I52" s="5" t="n">
        <v>0</v>
      </c>
      <c r="J52" s="5" t="n">
        <v>0</v>
      </c>
      <c r="K52" s="5">
        <f>MIN(5,MAX(G52+I52,J52))</f>
        <v/>
      </c>
      <c r="L52" s="5">
        <f>F52*K52</f>
        <v/>
      </c>
      <c r="M52" s="3" t="inlineStr">
        <is>
          <t>Pascal's rule twice makes the data collapse into $\binom{n+1}{\cdot}=2$, which is impossible.</t>
        </is>
      </c>
      <c r="N52" s="3" t="inlineStr">
        <is>
          <t>Non-routine: the student must see that no solution exists rather than compute; an option-based question without the expected answer.</t>
        </is>
      </c>
      <c r="O52" s="3" t="inlineStr">
        <is>
          <t>2026-P1-Q7 (L3)</t>
        </is>
      </c>
      <c r="P52" s="2" t="inlineStr">
        <is>
          <t>Low</t>
        </is>
      </c>
    </row>
    <row r="53">
      <c r="A53" s="2" t="n">
        <v>52</v>
      </c>
      <c r="B53" s="2" t="inlineStr"/>
      <c r="C53" s="2" t="inlineStr">
        <is>
          <t>Q52</t>
        </is>
      </c>
      <c r="D53" s="2" t="inlineStr">
        <is>
          <t>SCQ</t>
        </is>
      </c>
      <c r="E53" s="3" t="inlineStr">
        <is>
          <t>Binomial Theorem</t>
        </is>
      </c>
      <c r="F53" s="2" t="n">
        <v>4</v>
      </c>
      <c r="G53" s="4" t="n">
        <v>1</v>
      </c>
      <c r="H53" s="4" t="inlineStr">
        <is>
          <t>JEE Main level</t>
        </is>
      </c>
      <c r="I53" s="5" t="n">
        <v>0</v>
      </c>
      <c r="J53" s="5" t="n">
        <v>0</v>
      </c>
      <c r="K53" s="5">
        <f>MIN(5,MAX(G53+I53,J53))</f>
        <v/>
      </c>
      <c r="L53" s="5">
        <f>F53*K53</f>
        <v/>
      </c>
      <c r="M53" s="3" t="inlineStr">
        <is>
          <t>Same $\binom{18}{6}=\binom{18}{12}$, so only the scalar ratio $3^6/2^6$ remains.</t>
        </is>
      </c>
      <c r="N53" s="3" t="inlineStr">
        <is>
          <t>One familiar move (symmetry of binomial coefficients).</t>
        </is>
      </c>
      <c r="O53" s="3" t="inlineStr">
        <is>
          <t>2023-P1-Q13 (L1)</t>
        </is>
      </c>
      <c r="P53" s="2" t="inlineStr">
        <is>
          <t>High</t>
        </is>
      </c>
    </row>
    <row r="54">
      <c r="A54" s="2" t="n">
        <v>53</v>
      </c>
      <c r="B54" s="2" t="inlineStr"/>
      <c r="C54" s="2" t="inlineStr">
        <is>
          <t>Q53</t>
        </is>
      </c>
      <c r="D54" s="2" t="inlineStr">
        <is>
          <t>Numerical</t>
        </is>
      </c>
      <c r="E54" s="3" t="inlineStr">
        <is>
          <t>Binomial Theorem</t>
        </is>
      </c>
      <c r="F54" s="2" t="n">
        <v>4</v>
      </c>
      <c r="G54" s="6" t="n">
        <v>2</v>
      </c>
      <c r="H54" s="6" t="inlineStr">
        <is>
          <t>Easier than Advanced</t>
        </is>
      </c>
      <c r="I54" s="5" t="n">
        <v>0</v>
      </c>
      <c r="J54" s="5" t="n">
        <v>0</v>
      </c>
      <c r="K54" s="5">
        <f>MIN(5,MAX(G54+I54,J54))</f>
        <v/>
      </c>
      <c r="L54" s="5">
        <f>F54*K54</f>
        <v/>
      </c>
      <c r="M54" s="3" t="inlineStr">
        <is>
          <t>Combine $(1-x)(1+x+x^2)=1-x^3$ to get $(1-x)(1-x^3)^{2007}$ and read residues of the exponent mod $3$.</t>
        </is>
      </c>
      <c r="N54" s="3" t="inlineStr">
        <is>
          <t>One recognisable factorisation then a congruence argument; routine for a prepared student.</t>
        </is>
      </c>
      <c r="O54" s="3" t="inlineStr">
        <is>
          <t>2026-P2-Q12 (L2)</t>
        </is>
      </c>
      <c r="P54" s="2" t="inlineStr">
        <is>
          <t>Medium</t>
        </is>
      </c>
    </row>
    <row r="55">
      <c r="A55" s="2" t="n">
        <v>54</v>
      </c>
      <c r="B55" s="2" t="inlineStr"/>
      <c r="C55" s="2" t="inlineStr">
        <is>
          <t>Q54</t>
        </is>
      </c>
      <c r="D55" s="2" t="inlineStr">
        <is>
          <t>Numerical</t>
        </is>
      </c>
      <c r="E55" s="3" t="inlineStr">
        <is>
          <t>Binomial Theorem</t>
        </is>
      </c>
      <c r="F55" s="2" t="n">
        <v>4</v>
      </c>
      <c r="G55" s="6" t="n">
        <v>2</v>
      </c>
      <c r="H55" s="6" t="inlineStr">
        <is>
          <t>Easier than Advanced</t>
        </is>
      </c>
      <c r="I55" s="5" t="n">
        <v>0</v>
      </c>
      <c r="J55" s="5" t="n">
        <v>0</v>
      </c>
      <c r="K55" s="5">
        <f>MIN(5,MAX(G55+I55,J55))</f>
        <v/>
      </c>
      <c r="L55" s="5">
        <f>F55*K55</f>
        <v/>
      </c>
      <c r="M55" s="3" t="inlineStr">
        <is>
          <t>Convert $\frac1{r+1}\binom{11}{r}$ to $\frac1{12}\binom{12}{r+1}$ and subtract the missing end terms from $2^{12}$.</t>
        </is>
      </c>
      <c r="N55" s="3" t="inlineStr">
        <is>
          <t>One identity plus careful accounting of which terms to remove; numerical answer in lowest terms.</t>
        </is>
      </c>
      <c r="O55" s="3" t="inlineStr">
        <is>
          <t>2023-P1-Q13 (L1)</t>
        </is>
      </c>
      <c r="P55" s="2" t="inlineStr">
        <is>
          <t>Medium</t>
        </is>
      </c>
    </row>
    <row r="56">
      <c r="A56" s="2" t="n">
        <v>55</v>
      </c>
      <c r="B56" s="2" t="inlineStr"/>
      <c r="C56" s="2" t="inlineStr">
        <is>
          <t>Q55</t>
        </is>
      </c>
      <c r="D56" s="2" t="inlineStr">
        <is>
          <t>Numerical</t>
        </is>
      </c>
      <c r="E56" s="3" t="inlineStr">
        <is>
          <t>Binomial Theorem</t>
        </is>
      </c>
      <c r="F56" s="2" t="n">
        <v>4</v>
      </c>
      <c r="G56" s="4" t="n">
        <v>1</v>
      </c>
      <c r="H56" s="4" t="inlineStr">
        <is>
          <t>JEE Main level</t>
        </is>
      </c>
      <c r="I56" s="5" t="n">
        <v>0</v>
      </c>
      <c r="J56" s="5" t="n">
        <v>0</v>
      </c>
      <c r="K56" s="5">
        <f>MIN(5,MAX(G56+I56,J56))</f>
        <v/>
      </c>
      <c r="L56" s="5">
        <f>F56*K56</f>
        <v/>
      </c>
      <c r="M56" s="3" t="inlineStr">
        <is>
          <t>$64\equiv1\pmod 9$.</t>
        </is>
      </c>
      <c r="N56" s="3" t="inlineStr">
        <is>
          <t>One familiar observation.</t>
        </is>
      </c>
      <c r="O56" s="3" t="inlineStr">
        <is>
          <t>2024-P2-Q3 (L1)</t>
        </is>
      </c>
      <c r="P56" s="2" t="inlineStr">
        <is>
          <t>High</t>
        </is>
      </c>
    </row>
    <row r="57">
      <c r="A57" s="2" t="n">
        <v>56</v>
      </c>
      <c r="B57" s="2" t="inlineStr"/>
      <c r="C57" s="2" t="inlineStr">
        <is>
          <t>Q56</t>
        </is>
      </c>
      <c r="D57" s="2" t="inlineStr">
        <is>
          <t>Numerical</t>
        </is>
      </c>
      <c r="E57" s="3" t="inlineStr">
        <is>
          <t>Binomial Theorem</t>
        </is>
      </c>
      <c r="F57" s="2" t="n">
        <v>4</v>
      </c>
      <c r="G57" s="6" t="n">
        <v>2</v>
      </c>
      <c r="H57" s="6" t="inlineStr">
        <is>
          <t>Easier than Advanced</t>
        </is>
      </c>
      <c r="I57" s="5" t="n">
        <v>0</v>
      </c>
      <c r="J57" s="5" t="n">
        <v>0</v>
      </c>
      <c r="K57" s="5">
        <f>MIN(5,MAX(G57+I57,J57))</f>
        <v/>
      </c>
      <c r="L57" s="5">
        <f>F57*K57</f>
        <v/>
      </c>
      <c r="M57" s="3" t="inlineStr">
        <is>
          <t>Two divisibility conditions on $r$, one of which implies the other.</t>
        </is>
      </c>
      <c r="N57" s="3" t="inlineStr">
        <is>
          <t>Routine but needs both conditions and the endpoint count.</t>
        </is>
      </c>
      <c r="O57" s="3" t="inlineStr">
        <is>
          <t>2026-P2-Q12 (L2)</t>
        </is>
      </c>
      <c r="P57" s="2" t="inlineStr">
        <is>
          <t>Medium</t>
        </is>
      </c>
    </row>
    <row r="58">
      <c r="A58" s="2" t="n">
        <v>57</v>
      </c>
      <c r="B58" s="2" t="inlineStr"/>
      <c r="C58" s="2" t="inlineStr">
        <is>
          <t>Q57</t>
        </is>
      </c>
      <c r="D58" s="2" t="inlineStr">
        <is>
          <t>Numerical</t>
        </is>
      </c>
      <c r="E58" s="3" t="inlineStr">
        <is>
          <t>Binomial Theorem</t>
        </is>
      </c>
      <c r="F58" s="2" t="n">
        <v>4</v>
      </c>
      <c r="G58" s="7" t="n">
        <v>3</v>
      </c>
      <c r="H58" s="7" t="inlineStr">
        <is>
          <t>Average Advanced</t>
        </is>
      </c>
      <c r="I58" s="5" t="n">
        <v>0</v>
      </c>
      <c r="J58" s="5" t="n">
        <v>0</v>
      </c>
      <c r="K58" s="5">
        <f>MIN(5,MAX(G58+I58,J58))</f>
        <v/>
      </c>
      <c r="L58" s="5">
        <f>F58*K58</f>
        <v/>
      </c>
      <c r="M58" s="3" t="inlineStr">
        <is>
          <t>Absorption identity to convert both sums into Vandermonde form, and the ratio $\binom{2n+1}{n+2}\big/\binom{2n+1}{n+1}=\frac{n}{n+2}$.</t>
        </is>
      </c>
      <c r="N58" s="3" t="inlineStr">
        <is>
          <t>Two sums each needing an identity chain (absorption then Vandermonde with shifted indices); numerical answer, easy to slip on the index sums.</t>
        </is>
      </c>
      <c r="O58" s="3" t="inlineStr">
        <is>
          <t>2026-P1-Q11 (L3)</t>
        </is>
      </c>
      <c r="P58" s="2" t="inlineStr">
        <is>
          <t>Medium</t>
        </is>
      </c>
    </row>
    <row r="59">
      <c r="A59" s="2" t="n">
        <v>58</v>
      </c>
      <c r="B59" s="2" t="inlineStr"/>
      <c r="C59" s="2" t="inlineStr">
        <is>
          <t>Q58</t>
        </is>
      </c>
      <c r="D59" s="2" t="inlineStr">
        <is>
          <t>Numerical</t>
        </is>
      </c>
      <c r="E59" s="3" t="inlineStr">
        <is>
          <t>Binomial Theorem</t>
        </is>
      </c>
      <c r="F59" s="2" t="n">
        <v>4</v>
      </c>
      <c r="G59" s="7" t="n">
        <v>3</v>
      </c>
      <c r="H59" s="7" t="inlineStr">
        <is>
          <t>Average Advanced</t>
        </is>
      </c>
      <c r="I59" s="5" t="n">
        <v>0</v>
      </c>
      <c r="J59" s="5" t="n">
        <v>0</v>
      </c>
      <c r="K59" s="5">
        <f>MIN(5,MAX(G59+I59,J59))</f>
        <v/>
      </c>
      <c r="L59" s="5">
        <f>F59*K59</f>
        <v/>
      </c>
      <c r="M59" s="3" t="inlineStr">
        <is>
          <t>Recognise $\left(1+\frac1x\right)^3$ and $(1-x^2)=(1-x)(1+x)$ to collapse the expression to $\frac{(1-x)(1+x)^{17}}{x^{15}}$.</t>
        </is>
      </c>
      <c r="N59" s="3" t="inlineStr">
        <is>
          <t>Four stages: spot the cube, factor, shift exponents by $15$, extract two coefficients (one at the boundary where it is $-1$); numerical answer without options.</t>
        </is>
      </c>
      <c r="O59" s="3" t="inlineStr">
        <is>
          <t>2026-P2-Q12 (L2)</t>
        </is>
      </c>
      <c r="P59" s="2" t="inlineStr">
        <is>
          <t>Medium</t>
        </is>
      </c>
    </row>
    <row r="60">
      <c r="A60" s="2" t="n">
        <v>59</v>
      </c>
      <c r="B60" s="2" t="inlineStr"/>
      <c r="C60" s="2" t="inlineStr">
        <is>
          <t>Q59</t>
        </is>
      </c>
      <c r="D60" s="2" t="inlineStr">
        <is>
          <t>Numerical</t>
        </is>
      </c>
      <c r="E60" s="3" t="inlineStr">
        <is>
          <t>Binomial Theorem</t>
        </is>
      </c>
      <c r="F60" s="2" t="n">
        <v>4</v>
      </c>
      <c r="G60" s="6" t="n">
        <v>2</v>
      </c>
      <c r="H60" s="6" t="inlineStr">
        <is>
          <t>Easier than Advanced</t>
        </is>
      </c>
      <c r="I60" s="5" t="n">
        <v>0</v>
      </c>
      <c r="J60" s="5" t="n">
        <v>0</v>
      </c>
      <c r="K60" s="5">
        <f>MIN(5,MAX(G60+I60,J60))</f>
        <v/>
      </c>
      <c r="L60" s="5">
        <f>F60*K60</f>
        <v/>
      </c>
      <c r="M60" s="3" t="inlineStr">
        <is>
          <t>Recognise the G.P. and its sum $(x+3)^n-(x+2)^n$; then set $x=1$.</t>
        </is>
      </c>
      <c r="N60" s="3" t="inlineStr">
        <is>
          <t>Two routine steps (sum of a G.P., sum of coefficients) and matching $\beta,\gamma$.</t>
        </is>
      </c>
      <c r="O60" s="3" t="inlineStr">
        <is>
          <t>2026-P2-Q3 (L2)</t>
        </is>
      </c>
      <c r="P60" s="2" t="inlineStr">
        <is>
          <t>High</t>
        </is>
      </c>
    </row>
    <row r="61">
      <c r="A61" s="2" t="n">
        <v>60</v>
      </c>
      <c r="B61" s="2" t="inlineStr"/>
      <c r="C61" s="2" t="inlineStr">
        <is>
          <t>Q60</t>
        </is>
      </c>
      <c r="D61" s="2" t="inlineStr">
        <is>
          <t>Numerical</t>
        </is>
      </c>
      <c r="E61" s="3" t="inlineStr">
        <is>
          <t>Binomial Theorem</t>
        </is>
      </c>
      <c r="F61" s="2" t="n">
        <v>4</v>
      </c>
      <c r="G61" s="8" t="n">
        <v>4</v>
      </c>
      <c r="H61" s="8" t="inlineStr">
        <is>
          <t>Slightly difficult</t>
        </is>
      </c>
      <c r="I61" s="5" t="n">
        <v>0</v>
      </c>
      <c r="J61" s="5" t="n">
        <v>0</v>
      </c>
      <c r="K61" s="5">
        <f>MIN(5,MAX(G61+I61,J61))</f>
        <v/>
      </c>
      <c r="L61" s="5">
        <f>F61*K61</f>
        <v/>
      </c>
      <c r="M61" s="3" t="inlineStr">
        <is>
          <t>Convert to a coefficient of $x^{36}$ in a three-factor product and enumerate $(r_1,r_2,r_3)$ with $r_1+2r_2+3r_3=36$ and the bounds $r_i\le$ exponent; (or use palindromic symmetry to reduce to $x^{8}$).</t>
        </is>
      </c>
      <c r="N61" s="3" t="inlineStr">
        <is>
          <t>Long, precise casework (nine triples with signs and binomial products) with no options to check against; one slip changes the answer. Heavy but routine per term, so only L4.</t>
        </is>
      </c>
      <c r="O61" s="3" t="inlineStr">
        <is>
          <t>2026-P2-Q14 (L4)</t>
        </is>
      </c>
      <c r="P61" s="2" t="inlineStr">
        <is>
          <t>Medium</t>
        </is>
      </c>
    </row>
    <row r="62">
      <c r="A62" s="2" t="n">
        <v>61</v>
      </c>
      <c r="B62" s="2" t="inlineStr"/>
      <c r="C62" s="2" t="inlineStr">
        <is>
          <t>Q61</t>
        </is>
      </c>
      <c r="D62" s="2" t="inlineStr">
        <is>
          <t>SCQ</t>
        </is>
      </c>
      <c r="E62" s="3" t="inlineStr">
        <is>
          <t>Binomial Theorem</t>
        </is>
      </c>
      <c r="F62" s="2" t="n">
        <v>4</v>
      </c>
      <c r="G62" s="4" t="n">
        <v>1</v>
      </c>
      <c r="H62" s="4" t="inlineStr">
        <is>
          <t>JEE Main level</t>
        </is>
      </c>
      <c r="I62" s="5" t="n">
        <v>0</v>
      </c>
      <c r="J62" s="5" t="n">
        <v>0</v>
      </c>
      <c r="K62" s="5">
        <f>MIN(5,MAX(G62+I62,J62))</f>
        <v/>
      </c>
      <c r="L62" s="5">
        <f>F62*K62</f>
        <v/>
      </c>
      <c r="M62" s="3" t="inlineStr">
        <is>
          <t>Divisibility conditions on $r$ leave only the two end terms.</t>
        </is>
      </c>
      <c r="N62" s="3" t="inlineStr">
        <is>
          <t>One familiar technique, short.</t>
        </is>
      </c>
      <c r="O62" s="3" t="inlineStr">
        <is>
          <t>2023-P1-Q13 (L1)</t>
        </is>
      </c>
      <c r="P62" s="2" t="inlineStr">
        <is>
          <t>High</t>
        </is>
      </c>
    </row>
    <row r="63">
      <c r="A63" s="2" t="n">
        <v>62</v>
      </c>
      <c r="B63" s="2" t="inlineStr"/>
      <c r="C63" s="2" t="inlineStr">
        <is>
          <t>Q62</t>
        </is>
      </c>
      <c r="D63" s="2" t="inlineStr">
        <is>
          <t>SCQ</t>
        </is>
      </c>
      <c r="E63" s="3" t="inlineStr">
        <is>
          <t>Binomial Theorem</t>
        </is>
      </c>
      <c r="F63" s="2" t="n">
        <v>4</v>
      </c>
      <c r="G63" s="6" t="n">
        <v>2</v>
      </c>
      <c r="H63" s="6" t="inlineStr">
        <is>
          <t>Easier than Advanced</t>
        </is>
      </c>
      <c r="I63" s="5" t="n">
        <v>0</v>
      </c>
      <c r="J63" s="5" t="n">
        <v>0</v>
      </c>
      <c r="K63" s="5">
        <f>MIN(5,MAX(G63+I63,J63))</f>
        <v/>
      </c>
      <c r="L63" s="5">
        <f>F63*K63</f>
        <v/>
      </c>
      <c r="M63" s="3" t="inlineStr">
        <is>
          <t>Convert the A.P. condition into a quadratic in $n$ by dividing by a common factorial factor.</t>
        </is>
      </c>
      <c r="N63" s="3" t="inlineStr">
        <is>
          <t>Routine algebra with factorials; no extra idea but several steps where a slip changes the quadratic.</t>
        </is>
      </c>
      <c r="O63" s="3" t="inlineStr">
        <is>
          <t>2023-P1-Q13 (L1)</t>
        </is>
      </c>
      <c r="P63" s="2" t="inlineStr">
        <is>
          <t>Medium</t>
        </is>
      </c>
    </row>
    <row r="64">
      <c r="A64" s="2" t="n">
        <v>63</v>
      </c>
      <c r="B64" s="2" t="inlineStr"/>
      <c r="C64" s="2" t="inlineStr">
        <is>
          <t>Q63</t>
        </is>
      </c>
      <c r="D64" s="2" t="inlineStr">
        <is>
          <t>SCQ</t>
        </is>
      </c>
      <c r="E64" s="3" t="inlineStr">
        <is>
          <t>Binomial Theorem</t>
        </is>
      </c>
      <c r="F64" s="2" t="n">
        <v>4</v>
      </c>
      <c r="G64" s="6" t="n">
        <v>2</v>
      </c>
      <c r="H64" s="6" t="inlineStr">
        <is>
          <t>Easier than Advanced</t>
        </is>
      </c>
      <c r="I64" s="5" t="n">
        <v>0</v>
      </c>
      <c r="J64" s="5" t="n">
        <v>0</v>
      </c>
      <c r="K64" s="5">
        <f>MIN(5,MAX(G64+I64,J64))</f>
        <v/>
      </c>
      <c r="L64" s="5">
        <f>F64*K64</f>
        <v/>
      </c>
      <c r="M64" s="3" t="inlineStr">
        <is>
          <t>Constant term at $r=6$; then factor $924$ and compare surd parts.</t>
        </is>
      </c>
      <c r="N64" s="3" t="inlineStr">
        <is>
          <t>Single general-term step with surd bookkeeping; arithmetic risk only.</t>
        </is>
      </c>
      <c r="O64" s="3" t="inlineStr">
        <is>
          <t>2023-P1-Q13 (L1)</t>
        </is>
      </c>
      <c r="P64" s="2" t="inlineStr">
        <is>
          <t>Medium</t>
        </is>
      </c>
    </row>
    <row r="65">
      <c r="A65" s="2" t="n">
        <v>64</v>
      </c>
      <c r="B65" s="2" t="inlineStr"/>
      <c r="C65" s="2" t="inlineStr">
        <is>
          <t>Q64</t>
        </is>
      </c>
      <c r="D65" s="2" t="inlineStr">
        <is>
          <t>SCQ</t>
        </is>
      </c>
      <c r="E65" s="3" t="inlineStr">
        <is>
          <t>Binomial Theorem</t>
        </is>
      </c>
      <c r="F65" s="2" t="n">
        <v>4</v>
      </c>
      <c r="G65" s="6" t="n">
        <v>2</v>
      </c>
      <c r="H65" s="6" t="inlineStr">
        <is>
          <t>Easier than Advanced</t>
        </is>
      </c>
      <c r="I65" s="5" t="n">
        <v>0</v>
      </c>
      <c r="J65" s="5" t="n">
        <v>0</v>
      </c>
      <c r="K65" s="5">
        <f>MIN(5,MAX(G65+I65,J65))</f>
        <v/>
      </c>
      <c r="L65" s="5">
        <f>F65*K65</f>
        <v/>
      </c>
      <c r="M65" s="3" t="inlineStr">
        <is>
          <t>Express all three coefficients as multiples of $\binom nr$.</t>
        </is>
      </c>
      <c r="N65" s="3" t="inlineStr">
        <is>
          <t>Standard ratio technique producing two linear equations; routine.</t>
        </is>
      </c>
      <c r="O65" s="3" t="inlineStr">
        <is>
          <t>2023-P1-Q13 (L1)</t>
        </is>
      </c>
      <c r="P65" s="2" t="inlineStr">
        <is>
          <t>High</t>
        </is>
      </c>
    </row>
    <row r="66">
      <c r="A66" s="2" t="n">
        <v>65</v>
      </c>
      <c r="B66" s="2" t="inlineStr"/>
      <c r="C66" s="2" t="inlineStr">
        <is>
          <t>Q65</t>
        </is>
      </c>
      <c r="D66" s="2" t="inlineStr">
        <is>
          <t>SCQ</t>
        </is>
      </c>
      <c r="E66" s="3" t="inlineStr">
        <is>
          <t>Binomial Theorem</t>
        </is>
      </c>
      <c r="F66" s="2" t="n">
        <v>4</v>
      </c>
      <c r="G66" s="4" t="n">
        <v>1</v>
      </c>
      <c r="H66" s="4" t="inlineStr">
        <is>
          <t>JEE Main level</t>
        </is>
      </c>
      <c r="I66" s="5" t="n">
        <v>0</v>
      </c>
      <c r="J66" s="5" t="n">
        <v>0</v>
      </c>
      <c r="K66" s="5">
        <f>MIN(5,MAX(G66+I66,J66))</f>
        <v/>
      </c>
      <c r="L66" s="5">
        <f>F66*K66</f>
        <v/>
      </c>
      <c r="M66" s="3" t="inlineStr">
        <is>
          <t>$20-5r=0$, then solve $\binom{10}{4}\frac{a^3}{16}=105$.</t>
        </is>
      </c>
      <c r="N66" s="3" t="inlineStr">
        <is>
          <t>One general-term step.</t>
        </is>
      </c>
      <c r="O66" s="3" t="inlineStr">
        <is>
          <t>2023-P1-Q13 (L1)</t>
        </is>
      </c>
      <c r="P66" s="2" t="inlineStr">
        <is>
          <t>High</t>
        </is>
      </c>
    </row>
    <row r="67">
      <c r="A67" s="2" t="n">
        <v>66</v>
      </c>
      <c r="B67" s="2" t="inlineStr"/>
      <c r="C67" s="2" t="inlineStr">
        <is>
          <t>Q66</t>
        </is>
      </c>
      <c r="D67" s="2" t="inlineStr">
        <is>
          <t>SCQ</t>
        </is>
      </c>
      <c r="E67" s="3" t="inlineStr">
        <is>
          <t>Binomial Theorem</t>
        </is>
      </c>
      <c r="F67" s="2" t="n">
        <v>4</v>
      </c>
      <c r="G67" s="7" t="n">
        <v>3</v>
      </c>
      <c r="H67" s="7" t="inlineStr">
        <is>
          <t>Average Advanced</t>
        </is>
      </c>
      <c r="I67" s="5" t="n">
        <v>0</v>
      </c>
      <c r="J67" s="5" t="n">
        <v>0</v>
      </c>
      <c r="K67" s="5">
        <f>MIN(5,MAX(G67+I67,J67))</f>
        <v/>
      </c>
      <c r="L67" s="5">
        <f>F67*K67</f>
        <v/>
      </c>
      <c r="M67" s="3" t="inlineStr">
        <is>
          <t>Reduce to a hockey-stick sum $\sum\binom m{30}$ (or sum the G.P.), then read $p,q$ using the symmetry $\binom nk=\binom n{n-k}$.</t>
        </is>
      </c>
      <c r="N67" s="3" t="inlineStr">
        <is>
          <t>Two linked ideas (G.P./hockey stick plus symmetry for the 'possible value' wording); option-based, so a student can also check by $p+q=83$.</t>
        </is>
      </c>
      <c r="O67" s="3" t="inlineStr">
        <is>
          <t>2026-P1-Q11 (L3)</t>
        </is>
      </c>
      <c r="P67" s="2" t="inlineStr">
        <is>
          <t>Medium</t>
        </is>
      </c>
    </row>
    <row r="68">
      <c r="A68" s="2" t="n">
        <v>67</v>
      </c>
      <c r="B68" s="2" t="inlineStr"/>
      <c r="C68" s="2" t="inlineStr">
        <is>
          <t>Q67</t>
        </is>
      </c>
      <c r="D68" s="2" t="inlineStr">
        <is>
          <t>SCQ</t>
        </is>
      </c>
      <c r="E68" s="3" t="inlineStr">
        <is>
          <t>Binomial Theorem</t>
        </is>
      </c>
      <c r="F68" s="2" t="n">
        <v>4</v>
      </c>
      <c r="G68" s="6" t="n">
        <v>2</v>
      </c>
      <c r="H68" s="6" t="inlineStr">
        <is>
          <t>Easier than Advanced</t>
        </is>
      </c>
      <c r="I68" s="5" t="n">
        <v>0</v>
      </c>
      <c r="J68" s="5" t="n">
        <v>0</v>
      </c>
      <c r="K68" s="5">
        <f>MIN(5,MAX(G68+I68,J68))</f>
        <v/>
      </c>
      <c r="L68" s="5">
        <f>F68*K68</f>
        <v/>
      </c>
      <c r="M68" s="3" t="inlineStr">
        <is>
          <t>Two exponent equations with fractional powers fix $r=5,6$.</t>
        </is>
      </c>
      <c r="N68" s="3" t="inlineStr">
        <is>
          <t>Two general-term evaluations with fractional arithmetic; routine.</t>
        </is>
      </c>
      <c r="O68" s="3" t="inlineStr">
        <is>
          <t>2023-P1-Q13 (L1)</t>
        </is>
      </c>
      <c r="P68" s="2" t="inlineStr">
        <is>
          <t>Medium</t>
        </is>
      </c>
    </row>
    <row r="69">
      <c r="A69" s="2" t="n">
        <v>68</v>
      </c>
      <c r="B69" s="2" t="inlineStr"/>
      <c r="C69" s="2" t="inlineStr">
        <is>
          <t>Q68</t>
        </is>
      </c>
      <c r="D69" s="2" t="inlineStr">
        <is>
          <t>Numerical</t>
        </is>
      </c>
      <c r="E69" s="3" t="inlineStr">
        <is>
          <t>Binomial Theorem</t>
        </is>
      </c>
      <c r="F69" s="2" t="n">
        <v>4</v>
      </c>
      <c r="G69" s="7" t="n">
        <v>3</v>
      </c>
      <c r="H69" s="7" t="inlineStr">
        <is>
          <t>Average Advanced</t>
        </is>
      </c>
      <c r="I69" s="5" t="n">
        <v>0</v>
      </c>
      <c r="J69" s="5" t="n">
        <v>0</v>
      </c>
      <c r="K69" s="5">
        <f>MIN(5,MAX(G69+I69,J69))</f>
        <v/>
      </c>
      <c r="L69" s="5">
        <f>F69*K69</f>
        <v/>
      </c>
      <c r="M69" s="3" t="inlineStr">
        <is>
          <t>Split $\frac{r(r-1)}{(r+1)!}$ into $\frac{1}{(r-1)!}-\frac2{r!}+\frac2{(r+1)!}$ and recognise $b=\sum\frac{2^n}{n!}=e^2$.</t>
        </is>
      </c>
      <c r="N69" s="3" t="inlineStr">
        <is>
          <t>Two series, one of which needs a non-obvious decomposition and an index shift; numerical answer.</t>
        </is>
      </c>
      <c r="O69" s="3" t="inlineStr">
        <is>
          <t>2021-P1-Q15 (L3)</t>
        </is>
      </c>
      <c r="P69" s="2" t="inlineStr">
        <is>
          <t>Medium</t>
        </is>
      </c>
    </row>
    <row r="70">
      <c r="A70" s="2" t="n">
        <v>69</v>
      </c>
      <c r="B70" s="2" t="inlineStr"/>
      <c r="C70" s="2" t="inlineStr">
        <is>
          <t>Q69</t>
        </is>
      </c>
      <c r="D70" s="2" t="inlineStr">
        <is>
          <t>Numerical</t>
        </is>
      </c>
      <c r="E70" s="3" t="inlineStr">
        <is>
          <t>Binomial Theorem</t>
        </is>
      </c>
      <c r="F70" s="2" t="n">
        <v>4</v>
      </c>
      <c r="G70" s="6" t="n">
        <v>2</v>
      </c>
      <c r="H70" s="6" t="inlineStr">
        <is>
          <t>Easier than Advanced</t>
        </is>
      </c>
      <c r="I70" s="5" t="n">
        <v>0</v>
      </c>
      <c r="J70" s="5" t="n">
        <v>0</v>
      </c>
      <c r="K70" s="5">
        <f>MIN(5,MAX(G70+I70,J70))</f>
        <v/>
      </c>
      <c r="L70" s="5">
        <f>F70*K70</f>
        <v/>
      </c>
      <c r="M70" s="3" t="inlineStr">
        <is>
          <t>Constant term of a product: $T_7$ and $T_8$ only, because the exponents in the second factor are multiples of $3$.</t>
        </is>
      </c>
      <c r="N70" s="3" t="inlineStr">
        <is>
          <t>General-term steps repeated for two terms with fractional constants; routine.</t>
        </is>
      </c>
      <c r="O70" s="3" t="inlineStr">
        <is>
          <t>2023-P1-Q13 (L1)</t>
        </is>
      </c>
      <c r="P70" s="2" t="inlineStr">
        <is>
          <t>Medium</t>
        </is>
      </c>
    </row>
    <row r="71">
      <c r="A71" s="2" t="n">
        <v>70</v>
      </c>
      <c r="B71" s="2" t="inlineStr"/>
      <c r="C71" s="2" t="inlineStr">
        <is>
          <t>Q70</t>
        </is>
      </c>
      <c r="D71" s="2" t="inlineStr">
        <is>
          <t>Numerical</t>
        </is>
      </c>
      <c r="E71" s="3" t="inlineStr">
        <is>
          <t>Binomial Theorem</t>
        </is>
      </c>
      <c r="F71" s="2" t="n">
        <v>4</v>
      </c>
      <c r="G71" s="8" t="n">
        <v>4</v>
      </c>
      <c r="H71" s="8" t="inlineStr">
        <is>
          <t>Slightly difficult</t>
        </is>
      </c>
      <c r="I71" s="5" t="n">
        <v>0</v>
      </c>
      <c r="J71" s="5" t="n">
        <v>0</v>
      </c>
      <c r="K71" s="5">
        <f>MIN(5,MAX(G71+I71,J71))</f>
        <v/>
      </c>
      <c r="L71" s="5">
        <f>F71*K71</f>
        <v/>
      </c>
      <c r="M71" s="3" t="inlineStr">
        <is>
          <t>Spot $t^n/(n(n+1))$ with $t=1-\sqrt{2/3}$, split it by partial fractions, and sum the logarithmic series.</t>
        </is>
      </c>
      <c r="N71" s="3" t="inlineStr">
        <is>
          <t>Unusual surd-heavy series: identifying the pattern from three messy terms is the key idea; then logarithmic series algebra with surd simplification.</t>
        </is>
      </c>
      <c r="O71" s="3" t="inlineStr">
        <is>
          <t>2025-P2-Q16 (L4)</t>
        </is>
      </c>
      <c r="P71" s="2" t="inlineStr">
        <is>
          <t>Medium</t>
        </is>
      </c>
    </row>
    <row r="72">
      <c r="A72" s="2" t="n">
        <v>71</v>
      </c>
      <c r="B72" s="2" t="inlineStr"/>
      <c r="C72" s="2" t="inlineStr">
        <is>
          <t>Q71</t>
        </is>
      </c>
      <c r="D72" s="2" t="inlineStr">
        <is>
          <t>Numerical</t>
        </is>
      </c>
      <c r="E72" s="3" t="inlineStr">
        <is>
          <t>Binomial Theorem</t>
        </is>
      </c>
      <c r="F72" s="2" t="n">
        <v>4</v>
      </c>
      <c r="G72" s="6" t="n">
        <v>2</v>
      </c>
      <c r="H72" s="6" t="inlineStr">
        <is>
          <t>Easier than Advanced</t>
        </is>
      </c>
      <c r="I72" s="5" t="n">
        <v>0</v>
      </c>
      <c r="J72" s="5" t="n">
        <v>0</v>
      </c>
      <c r="K72" s="5">
        <f>MIN(5,MAX(G72+I72,J72))</f>
        <v/>
      </c>
      <c r="L72" s="5">
        <f>F72*K72</f>
        <v/>
      </c>
      <c r="M72" s="3" t="inlineStr">
        <is>
          <t>The ratio $\frac{T_2T_4}{T_3^2}$ depends only on $n$, giving $n=5$; then $x,y$ follow.</t>
        </is>
      </c>
      <c r="N72" s="3" t="inlineStr">
        <is>
          <t>Three equations, two eliminations, one substitution; routine but multi-step.</t>
        </is>
      </c>
      <c r="O72" s="3" t="inlineStr">
        <is>
          <t>2023-P1-Q13 (L1)</t>
        </is>
      </c>
      <c r="P72" s="2" t="inlineStr">
        <is>
          <t>Medium</t>
        </is>
      </c>
    </row>
    <row r="73">
      <c r="A73" s="2" t="n">
        <v>72</v>
      </c>
      <c r="B73" s="2" t="inlineStr"/>
      <c r="C73" s="2" t="inlineStr">
        <is>
          <t>Q72</t>
        </is>
      </c>
      <c r="D73" s="2" t="inlineStr">
        <is>
          <t>Numerical</t>
        </is>
      </c>
      <c r="E73" s="3" t="inlineStr">
        <is>
          <t>Binomial Theorem</t>
        </is>
      </c>
      <c r="F73" s="2" t="n">
        <v>4</v>
      </c>
      <c r="G73" s="7" t="n">
        <v>3</v>
      </c>
      <c r="H73" s="7" t="inlineStr">
        <is>
          <t>Average Advanced</t>
        </is>
      </c>
      <c r="I73" s="5" t="n">
        <v>0</v>
      </c>
      <c r="J73" s="5" t="n">
        <v>0</v>
      </c>
      <c r="K73" s="5">
        <f>MIN(5,MAX(G73+I73,J73))</f>
        <v/>
      </c>
      <c r="L73" s="5">
        <f>F73*K73</f>
        <v/>
      </c>
      <c r="M73" s="3" t="inlineStr">
        <is>
          <t>Reduce both sums to closed forms ($2^n(n+1)^2$ and $\frac{2^{n+1}}{n+1}$); their ratio is the cube $(n+1)^3$.</t>
        </is>
      </c>
      <c r="N73" s="3" t="inlineStr">
        <is>
          <t>Three stages (falling-factorial basis, integration identity, cube inequality); numerical answer, each step standard.</t>
        </is>
      </c>
      <c r="O73" s="3" t="inlineStr">
        <is>
          <t>2026-P1-Q11 (L3)</t>
        </is>
      </c>
      <c r="P73" s="2" t="inlineStr">
        <is>
          <t>Medium</t>
        </is>
      </c>
    </row>
    <row r="74">
      <c r="A74" s="2" t="n">
        <v>73</v>
      </c>
      <c r="B74" s="2" t="inlineStr"/>
      <c r="C74" s="2" t="inlineStr">
        <is>
          <t>Q73</t>
        </is>
      </c>
      <c r="D74" s="2" t="inlineStr">
        <is>
          <t>Numerical</t>
        </is>
      </c>
      <c r="E74" s="3" t="inlineStr">
        <is>
          <t>Binomial Theorem</t>
        </is>
      </c>
      <c r="F74" s="2" t="n">
        <v>4</v>
      </c>
      <c r="G74" s="4" t="n">
        <v>1</v>
      </c>
      <c r="H74" s="4" t="inlineStr">
        <is>
          <t>JEE Main level</t>
        </is>
      </c>
      <c r="I74" s="5" t="n">
        <v>0</v>
      </c>
      <c r="J74" s="5" t="n">
        <v>0</v>
      </c>
      <c r="K74" s="5">
        <f>MIN(5,MAX(G74+I74,J74))</f>
        <v/>
      </c>
      <c r="L74" s="5">
        <f>F74*K74</f>
        <v/>
      </c>
      <c r="M74" s="3" t="inlineStr">
        <is>
          <t>$8^2=64\equiv1\pmod{21}$, so any even power of $8$ is $1$ modulo $21$.</t>
        </is>
      </c>
      <c r="N74" s="3" t="inlineStr">
        <is>
          <t>One familiar reduction.</t>
        </is>
      </c>
      <c r="O74" s="3" t="inlineStr">
        <is>
          <t>2023-P1-Q13 (L1)</t>
        </is>
      </c>
      <c r="P74" s="2" t="inlineStr">
        <is>
          <t>High</t>
        </is>
      </c>
    </row>
    <row r="76">
      <c r="A76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papers/SHEET BINOMIAL THEOREM_FCopy JM.pdf   |   Evaluated on: 2026-10-13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COUNTIF(Evaluation!$G$2:$G$74,A5)</f>
        <v/>
      </c>
      <c r="D5" s="11">
        <f>SUMIF(Evaluation!$G$2:$G$74,A5,Evaluation!$F$2:$F$74)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COUNTIF(Evaluation!$G$2:$G$74,A6)</f>
        <v/>
      </c>
      <c r="D6" s="13">
        <f>SUMIF(Evaluation!$G$2:$G$74,A6,Evaluation!$F$2:$F$74)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COUNTIF(Evaluation!$G$2:$G$74,A7)</f>
        <v/>
      </c>
      <c r="D7" s="15">
        <f>SUMIF(Evaluation!$G$2:$G$74,A7,Evaluation!$F$2:$F$74)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COUNTIF(Evaluation!$G$2:$G$74,A8)</f>
        <v/>
      </c>
      <c r="D8" s="17">
        <f>SUMIF(Evaluation!$G$2:$G$74,A8,Evaluation!$F$2:$F$74)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COUNTIF(Evaluation!$G$2:$G$74,A9)</f>
        <v/>
      </c>
      <c r="D9" s="19">
        <f>SUMIF(Evaluation!$G$2:$G$74,A9,Evaluation!$F$2:$F$74)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COUNTIF(Evaluation!$G$2:$G$74,A10)</f>
        <v/>
      </c>
      <c r="D10" s="21">
        <f>SUMIF(Evaluation!$G$2:$G$74,A10,Evaluation!$F$2:$F$74)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SUM(Evaluation!$L$2:$L$74)/SUM(Evaluation!$F$2:$F$74)</f>
        <v/>
      </c>
      <c r="C14" s="24">
        <f>SUMPRODUCT(Evaluation!$F$2:$F$74,Evaluation!$G$2:$G$74)/SUM(Evaluation!$F$2:$F$74)</f>
        <v/>
      </c>
      <c r="D14" s="23">
        <f>SUM(Evaluation!$F$2:$F$74)</f>
        <v/>
      </c>
      <c r="E14" s="24">
        <f>AVERAGE(Evaluation!$G$2:$G$74)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2026-10-13T13:14:20Z</dcterms:created>
  <dcterms:modified xmlns:dcterms="http://purl.org/dc/terms/" xmlns:xsi="http://www.w3.org/2001/XMLSchema-instance" xsi:type="dcterms:W3CDTF">2026-10-13T13:14:20Z</dcterms:modified>
</cp:coreProperties>
</file>