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CE5CD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E8F0D8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Circle</t>
        </is>
      </c>
      <c r="F2" s="2" t="n">
        <v>4</v>
      </c>
      <c r="G2" s="4" t="n">
        <v>3</v>
      </c>
      <c r="H2" s="4" t="inlineStr">
        <is>
          <t>Average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Locate the centre of similitude, tangents, and the circle through the four contact points (centre on the x-axis by symmetry).</t>
        </is>
      </c>
      <c r="N2" s="3" t="inlineStr">
        <is>
          <t>Four chained computations (tangents, contact points, C3, chord); option-based so checkable, but the arithmetic is heavy. Comparable to a long routine circle chain with one symmetry insight.</t>
        </is>
      </c>
      <c r="O2" s="3" t="inlineStr">
        <is>
          <t>2023-P2-Q13 (L4, numerical; lighter here as SCQ)</t>
        </is>
      </c>
      <c r="P2" s="2" t="inlineStr">
        <is>
          <t>Medium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SCQ</t>
        </is>
      </c>
      <c r="E3" s="3" t="inlineStr">
        <is>
          <t>Continuity &amp; Differentiability</t>
        </is>
      </c>
      <c r="F3" s="2" t="n">
        <v>4</v>
      </c>
      <c r="G3" s="4" t="n">
        <v>3</v>
      </c>
      <c r="H3" s="4" t="inlineStr">
        <is>
          <t>Average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Running maximum of a piecewise g: flat after the peak, and a corner only where g regains the peak with non-zero slope.</t>
        </is>
      </c>
      <c r="N3" s="3" t="inlineStr">
        <is>
          <t>Needs the shape of g, the point 4+sqrt2 where the old peak is regained, and slope tests at 2, 4+sqrt2 and 6; options contain tempting wrong sets, but it is standard.</t>
        </is>
      </c>
      <c r="O3" s="3" t="inlineStr">
        <is>
          <t>2023-P2-Q6 (L4, MCQ; easier as SCQ with options)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SCQ</t>
        </is>
      </c>
      <c r="E4" s="3" t="inlineStr">
        <is>
          <t>Circle</t>
        </is>
      </c>
      <c r="F4" s="2" t="n">
        <v>4</v>
      </c>
      <c r="G4" s="6" t="n">
        <v>4</v>
      </c>
      <c r="H4" s="6" t="inlineStr">
        <is>
          <t>Slightly difficult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Radical centre moves on x=3/2; locus of S3's centre is a parabola; power minimised at y0=0.</t>
        </is>
      </c>
      <c r="N4" s="3" t="inlineStr">
        <is>
          <t>Combines radical axes, a focus-directrix locus and a minimisation over a parameter; the idea that P is free on a line and the extremum is at its foot is not routine.</t>
        </is>
      </c>
      <c r="O4" s="3" t="inlineStr">
        <is>
          <t>2023-P2-Q13 (L4)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SCQ</t>
        </is>
      </c>
      <c r="E5" s="3" t="inlineStr">
        <is>
          <t>Definite Integration</t>
        </is>
      </c>
      <c r="F5" s="2" t="n">
        <v>4</v>
      </c>
      <c r="G5" s="4" t="n">
        <v>3</v>
      </c>
      <c r="H5" s="4" t="inlineStr">
        <is>
          <t>Average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Split x^2/(1+x^2)=1-1/(1+x^2), integrate the periodic part exactly, bound the remainder by 1/2&lt;=f&lt;=1.</t>
        </is>
      </c>
      <c r="N5" s="3" t="inlineStr">
        <is>
          <t>Periodic-integral evaluation plus a sandwich estimate and option comparison; two well-known ideas linked, no heavy computation.</t>
        </is>
      </c>
      <c r="O5" s="3" t="inlineStr">
        <is>
          <t>2025-P2-Q16 (L4, numerical; lighter as SCQ)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MCQ</t>
        </is>
      </c>
      <c r="E6" s="3" t="inlineStr">
        <is>
          <t>Circle</t>
        </is>
      </c>
      <c r="F6" s="2" t="n">
        <v>4</v>
      </c>
      <c r="G6" s="4" t="n">
        <v>3</v>
      </c>
      <c r="H6" s="4" t="inlineStr">
        <is>
          <t>Average Advanced</t>
        </is>
      </c>
      <c r="I6" s="5" t="n">
        <v>0</v>
      </c>
      <c r="J6" s="5" t="n">
        <v>2.5</v>
      </c>
      <c r="K6" s="5">
        <f>MIN(5,MAX(G6+I6,J6))</f>
        <v/>
      </c>
      <c r="L6" s="5">
        <f>F6*K6</f>
        <v/>
      </c>
      <c r="M6" s="3" t="inlineStr">
        <is>
          <t>Chord of contact is a family through the pole of L; circumcentre is midpoint of OP; midpoint of AB is inverse of P.</t>
        </is>
      </c>
      <c r="N6" s="3" t="inlineStr">
        <is>
          <t>Four statements, each a standard pole-polar fact but each needing its own derivation (loci especially); single chapter.</t>
        </is>
      </c>
      <c r="O6" s="3" t="inlineStr">
        <is>
          <t>2023-P2-Q13 / 2021-P2-Q6 (L1) for standard pole-polar facts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MCQ</t>
        </is>
      </c>
      <c r="E7" s="3" t="inlineStr">
        <is>
          <t>Continuity &amp; Differentiability</t>
        </is>
      </c>
      <c r="F7" s="2" t="n">
        <v>4</v>
      </c>
      <c r="G7" s="6" t="n">
        <v>4</v>
      </c>
      <c r="H7" s="6" t="inlineStr">
        <is>
          <t>Slightly difficult</t>
        </is>
      </c>
      <c r="I7" s="5" t="n">
        <v>0</v>
      </c>
      <c r="J7" s="5" t="n">
        <v>2.5</v>
      </c>
      <c r="K7" s="5">
        <f>MIN(5,MAX(G7+I7,J7))</f>
        <v/>
      </c>
      <c r="L7" s="5">
        <f>F7*K7</f>
        <v/>
      </c>
      <c r="M7" s="3" t="inlineStr">
        <is>
          <t>x^(2n) limit gives the pieces; the join at +-1 is C1 but not C2; LMVT uniqueness needs the sign of f'.</t>
        </is>
      </c>
      <c r="N7" s="3" t="inlineStr">
        <is>
          <t>Four statements across limits, differentiability, series and MVT; each needs a genuine check and the unique-root claim needs care; multi-concept MCQ.</t>
        </is>
      </c>
      <c r="O7" s="3" t="inlineStr">
        <is>
          <t>2026-P1-Q7 (L4)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MCQ</t>
        </is>
      </c>
      <c r="E8" s="3" t="inlineStr">
        <is>
          <t>Definite Integration</t>
        </is>
      </c>
      <c r="F8" s="2" t="n">
        <v>4</v>
      </c>
      <c r="G8" s="7" t="n">
        <v>2</v>
      </c>
      <c r="H8" s="7" t="inlineStr">
        <is>
          <t>Easier than Advanced</t>
        </is>
      </c>
      <c r="I8" s="5" t="n">
        <v>0</v>
      </c>
      <c r="J8" s="5" t="n">
        <v>2.5</v>
      </c>
      <c r="K8" s="5">
        <f>MIN(5,MAX(G8+I8,J8))</f>
        <v/>
      </c>
      <c r="L8" s="5">
        <f>F8*K8</f>
        <v/>
      </c>
      <c r="M8" s="3" t="inlineStr">
        <is>
          <t>Leibniz with limits +-x gives f'=x^2+cos x; then all four statements follow.</t>
        </is>
      </c>
      <c r="N8" s="3" t="inlineStr">
        <is>
          <t>One familiar move (Leibniz or the even-function pairing) and four quick consequences; routine but multi-concept MCQ so the 2.5 floor applies.</t>
        </is>
      </c>
      <c r="O8" s="3" t="inlineStr">
        <is>
          <t>2024-P2-Q10 (L1) / 2023-P2-Q9 (L2)</t>
        </is>
      </c>
      <c r="P8" s="2" t="inlineStr">
        <is>
          <t>High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MCQ</t>
        </is>
      </c>
      <c r="E9" s="3" t="inlineStr">
        <is>
          <t>Determinant</t>
        </is>
      </c>
      <c r="F9" s="2" t="n">
        <v>4</v>
      </c>
      <c r="G9" s="4" t="n">
        <v>3</v>
      </c>
      <c r="H9" s="4" t="inlineStr">
        <is>
          <t>Average Advanced</t>
        </is>
      </c>
      <c r="I9" s="5" t="n">
        <v>0</v>
      </c>
      <c r="J9" s="5" t="n">
        <v>2.5</v>
      </c>
      <c r="K9" s="5">
        <f>MIN(5,MAX(G9+I9,J9))</f>
        <v/>
      </c>
      <c r="L9" s="5">
        <f>F9*K9</f>
        <v/>
      </c>
      <c r="M9" s="3" t="inlineStr">
        <is>
          <t>Inverse-function derivatives g',g'',g''' at x=1, then the determinant reduces to g^3-2gg'+g''.</t>
        </is>
      </c>
      <c r="N9" s="3" t="inlineStr">
        <is>
          <t>Needs inverse derivatives up to the third order and then D'(4) with careful arithmetic; each statement is a check with no options to eliminate.</t>
        </is>
      </c>
      <c r="O9" s="3" t="inlineStr">
        <is>
          <t>2026-P1-Q7 (L4) / 2021-P1-Q15 (L3)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Para SCQ</t>
        </is>
      </c>
      <c r="E10" s="3" t="inlineStr">
        <is>
          <t>Differentiation</t>
        </is>
      </c>
      <c r="F10" s="2" t="n">
        <v>3</v>
      </c>
      <c r="G10" s="4" t="n">
        <v>3</v>
      </c>
      <c r="H10" s="4" t="inlineStr">
        <is>
          <t>Average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Parametric differentiation twice: f=t^4/2 then df/dx=(t^2+1)^2.</t>
        </is>
      </c>
      <c r="N10" s="3" t="inlineStr">
        <is>
          <t>Long-looking but routine parametric chain; simplifications are designed to factor nicely.</t>
        </is>
      </c>
      <c r="O10" s="3" t="inlineStr">
        <is>
          <t>2021-P2-Q16 (L3)</t>
        </is>
      </c>
      <c r="P10" s="2" t="inlineStr">
        <is>
          <t>Medium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Para SCQ</t>
        </is>
      </c>
      <c r="E11" s="3" t="inlineStr">
        <is>
          <t>Monotonicity</t>
        </is>
      </c>
      <c r="F11" s="2" t="n">
        <v>3</v>
      </c>
      <c r="G11" s="4" t="n">
        <v>3</v>
      </c>
      <c r="H11" s="4" t="inlineStr">
        <is>
          <t>Average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dg/dx=(t^2+1)^2-e^2&gt;0 and transfer t&gt;sqrt(e-1) to x&gt;x(sqrt(e-1))=1/e.</t>
        </is>
      </c>
      <c r="N11" s="3" t="inlineStr">
        <is>
          <t>Builds on Q9; needs the monotone map t-&gt;x and one evaluation; short but needs the paragraph's result.</t>
        </is>
      </c>
      <c r="O11" s="3" t="inlineStr">
        <is>
          <t>2021-P2-Q15 (L3)</t>
        </is>
      </c>
      <c r="P11" s="2" t="inlineStr">
        <is>
          <t>Medium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INT</t>
        </is>
      </c>
      <c r="E12" s="3" t="inlineStr">
        <is>
          <t>Differentiation</t>
        </is>
      </c>
      <c r="F12" s="2" t="n">
        <v>4</v>
      </c>
      <c r="G12" s="7" t="n">
        <v>2</v>
      </c>
      <c r="H12" s="7" t="inlineStr">
        <is>
          <t>Easier than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Differentiate implicitly twice at the origin.</t>
        </is>
      </c>
      <c r="N12" s="3" t="inlineStr">
        <is>
          <t>Two implicit differentiations with a product/chain rule; routine multi-step with no insight.</t>
        </is>
      </c>
      <c r="O12" s="3" t="inlineStr">
        <is>
          <t>2024-P2-Q10 (L1) - slightly longer chain, so L2</t>
        </is>
      </c>
      <c r="P12" s="2" t="inlineStr">
        <is>
          <t>High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INT</t>
        </is>
      </c>
      <c r="E13" s="3" t="inlineStr">
        <is>
          <t>Limit</t>
        </is>
      </c>
      <c r="F13" s="2" t="n">
        <v>4</v>
      </c>
      <c r="G13" s="4" t="n">
        <v>3</v>
      </c>
      <c r="H13" s="4" t="inlineStr">
        <is>
          <t>Average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y^2-[y]^2-{y}^2=2[y]{y} makes Phi=Psi=x{1/x}-&gt;0+, then a 1^inf limit.</t>
        </is>
      </c>
      <c r="N13" s="3" t="inlineStr">
        <is>
          <t>The GIF/FPF identity is the non-obvious step, followed by a standard 1^inf evaluation.</t>
        </is>
      </c>
      <c r="O13" s="3" t="inlineStr">
        <is>
          <t>2025-P1-Q11 (L4, numerical) / 2024-P2-Q3 (L1)</t>
        </is>
      </c>
      <c r="P13" s="2" t="inlineStr">
        <is>
          <t>Medium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INT</t>
        </is>
      </c>
      <c r="E14" s="3" t="inlineStr">
        <is>
          <t>Indefinite Integration</t>
        </is>
      </c>
      <c r="F14" s="2" t="n">
        <v>4</v>
      </c>
      <c r="G14" s="6" t="n">
        <v>4</v>
      </c>
      <c r="H14" s="6" t="inlineStr">
        <is>
          <t>Slightly difficult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Recognise e^x(u+u') and v+xv'=(xv)' to collapse g to x ln x+2x^2+2.</t>
        </is>
      </c>
      <c r="N14" s="3" t="inlineStr">
        <is>
          <t>Recognising a hidden product-rule form in the second integral is a rarely practised idea; the rest is short.</t>
        </is>
      </c>
      <c r="O14" s="3" t="inlineStr">
        <is>
          <t>2025-P2-Q16 (L4)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INT</t>
        </is>
      </c>
      <c r="E15" s="3" t="inlineStr">
        <is>
          <t>Circle</t>
        </is>
      </c>
      <c r="F15" s="2" t="n">
        <v>4</v>
      </c>
      <c r="G15" s="4" t="n">
        <v>3</v>
      </c>
      <c r="H15" s="4" t="inlineStr">
        <is>
          <t>Average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Lines 2 apart give R=1; chord of contact passes through the pole of L3.</t>
        </is>
      </c>
      <c r="N15" s="3" t="inlineStr">
        <is>
          <t>Needs the pole of a line idea after setting up the geometry; moderate chain with one standard but non-trivial concept.</t>
        </is>
      </c>
      <c r="O15" s="3" t="inlineStr">
        <is>
          <t>2023-P2-Q13 (L4) / 2021-P2-Q6 (L1)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Numerical</t>
        </is>
      </c>
      <c r="E16" s="3" t="inlineStr">
        <is>
          <t>Continuity &amp; Differentiability</t>
        </is>
      </c>
      <c r="F16" s="2" t="n">
        <v>4</v>
      </c>
      <c r="G16" s="7" t="n">
        <v>2</v>
      </c>
      <c r="H16" s="7" t="inlineStr">
        <is>
          <t>Easier than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Piecewise form of max{x,min{x^2,2-x^2}} and slope comparison at the switches.</t>
        </is>
      </c>
      <c r="N16" s="3" t="inlineStr">
        <is>
          <t>Routine envelope analysis with one trap (x=1 is not a corner); several steps but no insight.</t>
        </is>
      </c>
      <c r="O16" s="3" t="inlineStr">
        <is>
          <t>2026-P1-Q10 (L4, heavier) / 2023-P2-Q6 (L4)</t>
        </is>
      </c>
      <c r="P16" s="2" t="inlineStr">
        <is>
          <t>Medium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Numerical</t>
        </is>
      </c>
      <c r="E17" s="3" t="inlineStr">
        <is>
          <t>Application of Derivatives</t>
        </is>
      </c>
      <c r="F17" s="2" t="n">
        <v>4</v>
      </c>
      <c r="G17" s="7" t="n">
        <v>2</v>
      </c>
      <c r="H17" s="7" t="inlineStr">
        <is>
          <t>Easier than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Inflection at x=1; angle between tangents.</t>
        </is>
      </c>
      <c r="N17" s="3" t="inlineStr">
        <is>
          <t>Standard inflection point and angle-between-curves formula; three routine steps.</t>
        </is>
      </c>
      <c r="O17" s="3" t="inlineStr">
        <is>
          <t>2026-P2-Q17 (L2)</t>
        </is>
      </c>
      <c r="P17" s="2" t="inlineStr">
        <is>
          <t>High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Numerical</t>
        </is>
      </c>
      <c r="E18" s="3" t="inlineStr">
        <is>
          <t>Circle</t>
        </is>
      </c>
      <c r="F18" s="2" t="n">
        <v>4</v>
      </c>
      <c r="G18" s="7" t="n">
        <v>2</v>
      </c>
      <c r="H18" s="7" t="inlineStr">
        <is>
          <t>Easier than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Area of CAPB = R*sqrt(CP^2-R^2), least at the foot of the perpendicular.</t>
        </is>
      </c>
      <c r="N18" s="3" t="inlineStr">
        <is>
          <t>Standard tangent-length and minimum-distance chain; three routine steps.</t>
        </is>
      </c>
      <c r="O18" s="3" t="inlineStr">
        <is>
          <t>2026-P2-Q2 (L2)</t>
        </is>
      </c>
      <c r="P18" s="2" t="inlineStr">
        <is>
          <t>High</t>
        </is>
      </c>
    </row>
    <row r="20">
      <c r="A20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PRT 08 Paper 01 JEE Adv.pdf   |   Evaluated on: 2026-10-23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COUNTIF(Evaluation!$G$2:$G$18,A5)</f>
        <v/>
      </c>
      <c r="D5" s="10">
        <f>SUMIF(Evaluation!$G$2:$G$18,A5,Evaluation!$F$2:$F$18)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COUNTIF(Evaluation!$G$2:$G$18,A6)</f>
        <v/>
      </c>
      <c r="D6" s="12">
        <f>SUMIF(Evaluation!$G$2:$G$18,A6,Evaluation!$F$2:$F$18)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COUNTIF(Evaluation!$G$2:$G$18,A7)</f>
        <v/>
      </c>
      <c r="D7" s="14">
        <f>SUMIF(Evaluation!$G$2:$G$18,A7,Evaluation!$F$2:$F$18)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COUNTIF(Evaluation!$G$2:$G$18,A8)</f>
        <v/>
      </c>
      <c r="D8" s="16">
        <f>SUMIF(Evaluation!$G$2:$G$18,A8,Evaluation!$F$2:$F$18)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COUNTIF(Evaluation!$G$2:$G$18,A9)</f>
        <v/>
      </c>
      <c r="D9" s="18">
        <f>SUMIF(Evaluation!$G$2:$G$18,A9,Evaluation!$F$2:$F$18)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COUNTIF(Evaluation!$G$2:$G$18,A10)</f>
        <v/>
      </c>
      <c r="D10" s="20">
        <f>SUMIF(Evaluation!$G$2:$G$18,A10,Evaluation!$F$2:$F$18)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SUM(Evaluation!$L$2:$L$18)/SUM(Evaluation!$F$2:$F$18)</f>
        <v/>
      </c>
      <c r="C14" s="23">
        <f>SUMPRODUCT(Evaluation!$F$2:$F$18,Evaluation!$G$2:$G$18)/SUM(Evaluation!$F$2:$F$18)</f>
        <v/>
      </c>
      <c r="D14" s="22">
        <f>SUM(Evaluation!$F$2:$F$18)</f>
        <v/>
      </c>
      <c r="E14" s="23">
        <f>AVERAGE(Evaluation!$G$2:$G$18)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2026-10-23T16:33:45Z</dcterms:created>
  <dcterms:modified xmlns:dcterms="http://purl.org/dc/terms/" xmlns:xsi="http://www.w3.org/2001/XMLSchema-instance" xsi:type="dcterms:W3CDTF">2026-10-23T16:33:45Z</dcterms:modified>
</cp:coreProperties>
</file>