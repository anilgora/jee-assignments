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Complex Number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Nested section formula: D on BC, then E on AD.</t>
        </is>
      </c>
      <c r="N2" s="3" t="inlineStr">
        <is>
          <t>Routine proof, two applications of the section formula; one setup decision. Same demand as 2023-P2-Q9 (L2).</t>
        </is>
      </c>
      <c r="O2" s="3" t="inlineStr">
        <is>
          <t>2023-P2-Q9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Complex Number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Expand and use A+B+C=pi so every term collapses to e^{i pi}=-1.</t>
        </is>
      </c>
      <c r="N3" s="3" t="inlineStr">
        <is>
          <t>Several routine steps (3x3 expansion, exponent bookkeeping) but no insight needed; like 2026-P2-Q3 (L2).</t>
        </is>
      </c>
      <c r="O3" s="3" t="inlineStr">
        <is>
          <t>2026-P2-Q3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Complex Number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x/2=-w^2, y/2=-w; w^p+w^2p=-1 when 3 does not divide p.</t>
        </is>
      </c>
      <c r="N4" s="3" t="inlineStr">
        <is>
          <t>Two small ideas (omega form, residue of p mod 3) chained; routine for a prepared student.</t>
        </is>
      </c>
      <c r="O4" s="3" t="inlineStr">
        <is>
          <t>2023-P2-Q9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Complex Number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Triangle inequality plus geometric-series bound forces |z|&gt;1/3.</t>
        </is>
      </c>
      <c r="N5" s="3" t="inlineStr">
        <is>
          <t>Needs the bounding idea and a case split; proof format with no options to check. Between 2021-P1-Q4 (L3) and easier items.</t>
        </is>
      </c>
      <c r="O5" s="3" t="inlineStr">
        <is>
          <t>2021-P1-Q4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Complex Number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Least positive argument is theta/3; tan(theta/3) solves the triple-angle cubic (or spot (3+i)^3).</t>
        </is>
      </c>
      <c r="N6" s="3" t="inlineStr">
        <is>
          <t>Routine chain (modulus/argument, cubic, trig values) or a recognised cube; no real insight.</t>
        </is>
      </c>
      <c r="O6" s="3" t="inlineStr">
        <is>
          <t>2026-P2-Q3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Complex Number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Factor x=w(1+w), so x^5=2(1+w)^5, then regroup in powers of x.</t>
        </is>
      </c>
      <c r="N7" s="3" t="inlineStr">
        <is>
          <t>Heavy but standard algebra with an insight in the regrouping; precision risk without options.</t>
        </is>
      </c>
      <c r="O7" s="3" t="inlineStr">
        <is>
          <t>2021-P1-Q4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Complex Number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Combine the two equations as (z1+i z2)^3 and its partner; multiply.</t>
        </is>
      </c>
      <c r="N8" s="3" t="inlineStr">
        <is>
          <t>Hidden cube of (z1+iz2) is a known trick but must be spotted; reality of z1^2+z2^2 picks the root.</t>
        </is>
      </c>
      <c r="O8" s="3" t="inlineStr">
        <is>
          <t>2026-P2-Q5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Complex Number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(z+1)^7=-z^7 gives |z+1|=|z|, so Re z=-1/2.</t>
        </is>
      </c>
      <c r="N9" s="3" t="inlineStr">
        <is>
          <t>One locus idea plus Vieta; short and familiar.</t>
        </is>
      </c>
      <c r="O9" s="3" t="inlineStr">
        <is>
          <t>2023-P2-Q9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Complex Number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Pair conjugate roots: p=4cos72 degrees, then exact trig values.</t>
        </is>
      </c>
      <c r="N10" s="3" t="inlineStr">
        <is>
          <t>Factorisation over reals plus exact values of cos 72 degrees; routine but multi-step, no options.</t>
        </is>
      </c>
      <c r="O10" s="3" t="inlineStr">
        <is>
          <t>2021-P1-Q4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Complex Number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Square on the base: vertex heights and side give two linear equations (or similar triangles).</t>
        </is>
      </c>
      <c r="N11" s="3" t="inlineStr">
        <is>
          <t>Coordinate setup and two linear equations; area then follows. Precision but no insight.</t>
        </is>
      </c>
      <c r="O11" s="3" t="inlineStr">
        <is>
          <t>2021-P1-Q4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Complex Number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Evaluate (1+x)^n at 1,w,w^2; use a^3+b^3+c^3-3abc factorisation; (1+i)^n for (ii).</t>
        </is>
      </c>
      <c r="N12" s="3" t="inlineStr">
        <is>
          <t>Three-part proof; roots-of-unity filter plus a factorisation identity (two ideas linked).</t>
        </is>
      </c>
      <c r="O12" s="3" t="inlineStr">
        <is>
          <t>2023-P1-Q17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Complex Number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Each side is the previous side times i (rotation by 90 degrees).</t>
        </is>
      </c>
      <c r="N13" s="3" t="inlineStr">
        <is>
          <t>Standard rotation facts applied twice, algebraic simplification only.</t>
        </is>
      </c>
      <c r="O13" s="3" t="inlineStr">
        <is>
          <t>2023-P2-Q9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Complex Number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1+e^{i theta}=2cos(theta/2)e^{i theta/2}; take real and imaginary parts.</t>
        </is>
      </c>
      <c r="N14" s="3" t="inlineStr">
        <is>
          <t>Standard binomial-with-complex-exponential pattern; several routine steps.</t>
        </is>
      </c>
      <c r="O14" s="3" t="inlineStr">
        <is>
          <t>2026-P2-Q3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Complex Number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Real coefficients and f(i)=0 give factor x^2+1; the imaginary part of f(1+i)=5 fixes the real root.</t>
        </is>
      </c>
      <c r="N15" s="3" t="inlineStr">
        <is>
          <t>Routine chain: conjugate root, factorisation, two real equations.</t>
        </is>
      </c>
      <c r="O15" s="3" t="inlineStr">
        <is>
          <t>2023-P2-Q9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Complex Number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Origin lies on the circle and P is opposite; angle taken at the origin gives the line y=3x.</t>
        </is>
      </c>
      <c r="N16" s="3" t="inlineStr">
        <is>
          <t>Geometry of a circle through the origin and an ambiguous angle reading; a few routine stages.</t>
        </is>
      </c>
      <c r="O16" s="3" t="inlineStr">
        <is>
          <t>2021-P1-Q4 (L3)</t>
        </is>
      </c>
      <c r="P16" s="2" t="inlineStr">
        <is>
          <t>Low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Complex Number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sin x - i cos x=-i e^{ix}; sum of roots of unity is -1; period-4 sum of (3p+2)i^p.</t>
        </is>
      </c>
      <c r="N17" s="3" t="inlineStr">
        <is>
          <t>Three stages (inner root-of-unity sum, series in i^p, arithmetic) with exact execution and no options.</t>
        </is>
      </c>
      <c r="O17" s="3" t="inlineStr">
        <is>
          <t>2025-P2-Q13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Complex Number</t>
        </is>
      </c>
      <c r="F18" s="2" t="n">
        <v>4</v>
      </c>
      <c r="G18" s="7" t="n">
        <v>4</v>
      </c>
      <c r="H18" s="7" t="inlineStr">
        <is>
          <t>Slightly difficult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Eliminate b, c to get (k^2-k+1)(ak+a-k)=0; distinctness kills the second factor.</t>
        </is>
      </c>
      <c r="N18" s="3" t="inlineStr">
        <is>
          <t>Elimination is routine but the distinctness argument is the non-routine key step; a slip loses the second answer.</t>
        </is>
      </c>
      <c r="O18" s="3" t="inlineStr">
        <is>
          <t>2021-P1-Q16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Complex Number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Expand with |w|^2=w w-bar, compare with the circle form (or median theorem).</t>
        </is>
      </c>
      <c r="N19" s="3" t="inlineStr">
        <is>
          <t>One standard locus derivation; algebra only.</t>
        </is>
      </c>
      <c r="O19" s="3" t="inlineStr">
        <is>
          <t>2023-P2-Q9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Complex Number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x^7+...+1=(1-x^8)/(1-x): octagon with one vertex missing; add sector triangles.</t>
        </is>
      </c>
      <c r="N20" s="3" t="inlineStr">
        <is>
          <t>Spot the roots-of-unity octagon, then an area computation with care over the cut-off corner.</t>
        </is>
      </c>
      <c r="O20" s="3" t="inlineStr">
        <is>
          <t>2023-P2-Q11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Complex Number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Imaginary part of (a+ib)^3-107i vanishes: b(3a^2-b^2)=107, 107 prime.</t>
        </is>
      </c>
      <c r="N21" s="3" t="inlineStr">
        <is>
          <t>Expansion plus a prime factorisation argument; short once the idea is seen.</t>
        </is>
      </c>
      <c r="O21" s="3" t="inlineStr">
        <is>
          <t>2021-P1-Q4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Complex Number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Non-real sum means the roots are not conjugates; the other two are conjugates, so alpha*beta=conj(13+i).</t>
        </is>
      </c>
      <c r="N22" s="3" t="inlineStr">
        <is>
          <t>The conjugate-pairing insight is needed; then a short symmetric-function calculation.</t>
        </is>
      </c>
      <c r="O22" s="3" t="inlineStr">
        <is>
          <t>2023-P1-Q17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Complex Number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a^2-ab+b^2=(a-b)^2+ab=1; integrality limits (a-b)^2 to 0 or 1.</t>
        </is>
      </c>
      <c r="N23" s="3" t="inlineStr">
        <is>
          <t>Small casework with a completeness trap; no options to check the count.</t>
        </is>
      </c>
      <c r="O23" s="3" t="inlineStr">
        <is>
          <t>2021-P1-Q4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Complex Number</t>
        </is>
      </c>
      <c r="F24" s="2" t="n">
        <v>3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Line x+y=sqrt2 cuts circle in two points; Im z&gt;=1 keeps one.</t>
        </is>
      </c>
      <c r="N24" s="3" t="inlineStr">
        <is>
          <t>Line-circle-half-plane intersection count; options help.</t>
        </is>
      </c>
      <c r="O24" s="3" t="inlineStr">
        <is>
          <t>2023-P2-Q9 (L2)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Complex Number</t>
        </is>
      </c>
      <c r="F25" s="2" t="n">
        <v>3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-1+i and 5+i are ends of a diameter of B, so PS^2+QS^2=PQ^2.</t>
        </is>
      </c>
      <c r="N25" s="3" t="inlineStr">
        <is>
          <t>The hidden Thales/diameter observation is the key; computation afterwards is trivial.</t>
        </is>
      </c>
      <c r="O25" s="3" t="inlineStr">
        <is>
          <t>2025-P1-Q7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Complex Number</t>
        </is>
      </c>
      <c r="F26" s="2" t="n">
        <v>3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Exact range of |z|-|w|+3 and 'lies between' for overlapping intervals (B, C, D).</t>
        </is>
      </c>
      <c r="N26" s="3" t="inlineStr">
        <is>
          <t>Needs the location of S and the range of |w|, then three options judged; the coarse bound is not enough.</t>
        </is>
      </c>
      <c r="O26" s="3" t="inlineStr">
        <is>
          <t>2021-P1-Q4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Complex Number</t>
        </is>
      </c>
      <c r="F27" s="2" t="n">
        <v>3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Add (1+x)^n at x=1,w,w^2; weights 1+w^r+w^2r.</t>
        </is>
      </c>
      <c r="N27" s="3" t="inlineStr">
        <is>
          <t>Standard roots-of-unity filter; options allow checking.</t>
        </is>
      </c>
      <c r="O27" s="3" t="inlineStr">
        <is>
          <t>2026-P2-Q3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Complex Number</t>
        </is>
      </c>
      <c r="F28" s="2" t="n">
        <v>3</v>
      </c>
      <c r="G28" s="6" t="n">
        <v>3</v>
      </c>
      <c r="H28" s="6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Fourth-roots filter with weights 1,-1,-i,i for r=1 (mod 4).</t>
        </is>
      </c>
      <c r="N28" s="3" t="inlineStr">
        <is>
          <t>Same filter with four roots; longer algebra and sign care but still standard.</t>
        </is>
      </c>
      <c r="O28" s="3" t="inlineStr">
        <is>
          <t>2021-P1-Q4 (L3)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Complex Number</t>
        </is>
      </c>
      <c r="F29" s="2" t="n">
        <v>3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Fourth-roots filter with weights 1,-1,1,-1 for r=2 (mod 4).</t>
        </is>
      </c>
      <c r="N29" s="3" t="inlineStr">
        <is>
          <t>Same pattern as Q27 once seen; sign care only.</t>
        </is>
      </c>
      <c r="O29" s="3" t="inlineStr">
        <is>
          <t>2021-P1-Q4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Para SCQ</t>
        </is>
      </c>
      <c r="E30" s="3" t="inlineStr">
        <is>
          <t>Complex Number</t>
        </is>
      </c>
      <c r="F30" s="2" t="n">
        <v>3</v>
      </c>
      <c r="G30" s="8" t="n">
        <v>1</v>
      </c>
      <c r="H30" s="8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1+w=-w^2, so (1+w)^7=-w^14=-w^2=1+w.</t>
        </is>
      </c>
      <c r="N30" s="3" t="inlineStr">
        <is>
          <t>One familiar cube-root-of-unity move.</t>
        </is>
      </c>
      <c r="O30" s="3" t="inlineStr">
        <is>
          <t>2024-P2-Q3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Para SCQ</t>
        </is>
      </c>
      <c r="E31" s="3" t="inlineStr">
        <is>
          <t>Complex Number</t>
        </is>
      </c>
      <c r="F31" s="2" t="n">
        <v>3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With 1+w+w^2=0, R1+R3 equals R2, so the determinant is 0.</t>
        </is>
      </c>
      <c r="N31" s="3" t="inlineStr">
        <is>
          <t>Spot a row dependency after simplifying entries; routine determinant manipulation.</t>
        </is>
      </c>
      <c r="O31" s="3" t="inlineStr">
        <is>
          <t>2023-P2-Q9 (L2)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MTC SCQ</t>
        </is>
      </c>
      <c r="E32" s="3" t="inlineStr">
        <is>
          <t>Complex Number</t>
        </is>
      </c>
      <c r="F32" s="2" t="n">
        <v>3</v>
      </c>
      <c r="G32" s="6" t="n">
        <v>3</v>
      </c>
      <c r="H32" s="6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Four short items; traps: interior angle = pi - vector angle, differentiate integral, reversed limits, |Arg| only approaches pi/2.</t>
        </is>
      </c>
      <c r="N32" s="3" t="inlineStr">
        <is>
          <t>Four independent short computations from different areas, each with a trap; elimination possible only partly.</t>
        </is>
      </c>
      <c r="O32" s="3" t="inlineStr">
        <is>
          <t>2026-P1-Q15 (L4)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MTC SCQ</t>
        </is>
      </c>
      <c r="E33" s="3" t="inlineStr">
        <is>
          <t>Complex Number</t>
        </is>
      </c>
      <c r="F33" s="2" t="n">
        <v>3</v>
      </c>
      <c r="G33" s="6" t="n">
        <v>3</v>
      </c>
      <c r="H33" s="6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Four short items: unit-circle real part, sin^{-1} domain, determinant 2 sec^2, derivative sign.</t>
        </is>
      </c>
      <c r="N33" s="3" t="inlineStr">
        <is>
          <t>Four routine computations; the domain part needs careful casework.</t>
        </is>
      </c>
      <c r="O33" s="3" t="inlineStr">
        <is>
          <t>2026-P1-Q15 (L4)</t>
        </is>
      </c>
      <c r="P33" s="2" t="inlineStr">
        <is>
          <t>Medium</t>
        </is>
      </c>
    </row>
    <row r="35">
      <c r="A35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Complex Number_FCopy C2.pdf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COUNTIF(Evaluation!$G$2:$G$33,A5)</f>
        <v/>
      </c>
      <c r="D5" s="11">
        <f>SUMIF(Evaluation!$G$2:$G$33,A5,Evaluation!$F$2:$F$33)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COUNTIF(Evaluation!$G$2:$G$33,A6)</f>
        <v/>
      </c>
      <c r="D6" s="13">
        <f>SUMIF(Evaluation!$G$2:$G$33,A6,Evaluation!$F$2:$F$33)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COUNTIF(Evaluation!$G$2:$G$33,A7)</f>
        <v/>
      </c>
      <c r="D7" s="15">
        <f>SUMIF(Evaluation!$G$2:$G$33,A7,Evaluation!$F$2:$F$33)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COUNTIF(Evaluation!$G$2:$G$33,A8)</f>
        <v/>
      </c>
      <c r="D8" s="17">
        <f>SUMIF(Evaluation!$G$2:$G$33,A8,Evaluation!$F$2:$F$33)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COUNTIF(Evaluation!$G$2:$G$33,A9)</f>
        <v/>
      </c>
      <c r="D9" s="19">
        <f>SUMIF(Evaluation!$G$2:$G$33,A9,Evaluation!$F$2:$F$33)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COUNTIF(Evaluation!$G$2:$G$33,A10)</f>
        <v/>
      </c>
      <c r="D10" s="21">
        <f>SUMIF(Evaluation!$G$2:$G$33,A10,Evaluation!$F$2:$F$33)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SUM(Evaluation!$L$2:$L$33)/SUM(Evaluation!$F$2:$F$33)</f>
        <v/>
      </c>
      <c r="C14" s="24">
        <f>SUMPRODUCT(Evaluation!$F$2:$F$33,Evaluation!$G$2:$G$33)/SUM(Evaluation!$F$2:$F$33)</f>
        <v/>
      </c>
      <c r="D14" s="23">
        <f>SUM(Evaluation!$F$2:$F$33)</f>
        <v/>
      </c>
      <c r="E14" s="24">
        <f>AVERAGE(Evaluation!$G$2:$G$33)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2026-10-13T16:48:00Z</dcterms:created>
  <dcterms:modified xmlns:dcterms="http://purl.org/dc/terms/" xmlns:xsi="http://www.w3.org/2001/XMLSchema-instance" xsi:type="dcterms:W3CDTF">2026-10-13T16:48:01Z</dcterms:modified>
</cp:coreProperties>
</file>