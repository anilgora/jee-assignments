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Circle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Midpoint of a chord subtending θ is at distance R cos(θ/2) from the centre.</t>
        </is>
      </c>
      <c r="N2" s="3" t="inlineStr">
        <is>
          <t>Needs the standard chord-midpoint locus radius, then a short trigonometric solve; two routine stages with no real trap. Similar routine-chain demand to 2021-P2-Q7 (L2).</t>
        </is>
      </c>
      <c r="O2" s="3" t="inlineStr">
        <is>
          <t>2021-P2-Q7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Circle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Decode a+b=0 from the intersection data, then reflect the centre.</t>
        </is>
      </c>
      <c r="N3" s="3" t="inlineStr">
        <is>
          <t>Three routine stages (decode points, diameter circle, reflection) with option check available; no insight needed. Chain of routine steps like 2021-P1-Q9 (L2).</t>
        </is>
      </c>
      <c r="O3" s="3" t="inlineStr">
        <is>
          <t>2021-P1-Q9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Circle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AB is the chord of contact of C, so compare it with the polar.</t>
        </is>
      </c>
      <c r="N4" s="3" t="inlineStr">
        <is>
          <t>Standard pole-polar plus a distance; chain of two routine steps with option check, comparable to 2026-P2-Q2 style perpendicular-tangent routine (L3) but easier and numerical coefficients.</t>
        </is>
      </c>
      <c r="O4" s="3" t="inlineStr">
        <is>
          <t>2021-P2-Q7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Circle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Isosceles triangle makes the incentre lie on the axis x+y=5; excentres also qualify.</t>
        </is>
      </c>
      <c r="N5" s="3" t="inlineStr">
        <is>
          <t>Needs vertices, symmetry insight and awareness that an excircle is also tangent to the three lines (option D is the trap); more than a routine chain.</t>
        </is>
      </c>
      <c r="O5" s="3" t="inlineStr">
        <is>
          <t>2026-P1-Q2 (L3)</t>
        </is>
      </c>
      <c r="P5" s="2" t="inlineStr">
        <is>
          <t>Low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Circle</t>
        </is>
      </c>
      <c r="F6" s="2" t="n">
        <v>4</v>
      </c>
      <c r="G6" s="6" t="n">
        <v>3</v>
      </c>
      <c r="H6" s="6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Roll the centre 4 units along the tangent, reflect in T, then trapezium area.</t>
        </is>
      </c>
      <c r="N6" s="3" t="inlineStr">
        <is>
          <t>Four connected stages (tangent direction, translation, reflection, area) with surds; one slip changes the answer, but each step is standard.</t>
        </is>
      </c>
      <c r="O6" s="3" t="inlineStr">
        <is>
          <t>2024-P1-Q15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Circle</t>
        </is>
      </c>
      <c r="F7" s="2" t="n">
        <v>4</v>
      </c>
      <c r="G7" s="6" t="n">
        <v>3</v>
      </c>
      <c r="H7" s="6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Midpoint (λ,−λ) forces the other end Q=2M−P; D&gt;0 gives the condition.</t>
        </is>
      </c>
      <c r="N7" s="3" t="inlineStr">
        <is>
          <t>Non-routine parametrisation of chords bisected by a line followed by a discriminant condition; idea less commonly practised (midpoints of chords from a point).</t>
        </is>
      </c>
      <c r="O7" s="3" t="inlineStr">
        <is>
          <t>2026-P1-Q2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Circle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Right angle in a semicircle gives α; then tangents at Q and R.</t>
        </is>
      </c>
      <c r="N8" s="3" t="inlineStr">
        <is>
          <t>Several routine steps (α, two tangents, intersection, k) with arithmetic; no insight.</t>
        </is>
      </c>
      <c r="O8" s="3" t="inlineStr">
        <is>
          <t>2021-P2-Q7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Circle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The given line is the chord of contact, compare with the polar of S.</t>
        </is>
      </c>
      <c r="N9" s="3" t="inlineStr">
        <is>
          <t>One standard idea (pole-polar) with a short solve; a slightly longer chain than level 1 because the coefficients must be compared.</t>
        </is>
      </c>
      <c r="O9" s="3" t="inlineStr">
        <is>
          <t>2021-P2-Q7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Circle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OC ⟂ CP and CQ make right triangles, OP²=OC²+CP².</t>
        </is>
      </c>
      <c r="N10" s="3" t="inlineStr">
        <is>
          <t>Short but needs a neat observation (area gives CP, then Pythagoras twice); routine geometry.</t>
        </is>
      </c>
      <c r="O10" s="3" t="inlineStr">
        <is>
          <t>2021-P1-Q9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Circle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Area of the tangent triangle = RL³/(R²+L²) or via the polar.</t>
        </is>
      </c>
      <c r="N11" s="3" t="inlineStr">
        <is>
          <t>Tangent length, then standard area formula; routine chain.</t>
        </is>
      </c>
      <c r="O11" s="3" t="inlineStr">
        <is>
          <t>2021-P2-Q7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Circle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P and Q lie on the circle with diameter OC.</t>
        </is>
      </c>
      <c r="N12" s="3" t="inlineStr">
        <is>
          <t>One familiar fact (circle through points of contact has OC as diameter) plus a quadratic; routine.</t>
        </is>
      </c>
      <c r="O12" s="3" t="inlineStr">
        <is>
          <t>2021-P2-Q7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Circle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Equal chord and radius means a 60° angle; locus of the dividing point is a circle.</t>
        </is>
      </c>
      <c r="N13" s="3" t="inlineStr">
        <is>
          <t>Three stages: angle, coordinates, elimination; routine for a prepared student.</t>
        </is>
      </c>
      <c r="O13" s="3" t="inlineStr">
        <is>
          <t>2021-P1-Q9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Circle</t>
        </is>
      </c>
      <c r="F14" s="2" t="n">
        <v>4</v>
      </c>
      <c r="G14" s="7" t="n">
        <v>1</v>
      </c>
      <c r="H14" s="7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P is a homothetic image of the circle traced by B.</t>
        </is>
      </c>
      <c r="N14" s="3" t="inlineStr">
        <is>
          <t>One familiar locus idea followed by one distance; easy.</t>
        </is>
      </c>
      <c r="O14" s="3" t="inlineStr">
        <is>
          <t>2026-P1-Q3 (L1)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Circle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Normal through the centre plus equal distance from two tangents; the r&lt;8 constraint rejects one root.</t>
        </is>
      </c>
      <c r="N15" s="3" t="inlineStr">
        <is>
          <t>Two-case casework with an absolute-value equation and a rejection step; a slip gives the wrong option.</t>
        </is>
      </c>
      <c r="O15" s="3" t="inlineStr">
        <is>
          <t>2024-P1-Q15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Circle</t>
        </is>
      </c>
      <c r="F16" s="2" t="n">
        <v>4</v>
      </c>
      <c r="G16" s="7" t="n">
        <v>1</v>
      </c>
      <c r="H16" s="7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d = r1 + r2 so three common tangents.</t>
        </is>
      </c>
      <c r="N16" s="3" t="inlineStr">
        <is>
          <t>One familiar comparison of d with the radii; arithmetic only.</t>
        </is>
      </c>
      <c r="O16" s="3" t="inlineStr">
        <is>
          <t>2026-P1-Q3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Circle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Intersect y=x+1 with the line and the circle; b²+b−4=0.</t>
        </is>
      </c>
      <c r="N17" s="3" t="inlineStr">
        <is>
          <t>Region reading plus two intersections; answer is a clean algebraic simplification.</t>
        </is>
      </c>
      <c r="O17" s="3" t="inlineStr">
        <is>
          <t>2021-P2-Q7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Circle</t>
        </is>
      </c>
      <c r="F18" s="2" t="n">
        <v>4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(α+β−a)²=2αβ from the circle equation.</t>
        </is>
      </c>
      <c r="N18" s="3" t="inlineStr">
        <is>
          <t>Numerical format with a non-obvious elimination step (the circle condition collapses the expansion); no options to check.</t>
        </is>
      </c>
      <c r="O18" s="3" t="inlineStr">
        <is>
          <t>2024-P1-Q15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Circle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Reflect the centre; equal radii give α.</t>
        </is>
      </c>
      <c r="N19" s="3" t="inlineStr">
        <is>
          <t>Routine reflection and equating radii; no insight but a multi-step numerical chain.</t>
        </is>
      </c>
      <c r="O19" s="3" t="inlineStr">
        <is>
          <t>2021-P2-Q7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Circle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Chord of length 2: r² = d² + 1 with d from the centre (r,r).</t>
        </is>
      </c>
      <c r="N20" s="3" t="inlineStr">
        <is>
          <t>Standard chord-length relation leads to a quadratic in r; routine numerical.</t>
        </is>
      </c>
      <c r="O20" s="3" t="inlineStr">
        <is>
          <t>2021-P1-Q9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Circle</t>
        </is>
      </c>
      <c r="F21" s="2" t="n">
        <v>4</v>
      </c>
      <c r="G21" s="7" t="n">
        <v>1</v>
      </c>
      <c r="H21" s="7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Fit the circle through three points and substitute.</t>
        </is>
      </c>
      <c r="N21" s="3" t="inlineStr">
        <is>
          <t>Single standard routine step; easy.</t>
        </is>
      </c>
      <c r="O21" s="3" t="inlineStr">
        <is>
          <t>2026-P1-Q3 (L1)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Circle</t>
        </is>
      </c>
      <c r="F22" s="2" t="n">
        <v>4</v>
      </c>
      <c r="G22" s="7" t="n">
        <v>1</v>
      </c>
      <c r="H22" s="7" t="inlineStr">
        <is>
          <t>JEE Main level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|r1−r2| &lt; d &lt; r1+r2.</t>
        </is>
      </c>
      <c r="N22" s="3" t="inlineStr">
        <is>
          <t>One familiar condition, applied once.</t>
        </is>
      </c>
      <c r="O22" s="3" t="inlineStr">
        <is>
          <t>2026-P1-Q3 (L1)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Circle</t>
        </is>
      </c>
      <c r="F23" s="2" t="n">
        <v>4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Chord midpoint is the first centre, so R² = r² + d².</t>
        </is>
      </c>
      <c r="N23" s="3" t="inlineStr">
        <is>
          <t>Needs the perpendicular-from-centre fact; a few routine steps.</t>
        </is>
      </c>
      <c r="O23" s="3" t="inlineStr">
        <is>
          <t>2021-P2-Q7 (L2)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Circle</t>
        </is>
      </c>
      <c r="F24" s="2" t="n">
        <v>4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Minimise OA+OB for a line through (8,2).</t>
        </is>
      </c>
      <c r="N24" s="3" t="inlineStr">
        <is>
          <t>Straightforward calculus/AM-GM after finding the centre; routine.</t>
        </is>
      </c>
      <c r="O24" s="3" t="inlineStr">
        <is>
          <t>2021-P2-Q7 (L2)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Circle</t>
        </is>
      </c>
      <c r="F25" s="2" t="n">
        <v>4</v>
      </c>
      <c r="G25" s="6" t="n">
        <v>3</v>
      </c>
      <c r="H25" s="6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Condition for two intersections plus the reality constraint 4λ²≥9; then substitute a, b.</t>
        </is>
      </c>
      <c r="N25" s="3" t="inlineStr">
        <is>
          <t>Squared-radical inequalities, two conditions and a final substitution into four curves; more precision risk than a routine chain.</t>
        </is>
      </c>
      <c r="O25" s="3" t="inlineStr">
        <is>
          <t>2023-P2-Q13 (L4)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Circle</t>
        </is>
      </c>
      <c r="F26" s="2" t="n">
        <v>4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Midpoints of chords through the origin lie on the circle with diameter OC.</t>
        </is>
      </c>
      <c r="N26" s="3" t="inlineStr">
        <is>
          <t>Derivation of the locus then a chord length; routine chain.</t>
        </is>
      </c>
      <c r="O26" s="3" t="inlineStr">
        <is>
          <t>2021-P1-Q9 (L2)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Numerical</t>
        </is>
      </c>
      <c r="E27" s="3" t="inlineStr">
        <is>
          <t>Circle</t>
        </is>
      </c>
      <c r="F27" s="2" t="n">
        <v>4</v>
      </c>
      <c r="G27" s="7" t="n">
        <v>1</v>
      </c>
      <c r="H27" s="7" t="inlineStr">
        <is>
          <t>JEE Main level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Tangent line is at distance r from the centre.</t>
        </is>
      </c>
      <c r="N27" s="3" t="inlineStr">
        <is>
          <t>One familiar condition; extra given data is redundant.</t>
        </is>
      </c>
      <c r="O27" s="3" t="inlineStr">
        <is>
          <t>2026-P1-Q3 (L1)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Numerical</t>
        </is>
      </c>
      <c r="E28" s="3" t="inlineStr">
        <is>
          <t>Circle</t>
        </is>
      </c>
      <c r="F28" s="2" t="n">
        <v>4</v>
      </c>
      <c r="G28" s="4" t="n">
        <v>2</v>
      </c>
      <c r="H28" s="4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A single-point meeting means a tangent; P is the foot of the perpendicular.</t>
        </is>
      </c>
      <c r="N28" s="3" t="inlineStr">
        <is>
          <t>Multi-step chain (centre, line, radius, tangent comparison) with careful fractions, no insight.</t>
        </is>
      </c>
      <c r="O28" s="3" t="inlineStr">
        <is>
          <t>2021-P2-Q7 (L2)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Numerical</t>
        </is>
      </c>
      <c r="E29" s="3" t="inlineStr">
        <is>
          <t>Circle</t>
        </is>
      </c>
      <c r="F29" s="2" t="n">
        <v>4</v>
      </c>
      <c r="G29" s="6" t="n">
        <v>3</v>
      </c>
      <c r="H29" s="6" t="inlineStr">
        <is>
          <t>Average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Cosine rule gives α; the common chord is perpendicular to the line of centres.</t>
        </is>
      </c>
      <c r="N29" s="3" t="inlineStr">
        <is>
          <t>Numerical, several stages with the principal-value reading of sin⁻¹; no options to check.</t>
        </is>
      </c>
      <c r="O29" s="3" t="inlineStr">
        <is>
          <t>2024-P1-Q15 (L3)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Circle</t>
        </is>
      </c>
      <c r="F30" s="2" t="n">
        <v>4</v>
      </c>
      <c r="G30" s="4" t="n">
        <v>2</v>
      </c>
      <c r="H30" s="4" t="inlineStr">
        <is>
          <t>Easier than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Sides parallel to y=x+3 at distance r/√2 from the centre.</t>
        </is>
      </c>
      <c r="N30" s="3" t="inlineStr">
        <is>
          <t>Routine: find sides, intersect, sum; long arithmetic but no insight.</t>
        </is>
      </c>
      <c r="O30" s="3" t="inlineStr">
        <is>
          <t>2021-P2-Q7 (L2)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Circle</t>
        </is>
      </c>
      <c r="F31" s="2" t="n">
        <v>4</v>
      </c>
      <c r="G31" s="4" t="n">
        <v>2</v>
      </c>
      <c r="H31" s="4" t="inlineStr">
        <is>
          <t>Easier than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MN is parallel to PQ at distance 3 from the origin.</t>
        </is>
      </c>
      <c r="N31" s="3" t="inlineStr">
        <is>
          <t>Standard chord-distance relation, two sides of the centre need a thought.</t>
        </is>
      </c>
      <c r="O31" s="3" t="inlineStr">
        <is>
          <t>2021-P1-Q9 (L2)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Circle</t>
        </is>
      </c>
      <c r="F32" s="2" t="n">
        <v>4</v>
      </c>
      <c r="G32" s="7" t="n">
        <v>1</v>
      </c>
      <c r="H32" s="7" t="inlineStr">
        <is>
          <t>JEE Main level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Closest distance = d − r.</t>
        </is>
      </c>
      <c r="N32" s="3" t="inlineStr">
        <is>
          <t>One familiar idea after locating the centre.</t>
        </is>
      </c>
      <c r="O32" s="3" t="inlineStr">
        <is>
          <t>2026-P1-Q3 (L1)</t>
        </is>
      </c>
      <c r="P32" s="2" t="inlineStr">
        <is>
          <t>High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Circle</t>
        </is>
      </c>
      <c r="F33" s="2" t="n">
        <v>4</v>
      </c>
      <c r="G33" s="4" t="n">
        <v>2</v>
      </c>
      <c r="H33" s="4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Centre on the diagonal at r√2 from C; CF = r√2 + r.</t>
        </is>
      </c>
      <c r="N33" s="3" t="inlineStr">
        <is>
          <t>Short geometric chain with a diagram; routine.</t>
        </is>
      </c>
      <c r="O33" s="3" t="inlineStr">
        <is>
          <t>2021-P2-Q7 (L2)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Circle</t>
        </is>
      </c>
      <c r="F34" s="2" t="n">
        <v>4</v>
      </c>
      <c r="G34" s="7" t="n">
        <v>1</v>
      </c>
      <c r="H34" s="7" t="inlineStr">
        <is>
          <t>JEE Main level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Radical axis S1−S2=0.</t>
        </is>
      </c>
      <c r="N34" s="3" t="inlineStr">
        <is>
          <t>One familiar move then a distance.</t>
        </is>
      </c>
      <c r="O34" s="3" t="inlineStr">
        <is>
          <t>2026-P1-Q3 (L1)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Circle</t>
        </is>
      </c>
      <c r="F35" s="2" t="n">
        <v>4</v>
      </c>
      <c r="G35" s="7" t="n">
        <v>1</v>
      </c>
      <c r="H35" s="7" t="inlineStr">
        <is>
          <t>JEE Main level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Inradius of an equilateral triangle; square in a circle: side² = 2r².</t>
        </is>
      </c>
      <c r="N35" s="3" t="inlineStr">
        <is>
          <t>Two direct formulas.</t>
        </is>
      </c>
      <c r="O35" s="3" t="inlineStr">
        <is>
          <t>2026-P1-Q3 (L1)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Circle</t>
        </is>
      </c>
      <c r="F36" s="2" t="n">
        <v>4</v>
      </c>
      <c r="G36" s="4" t="n">
        <v>2</v>
      </c>
      <c r="H36" s="4" t="inlineStr">
        <is>
          <t>Easier than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The point of contact divides the centres in the ratio of the given section.</t>
        </is>
      </c>
      <c r="N36" s="3" t="inlineStr">
        <is>
          <t>Section formula and distances; routine multi-step.</t>
        </is>
      </c>
      <c r="O36" s="3" t="inlineStr">
        <is>
          <t>2021-P2-Q7 (L2)</t>
        </is>
      </c>
      <c r="P36" s="2" t="inlineStr">
        <is>
          <t>Medium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SCQ</t>
        </is>
      </c>
      <c r="E37" s="3" t="inlineStr">
        <is>
          <t>Circle</t>
        </is>
      </c>
      <c r="F37" s="2" t="n">
        <v>4</v>
      </c>
      <c r="G37" s="7" t="n">
        <v>1</v>
      </c>
      <c r="H37" s="7" t="inlineStr">
        <is>
          <t>JEE Main level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Reflect the point and take the distance from the centre.</t>
        </is>
      </c>
      <c r="N37" s="3" t="inlineStr">
        <is>
          <t>One formula, applied once.</t>
        </is>
      </c>
      <c r="O37" s="3" t="inlineStr">
        <is>
          <t>2026-P1-Q3 (L1)</t>
        </is>
      </c>
      <c r="P37" s="2" t="inlineStr">
        <is>
          <t>High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Numerical</t>
        </is>
      </c>
      <c r="E38" s="3" t="inlineStr">
        <is>
          <t>Circle</t>
        </is>
      </c>
      <c r="F38" s="2" t="n">
        <v>4</v>
      </c>
      <c r="G38" s="6" t="n">
        <v>3</v>
      </c>
      <c r="H38" s="6" t="inlineStr">
        <is>
          <t>Average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The circle passes through the origin so r = distance of centre from origin; internal tangency.</t>
        </is>
      </c>
      <c r="N38" s="3" t="inlineStr">
        <is>
          <t>Needs the observation that r=√(h²+k²) and internal touching; numerical, moderately uncommon idea.</t>
        </is>
      </c>
      <c r="O38" s="3" t="inlineStr">
        <is>
          <t>2023-P2-Q13 (L4)</t>
        </is>
      </c>
      <c r="P38" s="2" t="inlineStr">
        <is>
          <t>Low</t>
        </is>
      </c>
    </row>
    <row r="40">
      <c r="A40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 CIRCLE LINE_FCopy JM.pdf (Exercise J-M, 37 questions, marks assumed 4 each)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COUNTIF(Evaluation!$G$2:$G$38,A5)</f>
        <v/>
      </c>
      <c r="D5" s="10">
        <f>SUMIF(Evaluation!$G$2:$G$38,A5,Evaluation!$F$2:$F$38)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COUNTIF(Evaluation!$G$2:$G$38,A6)</f>
        <v/>
      </c>
      <c r="D6" s="12">
        <f>SUMIF(Evaluation!$G$2:$G$38,A6,Evaluation!$F$2:$F$38)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COUNTIF(Evaluation!$G$2:$G$38,A7)</f>
        <v/>
      </c>
      <c r="D7" s="14">
        <f>SUMIF(Evaluation!$G$2:$G$38,A7,Evaluation!$F$2:$F$38)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COUNTIF(Evaluation!$G$2:$G$38,A8)</f>
        <v/>
      </c>
      <c r="D8" s="16">
        <f>SUMIF(Evaluation!$G$2:$G$38,A8,Evaluation!$F$2:$F$38)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COUNTIF(Evaluation!$G$2:$G$38,A9)</f>
        <v/>
      </c>
      <c r="D9" s="18">
        <f>SUMIF(Evaluation!$G$2:$G$38,A9,Evaluation!$F$2:$F$38)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COUNTIF(Evaluation!$G$2:$G$38,A10)</f>
        <v/>
      </c>
      <c r="D10" s="20">
        <f>SUMIF(Evaluation!$G$2:$G$38,A10,Evaluation!$F$2:$F$38)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SUM(Evaluation!$L$2:$L$38)/SUM(Evaluation!$F$2:$F$38)</f>
        <v/>
      </c>
      <c r="C14" s="23">
        <f>SUMPRODUCT(Evaluation!$F$2:$F$38,Evaluation!$G$2:$G$38)/SUM(Evaluation!$F$2:$F$38)</f>
        <v/>
      </c>
      <c r="D14" s="22">
        <f>SUM(Evaluation!$F$2:$F$38)</f>
        <v/>
      </c>
      <c r="E14" s="23">
        <f>AVERAGE(Evaluation!$G$2:$G$38)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2026-10-13T14:30:41Z</dcterms:created>
  <dcterms:modified xmlns:dcterms="http://purl.org/dc/terms/" xmlns:xsi="http://www.w3.org/2001/XMLSchema-instance" xsi:type="dcterms:W3CDTF">2026-10-13T14:30:41Z</dcterms:modified>
</cp:coreProperties>
</file>