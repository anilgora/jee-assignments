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Limits; Application of Derivatives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Series expansion to order x^3 for k, then the mirror-image/parallel-tangent idea for the distance between inverse curves.</t>
        </is>
      </c>
      <c r="N2" s="3" t="inlineStr">
        <is>
          <t>Two linked ideas (precise Taylor cancellation, inverse-curve symmetry) with option checks and light arithmetic.</t>
        </is>
      </c>
      <c r="O2" s="3" t="inlineStr">
        <is>
          <t>2024-P2-Q3 (L1) + 2026-P2-Q2 (L2); two ideas linked puts it at 3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Definite Integration</t>
        </is>
      </c>
      <c r="F3" s="2" t="n">
        <v>4</v>
      </c>
      <c r="G3" s="4" t="n">
        <v>3</v>
      </c>
      <c r="H3" s="4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Pair x with its reflection so that [t]+[-t]=-1 applies, twice for the cosine part.</t>
        </is>
      </c>
      <c r="N3" s="3" t="inlineStr">
        <is>
          <t>Greatest-integer integrals via King property need the non-integer almost-everywhere argument; two applications, options to check.</t>
        </is>
      </c>
      <c r="O3" s="3" t="inlineStr">
        <is>
          <t>2023-P2-Q2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Indefinite Integration; Application of Derivatives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Partial fractions, constant from f(2), slopes at the common point, angle formula.</t>
        </is>
      </c>
      <c r="N4" s="3" t="inlineStr">
        <is>
          <t>Routine multi-step chain without insight; options to confirm.</t>
        </is>
      </c>
      <c r="O4" s="3" t="inlineStr">
        <is>
          <t>2026-P2-Q3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Definite Integration (limit of a sum)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Factor n^6-k^6+n^2k^2(n^2-k^2)=(n^2-k^2)(n^2+k^2)^2 to get a Riemann sum, then x=sin t, tan t.</t>
        </is>
      </c>
      <c r="N5" s="3" t="inlineStr">
        <is>
          <t>The hidden factorisation is the one non-routine step; the integral that follows is standard.</t>
        </is>
      </c>
      <c r="O5" s="3" t="inlineStr">
        <is>
          <t>2026-P1-Q12 (L4, harder factoring)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Differentiation; Integration; Tangents to curves</t>
        </is>
      </c>
      <c r="F6" s="2" t="n">
        <v>4</v>
      </c>
      <c r="G6" s="4" t="n">
        <v>3</v>
      </c>
      <c r="H6" s="4" t="inlineStr">
        <is>
          <t>Average Advanced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Find the common tangent of C1 and a parabola: intercept condition -3m^2/8 and the point x1=1/sqrt2.</t>
        </is>
      </c>
      <c r="N6" s="3" t="inlineStr">
        <is>
          <t>Four statements, f from a differential relation, then a common-tangent search whose root must be spotted; options allow verification of B.</t>
        </is>
      </c>
      <c r="O6" s="3" t="inlineStr">
        <is>
          <t>2026-P1-Q7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Differentiation; Limits</t>
        </is>
      </c>
      <c r="F7" s="2" t="n">
        <v>4</v>
      </c>
      <c r="G7" s="4" t="n">
        <v>3</v>
      </c>
      <c r="H7" s="4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Second derivative of composites at 0: (f o g)''=f''(g)g'^2+f'(g)g'' for three composites.</t>
        </is>
      </c>
      <c r="N7" s="3" t="inlineStr">
        <is>
          <t>Three similar long-chain computations where one slip changes the verdict; each statement needs a real check.</t>
        </is>
      </c>
      <c r="O7" s="3" t="inlineStr">
        <is>
          <t>2026-P1-Q7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Indefinite Integration; Theory of Equations</t>
        </is>
      </c>
      <c r="F8" s="2" t="n">
        <v>4</v>
      </c>
      <c r="G8" s="7" t="n">
        <v>4</v>
      </c>
      <c r="H8" s="7" t="inlineStr">
        <is>
          <t>Slightly difficult</t>
        </is>
      </c>
      <c r="I8" s="5" t="n">
        <v>0</v>
      </c>
      <c r="J8" s="5" t="n">
        <v>2.5</v>
      </c>
      <c r="K8" s="5">
        <f>MIN(5,MAX(G8+I8,J8))</f>
        <v/>
      </c>
      <c r="L8" s="5">
        <f>F8*K8</f>
        <v/>
      </c>
      <c r="M8" s="3" t="inlineStr">
        <is>
          <t>Divide by x^2 and u=x+1/x, then u=sec t, to get f=sqrt((x^2-x+1)/(x^2+x+1)); then root location of a cubic.</t>
        </is>
      </c>
      <c r="N8" s="3" t="inlineStr">
        <is>
          <t>Unfamiliar integration trick (palindromic radicand) feeding a cubic root-location analysis with four statements.</t>
        </is>
      </c>
      <c r="O8" s="3" t="inlineStr">
        <is>
          <t>2026-P2-Q5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Circle</t>
        </is>
      </c>
      <c r="F9" s="2" t="n">
        <v>4</v>
      </c>
      <c r="G9" s="7" t="n">
        <v>4</v>
      </c>
      <c r="H9" s="7" t="inlineStr">
        <is>
          <t>Slightly difficult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Point of L on the radical axis has equal tangent lengths, so it is the midpoint of T1T2 and the circle on T1T2 is orthogonal to the system.</t>
        </is>
      </c>
      <c r="N9" s="3" t="inlineStr">
        <is>
          <t>Coaxial/radical-axis reasoning that students rarely meet in this form, several statements, a trapezoid area to finish.</t>
        </is>
      </c>
      <c r="O9" s="3" t="inlineStr">
        <is>
          <t>2023-P2-Q13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MCQ</t>
        </is>
      </c>
      <c r="E10" s="3" t="inlineStr">
        <is>
          <t>Definite Integration</t>
        </is>
      </c>
      <c r="F10" s="2" t="n">
        <v>4</v>
      </c>
      <c r="G10" s="7" t="n">
        <v>4</v>
      </c>
      <c r="H10" s="7" t="inlineStr">
        <is>
          <t>Slightly difficult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Spot the invariance of 1+2cos(2x-pi/3) under x-&gt;pi/3-x, the identity 1+sqrt3 tan(pi/3-x)=4/(1+sqrt3 tan x), then the cos-integral.</t>
        </is>
      </c>
      <c r="N10" s="3" t="inlineStr">
        <is>
          <t>Three King-property integrals plus a combination, with an extra t=tan(theta/2) integral; long and error-prone.</t>
        </is>
      </c>
      <c r="O10" s="3" t="inlineStr">
        <is>
          <t>2025-P2-Q16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MTC SCQ</t>
        </is>
      </c>
      <c r="E11" s="3" t="inlineStr">
        <is>
          <t>Definite Integration</t>
        </is>
      </c>
      <c r="F11" s="2" t="n">
        <v>3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Wallis formula for three items and the reduction T4+T2=1/3 for tan^4.</t>
        </is>
      </c>
      <c r="N11" s="3" t="inlineStr">
        <is>
          <t>Four short standard evaluations with elimination possible.</t>
        </is>
      </c>
      <c r="O11" s="3" t="inlineStr">
        <is>
          <t>2026-P1-Q3 (L1) / MTC average 2.1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MTC SCQ</t>
        </is>
      </c>
      <c r="E12" s="3" t="inlineStr">
        <is>
          <t>Straight Lines; Circle</t>
        </is>
      </c>
      <c r="F12" s="2" t="n">
        <v>3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Reflection formula for the image, then d^2=r1^2+r2^2 for orthogonal circles.</t>
        </is>
      </c>
      <c r="N12" s="3" t="inlineStr">
        <is>
          <t>Four independent routine items, each a short chain.</t>
        </is>
      </c>
      <c r="O12" s="3" t="inlineStr">
        <is>
          <t>MTC average 2.1; 2026-P2-Q17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Definite Integration; Continuity/Rolle</t>
        </is>
      </c>
      <c r="F13" s="2" t="n">
        <v>4</v>
      </c>
      <c r="G13" s="7" t="n">
        <v>4</v>
      </c>
      <c r="H13" s="7" t="inlineStr">
        <is>
          <t>Slightly difficult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From the moments int f=0 and int x f=0 argue that (x-c)f cannot keep one sign, hence at least two roots; show 2 is attained.</t>
        </is>
      </c>
      <c r="N13" s="3" t="inlineStr">
        <is>
          <t>Non-routine sign-change/orthogonality argument plus a construction; no options to check.</t>
        </is>
      </c>
      <c r="O13" s="3" t="inlineStr">
        <is>
          <t>2021-P2-Q9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Indefinite Integration</t>
        </is>
      </c>
      <c r="F14" s="2" t="n">
        <v>4</v>
      </c>
      <c r="G14" s="7" t="n">
        <v>4</v>
      </c>
      <c r="H14" s="7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Integrate x^{k-1}f_{n+1} by parts to get the recursion with (n-k), and use k=1 repeatedly.</t>
        </is>
      </c>
      <c r="N14" s="3" t="inlineStr">
        <is>
          <t>Unfamiliar recursion on an operator sequence, several stages, no options.</t>
        </is>
      </c>
      <c r="O14" s="3" t="inlineStr">
        <is>
          <t>2026-P2-Q5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Application of Derivatives</t>
        </is>
      </c>
      <c r="F15" s="2" t="n">
        <v>4</v>
      </c>
      <c r="G15" s="8" t="n">
        <v>1</v>
      </c>
      <c r="H15" s="8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f(1)=f(4) so c is the critical point x=2, and M,m from endpoints and f(2).</t>
        </is>
      </c>
      <c r="N15" s="3" t="inlineStr">
        <is>
          <t>Single familiar move, a table of three values.</t>
        </is>
      </c>
      <c r="O15" s="3" t="inlineStr">
        <is>
          <t>2024-P2-Q1 (L0) / Rolle anchors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Application of Derivatives; Quadratic Equations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f'&gt;=0 for all x, with the degenerate case a^2-1=0 treated separately, then count integers.</t>
        </is>
      </c>
      <c r="N16" s="3" t="inlineStr">
        <is>
          <t>Routine chain with one trap (a=-1) and a clean discriminant condition.</t>
        </is>
      </c>
      <c r="O16" s="3" t="inlineStr">
        <is>
          <t>2026-P2-Q12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Continuity &amp; Differentiability; Differentiation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Corners at half-integers and a jump at x=1 give m=3; du/dv from derivatives on (1,2).</t>
        </is>
      </c>
      <c r="N17" s="3" t="inlineStr">
        <is>
          <t>Routine casework with one easy-to-miss discontinuity; short second part.</t>
        </is>
      </c>
      <c r="O17" s="3" t="inlineStr">
        <is>
          <t>2026-P2-Q14 (L4, harder) / 2023-P2-Q9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Application of Derivatives; Differential Equations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N/T = dy/dx makes the relation a separable ODE; solve and evaluate.</t>
        </is>
      </c>
      <c r="N18" s="3" t="inlineStr">
        <is>
          <t>Standard definitions plus a one-line separable equation.</t>
        </is>
      </c>
      <c r="O18" s="3" t="inlineStr">
        <is>
          <t>2026-P2-Q3 (L2)</t>
        </is>
      </c>
      <c r="P18" s="2" t="inlineStr">
        <is>
          <t>High</t>
        </is>
      </c>
    </row>
    <row r="20">
      <c r="A2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PRT 08 Paper 02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COUNTIF(Evaluation!$G$2:$G$18,A5)</f>
        <v/>
      </c>
      <c r="D5" s="11">
        <f>SUMIF(Evaluation!$G$2:$G$18,A5,Evaluation!$F$2:$F$18)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COUNTIF(Evaluation!$G$2:$G$18,A6)</f>
        <v/>
      </c>
      <c r="D6" s="13">
        <f>SUMIF(Evaluation!$G$2:$G$18,A6,Evaluation!$F$2:$F$18)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COUNTIF(Evaluation!$G$2:$G$18,A7)</f>
        <v/>
      </c>
      <c r="D7" s="15">
        <f>SUMIF(Evaluation!$G$2:$G$18,A7,Evaluation!$F$2:$F$18)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COUNTIF(Evaluation!$G$2:$G$18,A8)</f>
        <v/>
      </c>
      <c r="D8" s="17">
        <f>SUMIF(Evaluation!$G$2:$G$18,A8,Evaluation!$F$2:$F$18)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COUNTIF(Evaluation!$G$2:$G$18,A9)</f>
        <v/>
      </c>
      <c r="D9" s="19">
        <f>SUMIF(Evaluation!$G$2:$G$18,A9,Evaluation!$F$2:$F$18)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COUNTIF(Evaluation!$G$2:$G$18,A10)</f>
        <v/>
      </c>
      <c r="D10" s="21">
        <f>SUMIF(Evaluation!$G$2:$G$18,A10,Evaluation!$F$2:$F$18)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SUM(Evaluation!$L$2:$L$18)/SUM(Evaluation!$F$2:$F$18)</f>
        <v/>
      </c>
      <c r="C14" s="24">
        <f>SUMPRODUCT(Evaluation!$F$2:$F$18,Evaluation!$G$2:$G$18)/SUM(Evaluation!$F$2:$F$18)</f>
        <v/>
      </c>
      <c r="D14" s="23">
        <f>SUM(Evaluation!$F$2:$F$18)</f>
        <v/>
      </c>
      <c r="E14" s="24">
        <f>AVERAGE(Evaluation!$G$2:$G$18)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2026-10-23T16:57:36Z</dcterms:created>
  <dcterms:modified xmlns:dcterms="http://purl.org/dc/terms/" xmlns:xsi="http://www.w3.org/2001/XMLSchema-instance" xsi:type="dcterms:W3CDTF">2026-10-23T16:57:36Z</dcterms:modified>
</cp:coreProperties>
</file>