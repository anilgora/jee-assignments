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Sets, Relations and Functions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Find one counterexample to symmetry: (2,3) in R but (3,2) not.</t>
        </is>
      </c>
      <c r="N2" s="3" t="inlineStr">
        <is>
          <t>Direct property check on a five-pair relation with options; one familiar move. Same single-move level as 2026-P1-Q3 (L1); far easier than the counting relation 2025-P1-Q8 (L4).</t>
        </is>
      </c>
      <c r="O2" s="3" t="inlineStr">
        <is>
          <t>2021-P2-Q17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Sets, Relations and Functions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0.5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Check that R is reflexive and transitive but fails symmetry (no reverse pairs).</t>
        </is>
      </c>
      <c r="N3" s="3" t="inlineStr">
        <is>
          <t>Routine property check on an eight-pair relation; the transitivity check is a small chain scan. One familiar move, options available. Equivalence-framed, so the +0.5 applies.</t>
        </is>
      </c>
      <c r="O3" s="3" t="inlineStr">
        <is>
          <t>2026-P1-Q3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Sets, Relations and Functions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Build a transitivity counterexample (BAD, CAT, KITE).</t>
        </is>
      </c>
      <c r="N4" s="3" t="inlineStr">
        <is>
          <t>One standard counterexample to transitivity of 'share a common element'; no calculation. Same kind of single move as 2026-P1-Q3 (L1).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Sets, Relations and Functions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0.5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 fails reflexivity at once; T passes by integer arithmetic.</t>
        </is>
      </c>
      <c r="N5" s="3" t="inlineStr">
        <is>
          <t>One-move check; both relations are textbook (x-y integer). Equivalence-relation test so +0.5.</t>
        </is>
      </c>
      <c r="O5" s="3" t="inlineStr">
        <is>
          <t>2026-P1-Q3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Sets, Relations and Functions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Cancellation: equal union and intersection with A force B=C.</t>
        </is>
      </c>
      <c r="N6" s="3" t="inlineStr">
        <is>
          <t>A single set-algebra fact applied once; options guide the choice. No close relation anchor; nearest in spirit is a one-trick L1 like 2025-P1-Q7.</t>
        </is>
      </c>
      <c r="O6" s="3" t="inlineStr">
        <is>
          <t>2025-P1-Q7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Sets, Relations and Functions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0.5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Spot that w=0 breaks symmetry of R, and that S is equality of fractions.</t>
        </is>
      </c>
      <c r="N7" s="3" t="inlineStr">
        <is>
          <t>Two relations to judge; the zero counterexample is the one non-obvious point, chained with three-axiom checks for S. Routine chain without real insight so L2, with +0.5 for the equivalence key step.</t>
        </is>
      </c>
      <c r="O7" s="3" t="inlineStr">
        <is>
          <t>2026-P2-Q1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Sets, Relations and Functions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0.5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Statement-2 fails symmetry at (0,1) because alpha=0 is allowed.</t>
        </is>
      </c>
      <c r="N8" s="3" t="inlineStr">
        <is>
          <t>Two statements each needing a three-axiom check, one counterexample at zero; assertion-reason format. Routine chain, level 2, +0.5 for equivalence.</t>
        </is>
      </c>
      <c r="O8" s="3" t="inlineStr">
        <is>
          <t>2026-P2-Q1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Sets, Relations and Functions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0.5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Similarity is an equivalence relation and (QP)^{-1}=P^{-1}Q^{-1} gives transitivity.</t>
        </is>
      </c>
      <c r="N9" s="3" t="inlineStr">
        <is>
          <t>Three-axiom check on a matrix relation plus judging whether the second statement explains the first; routine but multi-step with assertion-reason subtlety. L2 with +0.5.</t>
        </is>
      </c>
      <c r="O9" s="3" t="inlineStr">
        <is>
          <t>2026-P2-Q1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Sets, Relations and Functions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Each element has three destinations (Y only, Z only, neither).</t>
        </is>
      </c>
      <c r="N10" s="3" t="inlineStr">
        <is>
          <t>One familiar counting idea, instant with options present; 3^n for disjoint pairs is a standard pattern.</t>
        </is>
      </c>
      <c r="O10" s="3" t="inlineStr">
        <is>
          <t>2021-P2-Q17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Sets, Relations and Functions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n(AxB)=8 and subtract the subsets of size 0, 1, 2 from 2^8.</t>
        </is>
      </c>
      <c r="N11" s="3" t="inlineStr">
        <is>
          <t>One complement count with three small binomials; the one trap is n(AxB)=8 not 6. L1.</t>
        </is>
      </c>
      <c r="O11" s="3" t="inlineStr">
        <is>
          <t>2021-P2-Q17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Sets, Relations and Functions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Split at $\sqrt{x}=3$ (or complete the square) and solve in $t=\sqrt{x}$.</t>
        </is>
      </c>
      <c r="N12" s="3" t="inlineStr">
        <is>
          <t>One familiar move: modulus split plus a quadratic in $\sqrt{x}$, with two roots rejected against the case interval. Options available. Same flavour as 2021-P1-Q17 (L1, modulus case split).</t>
        </is>
      </c>
      <c r="O12" s="3" t="inlineStr">
        <is>
          <t>2021-P1-Q17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Sets, Relations and Functions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3-digit members of $9k+r$ are $k=11..110$; sum for $B$ is $54650$, then solve for $l$.</t>
        </is>
      </c>
      <c r="N13" s="3" t="inlineStr">
        <is>
          <t>Chain of routine steps (AP sums, noticing the degenerate case $l=2$ and disjointness) with a numerical answer and no options to check, so precision matters, but no insight needed. Slightly above 2023-P1-Q13 (L1) and 2021-P2-Q17 (L1) because of the chain.</t>
        </is>
      </c>
      <c r="O13" s="3" t="inlineStr">
        <is>
          <t>2021-P2-Q17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Sets, Relations and Functions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0.5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Class of a point under 'equal distance from $O$' is the circle through it.</t>
        </is>
      </c>
      <c r="N14" s="3" t="inlineStr">
        <is>
          <t>Single recognition: equal distance gives the circle $x^2+y^2=2$. Equivalence-class topic carries the +0.5. Comparable to 2026-P1-Q3 (L1), a one-move recognition question.</t>
        </is>
      </c>
      <c r="O14" s="3" t="inlineStr">
        <is>
          <t>2026-P1-Q3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Sets, Relations and Functions</t>
        </is>
      </c>
      <c r="F15" s="2" t="n">
        <v>4</v>
      </c>
      <c r="G15" s="4" t="n">
        <v>1</v>
      </c>
      <c r="H15" s="4" t="inlineStr">
        <is>
          <t>JEE Main level</t>
        </is>
      </c>
      <c r="I15" s="5" t="n">
        <v>0.5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Use $P=I$, $P^{-1}$ and $QP$ to verify reflexive, symmetric, transitive for similarity.</t>
        </is>
      </c>
      <c r="N15" s="3" t="inlineStr">
        <is>
          <t>Standard fact (similarity is an equivalence relation); three one-line checks, options allow elimination. The equivalence-relation adjustment is applied separately. Nearest anchor 2026-P1-Q3 (L1).</t>
        </is>
      </c>
      <c r="O15" s="3" t="inlineStr">
        <is>
          <t>2026-P1-Q3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Sets, Relations and Functions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'None plays all three' means no common region of the three circles; check each figure.</t>
        </is>
      </c>
      <c r="N16" s="3" t="inlineStr">
        <is>
          <t>One reading of the condition and a visual check of three figures; no computation. Like 2021-P2-Q17 (L1) in being a single set-theoretic idea.</t>
        </is>
      </c>
      <c r="O16" s="3" t="inlineStr">
        <is>
          <t>2021-P2-Q17 (L1)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Sets, Relations and Functions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0.5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The class of $(4,3)$ under $ad=bc$ is $\{(4k,3k)\}$ within $\{2,\dots,30\}$.</t>
        </is>
      </c>
      <c r="N17" s="3" t="inlineStr">
        <is>
          <t>Recognise $ad=bc\iff a/b=c/d$ and count multiples within bounds ($k\le 7$); small counting, options present. Equivalence class counted, so +0.5. Much lighter than 2026-P1-Q9 (L4) which counts equivalence relations.</t>
        </is>
      </c>
      <c r="O17" s="3" t="inlineStr">
        <is>
          <t>2026-P1-Q9 (L4, much harder)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Sets, Relations and Functions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Split at $0$ and $-4$, solve three quadratics and check each root against its interval.</t>
        </is>
      </c>
      <c r="N18" s="3" t="inlineStr">
        <is>
          <t>Routine three-case modulus split with simple quadratics; options available. Same type as 2021-P1-Q17 (L1) but one more case.</t>
        </is>
      </c>
      <c r="O18" s="3" t="inlineStr">
        <is>
          <t>2021-P1-Q17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Sets, Relations and Functions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0.5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Factor as $(x-y)(x+y)(x-3y)$ so $xRy\iff x=y$ or $x=3y$, then find counterexamples.</t>
        </is>
      </c>
      <c r="N19" s="3" t="inlineStr">
        <is>
          <t>Factorisation then three property checks with explicit counterexamples; routine chain with no unfamiliar idea, so L2 before the equivalence-relation adjustment. Options allow elimination. Nearest 2025-P1-Q8 (L4) is a counting question and much harder; this sits at the easy end.</t>
        </is>
      </c>
      <c r="O19" s="3" t="inlineStr">
        <is>
          <t>2025-P1-Q8 (L4, harder)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Sets, Relations and Functions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$A=\{1..100\}$ from $n(n-1)\le 10000$; $B-C$ is the odd members of $B$, an AP with $d=6$.</t>
        </is>
      </c>
      <c r="N20" s="3" t="inlineStr">
        <is>
          <t>Three chained routine steps (bound on $n$, parity filter, AP sum) in numerical format, so a slip in the first or last term changes the answer. No insight. Near 2021-P2-Q17 (L1) but longer.</t>
        </is>
      </c>
      <c r="O20" s="3" t="inlineStr">
        <is>
          <t>2021-P2-Q17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Sets, Relations and Functions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$K\ge 89+98-100=87$ from $n(A\cup B)\le 100$.</t>
        </is>
      </c>
      <c r="N21" s="3" t="inlineStr">
        <is>
          <t>One familiar move (two-set inclusion-exclusion bound). Options help. Matches 2021-P2-Q17 (L1) in demand.</t>
        </is>
      </c>
      <c r="O21" s="3" t="inlineStr">
        <is>
          <t>2021-P2-Q17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Sets, Relations and Functions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Check each statement's reflexive/symmetric/transitive claims with boundary counterexamples ($0,1,2$).</t>
        </is>
      </c>
      <c r="N22" s="3" t="inlineStr">
        <is>
          <t>Four statements to check, each needing a small counterexample, but each is easy and one false statement suffices; single-correct so options help. Above 2021-P1-Q17 (L1) for the number of checks, below 2024-P2-Q6 style statement sets that were rated 1 only because they were direct. Judged L2.</t>
        </is>
      </c>
      <c r="O22" s="3" t="inlineStr">
        <is>
          <t>2024-P2-Q6 (L1)</t>
        </is>
      </c>
      <c r="P22" s="2" t="inlineStr">
        <is>
          <t>Low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Sets, Relations and Functions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Convert three modulus/root conditions to intervals, intersect, complement, count integers.</t>
        </is>
      </c>
      <c r="N23" s="3" t="inlineStr">
        <is>
          <t>Three routine interval conversions chained with a complement and an integer count; no insight, endpoint care only. Numerical format nudges it up slightly but it stays routine, like 2026-P2-Q3 (L2).</t>
        </is>
      </c>
      <c r="O23" s="3" t="inlineStr">
        <is>
          <t>2026-P2-Q3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Sets, Relations and Functions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Convert both modulus sets to intervals and read each option off the number line.</t>
        </is>
      </c>
      <c r="N24" s="3" t="inlineStr">
        <is>
          <t>One routine conversion to intervals, then reading four set operations from a number line; options available and no idea needed. Closest to single-move items such as 2021-P2-Q17 (L1).</t>
        </is>
      </c>
      <c r="O24" s="3" t="inlineStr">
        <is>
          <t>2021-P2-Q17 (L1)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Sets, Relations and Functions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0.5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Find a transitivity counterexample for each relation; the one for $|a-b|\ne13$ needs the pair differing by exactly 13.</t>
        </is>
      </c>
      <c r="N25" s="3" t="inlineStr">
        <is>
          <t>Reflexive/symmetric are trivial; the work is finding two transitivity counterexamples, the second of which is slightly non-obvious. Routine chain with options to check; sits at the routine-chain level of 2023-P2-Q9 (L2); +0.5 for the equivalence-relation test.</t>
        </is>
      </c>
      <c r="O25" s="3" t="inlineStr">
        <is>
          <t>2023-P2-Q9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Sets, Relations and Functions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0.5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Recognise 'same block of a partition' as an equivalence relation and verify the three properties.</t>
        </is>
      </c>
      <c r="N26" s="3" t="inlineStr">
        <is>
          <t>Abstract wording but each property is one line; recognition of the partition-equivalence link is the only idea and it is standard. Routine chain with options, like 2023-P2-Q9 (L2); +0.5 for equivalence relation/classes.</t>
        </is>
      </c>
      <c r="O26" s="3" t="inlineStr">
        <is>
          <t>2026-P1-Q3 (L1)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Sets, Relations and Functions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Inclusion-exclusion on sums of multiples of 2, 6, 10, 30 up to 200.</t>
        </is>
      </c>
      <c r="N27" s="3" t="inlineStr">
        <is>
          <t>Standard inclusion-exclusion transferred to sums (four AP sums, one slip ruins the numerical answer). Routine, but heavier than the counting version 2021-P2-Q17 (L1), so L2.</t>
        </is>
      </c>
      <c r="O27" s="3" t="inlineStr">
        <is>
          <t>2021-P2-Q17 (L1)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Sets, Relations and Functions</t>
        </is>
      </c>
      <c r="F28" s="2" t="n">
        <v>4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Decode $R_1-R_2$ as pairs $(p,p^n)$ with $n\ge2$ and $p^n\le50$ and count them.</t>
        </is>
      </c>
      <c r="N28" s="3" t="inlineStr">
        <is>
          <t>Careful but routine enumeration of prime powers up to 50; the PDF itself slipped on the prime list, showing the precision risk, yet there is no insight. Numerical, so no option check; similar to 2021-P2-Q17 (L1) in demand plus counting care.</t>
        </is>
      </c>
      <c r="O28" s="3" t="inlineStr">
        <is>
          <t>2021-P2-Q17 (L1)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Sets, Relations and Functions</t>
        </is>
      </c>
      <c r="F29" s="2" t="n">
        <v>4</v>
      </c>
      <c r="G29" s="4" t="n">
        <v>1</v>
      </c>
      <c r="H29" s="4" t="inlineStr">
        <is>
          <t>JEE Main level</t>
        </is>
      </c>
      <c r="I29" s="5" t="n">
        <v>0.5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Spot $0$ as the transitivity breaker for $ab\ge0$ and the lack of symmetry of $a\ge b$.</t>
        </is>
      </c>
      <c r="N29" s="3" t="inlineStr">
        <is>
          <t>Two single-counterexample checks, each standard (zero as the breaker; $\ge$ not symmetric). One familiar move, options available; like 2026-P1-Q3 (L1); +0.5 for equivalence relation.</t>
        </is>
      </c>
      <c r="O29" s="3" t="inlineStr">
        <is>
          <t>2026-P1-Q3 (L1)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Sets, Relations and Functions</t>
        </is>
      </c>
      <c r="F30" s="2" t="n">
        <v>4</v>
      </c>
      <c r="G30" s="6" t="n">
        <v>2</v>
      </c>
      <c r="H30" s="6" t="inlineStr">
        <is>
          <t>Easier than Advanced</t>
        </is>
      </c>
      <c r="I30" s="5" t="n">
        <v>0.5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Reflexivity forces $\alpha\equiv4\pmod7$; then the relation is $x\equiv y\pmod7$.</t>
        </is>
      </c>
      <c r="N30" s="3" t="inlineStr">
        <is>
          <t>Three property checks with modular arithmetic; the reflexive condition immediately yields the option, so a shortcut exists. Routine chain with options, like 2023-P2-Q9 (L2); +0.5 for equivalence relation/classes.</t>
        </is>
      </c>
      <c r="O30" s="3" t="inlineStr">
        <is>
          <t>2023-P2-Q9 (L2)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Sets, Relations and Functions</t>
        </is>
      </c>
      <c r="F31" s="2" t="n">
        <v>4</v>
      </c>
      <c r="G31" s="6" t="n">
        <v>2</v>
      </c>
      <c r="H31" s="6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Count distinct products $pq\le60$ (avoid double counting $(p,q)$ and $(q,p)$) and multiply by $60$.</t>
        </is>
      </c>
      <c r="N31" s="3" t="inlineStr">
        <is>
          <t>Short enumeration with a distinctness trap (ordered vs unordered prime pairs); options help check. Routine chain, similar level to 2021-P2-Q17 (L1) but with the extra trap, so L2.</t>
        </is>
      </c>
      <c r="O31" s="3" t="inlineStr">
        <is>
          <t>2021-P2-Q17 (L1)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Sets, Relations and Functions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Complement: $B'\cap C'$ means $1\in T$, $2\notin T$ and non-prime sum; enumerate subsets of $\{3,\dots,7\}$ by size.</t>
        </is>
      </c>
      <c r="N32" s="3" t="inlineStr">
        <is>
          <t>Needs the De Morgan complement idea and then careful casework over 32 subsets by sum, with no options to check and non-prime subtleties (sum $1$). Comparable to the bounded counting of 2026-P1-Q11 (L3).</t>
        </is>
      </c>
      <c r="O32" s="3" t="inlineStr">
        <is>
          <t>2026-P1-Q11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Sets, Relations and Functions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Count subsets disjoint from $B$ ($2^4$) and subtract from $2^7$.</t>
        </is>
      </c>
      <c r="N33" s="3" t="inlineStr">
        <is>
          <t>One familiar complement-counting move, applied once; only trap is that $9\notin A$. Same single-move level as 2021-P2-Q17 (L1).</t>
        </is>
      </c>
      <c r="O33" s="3" t="inlineStr">
        <is>
          <t>2021-P2-Q17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Sets, Relations and Functions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Spot that every integer from 12 up is a combination of 4,6,9 and only 11 is missing.</t>
        </is>
      </c>
      <c r="N34" s="3" t="inlineStr">
        <is>
          <t>Single familiar coin-problem idea but a few routine checks and no options; same single-move flavour as 2021-P2-Q17 (L1) with a numerical format nudge to 2.</t>
        </is>
      </c>
      <c r="O34" s="3" t="inlineStr">
        <is>
          <t>2021-P2-Q17 (L1)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Sets, Relations and Functions</t>
        </is>
      </c>
      <c r="F35" s="2" t="n">
        <v>4</v>
      </c>
      <c r="G35" s="7" t="n">
        <v>3</v>
      </c>
      <c r="H35" s="7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Row-by-row lattice counting under both the ellipse and the circle after shifting origin.</t>
        </is>
      </c>
      <c r="N35" s="3" t="inlineStr">
        <is>
          <t>Precision-risk counting with two regions and the N restriction, no options; comparable to 2023-P1-Q6 (L3) lattice points in an ellipse and a parabola.</t>
        </is>
      </c>
      <c r="O35" s="3" t="inlineStr">
        <is>
          <t>2023-P1-Q6 (L3)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Sets, Relations and Functions</t>
        </is>
      </c>
      <c r="F36" s="2" t="n">
        <v>4</v>
      </c>
      <c r="G36" s="6" t="n">
        <v>2</v>
      </c>
      <c r="H36" s="6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gcd is symmetric but 2a != b is not: find counterexamples for symmetry and transitivity.</t>
        </is>
      </c>
      <c r="N36" s="3" t="inlineStr">
        <is>
          <t>Three property checks with counterexamples, options to guide; easier than 2026-P1-Q7 (L3) implication checks, above 2026-P1-Q3 (L1) single move.</t>
        </is>
      </c>
      <c r="O36" s="3" t="inlineStr">
        <is>
          <t>2026-P1-Q7 (L3)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Sets, Relations and Functions</t>
        </is>
      </c>
      <c r="F37" s="2" t="n">
        <v>4</v>
      </c>
      <c r="G37" s="4" t="n">
        <v>1</v>
      </c>
      <c r="H37" s="4" t="inlineStr">
        <is>
          <t>JEE Main level</t>
        </is>
      </c>
      <c r="I37" s="5" t="n">
        <v>0.5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2a+3b = 5b + 2(a-b), so R is congruence mod 5 (an equivalence relation).</t>
        </is>
      </c>
      <c r="N37" s="3" t="inlineStr">
        <is>
          <t>One familiar move (congruence mod 5) with straightforward checks; like 2026-P1-Q3 (L1). Equivalence-relation adjustment +0.5.</t>
        </is>
      </c>
      <c r="O37" s="3" t="inlineStr">
        <is>
          <t>2026-P1-Q3 (L1)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Sets, Relations and Functions</t>
        </is>
      </c>
      <c r="F38" s="2" t="n">
        <v>4</v>
      </c>
      <c r="G38" s="4" t="n">
        <v>1</v>
      </c>
      <c r="H38" s="4" t="inlineStr">
        <is>
          <t>JEE Main level</t>
        </is>
      </c>
      <c r="I38" s="5" t="n">
        <v>0.5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Symmetric plus transitive forces all pairs among {a,b,c} including reflexive ones: 9-2=7.</t>
        </is>
      </c>
      <c r="N38" s="3" t="inlineStr">
        <is>
          <t>One idea (closure gives the full class), options 7/3/5/4 tempt omission of reflexive pairs; like 2026-P1-Q3 (L1). Equivalence-class adjustment +0.5.</t>
        </is>
      </c>
      <c r="O38" s="3" t="inlineStr">
        <is>
          <t>2026-P1-Q3 (L1)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Sets, Relations and Functions</t>
        </is>
      </c>
      <c r="F39" s="2" t="n">
        <v>4</v>
      </c>
      <c r="G39" s="6" t="n">
        <v>2</v>
      </c>
      <c r="H39" s="6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Divide by abcd to get 1/a-1/b = 1/d-1/c; then test reflexive, symmetric, transitive with small pairs.</t>
        </is>
      </c>
      <c r="N39" s="3" t="inlineStr">
        <is>
          <t>Routine algebraic rewrite then three checks, including a transitivity counterexample; below 2026-P1-Q7 (L3), above a single-trick L1 like 2024-P2-Q3.</t>
        </is>
      </c>
      <c r="O39" s="3" t="inlineStr">
        <is>
          <t>2026-P1-Q7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Sets, Relations and Functions</t>
        </is>
      </c>
      <c r="F40" s="2" t="n">
        <v>4</v>
      </c>
      <c r="G40" s="6" t="n">
        <v>2</v>
      </c>
      <c r="H40" s="6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Choose a,b so that 3(a-b)+sqrt7 is irrational one way and rational the other.</t>
        </is>
      </c>
      <c r="N40" s="3" t="inlineStr">
        <is>
          <t>Three counterexample checks with irrational arithmetic, options present; routine multi-step with no deep idea, so L2 (cf. 2026-P1-Q7 (L3) for harder statement checks).</t>
        </is>
      </c>
      <c r="O40" s="3" t="inlineStr">
        <is>
          <t>2026-P1-Q7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Sets, Relations and Functions</t>
        </is>
      </c>
      <c r="F41" s="2" t="n">
        <v>4</v>
      </c>
      <c r="G41" s="4" t="n">
        <v>1</v>
      </c>
      <c r="H41" s="4" t="inlineStr">
        <is>
          <t>JEE Main level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Conjugate surds multiply to 1, so t+1/t=10 gives t=5+-2sqrt6 and x^2=4+-2.</t>
        </is>
      </c>
      <c r="N41" s="3" t="inlineStr">
        <is>
          <t>One familiar reciprocal-conjugate trick then direct solve; same level of single move as 2024-P2-Q3 (L1).</t>
        </is>
      </c>
      <c r="O41" s="3" t="inlineStr">
        <is>
          <t>2024-P2-Q3 (L1)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Sets, Relations and Functions</t>
        </is>
      </c>
      <c r="F42" s="2" t="n">
        <v>4</v>
      </c>
      <c r="G42" s="6" t="n">
        <v>2</v>
      </c>
      <c r="H42" s="6" t="inlineStr">
        <is>
          <t>Easier than Advanced</t>
        </is>
      </c>
      <c r="I42" s="5" t="n">
        <v>0.5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Both relations reduce to A=B via empty Venn regions or complements, hence equivalence.</t>
        </is>
      </c>
      <c r="N42" s="3" t="inlineStr">
        <is>
          <t>Needs insight that both relations collapse to equality, then three properties; set algebra routine with options. Equivalence adjustment +0.5.</t>
        </is>
      </c>
      <c r="O42" s="3" t="inlineStr">
        <is>
          <t>2026-P1-Q7 (L3)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Sets, Relations and Functions</t>
        </is>
      </c>
      <c r="F43" s="2" t="n">
        <v>4</v>
      </c>
      <c r="G43" s="6" t="n">
        <v>2</v>
      </c>
      <c r="H43" s="6" t="inlineStr">
        <is>
          <t>Easier than Advanced</t>
        </is>
      </c>
      <c r="I43" s="5" t="n">
        <v>0.5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b is related to a,c,d so one class of 4 elements: 16-3=13.</t>
        </is>
      </c>
      <c r="N43" s="3" t="inlineStr">
        <is>
          <t>One idea (single class, 4^2 pairs) but numerical with no options and reflexive pairs easy to miss; nudged to L2 for format. Equivalence adjustment +0.5.</t>
        </is>
      </c>
      <c r="O43" s="3" t="inlineStr">
        <is>
          <t>2025-P1-Q8 (L4)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Sets, Relations and Functions</t>
        </is>
      </c>
      <c r="F44" s="2" t="n">
        <v>4</v>
      </c>
      <c r="G44" s="7" t="n">
        <v>3</v>
      </c>
      <c r="H44" s="7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Split the elements by remainder mod 3 (1,3,3) and count combinations by subset size.</t>
        </is>
      </c>
      <c r="N44" s="3" t="inlineStr">
        <is>
          <t>Careful casework by size with no options (F2), a slip changes the answer; far lighter than 2025-P1-Q8 (L4) / 2023-P2-Q10 (L4) so L3.</t>
        </is>
      </c>
      <c r="O44" s="3" t="inlineStr">
        <is>
          <t>2025-P1-Q8 (L4)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Sets, Relations and Functions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Swap $(a,b)\to(b,a)$: integrality is symmetric under $a^2-b^2\to b^2-a^2$, but the sign condition on $\frac ab$ is not.</t>
        </is>
      </c>
      <c r="N45" s="3" t="inlineStr">
        <is>
          <t>Two relations, one symmetry check each; the only care is finding a sign counterexample for $S$. Routine multi-step, options available; above the one-move L1 anchor 2021-P2-Q17, below 2024-P2-Q14 (L3).</t>
        </is>
      </c>
      <c r="O45" s="3" t="inlineStr">
        <is>
          <t>2021-P2-Q17 (L1)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Sets, Relations and Functions</t>
        </is>
      </c>
      <c r="F46" s="2" t="n">
        <v>4</v>
      </c>
      <c r="G46" s="6" t="n">
        <v>2</v>
      </c>
      <c r="H46" s="6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Inclusion-exclusion over $2,3$ then subtract the part divisible by $7$ (three-set intersections via LCM).</t>
        </is>
      </c>
      <c r="N46" s="3" t="inlineStr">
        <is>
          <t>One familiar technique (inclusion-exclusion) but six AP counts must all be right with no options to check. Same technique as 2021-P2-Q17 (L1) with an extra layer, so one level up.</t>
        </is>
      </c>
      <c r="O46" s="3" t="inlineStr">
        <is>
          <t>2021-P2-Q17 (L1)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Sets, Relations and Functions</t>
        </is>
      </c>
      <c r="F47" s="2" t="n">
        <v>4</v>
      </c>
      <c r="G47" s="4" t="n">
        <v>1</v>
      </c>
      <c r="H47" s="4" t="inlineStr">
        <is>
          <t>JEE Main level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Recognise subsets of $A\times B$ as subsets of a $10$-set and sum four binomials.</t>
        </is>
      </c>
      <c r="N47" s="3" t="inlineStr">
        <is>
          <t>One familiar move (size of product, then binomial sum), no decision. Options available.</t>
        </is>
      </c>
      <c r="O47" s="3" t="inlineStr">
        <is>
          <t>2021-P2-Q17 (L1)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Sets, Relations and Functions</t>
        </is>
      </c>
      <c r="F48" s="2" t="n">
        <v>4</v>
      </c>
      <c r="G48" s="4" t="n">
        <v>1</v>
      </c>
      <c r="H48" s="4" t="inlineStr">
        <is>
          <t>JEE Main level</t>
        </is>
      </c>
      <c r="I48" s="5" t="n">
        <v>0.5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$(1,6),(6,1)\in R$ but $(1,1)\notin R$: not reflexive, not transitive; symmetry is immediate.</t>
        </is>
      </c>
      <c r="N48" s="3" t="inlineStr">
        <is>
          <t>Direct check of three properties on a six-element list; options include an equivalence relation (so +0.5 for the equivalence framing). One familiar move.</t>
        </is>
      </c>
      <c r="O48" s="3" t="inlineStr">
        <is>
          <t>2026-P1-Q3 (L1)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Sets, Relations and Functions</t>
        </is>
      </c>
      <c r="F49" s="2" t="n">
        <v>4</v>
      </c>
      <c r="G49" s="6" t="n">
        <v>2</v>
      </c>
      <c r="H49" s="6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Decode the relation on pairs and see the two conditions use disjoint coordinates, giving $N^2$.</t>
        </is>
      </c>
      <c r="N49" s="3" t="inlineStr">
        <is>
          <t>Decoding a relation on $A\times B$ is slightly unusual and a student may mis-count, but only one small list is needed. Options help. Routine, L2.</t>
        </is>
      </c>
      <c r="O49" s="3" t="inlineStr">
        <is>
          <t>2024-P2-Q14 (L3)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Sets, Relations and Functions</t>
        </is>
      </c>
      <c r="F50" s="2" t="n">
        <v>4</v>
      </c>
      <c r="G50" s="4" t="n">
        <v>1</v>
      </c>
      <c r="H50" s="4" t="inlineStr">
        <is>
          <t>JEE Main level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Venn regions with unknowns $x,y,z$ (or $\sum|A|=n_1+2n_2+3n_3$) give $x+y+z=21$ at once.</t>
        </is>
      </c>
      <c r="N50" s="3" t="inlineStr">
        <is>
          <t>One familiar Venn move, answer visible in options. Level 1 like the one-technique inclusion-exclusion anchor.</t>
        </is>
      </c>
      <c r="O50" s="3" t="inlineStr">
        <is>
          <t>2021-P2-Q17 (L1)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Sets, Relations and Functions</t>
        </is>
      </c>
      <c r="F51" s="2" t="n">
        <v>4</v>
      </c>
      <c r="G51" s="6" t="n">
        <v>2</v>
      </c>
      <c r="H51" s="6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Decode the relation on pairs into $N_1N_2$ and count two staircase lists.</t>
        </is>
      </c>
      <c r="N51" s="3" t="inlineStr">
        <is>
          <t>Same independence idea as Q48 but two separate inequality counts, each with several rows to tally. Multi-step routine, options available.</t>
        </is>
      </c>
      <c r="O51" s="3" t="inlineStr">
        <is>
          <t>2026-P1-Q11 (L3)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Numerical</t>
        </is>
      </c>
      <c r="E52" s="3" t="inlineStr">
        <is>
          <t>Sets, Relations and Functions</t>
        </is>
      </c>
      <c r="F52" s="2" t="n">
        <v>4</v>
      </c>
      <c r="G52" s="6" t="n">
        <v>2</v>
      </c>
      <c r="H52" s="6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Substitute $d=a-b$, factor $d(2d+3)$, find the integer $d$ in the target set and count $n-|d|$ pairs.</t>
        </is>
      </c>
      <c r="N52" s="3" t="inlineStr">
        <is>
          <t>Routine: factoring plus a count by difference; the only trap is checking all integer $d$ (not just the factor roots). Numerical, no options, so L2 rather than L1.</t>
        </is>
      </c>
      <c r="O52" s="3" t="inlineStr">
        <is>
          <t>2024-P2-Q8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Sets, Relations and Functions</t>
        </is>
      </c>
      <c r="F53" s="2" t="n">
        <v>4</v>
      </c>
      <c r="G53" s="6" t="n">
        <v>2</v>
      </c>
      <c r="H53" s="6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All pairs have $x&gt;y$, so the reverse of each is missing: answer is $|R|=19$.</t>
        </is>
      </c>
      <c r="N53" s="3" t="inlineStr">
        <is>
          <t>List-and-count with a clean observation; slip risk is only in the listing. Numerical but short chain.</t>
        </is>
      </c>
      <c r="O53" s="3" t="inlineStr">
        <is>
          <t>2025-P1-Q8 (L4)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Sets, Relations and Functions</t>
        </is>
      </c>
      <c r="F54" s="2" t="n">
        <v>4</v>
      </c>
      <c r="G54" s="7" t="n">
        <v>3</v>
      </c>
      <c r="H54" s="7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Forced pairs, then see that adding $(3,1)$ (or both $(2,1),(3,2)$) collapses everything to the symmetric full relation.</t>
        </is>
      </c>
      <c r="N54" s="3" t="inlineStr">
        <is>
          <t>Casework on transitive closure where it is easy to miss a forced pair or to count the full relation; no options. Lighter than 2025-P1-Q8 (L4), so one level lower.</t>
        </is>
      </c>
      <c r="O54" s="3" t="inlineStr">
        <is>
          <t>2025-P1-Q8 (L4)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Sets, Relations and Functions</t>
        </is>
      </c>
      <c r="F55" s="2" t="n">
        <v>4</v>
      </c>
      <c r="G55" s="7" t="n">
        <v>3</v>
      </c>
      <c r="H55" s="7" t="inlineStr">
        <is>
          <t>Average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Correctly generate $R$ from two conditions with the membership check, then count diagonal and reverse deficits.</t>
        </is>
      </c>
      <c r="N55" s="3" t="inlineStr">
        <is>
          <t>Careful listing with two generating conditions and two closure counts; one slip changes the final answer and there are no options. Lighter than 2025-P1-Q8 (L4); one level lower.</t>
        </is>
      </c>
      <c r="O55" s="3" t="inlineStr">
        <is>
          <t>2025-P1-Q8 (L4)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Sets, Relations and Functions</t>
        </is>
      </c>
      <c r="F56" s="2" t="n">
        <v>4</v>
      </c>
      <c r="G56" s="6" t="n">
        <v>2</v>
      </c>
      <c r="H56" s="6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Tabulate $2a+3b$ and $4c+5d$ and match common values with multiplicities.</t>
        </is>
      </c>
      <c r="N56" s="3" t="inlineStr">
        <is>
          <t>Routine multi-step enumeration with no insight; numerical format and the repeated value 14 add slip risk. Easier than 2025-P1-Q8 (L4), similar to 2024-P2-Q8 (L2).</t>
        </is>
      </c>
      <c r="O56" s="3" t="inlineStr">
        <is>
          <t>2024-P2-Q8 (L2)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Sets, Relations and Functions</t>
        </is>
      </c>
      <c r="F57" s="2" t="n">
        <v>4</v>
      </c>
      <c r="G57" s="4" t="n">
        <v>1</v>
      </c>
      <c r="H57" s="4" t="inlineStr">
        <is>
          <t>JEE Main level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Notice $\phi$ is not related to itself and give one overlap-chain counterexample for transitivity.</t>
        </is>
      </c>
      <c r="N57" s="3" t="inlineStr">
        <is>
          <t>Three standard property checks with options available; one familiar move (empty-set trap). Same single-move level as the invertibility check in 2026-P1-Q3.</t>
        </is>
      </c>
      <c r="O57" s="3" t="inlineStr">
        <is>
          <t>2026-P1-Q3 (L1)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Sets, Relations and Functions</t>
        </is>
      </c>
      <c r="F58" s="2" t="n">
        <v>4</v>
      </c>
      <c r="G58" s="4" t="n">
        <v>1</v>
      </c>
      <c r="H58" s="4" t="inlineStr">
        <is>
          <t>JEE Main level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$2^m-2^n=56=64-8$ gives $m=6,n=3$, then the distance formula.</t>
        </is>
      </c>
      <c r="N58" s="3" t="inlineStr">
        <is>
          <t>Single inspection plus a direct distance formula; options present. No insight needed, matches the L1 'one familiar move' pattern.</t>
        </is>
      </c>
      <c r="O58" s="3" t="inlineStr">
        <is>
          <t>2021-P2-Q17 (L1)</t>
        </is>
      </c>
      <c r="P58" s="2" t="inlineStr">
        <is>
          <t>High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Sets, Relations and Functions</t>
        </is>
      </c>
      <c r="F59" s="2" t="n">
        <v>4</v>
      </c>
      <c r="G59" s="6" t="n">
        <v>2</v>
      </c>
      <c r="H59" s="6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Find a counterexample to transitivity of $ad-bc\equiv0\pmod5$.</t>
        </is>
      </c>
      <c r="N59" s="3" t="inlineStr">
        <is>
          <t>Reflexive and symmetric are one-liners but the student must hunt a non-obvious transitivity counterexample; routine chain with a small search, options help. One notch above the plain property check.</t>
        </is>
      </c>
      <c r="O59" s="3" t="inlineStr">
        <is>
          <t>2026-P2-Q12 (L2)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Sets, Relations and Functions</t>
        </is>
      </c>
      <c r="F60" s="2" t="n">
        <v>4</v>
      </c>
      <c r="G60" s="4" t="n">
        <v>1</v>
      </c>
      <c r="H60" s="4" t="inlineStr">
        <is>
          <t>JEE Main level</t>
        </is>
      </c>
      <c r="I60" s="5" t="n">
        <v>0.5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Close $\{(1,2),(1,3)\}$ under reflexive, symmetric, transitive: classes $\{1,2,3\},\{4\}$.</t>
        </is>
      </c>
      <c r="N60" s="3" t="inlineStr">
        <is>
          <t>One familiar closure idea applied once on a 4-element set, options available. Level 1; equivalence-relation adjustment (+0.5) applies separately. Far easier than 2026-P1-Q9 (L5, counting equivalence relations).</t>
        </is>
      </c>
      <c r="O60" s="3" t="inlineStr">
        <is>
          <t>2026-P1-Q3 (L1)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Sets, Relations and Functions</t>
        </is>
      </c>
      <c r="F61" s="2" t="n">
        <v>4</v>
      </c>
      <c r="G61" s="4" t="n">
        <v>1</v>
      </c>
      <c r="H61" s="4" t="inlineStr">
        <is>
          <t>JEE Main level</t>
        </is>
      </c>
      <c r="I61" s="5" t="n">
        <v>0.5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Reflexivity fails for $R_1$; $a+d=b+c\iff a-b=c-d$ makes $R_2$ an equivalence.</t>
        </is>
      </c>
      <c r="N61" s="3" t="inlineStr">
        <is>
          <t>Two direct equivalence checks, each one line, options present. Level 1; +0.5 for the equivalence-relation key step applied by the report.</t>
        </is>
      </c>
      <c r="O61" s="3" t="inlineStr">
        <is>
          <t>2026-P1-Q3 (L1)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Numerical</t>
        </is>
      </c>
      <c r="E62" s="3" t="inlineStr">
        <is>
          <t>Sets, Relations and Functions</t>
        </is>
      </c>
      <c r="F62" s="2" t="n">
        <v>4</v>
      </c>
      <c r="G62" s="6" t="n">
        <v>2</v>
      </c>
      <c r="H62" s="6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Reduce mod $4$ to force $y=1$, then $x=45$.</t>
        </is>
      </c>
      <c r="N62" s="3" t="inlineStr">
        <is>
          <t>Short numerical question; the mod-4 uniqueness is a mild idea (students usually guess $x=45$). One above the pure L1 case-split of 2021-P1-Q17 because there are no options to confirm uniqueness.</t>
        </is>
      </c>
      <c r="O62" s="3" t="inlineStr">
        <is>
          <t>2021-P1-Q17 (L1)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Sets, Relations and Functions</t>
        </is>
      </c>
      <c r="F63" s="2" t="n">
        <v>4</v>
      </c>
      <c r="G63" s="7" t="n">
        <v>3</v>
      </c>
      <c r="H63" s="7" t="inlineStr">
        <is>
          <t>Average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Bound $x\le11$ from the pair limit, then show $x=11$ is infeasible and $x=10$ attainable (or $n_2=21-2x\ge0$).</t>
        </is>
      </c>
      <c r="N63" s="3" t="inlineStr">
        <is>
          <t>Two linked ideas (upper bound, then feasibility check) in numerical format; the printed key itself got it wrong at 11, showing the trap. Heavier than 2021-P2-Q17 (L1); lighter than 2026-P1-Q11 (L3 counting).</t>
        </is>
      </c>
      <c r="O63" s="3" t="inlineStr">
        <is>
          <t>2021-P2-Q17 (L1)</t>
        </is>
      </c>
      <c r="P63" s="2" t="inlineStr">
        <is>
          <t>Low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Sets, Relations and Functions</t>
        </is>
      </c>
      <c r="F64" s="2" t="n">
        <v>4</v>
      </c>
      <c r="G64" s="6" t="n">
        <v>2</v>
      </c>
      <c r="H64" s="6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Symmetric relations $=2^{n(n+1)/2}$, minus reflexive-and-symmetric $=2^{n(n-1)/2}$.</t>
        </is>
      </c>
      <c r="N64" s="3" t="inlineStr">
        <is>
          <t>Standard counting formula applied once, but numerical so no check; formulas must be recalled correctly. Much easier than 2025-P1-Q8 (L4), which needed an exact-size condition.</t>
        </is>
      </c>
      <c r="O64" s="3" t="inlineStr">
        <is>
          <t>2025-P1-Q8 (L4)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Sets, Relations and Functions</t>
        </is>
      </c>
      <c r="F65" s="2" t="n">
        <v>4</v>
      </c>
      <c r="G65" s="4" t="n">
        <v>1</v>
      </c>
      <c r="H65" s="4" t="inlineStr">
        <is>
          <t>JEE Main level</t>
        </is>
      </c>
      <c r="I65" s="5" t="n">
        <v>0.5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$1,2,3,4$ are linked, so the smallest equivalence relation is $A\times A$ with $16$ elements.</t>
        </is>
      </c>
      <c r="N65" s="3" t="inlineStr">
        <is>
          <t>One familiar closure idea; numerical but tiny set. Level 1 with the equivalence-relation +0.5 adjustment. Far below 2026-P1-Q9 (L5).</t>
        </is>
      </c>
      <c r="O65" s="3" t="inlineStr">
        <is>
          <t>2026-P1-Q3 (L1)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Sets, Relations and Functions</t>
        </is>
      </c>
      <c r="F66" s="2" t="n">
        <v>4</v>
      </c>
      <c r="G66" s="4" t="n">
        <v>1</v>
      </c>
      <c r="H66" s="4" t="inlineStr">
        <is>
          <t>JEE Main level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A symmetric superset of $R$ must contain every reverse pair, so $n=2|R|$.</t>
        </is>
      </c>
      <c r="N66" s="3" t="inlineStr">
        <is>
          <t>One familiar move (symmetric closure) after listing the $33$ pairs $(3k,2k)$; no insight, no casework beyond noting no pair is already symmetric. Numerical format keeps it from 0; comparable to the single-move counting of 2021-P2-Q17 (L1).</t>
        </is>
      </c>
      <c r="O66" s="3" t="inlineStr">
        <is>
          <t>2021-P2-Q17 (L1)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Numerical</t>
        </is>
      </c>
      <c r="E67" s="3" t="inlineStr">
        <is>
          <t>Sets, Relations and Functions</t>
        </is>
      </c>
      <c r="F67" s="2" t="n">
        <v>4</v>
      </c>
      <c r="G67" s="6" t="n">
        <v>2</v>
      </c>
      <c r="H67" s="6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$R_1\cap R_2$ is the diagonal; count divisor pairs $\sum\lfloor20/a\rfloor=66$ and subtract $20$.</t>
        </is>
      </c>
      <c r="N67" s="3" t="inlineStr">
        <is>
          <t>Chain of three routine steps (divisibility count, intersection is the diagonal, subtraction) with a numerical answer and no option to check; no new idea. Slightly above 2021-P2-Q17 (L1) because of the longer exact count.</t>
        </is>
      </c>
      <c r="O67" s="3" t="inlineStr">
        <is>
          <t>2021-P2-Q17 (L1)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Sets, Relations and Functions</t>
        </is>
      </c>
      <c r="F68" s="2" t="n">
        <v>4</v>
      </c>
      <c r="G68" s="6" t="n">
        <v>2</v>
      </c>
      <c r="H68" s="6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Disprove symmetry and transitivity of an 'or' relation by choosing pairs where both inequalities fail.</t>
        </is>
      </c>
      <c r="N68" s="3" t="inlineStr">
        <is>
          <t>Three property checks, two of which need a hand-picked counter-example; routine for the reference student and options help. Below 2025-P1-Q8 (relation counting, L4) since no counting, comparable to a routine multi-step L2 item such as 2021-P2-Q1.</t>
        </is>
      </c>
      <c r="O68" s="3" t="inlineStr">
        <is>
          <t>2021-P2-Q1 (L2)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Sets, Relations and Functions</t>
        </is>
      </c>
      <c r="F69" s="2" t="n">
        <v>4</v>
      </c>
      <c r="G69" s="4" t="n">
        <v>1</v>
      </c>
      <c r="H69" s="4" t="inlineStr">
        <is>
          <t>JEE Main level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Each pair of $R_1,R_2$ has a missing reverse, so add $|R_1|+|R_2|=6+4$.</t>
        </is>
      </c>
      <c r="N69" s="3" t="inlineStr">
        <is>
          <t>Same single idea as Q65 (symmetric closure) with two short linear-relation lists; options to check. One familiar move, so L1, like 2021-P2-Q17.</t>
        </is>
      </c>
      <c r="O69" s="3" t="inlineStr">
        <is>
          <t>2021-P2-Q17 (L1)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SCQ</t>
        </is>
      </c>
      <c r="E70" s="3" t="inlineStr">
        <is>
          <t>Sets, Relations and Functions</t>
        </is>
      </c>
      <c r="F70" s="2" t="n">
        <v>4</v>
      </c>
      <c r="G70" s="4" t="n">
        <v>1</v>
      </c>
      <c r="H70" s="4" t="inlineStr">
        <is>
          <t>JEE Main level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Inclusion-exclusion with lcm $12$ and A.P. term counts.</t>
        </is>
      </c>
      <c r="N70" s="3" t="inlineStr">
        <is>
          <t>Direct inclusion-exclusion on multiples, the same move as 2021-P2-Q17 (L1), with end-point care only; options available.</t>
        </is>
      </c>
      <c r="O70" s="3" t="inlineStr">
        <is>
          <t>2021-P2-Q17 (L1)</t>
        </is>
      </c>
      <c r="P70" s="2" t="inlineStr">
        <is>
          <t>High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SCQ</t>
        </is>
      </c>
      <c r="E71" s="3" t="inlineStr">
        <is>
          <t>Sets, Relations and Functions</t>
        </is>
      </c>
      <c r="F71" s="2" t="n">
        <v>4</v>
      </c>
      <c r="G71" s="6" t="n">
        <v>2</v>
      </c>
      <c r="H71" s="6" t="inlineStr">
        <is>
          <t>Easier than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Count pairs with $4x\le5y$ row by row; reverse of each non-symmetric pair is missing.</t>
        </is>
      </c>
      <c r="N71" s="3" t="inlineStr">
        <is>
          <t>Several routine stages (list $16$ pairs, identify the non-symmetric ones, count $9$) with slip risk in the inequality counting, but options help. Routine chain with no insight: L2.</t>
        </is>
      </c>
      <c r="O71" s="3" t="inlineStr">
        <is>
          <t>2021-P2-Q1 (L2)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SCQ</t>
        </is>
      </c>
      <c r="E72" s="3" t="inlineStr">
        <is>
          <t>Sets, Relations and Functions</t>
        </is>
      </c>
      <c r="F72" s="2" t="n">
        <v>4</v>
      </c>
      <c r="G72" s="6" t="n">
        <v>2</v>
      </c>
      <c r="H72" s="6" t="inlineStr">
        <is>
          <t>Easier than Advanced</t>
        </is>
      </c>
      <c r="I72" s="5" t="n">
        <v>0.5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Reduce $3ad-7bc$ mod $2$ to $ad+bc$; test the three properties and find a counter-example for transitivity.</t>
        </is>
      </c>
      <c r="N72" s="3" t="inlineStr">
        <is>
          <t>Equivalence-relation framing (adjustment +0.5). Three routine property checks, then a counter-example search; parity reduction makes it quick and options are given. Integer level 2 as a routine chain, close to 2021-P2-Q1 (L2); the adjustment gives 2.5.</t>
        </is>
      </c>
      <c r="O72" s="3" t="inlineStr">
        <is>
          <t>2021-P2-Q1 (L2)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Sets, Relations and Functions</t>
        </is>
      </c>
      <c r="F73" s="2" t="n">
        <v>4</v>
      </c>
      <c r="G73" s="7" t="n">
        <v>3</v>
      </c>
      <c r="H73" s="7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Region counts in terms of $x$ give $M+P+C=330-x$; extremes from the size ranges, with the extra cap $x\le30$.</t>
        </is>
      </c>
      <c r="N73" s="3" t="inlineStr">
        <is>
          <t>Two ideas linked (inclusion-exclusion with the size ranges, plus the easily missed cap from the given $P\cap C=30$), no options, and a trap: the naive bound $x\le45$ is infeasible. Slightly easier than 2026-P1-Q11 (bounded counting, L3), so L3 at the lower end.</t>
        </is>
      </c>
      <c r="O73" s="3" t="inlineStr">
        <is>
          <t>2026-P1-Q11 (L3)</t>
        </is>
      </c>
      <c r="P73" s="2" t="inlineStr">
        <is>
          <t>Low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Sets, Relations and Functions</t>
        </is>
      </c>
      <c r="F74" s="2" t="n">
        <v>4</v>
      </c>
      <c r="G74" s="6" t="n">
        <v>2</v>
      </c>
      <c r="H74" s="6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Rewrite as $(a_1-b_1)+(a_2-b_2)=0$ and count ordered pairs, or enumerate $25$ pairs.</t>
        </is>
      </c>
      <c r="N74" s="3" t="inlineStr">
        <is>
          <t>Careful enumeration of $25$ ordered pairs over a $16$-element product with no options (slip risk), but no new idea; routine counting at L2, below 2026-P1-Q11 (L3).</t>
        </is>
      </c>
      <c r="O74" s="3" t="inlineStr">
        <is>
          <t>2026-P1-Q11 (L3)</t>
        </is>
      </c>
      <c r="P74" s="2" t="inlineStr">
        <is>
          <t>Medium</t>
        </is>
      </c>
    </row>
    <row r="76">
      <c r="A76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SHEET_SET_&amp;_RELATION_FCopy_JM.pdf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COUNTIF(Evaluation!$G$2:$G$74,A5)</f>
        <v/>
      </c>
      <c r="D5" s="10">
        <f>SUMIF(Evaluation!$G$2:$G$74,A5,Evaluation!$F$2:$F$74)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COUNTIF(Evaluation!$G$2:$G$74,A6)</f>
        <v/>
      </c>
      <c r="D6" s="12">
        <f>SUMIF(Evaluation!$G$2:$G$74,A6,Evaluation!$F$2:$F$74)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COUNTIF(Evaluation!$G$2:$G$74,A7)</f>
        <v/>
      </c>
      <c r="D7" s="14">
        <f>SUMIF(Evaluation!$G$2:$G$74,A7,Evaluation!$F$2:$F$74)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COUNTIF(Evaluation!$G$2:$G$74,A8)</f>
        <v/>
      </c>
      <c r="D8" s="16">
        <f>SUMIF(Evaluation!$G$2:$G$74,A8,Evaluation!$F$2:$F$74)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COUNTIF(Evaluation!$G$2:$G$74,A9)</f>
        <v/>
      </c>
      <c r="D9" s="18">
        <f>SUMIF(Evaluation!$G$2:$G$74,A9,Evaluation!$F$2:$F$74)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COUNTIF(Evaluation!$G$2:$G$74,A10)</f>
        <v/>
      </c>
      <c r="D10" s="20">
        <f>SUMIF(Evaluation!$G$2:$G$74,A10,Evaluation!$F$2:$F$74)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SUM(Evaluation!$L$2:$L$74)/SUM(Evaluation!$F$2:$F$74)</f>
        <v/>
      </c>
      <c r="C14" s="23">
        <f>SUMPRODUCT(Evaluation!$F$2:$F$74,Evaluation!$G$2:$G$74)/SUM(Evaluation!$F$2:$F$74)</f>
        <v/>
      </c>
      <c r="D14" s="22">
        <f>SUM(Evaluation!$F$2:$F$74)</f>
        <v/>
      </c>
      <c r="E14" s="23">
        <f>AVERAGE(Evaluation!$G$2:$G$74)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2026-10-15T04:30:52Z</dcterms:created>
  <dcterms:modified xmlns:dcterms="http://purl.org/dc/terms/" xmlns:xsi="http://www.w3.org/2001/XMLSchema-instance" xsi:type="dcterms:W3CDTF">2026-10-15T04:30:52Z</dcterms:modified>
</cp:coreProperties>
</file>