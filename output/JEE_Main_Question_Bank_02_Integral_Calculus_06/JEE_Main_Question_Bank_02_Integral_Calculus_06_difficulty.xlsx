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(printed Q101)</t>
        </is>
      </c>
      <c r="D2" s="2" t="inlineStr">
        <is>
          <t>Numerical</t>
        </is>
      </c>
      <c r="E2" s="3" t="inlineStr">
        <is>
          <t>Differential Equations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Linear DE, I.F. then surd integral and form matching.</t>
        </is>
      </c>
      <c r="N2" s="3" t="inlineStr">
        <is>
          <t>Linear DE whose I.F. $(x^2-1)^2$ cancels the power; then $\int\frac{x+2}{\sqrt{x^2-1}}dx$, constant, and matching a $\alpha\ln(\sqrt\alpha+\beta)+\beta-\sqrt\gamma$ form: four linked stages, no options. Level placed relative to the lowest anchors (Main-level bank).</t>
        </is>
      </c>
      <c r="O2" s="3" t="inlineStr">
        <is>
          <t>2026-P2-Q4 (L1) / 2023-P2-Q9 (L2) used as lowest anchors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(printed Q102)</t>
        </is>
      </c>
      <c r="D3" s="2" t="inlineStr">
        <is>
          <t>Numerical</t>
        </is>
      </c>
      <c r="E3" s="3" t="inlineStr">
        <is>
          <t>Differential Equations</t>
        </is>
      </c>
      <c r="F3" s="2" t="n">
        <v>4</v>
      </c>
      <c r="G3" s="4" t="n">
        <v>3</v>
      </c>
      <c r="H3" s="4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Spot $d(y/x)$, then $x=e^t$ and $\int e^{at}\sin t$.</t>
        </is>
      </c>
      <c r="N3" s="3" t="inlineStr">
        <is>
          <t>Homogeneous DE via $d(y/x)$, then an area needing $\int e^{2t}\sin t$ after the substitution $x=e^t$: three stages, exact arithmetic. Level placed relative to the lowest anchors (Main-level bank).</t>
        </is>
      </c>
      <c r="O3" s="3" t="inlineStr">
        <is>
          <t>2026-P2-Q4 (L1) / 2023-P2-Q9 (L2) used as lowest anchors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(printed Q103)</t>
        </is>
      </c>
      <c r="D4" s="2" t="inlineStr">
        <is>
          <t>Numerical</t>
        </is>
      </c>
      <c r="E4" s="3" t="inlineStr">
        <is>
          <t>Indefinite Integration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Divide by $x^{14}$ so numerator is an exact differential.</t>
        </is>
      </c>
      <c r="N4" s="3" t="inlineStr">
        <is>
          <t>One familiar trick (divide by $x^{14}$, substitute the reciprocal sum) applied once, then evaluation. Level placed relative to the lowest anchors (Main-level bank).</t>
        </is>
      </c>
      <c r="O4" s="3" t="inlineStr">
        <is>
          <t>2026-P2-Q4 (L1) / 2023-P2-Q9 (L2) used as lowest anchors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(printed Q104)</t>
        </is>
      </c>
      <c r="D5" s="2" t="inlineStr">
        <is>
          <t>Numerical</t>
        </is>
      </c>
      <c r="E5" s="3" t="inlineStr">
        <is>
          <t>Differential Equations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Intercepts via section formula give $x^ky=C$; then $\ln$ integral.</t>
        </is>
      </c>
      <c r="N5" s="3" t="inlineStr">
        <is>
          <t>Section-formula set-up of the tangent intercepts, DE $yx^k=C$, finding $k$, then integrating $\ln(2x+1)$: four stages; the final value is not a number (Bonus). Level placed relative to the lowest anchors (Main-level bank).</t>
        </is>
      </c>
      <c r="O5" s="3" t="inlineStr">
        <is>
          <t>2026-P2-Q4 (L1) / 2023-P2-Q9 (L2) used as lowest anchors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(printed Q105)</t>
        </is>
      </c>
      <c r="D6" s="2" t="inlineStr">
        <is>
          <t>Numerical</t>
        </is>
      </c>
      <c r="E6" s="3" t="inlineStr">
        <is>
          <t>Definite Integration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$\int_0^n\{x\}$ and $\int_0^n[x]$ then G.P. condition.</t>
        </is>
      </c>
      <c r="N6" s="3" t="inlineStr">
        <is>
          <t>Fractional-part and greatest-integer integrals plus a G.P. condition: routine chain of standard results. Level placed relative to the lowest anchors (Main-level bank).</t>
        </is>
      </c>
      <c r="O6" s="3" t="inlineStr">
        <is>
          <t>2026-P2-Q4 (L1) / 2023-P2-Q9 (L2) used as lowest anchors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(printed Q106)</t>
        </is>
      </c>
      <c r="D7" s="2" t="inlineStr">
        <is>
          <t>Numerical</t>
        </is>
      </c>
      <c r="E7" s="3" t="inlineStr">
        <is>
          <t>Differential Equations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Linear DE with logarithmic coefficient.</t>
        </is>
      </c>
      <c r="N7" s="3" t="inlineStr">
        <is>
          <t>Linear DE with I.F. $\sqrt{\ln x}$; routine chain of standard steps. Level placed relative to the lowest anchors (Main-level bank).</t>
        </is>
      </c>
      <c r="O7" s="3" t="inlineStr">
        <is>
          <t>2026-P2-Q4 (L1) / 2023-P2-Q9 (L2) used as lowest anchors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(printed Q107)</t>
        </is>
      </c>
      <c r="D8" s="2" t="inlineStr">
        <is>
          <t>Numerical</t>
        </is>
      </c>
      <c r="E8" s="3" t="inlineStr">
        <is>
          <t>Definite Integration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Split modulus, then $\int_{-3}^3[x]dx$ with reversed limits.</t>
        </is>
      </c>
      <c r="N8" s="3" t="inlineStr">
        <is>
          <t>Modulus integral to find $a$, then a greatest-integer integral over reversed limits: routine, several steps. Level placed relative to the lowest anchors (Main-level bank).</t>
        </is>
      </c>
      <c r="O8" s="3" t="inlineStr">
        <is>
          <t>2026-P2-Q4 (L1) / 2023-P2-Q9 (L2) used as lowest anchors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 (printed Q108)</t>
        </is>
      </c>
      <c r="D9" s="2" t="inlineStr">
        <is>
          <t>Numerical</t>
        </is>
      </c>
      <c r="E9" s="3" t="inlineStr">
        <is>
          <t>Differential Equations</t>
        </is>
      </c>
      <c r="F9" s="2" t="n">
        <v>4</v>
      </c>
      <c r="G9" s="7" t="n">
        <v>1</v>
      </c>
      <c r="H9" s="7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Plain linear DE, one standard move.</t>
        </is>
      </c>
      <c r="N9" s="3" t="inlineStr">
        <is>
          <t>Standard linear DE with I.F. $\frac1{x+1}$, one familiar method. Level placed relative to the lowest anchors (Main-level bank).</t>
        </is>
      </c>
      <c r="O9" s="3" t="inlineStr">
        <is>
          <t>2026-P2-Q4 (L1) / 2023-P2-Q9 (L2) used as lowest anchors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(printed Q109)</t>
        </is>
      </c>
      <c r="D10" s="2" t="inlineStr">
        <is>
          <t>Numerical</t>
        </is>
      </c>
      <c r="E10" s="3" t="inlineStr">
        <is>
          <t>Differential Equations</t>
        </is>
      </c>
      <c r="F10" s="2" t="n">
        <v>4</v>
      </c>
      <c r="G10" s="4" t="n">
        <v>3</v>
      </c>
      <c r="H10" s="4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Leibniz differentiation then $u=\ln f$, $\sin^{-1}u$.</t>
        </is>
      </c>
      <c r="N10" s="3" t="inlineStr">
        <is>
          <t>Differentiating an integral equation, then $u=\ln f$ and an arcsin integral with the initial value at the singular point $u=1$: two ideas linked. Level placed relative to the lowest anchors (Main-level bank).</t>
        </is>
      </c>
      <c r="O10" s="3" t="inlineStr">
        <is>
          <t>2026-P2-Q4 (L1) / 2023-P2-Q9 (L2) used as lowest anchors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(printed Q110)</t>
        </is>
      </c>
      <c r="D11" s="2" t="inlineStr">
        <is>
          <t>Numerical</t>
        </is>
      </c>
      <c r="E11" s="3" t="inlineStr">
        <is>
          <t>Differential Equations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Constant definite integral then linear DE.</t>
        </is>
      </c>
      <c r="N11" s="3" t="inlineStr">
        <is>
          <t>Seeing $\int_0^2f$ as a constant, solving the DE, then closing the loop for $k$: one idea plus a careful computation. Level placed relative to the lowest anchors (Main-level bank).</t>
        </is>
      </c>
      <c r="O11" s="3" t="inlineStr">
        <is>
          <t>2026-P2-Q4 (L1) / 2023-P2-Q9 (L2) used as lowest anchors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(printed Q111)</t>
        </is>
      </c>
      <c r="D12" s="2" t="inlineStr">
        <is>
          <t>Numerical</t>
        </is>
      </c>
      <c r="E12" s="3" t="inlineStr">
        <is>
          <t>Differential Equations</t>
        </is>
      </c>
      <c r="F12" s="2" t="n">
        <v>4</v>
      </c>
      <c r="G12" s="4" t="n">
        <v>3</v>
      </c>
      <c r="H12" s="4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Exact differential $d(x/y)$ or Bernoulli.</t>
        </is>
      </c>
      <c r="N12" s="3" t="inlineStr">
        <is>
          <t>Regrouping $-\frac1ydx+\frac x{y^2}dy$ as $-d(x/y)$ (or Bernoulli $v=1/y$) and a point of intersection: an idea outside the plain I.F. routine. Level placed relative to the lowest anchors (Main-level bank).</t>
        </is>
      </c>
      <c r="O12" s="3" t="inlineStr">
        <is>
          <t>2026-P2-Q4 (L1) / 2023-P2-Q9 (L2) used as lowest anchors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(printed Q112)</t>
        </is>
      </c>
      <c r="D13" s="2" t="inlineStr">
        <is>
          <t>Numerical</t>
        </is>
      </c>
      <c r="E13" s="3" t="inlineStr">
        <is>
          <t>Area under Curves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Piecewise area of min/max.</t>
        </is>
      </c>
      <c r="N13" s="3" t="inlineStr">
        <is>
          <t>Sketch min/max branches, find crossover $x=-2$, integrate three pieces: routine multi-step area. Level placed relative to the lowest anchors (Main-level bank).</t>
        </is>
      </c>
      <c r="O13" s="3" t="inlineStr">
        <is>
          <t>2026-P2-Q4 (L1) / 2023-P2-Q9 (L2) used as lowest anchors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(printed Q113)</t>
        </is>
      </c>
      <c r="D14" s="2" t="inlineStr">
        <is>
          <t>Numerical</t>
        </is>
      </c>
      <c r="E14" s="3" t="inlineStr">
        <is>
          <t>Area under Curves</t>
        </is>
      </c>
      <c r="F14" s="2" t="n">
        <v>4</v>
      </c>
      <c r="G14" s="4" t="n">
        <v>3</v>
      </c>
      <c r="H14" s="4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Symmetry and irrational intersection.</t>
        </is>
      </c>
      <c r="N14" s="3" t="inlineStr">
        <is>
          <t>Modulus region with symmetric bounds, intersection at $\frac{3-\sqrt5}2$ and surd arithmetic with cubic powers: heavy exact computation, no options. Level placed relative to the lowest anchors (Main-level bank).</t>
        </is>
      </c>
      <c r="O14" s="3" t="inlineStr">
        <is>
          <t>2026-P2-Q4 (L1) / 2023-P2-Q9 (L2) used as lowest anchors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 (printed Q114)</t>
        </is>
      </c>
      <c r="D15" s="2" t="inlineStr">
        <is>
          <t>Numerical</t>
        </is>
      </c>
      <c r="E15" s="3" t="inlineStr">
        <is>
          <t>Differential Equations</t>
        </is>
      </c>
      <c r="F15" s="2" t="n">
        <v>4</v>
      </c>
      <c r="G15" s="4" t="n">
        <v>3</v>
      </c>
      <c r="H15" s="4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Linear DE in $x$, $t=\ln\cos y$.</t>
        </is>
      </c>
      <c r="N15" s="3" t="inlineStr">
        <is>
          <t>Linear DE in $x$ with trigonometric and logarithmic coefficients; I.F. $\ln^3\cos y$ and careful constants: long chain, precision risk. Level placed relative to the lowest anchors (Main-level bank).</t>
        </is>
      </c>
      <c r="O15" s="3" t="inlineStr">
        <is>
          <t>2026-P2-Q4 (L1) / 2023-P2-Q9 (L2) used as lowest anchors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(printed Q115)</t>
        </is>
      </c>
      <c r="D16" s="2" t="inlineStr">
        <is>
          <t>Numerical</t>
        </is>
      </c>
      <c r="E16" s="3" t="inlineStr">
        <is>
          <t>Differential Equations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Normals through a fixed point give a circle.</t>
        </is>
      </c>
      <c r="N16" s="3" t="inlineStr">
        <is>
          <t>Normals through a fixed point give a circle; two point conditions and the given relation: moderately familiar idea, short algebra. Level placed relative to the lowest anchors (Main-level bank).</t>
        </is>
      </c>
      <c r="O16" s="3" t="inlineStr">
        <is>
          <t>2026-P2-Q4 (L1) / 2023-P2-Q9 (L2) used as lowest anchors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(printed Q116)</t>
        </is>
      </c>
      <c r="D17" s="2" t="inlineStr">
        <is>
          <t>Numerical</t>
        </is>
      </c>
      <c r="E17" s="3" t="inlineStr">
        <is>
          <t>Area under Curves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Composition then simple area.</t>
        </is>
      </c>
      <c r="N17" s="3" t="inlineStr">
        <is>
          <t>Composition with $\max(x,0)$, then a triangle plus parabola-line area: routine chain. Level placed relative to the lowest anchors (Main-level bank).</t>
        </is>
      </c>
      <c r="O17" s="3" t="inlineStr">
        <is>
          <t>2026-P2-Q4 (L1) / 2023-P2-Q9 (L2) used as lowest anchors</t>
        </is>
      </c>
      <c r="P17" s="2" t="inlineStr">
        <is>
          <t>Medium</t>
        </is>
      </c>
    </row>
    <row r="19">
      <c r="A19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JEE_Main_Question_Bank_02_Integral_Calculus_06.pdf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COUNTIF(Evaluation!$G$2:$G$17,A5)</f>
        <v/>
      </c>
      <c r="D5" s="10">
        <f>SUMIF(Evaluation!$G$2:$G$17,A5,Evaluation!$F$2:$F$17)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COUNTIF(Evaluation!$G$2:$G$17,A6)</f>
        <v/>
      </c>
      <c r="D6" s="12">
        <f>SUMIF(Evaluation!$G$2:$G$17,A6,Evaluation!$F$2:$F$17)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COUNTIF(Evaluation!$G$2:$G$17,A7)</f>
        <v/>
      </c>
      <c r="D7" s="14">
        <f>SUMIF(Evaluation!$G$2:$G$17,A7,Evaluation!$F$2:$F$17)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COUNTIF(Evaluation!$G$2:$G$17,A8)</f>
        <v/>
      </c>
      <c r="D8" s="16">
        <f>SUMIF(Evaluation!$G$2:$G$17,A8,Evaluation!$F$2:$F$17)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COUNTIF(Evaluation!$G$2:$G$17,A9)</f>
        <v/>
      </c>
      <c r="D9" s="18">
        <f>SUMIF(Evaluation!$G$2:$G$17,A9,Evaluation!$F$2:$F$17)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COUNTIF(Evaluation!$G$2:$G$17,A10)</f>
        <v/>
      </c>
      <c r="D10" s="20">
        <f>SUMIF(Evaluation!$G$2:$G$17,A10,Evaluation!$F$2:$F$17)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SUM(Evaluation!$L$2:$L$17)/SUM(Evaluation!$F$2:$F$17)</f>
        <v/>
      </c>
      <c r="C14" s="23">
        <f>SUMPRODUCT(Evaluation!$F$2:$F$17,Evaluation!$G$2:$G$17)/SUM(Evaluation!$F$2:$F$17)</f>
        <v/>
      </c>
      <c r="D14" s="22">
        <f>SUM(Evaluation!$F$2:$F$17)</f>
        <v/>
      </c>
      <c r="E14" s="23">
        <f>AVERAGE(Evaluation!$G$2:$G$17)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2026-10-13T06:27:34Z</dcterms:created>
  <dcterms:modified xmlns:dcterms="http://purl.org/dc/terms/" xmlns:xsi="http://www.w3.org/2001/XMLSchema-instance" xsi:type="dcterms:W3CDTF">2026-10-13T06:27:34Z</dcterms:modified>
</cp:coreProperties>
</file>