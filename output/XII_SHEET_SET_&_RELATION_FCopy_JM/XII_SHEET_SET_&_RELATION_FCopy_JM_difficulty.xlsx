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Sets &amp; Relations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Test each property on a 5-pair relation: (2,3) in R but (3,2) is not.</t>
        </is>
      </c>
      <c r="N2" s="3" t="inlineStr">
        <is>
          <t>Single direct counter-example on a tiny relation; same one-move demand as 2026-P1-Q3 (L1).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Sets &amp; Relations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Read R as divisibility; reflexive and transitive but (6,12) has no reverse.</t>
        </is>
      </c>
      <c r="N3" s="3" t="inlineStr">
        <is>
          <t>Eight pairs to scan for transitivity, otherwise routine; one familiar idea (divisibility order).</t>
        </is>
      </c>
      <c r="O3" s="3" t="inlineStr">
        <is>
          <t>2026-P1-Q3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Sets &amp; Relations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Words sharing a letter: BAD-CAT-KITE chain breaks transitivity.</t>
        </is>
      </c>
      <c r="N4" s="3" t="inlineStr">
        <is>
          <t>One familiar counter-example; needs only the idea of constructing a chain.</t>
        </is>
      </c>
      <c r="O4" s="3" t="inlineStr">
        <is>
          <t>2024-P2-Q10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Sets &amp; Relations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0.5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 fails reflexivity (x=x+1 impossible); T is 'x-y integer', a standard equivalence.</t>
        </is>
      </c>
      <c r="N5" s="3" t="inlineStr">
        <is>
          <t>Two standard checks, each one move; equivalence-relation question so +0.5.</t>
        </is>
      </c>
      <c r="O5" s="3" t="inlineStr">
        <is>
          <t>2026-P1-Q3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Sets &amp; Relations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Element chase: x in B gives x in C using both intersection and union equalities.</t>
        </is>
      </c>
      <c r="N6" s="3" t="inlineStr">
        <is>
          <t>Known cancellation law for sets; one idea, no computation.</t>
        </is>
      </c>
      <c r="O6" s="3" t="inlineStr">
        <is>
          <t>2021-P2-Q17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Sets &amp; Relations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0.5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The zero real number breaks symmetry of 'x = wy'; S is equality of fractions.</t>
        </is>
      </c>
      <c r="N7" s="3" t="inlineStr">
        <is>
          <t>Two relations, hidden w=0 trap and the p=0 case in the transitivity of S; chain of routine checks, no new idea.</t>
        </is>
      </c>
      <c r="O7" s="3" t="inlineStr">
        <is>
          <t>2024-P2-Q14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Sets &amp; Relations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0.5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y-x integer is an equivalence; x = alpha y fails symmetry through alpha=0; then judge the explanation.</t>
        </is>
      </c>
      <c r="N8" s="3" t="inlineStr">
        <is>
          <t>Two statements plus a judgement on explanation; same w=0 trap as Q6.</t>
        </is>
      </c>
      <c r="O8" s="3" t="inlineStr">
        <is>
          <t>2026-P1-Q3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Sets &amp; Relations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0.5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Transitivity of similarity uses (QP)^-1 = P^-1 Q^-1, which is exactly Statement 2.</t>
        </is>
      </c>
      <c r="N9" s="3" t="inlineStr">
        <is>
          <t>Three equivalence checks on matrices and the 'is it the explanation' judgement.</t>
        </is>
      </c>
      <c r="O9" s="3" t="inlineStr">
        <is>
          <t>2026-P1-Q3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Sets &amp; Relations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Each element is in Y only, Z only or neither: 3^5.</t>
        </is>
      </c>
      <c r="N10" s="3" t="inlineStr">
        <is>
          <t>Standard counting trick met in every set-theory chapter.</t>
        </is>
      </c>
      <c r="O10" s="3" t="inlineStr">
        <is>
          <t>2021-P2-Q17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Sets &amp; Relations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|A x B| = 8; subsets with 3 or more elements = 2^8 minus those with 0, 1 or 2.</t>
        </is>
      </c>
      <c r="N11" s="3" t="inlineStr">
        <is>
          <t>One familiar complement count.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Sets &amp; Relations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Put t = sqrt(x) and split on |t-3|; check each root against its case.</t>
        </is>
      </c>
      <c r="N12" s="3" t="inlineStr">
        <is>
          <t>Modulus plus root substitution, two cases with validity checks; routine chain.</t>
        </is>
      </c>
      <c r="O12" s="3" t="inlineStr">
        <is>
          <t>2024-P2-Q10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Sets &amp; Relations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Sum of B in 100..999 is 54650; the rest 54950 must come from a disjoint C of 100 terms.</t>
        </is>
      </c>
      <c r="N13" s="3" t="inlineStr">
        <is>
          <t>Numerical answer; AP sums over a 3-digit window and a disjointness assumption; slip-prone but standard.</t>
        </is>
      </c>
      <c r="O13" s="3" t="inlineStr">
        <is>
          <t>2021-P2-Q17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Sets &amp; Relations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0.5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Equivalence class of a point under 'same distance from O' is the circle through it.</t>
        </is>
      </c>
      <c r="N14" s="3" t="inlineStr">
        <is>
          <t>Single recognition step; equivalence-class wording gives +0.5.</t>
        </is>
      </c>
      <c r="O14" s="3" t="inlineStr">
        <is>
          <t>2026-P1-Q3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Sets &amp; Relations</t>
        </is>
      </c>
      <c r="F15" s="2" t="n">
        <v>4</v>
      </c>
      <c r="G15" s="4" t="n">
        <v>1</v>
      </c>
      <c r="H15" s="4" t="inlineStr">
        <is>
          <t>JEE Main level</t>
        </is>
      </c>
      <c r="I15" s="5" t="n">
        <v>0.5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Conjugation by P: identity, inverse and product give reflexive, symmetric, transitive.</t>
        </is>
      </c>
      <c r="N15" s="3" t="inlineStr">
        <is>
          <t>Standard similarity relation; one idea, equivalence adjustment applies.</t>
        </is>
      </c>
      <c r="O15" s="3" t="inlineStr">
        <is>
          <t>2026-P1-Q3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Sets &amp; Relations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 triple region exists whenever the overlap of two circles lies inside the third.</t>
        </is>
      </c>
      <c r="N16" s="3" t="inlineStr">
        <is>
          <t>Needs careful reading of three diagrams; no calculation but easy to misjudge.</t>
        </is>
      </c>
      <c r="O16" s="3" t="inlineStr">
        <is>
          <t>2024-P2-Q10 (L1)</t>
        </is>
      </c>
      <c r="P16" s="2" t="inlineStr">
        <is>
          <t>Low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Sets &amp; Relations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0.5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Class of (4,3): all (4k,3k) in A x A; k = 1..7.</t>
        </is>
      </c>
      <c r="N17" s="3" t="inlineStr">
        <is>
          <t>Equivalence class by direct listing; one step.</t>
        </is>
      </c>
      <c r="O17" s="3" t="inlineStr">
        <is>
          <t>2021-P2-Q17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Sets &amp; Relations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Split at 0 and -4; test each root for its own interval; D&lt;0 in the middle case.</t>
        </is>
      </c>
      <c r="N18" s="3" t="inlineStr">
        <is>
          <t>Three cases with a discriminant and validity checks; routine.</t>
        </is>
      </c>
      <c r="O18" s="3" t="inlineStr">
        <is>
          <t>2024-P2-Q10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Sets &amp; Relations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0.5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Factor into (x-y)(x+y)(x-3y); on N only x=y or x=3y; (3,1) breaks symmetry.</t>
        </is>
      </c>
      <c r="N19" s="3" t="inlineStr">
        <is>
          <t>Factorisation plus counter-examples for two properties; equivalence wording gives +0.5.</t>
        </is>
      </c>
      <c r="O19" s="3" t="inlineStr">
        <is>
          <t>2024-P2-Q14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Sets &amp; Relations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n(n-1) &lt;= 10000 gives A = {1..100}; B - C = odd members of B = 6j+1.</t>
        </is>
      </c>
      <c r="N20" s="3" t="inlineStr">
        <is>
          <t>Bound, parity filter and AP sum; numerical format but short.</t>
        </is>
      </c>
      <c r="O20" s="3" t="inlineStr">
        <is>
          <t>2021-P2-Q17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Sets &amp; Relations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a+b+2c = 187 and a+b+c &lt;= 100 give c &gt;= 87; c &lt;= 89.</t>
        </is>
      </c>
      <c r="N21" s="3" t="inlineStr">
        <is>
          <t>Two-set inclusion-exclusion with a bound; routine.</t>
        </is>
      </c>
      <c r="O21" s="3" t="inlineStr">
        <is>
          <t>2021-P2-Q17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Sets &amp; Relations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Show 0&lt;|x-y|&lt;=1 is not transitive (0, 0.8, 1.6); check the other three relations.</t>
        </is>
      </c>
      <c r="N22" s="3" t="inlineStr">
        <is>
          <t>Four relations, each needing a genuine counter-example or proof.</t>
        </is>
      </c>
      <c r="O22" s="3" t="inlineStr">
        <is>
          <t>2024-P2-Q14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Sets &amp; Relations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Reduce each modulus set to intervals, take the complement, count integers -2..5, then 2^8.</t>
        </is>
      </c>
      <c r="N23" s="3" t="inlineStr">
        <is>
          <t>Several interval operations in a chain; routine.</t>
        </is>
      </c>
      <c r="O23" s="3" t="inlineStr">
        <is>
          <t>2024-P2-Q10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Sets &amp; Relations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Write A, B as intervals and compare B-A with R-(-3,1); true set is R-(-3,3).</t>
        </is>
      </c>
      <c r="N24" s="3" t="inlineStr">
        <is>
          <t>Four interval statements to check; routine.</t>
        </is>
      </c>
      <c r="O24" s="3" t="inlineStr">
        <is>
          <t>2024-P2-Q10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Sets &amp; Relations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0.5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Both |a-b|&lt;=13 and |a-b|!=13 fail transitivity; build chains 1,12,19 and 10,15,23.</t>
        </is>
      </c>
      <c r="N25" s="3" t="inlineStr">
        <is>
          <t>Two relations, two constructed counter-examples; equivalence adjustment applies.</t>
        </is>
      </c>
      <c r="O25" s="3" t="inlineStr">
        <is>
          <t>2024-P2-Q14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Sets &amp; Relations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0.5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The relation says 'x and y lie in the same block of the partition'.</t>
        </is>
      </c>
      <c r="N26" s="3" t="inlineStr">
        <is>
          <t>Abstract notation but standard fact (partition = equivalence relation).</t>
        </is>
      </c>
      <c r="O26" s="3" t="inlineStr">
        <is>
          <t>2026-P1-Q3 (L1)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Sets &amp; Relations</t>
        </is>
      </c>
      <c r="F27" s="2" t="n">
        <v>4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gcd(n,45)=1 means not divisible by 3 or 5; inclusion-exclusion on sums of evens up to 200.</t>
        </is>
      </c>
      <c r="N27" s="3" t="inlineStr">
        <is>
          <t>Numerical answer, four sums to get exactly right, no options to check.</t>
        </is>
      </c>
      <c r="O27" s="3" t="inlineStr">
        <is>
          <t>2021-P2-Q17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Sets &amp; Relations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R1-R2 = pairs (p, p^n) with n&gt;=2: 4+2+1+1 = 8 prime powers.</t>
        </is>
      </c>
      <c r="N28" s="3" t="inlineStr">
        <is>
          <t>Careful enumeration of prime powers up to 50; PDF itself slipped on the count of primes.</t>
        </is>
      </c>
      <c r="O28" s="3" t="inlineStr">
        <is>
          <t>2021-P2-Q17 (L1)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Sets &amp; Relations</t>
        </is>
      </c>
      <c r="F29" s="2" t="n">
        <v>4</v>
      </c>
      <c r="G29" s="6" t="n">
        <v>2</v>
      </c>
      <c r="H29" s="6" t="inlineStr">
        <is>
          <t>Easier than Advanced</t>
        </is>
      </c>
      <c r="I29" s="5" t="n">
        <v>0.5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ab&gt;=0 fails transitivity through 0 (2,0,-2); a&gt;=b is not symmetric.</t>
        </is>
      </c>
      <c r="N29" s="3" t="inlineStr">
        <is>
          <t>Two quick counter-examples; equivalence adjustment applies.</t>
        </is>
      </c>
      <c r="O29" s="3" t="inlineStr">
        <is>
          <t>2026-P1-Q3 (L1)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Sets &amp; Relations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0.5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Reflexivity at x=1 forces 7 | 3+alpha; verify that this also gives symmetry and transitivity.</t>
        </is>
      </c>
      <c r="N30" s="3" t="inlineStr">
        <is>
          <t>Necessary-and-sufficient reasoning with a parameter and remainders; slightly more abstract than the other relation questions.</t>
        </is>
      </c>
      <c r="O30" s="3" t="inlineStr">
        <is>
          <t>2024-P2-Q14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Sets &amp; Relations</t>
        </is>
      </c>
      <c r="F31" s="2" t="n">
        <v>4</v>
      </c>
      <c r="G31" s="6" t="n">
        <v>2</v>
      </c>
      <c r="H31" s="6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Distinct odd semiprimes up to 60 are 11; each b pairs with all 60 a's.</t>
        </is>
      </c>
      <c r="N31" s="3" t="inlineStr">
        <is>
          <t>Count distinct products carefully (3x5 = 5x3), then multiply.</t>
        </is>
      </c>
      <c r="O31" s="3" t="inlineStr">
        <is>
          <t>2024-P2-Q14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Sets &amp; Relations</t>
        </is>
      </c>
      <c r="F32" s="2" t="n">
        <v>4</v>
      </c>
      <c r="G32" s="8" t="n">
        <v>4</v>
      </c>
      <c r="H32" s="8" t="inlineStr">
        <is>
          <t>Slightly difficult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Complement: subsets with 1 in, 2 out and non-prime sum; count by size from {3..7}.</t>
        </is>
      </c>
      <c r="N32" s="3" t="inlineStr">
        <is>
          <t>No options; complement formulation plus prime checks on 32 sums, one slip changes the answer.</t>
        </is>
      </c>
      <c r="O32" s="3" t="inlineStr">
        <is>
          <t>2023-P2-Q10 (L4)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Sets &amp; Relations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Subsets meeting B = all subsets minus those inside A - B: 128 - 16.</t>
        </is>
      </c>
      <c r="N33" s="3" t="inlineStr">
        <is>
          <t>Single familiar complement count.</t>
        </is>
      </c>
      <c r="O33" s="3" t="inlineStr">
        <is>
          <t>2021-P2-Q17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Sets &amp; Relations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Evens &gt;= 4 come from 4s and 6s; odds come from 9 plus an even; only 11 fails.</t>
        </is>
      </c>
      <c r="N34" s="3" t="inlineStr">
        <is>
          <t>Needs the representability idea (4,6,9 combinations) and a clean proof; no options.</t>
        </is>
      </c>
      <c r="O34" s="3" t="inlineStr">
        <is>
          <t>2024-P2-Q14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Sets &amp; Relations</t>
        </is>
      </c>
      <c r="F35" s="2" t="n">
        <v>4</v>
      </c>
      <c r="G35" s="8" t="n">
        <v>4</v>
      </c>
      <c r="H35" s="8" t="inlineStr">
        <is>
          <t>Slightly difficult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Shift to the ellipse centre and count lattice points row by row inside both curves.</t>
        </is>
      </c>
      <c r="N35" s="3" t="inlineStr">
        <is>
          <t>Lattice counting with two conics, strict natural-number restriction and no options; high slip risk.</t>
        </is>
      </c>
      <c r="O35" s="3" t="inlineStr">
        <is>
          <t>2023-P1-Q6 (L3)</t>
        </is>
      </c>
      <c r="P35" s="2" t="inlineStr">
        <is>
          <t>Medium</t>
        </is>
      </c>
    </row>
    <row r="37">
      <c r="A3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XII_SHEET_SET_&amp;_RELATION_FCopy_JM.pdf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COUNTIF(Evaluation!$G$2:$G$35,A5)</f>
        <v/>
      </c>
      <c r="D5" s="11">
        <f>SUMIF(Evaluation!$G$2:$G$35,A5,Evaluation!$F$2:$F$35)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COUNTIF(Evaluation!$G$2:$G$35,A6)</f>
        <v/>
      </c>
      <c r="D6" s="13">
        <f>SUMIF(Evaluation!$G$2:$G$35,A6,Evaluation!$F$2:$F$35)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COUNTIF(Evaluation!$G$2:$G$35,A7)</f>
        <v/>
      </c>
      <c r="D7" s="15">
        <f>SUMIF(Evaluation!$G$2:$G$35,A7,Evaluation!$F$2:$F$35)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COUNTIF(Evaluation!$G$2:$G$35,A8)</f>
        <v/>
      </c>
      <c r="D8" s="17">
        <f>SUMIF(Evaluation!$G$2:$G$35,A8,Evaluation!$F$2:$F$35)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COUNTIF(Evaluation!$G$2:$G$35,A9)</f>
        <v/>
      </c>
      <c r="D9" s="19">
        <f>SUMIF(Evaluation!$G$2:$G$35,A9,Evaluation!$F$2:$F$35)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COUNTIF(Evaluation!$G$2:$G$35,A10)</f>
        <v/>
      </c>
      <c r="D10" s="21">
        <f>SUMIF(Evaluation!$G$2:$G$35,A10,Evaluation!$F$2:$F$35)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SUM(Evaluation!$L$2:$L$35)/SUM(Evaluation!$F$2:$F$35)</f>
        <v/>
      </c>
      <c r="C14" s="24">
        <f>SUMPRODUCT(Evaluation!$F$2:$F$35,Evaluation!$G$2:$G$35)/SUM(Evaluation!$F$2:$F$35)</f>
        <v/>
      </c>
      <c r="D14" s="23">
        <f>SUM(Evaluation!$F$2:$F$35)</f>
        <v/>
      </c>
      <c r="E14" s="24">
        <f>AVERAGE(Evaluation!$G$2:$G$35)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2026-10-15T21:05:37Z</dcterms:created>
  <dcterms:modified xmlns:dcterms="http://purl.org/dc/terms/" xmlns:xsi="http://www.w3.org/2001/XMLSchema-instance" xsi:type="dcterms:W3CDTF">2026-10-15T21:05:37Z</dcterms:modified>
</cp:coreProperties>
</file>