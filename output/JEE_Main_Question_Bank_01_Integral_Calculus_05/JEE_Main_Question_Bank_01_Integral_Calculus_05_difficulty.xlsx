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81)</t>
        </is>
      </c>
      <c r="D2" s="2" t="inlineStr">
        <is>
          <t>Numerical</t>
        </is>
      </c>
      <c r="E2" s="3" t="inlineStr">
        <is>
          <t>Definite Integration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Two successive substitutions $\sqrt{\cos x}=t$ then $\sqrt{1+t^5}=u$.</t>
        </is>
      </c>
      <c r="N2" s="3" t="inlineStr">
        <is>
          <t>Familiar substitution chain, but two stages and exact arithmetic with $\sqrt2$ and no options to check; precision risk lifts it above routine.</t>
        </is>
      </c>
      <c r="O2" s="3" t="inlineStr">
        <is>
          <t>2026-P2-Q4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 (printed 82)</t>
        </is>
      </c>
      <c r="D3" s="2" t="inlineStr">
        <is>
          <t>Numerical</t>
        </is>
      </c>
      <c r="E3" s="3" t="inlineStr">
        <is>
          <t>Definite Integration</t>
        </is>
      </c>
      <c r="F3" s="2" t="n">
        <v>4</v>
      </c>
      <c r="G3" s="4" t="n">
        <v>3</v>
      </c>
      <c r="H3" s="4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King property twice ($x\to\pi-x$, then $x\to\pi/2-x$) before reaching a $\tan^{-1}$ integral.</t>
        </is>
      </c>
      <c r="N3" s="3" t="inlineStr">
        <is>
          <t>Standard king property but needs it on two intervals plus a tan substitution; numerical format.</t>
        </is>
      </c>
      <c r="O3" s="3" t="inlineStr">
        <is>
          <t>2026-P2-Q4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83)</t>
        </is>
      </c>
      <c r="D4" s="2" t="inlineStr">
        <is>
          <t>Numerical</t>
        </is>
      </c>
      <c r="E4" s="3" t="inlineStr">
        <is>
          <t>Definite Integration</t>
        </is>
      </c>
      <c r="F4" s="2" t="n">
        <v>4</v>
      </c>
      <c r="G4" s="4" t="n">
        <v>3</v>
      </c>
      <c r="H4" s="4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Add $x\to-x$ copy to kill $1+e^{\sin x}$, then evaluate $\int dt/(1+t^4)$.</t>
        </is>
      </c>
      <c r="N4" s="3" t="inlineStr">
        <is>
          <t>King-type trick is familiar; the $1/(1+t^4)$ evaluation with $\ln(3+2\sqrt2)$ is a known but lengthy second stage.</t>
        </is>
      </c>
      <c r="O4" s="3" t="inlineStr">
        <is>
          <t>2025-P2-Q16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(printed 84)</t>
        </is>
      </c>
      <c r="D5" s="2" t="inlineStr">
        <is>
          <t>Numerical</t>
        </is>
      </c>
      <c r="E5" s="3" t="inlineStr">
        <is>
          <t>Definite Integration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Chain rule on $F(x^2)$ with $F'=xf$.</t>
        </is>
      </c>
      <c r="N5" s="3" t="inlineStr">
        <is>
          <t>Routine multi-step Leibniz differentiation plus an AP sum; no insight beyond the rule.</t>
        </is>
      </c>
      <c r="O5" s="3" t="inlineStr">
        <is>
          <t>2023-P2-Q1 (L3)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 (printed 85)</t>
        </is>
      </c>
      <c r="D6" s="2" t="inlineStr">
        <is>
          <t>Numerical</t>
        </is>
      </c>
      <c r="E6" s="3" t="inlineStr">
        <is>
          <t>Definite Integration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Split at points where $\cot x$ crosses integers.</t>
        </is>
      </c>
      <c r="N6" s="3" t="inlineStr">
        <is>
          <t>Greatest-integer integral with monotone functions; routine casework, slip risk is moderate.</t>
        </is>
      </c>
      <c r="O6" s="3" t="inlineStr">
        <is>
          <t>2021-P2-Q19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86)</t>
        </is>
      </c>
      <c r="D7" s="2" t="inlineStr">
        <is>
          <t>Numerical</t>
        </is>
      </c>
      <c r="E7" s="3" t="inlineStr">
        <is>
          <t>Definite Integration</t>
        </is>
      </c>
      <c r="F7" s="2" t="n">
        <v>4</v>
      </c>
      <c r="G7" s="4" t="n">
        <v>3</v>
      </c>
      <c r="H7" s="4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Integration by parts whose leftover integral is $-18\alpha(11,5)$ (or spotting an exact derivative).</t>
        </is>
      </c>
      <c r="N7" s="3" t="inlineStr">
        <is>
          <t>Needs recognising that the combination is a total derivative; short once seen but not a pattern most students expect.</t>
        </is>
      </c>
      <c r="O7" s="3" t="inlineStr">
        <is>
          <t>2024-P2-Q16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 (printed 87)</t>
        </is>
      </c>
      <c r="D8" s="2" t="inlineStr">
        <is>
          <t>Numerical</t>
        </is>
      </c>
      <c r="E8" s="3" t="inlineStr">
        <is>
          <t>Definite Integration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Compute $C_1,S_1,C_2,S_2,C_3$ in sequence.</t>
        </is>
      </c>
      <c r="N8" s="3" t="inlineStr">
        <is>
          <t>Several routine polynomial integrations with fractions; long but no idea needed.</t>
        </is>
      </c>
      <c r="O8" s="3" t="inlineStr">
        <is>
          <t>2021-P2-Q11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 (printed 88)</t>
        </is>
      </c>
      <c r="D9" s="2" t="inlineStr">
        <is>
          <t>Numerical</t>
        </is>
      </c>
      <c r="E9" s="3" t="inlineStr">
        <is>
          <t>Definite Integration</t>
        </is>
      </c>
      <c r="F9" s="2" t="n">
        <v>4</v>
      </c>
      <c r="G9" s="7" t="n">
        <v>4</v>
      </c>
      <c r="H9" s="7" t="inlineStr">
        <is>
          <t>Slightly difficult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Multiply and divide by $\sqrt{\sin x}$ to reveal a perfect derivative.</t>
        </is>
      </c>
      <c r="N9" s="3" t="inlineStr">
        <is>
          <t>Hidden derivative structure in two big sums; unfamiliar idea, though the result $n^2$ is guessable from small $n$.</t>
        </is>
      </c>
      <c r="O9" s="3" t="inlineStr">
        <is>
          <t>2026-P2-Q5 (L4)</t>
        </is>
      </c>
      <c r="P9" s="2" t="inlineStr">
        <is>
          <t>Low</t>
        </is>
      </c>
    </row>
    <row r="10">
      <c r="A10" s="2" t="n">
        <v>9</v>
      </c>
      <c r="B10" s="2" t="inlineStr"/>
      <c r="C10" s="2" t="inlineStr">
        <is>
          <t>Q9 (printed 89)</t>
        </is>
      </c>
      <c r="D10" s="2" t="inlineStr">
        <is>
          <t>SCQ</t>
        </is>
      </c>
      <c r="E10" s="3" t="inlineStr">
        <is>
          <t>Differential Equation</t>
        </is>
      </c>
      <c r="F10" s="2" t="n">
        <v>3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Differentiate integral equation, then solve $y'-y/x=x^3$.</t>
        </is>
      </c>
      <c r="N10" s="3" t="inlineStr">
        <is>
          <t>Routine two-stage chain: Leibniz then linear ODE then constant from $x=1$.</t>
        </is>
      </c>
      <c r="O10" s="3" t="inlineStr">
        <is>
          <t>2023-P2-Q1 (L3)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 (printed 90)</t>
        </is>
      </c>
      <c r="D11" s="2" t="inlineStr">
        <is>
          <t>SCQ</t>
        </is>
      </c>
      <c r="E11" s="3" t="inlineStr">
        <is>
          <t>Differential Equation</t>
        </is>
      </c>
      <c r="F11" s="2" t="n">
        <v>3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Get $g=1/(1+x)$, then ODE collapses to $y'-y\tan x=2\sec x$.</t>
        </is>
      </c>
      <c r="N11" s="3" t="inlineStr">
        <is>
          <t>Same chain as Q9 with trigonometric IF; routine.</t>
        </is>
      </c>
      <c r="O11" s="3" t="inlineStr">
        <is>
          <t>2024-P1-Q1 (L3)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 (printed 91)</t>
        </is>
      </c>
      <c r="D12" s="2" t="inlineStr">
        <is>
          <t>SCQ</t>
        </is>
      </c>
      <c r="E12" s="3" t="inlineStr">
        <is>
          <t>Differential Equation</t>
        </is>
      </c>
      <c r="F12" s="2" t="n">
        <v>3</v>
      </c>
      <c r="G12" s="8" t="n">
        <v>1</v>
      </c>
      <c r="H12" s="8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$3\tan^2x+3=3\sec^2x$ gives IF $e^{3\tan x}$.</t>
        </is>
      </c>
      <c r="N12" s="3" t="inlineStr">
        <is>
          <t>Single familiar move: recognise the linear ODE and integrate.</t>
        </is>
      </c>
      <c r="O12" s="3" t="inlineStr">
        <is>
          <t>2026-P2-Q4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 (printed 92)</t>
        </is>
      </c>
      <c r="D13" s="2" t="inlineStr">
        <is>
          <t>SCQ</t>
        </is>
      </c>
      <c r="E13" s="3" t="inlineStr">
        <is>
          <t>Differential Equation</t>
        </is>
      </c>
      <c r="F13" s="2" t="n">
        <v>3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Write $e^{x-t}=e^xe^{-t}$ and differentiate to a linear ODE.</t>
        </is>
      </c>
      <c r="N13" s="3" t="inlineStr">
        <is>
          <t>Integral equation to ODE to solution to area; routine chain of four standard steps.</t>
        </is>
      </c>
      <c r="O13" s="3" t="inlineStr">
        <is>
          <t>2023-P2-Q1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(printed 93)</t>
        </is>
      </c>
      <c r="D14" s="2" t="inlineStr">
        <is>
          <t>SCQ</t>
        </is>
      </c>
      <c r="E14" s="3" t="inlineStr">
        <is>
          <t>Differential Equation</t>
        </is>
      </c>
      <c r="F14" s="2" t="n">
        <v>3</v>
      </c>
      <c r="G14" s="4" t="n">
        <v>3</v>
      </c>
      <c r="H14" s="4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Multiply by $\sin y$, put $\cos y=t$, IF $x^7$, then integrate $x^2e^x$.</t>
        </is>
      </c>
      <c r="N14" s="3" t="inlineStr">
        <is>
          <t>Non-obvious substitution and then by-parts; chain of three stages with options to check.</t>
        </is>
      </c>
      <c r="O14" s="3" t="inlineStr">
        <is>
          <t>2021-P2-Q4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 (printed 94)</t>
        </is>
      </c>
      <c r="D15" s="2" t="inlineStr">
        <is>
          <t>SCQ</t>
        </is>
      </c>
      <c r="E15" s="3" t="inlineStr">
        <is>
          <t>Differential Equation</t>
        </is>
      </c>
      <c r="F15" s="2" t="n">
        <v>3</v>
      </c>
      <c r="G15" s="4" t="n">
        <v>3</v>
      </c>
      <c r="H15" s="4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Recognise IF $1+e^x/x^2$ (or exact $d(uy)$).</t>
        </is>
      </c>
      <c r="N15" s="3" t="inlineStr">
        <is>
          <t>The integrating factor integral is not routine; spotting $\frac{d}{dx}(e^x/x^2)$ is the whole question.</t>
        </is>
      </c>
      <c r="O15" s="3" t="inlineStr">
        <is>
          <t>2026-P2-Q8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(printed 95)</t>
        </is>
      </c>
      <c r="D16" s="2" t="inlineStr">
        <is>
          <t>SCQ</t>
        </is>
      </c>
      <c r="E16" s="3" t="inlineStr">
        <is>
          <t>Differential Equation</t>
        </is>
      </c>
      <c r="F16" s="2" t="n">
        <v>3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Quotient-rule form $\left(y/(1+x^2)\right)'$, then odd/even integral.</t>
        </is>
      </c>
      <c r="N16" s="3" t="inlineStr">
        <is>
          <t>Two routine ideas chained; recognisable pattern.</t>
        </is>
      </c>
      <c r="O16" s="3" t="inlineStr">
        <is>
          <t>2023-P2-Q1 (L3)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 (printed 96)</t>
        </is>
      </c>
      <c r="D17" s="2" t="inlineStr">
        <is>
          <t>SCQ</t>
        </is>
      </c>
      <c r="E17" s="3" t="inlineStr">
        <is>
          <t>Differential Equation</t>
        </is>
      </c>
      <c r="F17" s="2" t="n">
        <v>3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Compose $f,g$, IF $e^{2\sqrt x}$ cancels the exponential.</t>
        </is>
      </c>
      <c r="N17" s="3" t="inlineStr">
        <is>
          <t>Routine chain with a neat cancellation.</t>
        </is>
      </c>
      <c r="O17" s="3" t="inlineStr">
        <is>
          <t>2026-P2-Q3 (L3)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 (printed 97)</t>
        </is>
      </c>
      <c r="D18" s="2" t="inlineStr">
        <is>
          <t>SCQ</t>
        </is>
      </c>
      <c r="E18" s="3" t="inlineStr">
        <is>
          <t>Differential Equation</t>
        </is>
      </c>
      <c r="F18" s="2" t="n">
        <v>3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Treat $x$ as dependent variable; IF $e^{-1/y}$; by parts.</t>
        </is>
      </c>
      <c r="N18" s="3" t="inlineStr">
        <is>
          <t>Routine once the variable is switched; by-parts adds a step.</t>
        </is>
      </c>
      <c r="O18" s="3" t="inlineStr">
        <is>
          <t>2026-P2-Q8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 (printed 98)</t>
        </is>
      </c>
      <c r="D19" s="2" t="inlineStr">
        <is>
          <t>SCQ</t>
        </is>
      </c>
      <c r="E19" s="3" t="inlineStr">
        <is>
          <t>Differential Equation</t>
        </is>
      </c>
      <c r="F19" s="2" t="n">
        <v>3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Set $y=0$ to turn the functional equation into $f'=f/2$.</t>
        </is>
      </c>
      <c r="N19" s="3" t="inlineStr">
        <is>
          <t>Standard functional-equation trick then separable ODE and AP sum.</t>
        </is>
      </c>
      <c r="O19" s="3" t="inlineStr">
        <is>
          <t>2024-P1-Q1 (L3)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 (printed 99)</t>
        </is>
      </c>
      <c r="D20" s="2" t="inlineStr">
        <is>
          <t>SCQ</t>
        </is>
      </c>
      <c r="E20" s="3" t="inlineStr">
        <is>
          <t>Differential Equation</t>
        </is>
      </c>
      <c r="F20" s="2" t="n">
        <v>3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Linear in $x$ with IF $e^{\tan^{-1}y}$.</t>
        </is>
      </c>
      <c r="N20" s="3" t="inlineStr">
        <is>
          <t>Routine linear ODE in $dx/dy$ form with a nice substitution.</t>
        </is>
      </c>
      <c r="O20" s="3" t="inlineStr">
        <is>
          <t>2026-P2-Q3 (L3)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 (printed 100)</t>
        </is>
      </c>
      <c r="D21" s="2" t="inlineStr">
        <is>
          <t>SCQ</t>
        </is>
      </c>
      <c r="E21" s="3" t="inlineStr">
        <is>
          <t>Differential Equation</t>
        </is>
      </c>
      <c r="F21" s="2" t="n">
        <v>3</v>
      </c>
      <c r="G21" s="4" t="n">
        <v>3</v>
      </c>
      <c r="H21" s="4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$x\,dy-y\,dx=-y^2d(x/y)$ separates the variables.</t>
        </is>
      </c>
      <c r="N21" s="3" t="inlineStr">
        <is>
          <t>Recognising the homogeneous combination is the key; sign care needed.</t>
        </is>
      </c>
      <c r="O21" s="3" t="inlineStr">
        <is>
          <t>2025-P2-Q9 (L4)</t>
        </is>
      </c>
      <c r="P21" s="2" t="inlineStr">
        <is>
          <t>Medium</t>
        </is>
      </c>
    </row>
    <row r="23">
      <c r="A23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JEE_Main_Question_Bank_01_Integral_Calculus_05.pdf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COUNTIF(Evaluation!$G$2:$G$21,A5)</f>
        <v/>
      </c>
      <c r="D5" s="11">
        <f>SUMIF(Evaluation!$G$2:$G$21,A5,Evaluation!$F$2:$F$21)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COUNTIF(Evaluation!$G$2:$G$21,A6)</f>
        <v/>
      </c>
      <c r="D6" s="13">
        <f>SUMIF(Evaluation!$G$2:$G$21,A6,Evaluation!$F$2:$F$21)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COUNTIF(Evaluation!$G$2:$G$21,A7)</f>
        <v/>
      </c>
      <c r="D7" s="15">
        <f>SUMIF(Evaluation!$G$2:$G$21,A7,Evaluation!$F$2:$F$21)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COUNTIF(Evaluation!$G$2:$G$21,A8)</f>
        <v/>
      </c>
      <c r="D8" s="17">
        <f>SUMIF(Evaluation!$G$2:$G$21,A8,Evaluation!$F$2:$F$21)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COUNTIF(Evaluation!$G$2:$G$21,A9)</f>
        <v/>
      </c>
      <c r="D9" s="19">
        <f>SUMIF(Evaluation!$G$2:$G$21,A9,Evaluation!$F$2:$F$21)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COUNTIF(Evaluation!$G$2:$G$21,A10)</f>
        <v/>
      </c>
      <c r="D10" s="21">
        <f>SUMIF(Evaluation!$G$2:$G$21,A10,Evaluation!$F$2:$F$21)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SUM(Evaluation!$L$2:$L$21)/SUM(Evaluation!$F$2:$F$21)</f>
        <v/>
      </c>
      <c r="C14" s="24">
        <f>SUMPRODUCT(Evaluation!$F$2:$F$21,Evaluation!$G$2:$G$21)/SUM(Evaluation!$F$2:$F$21)</f>
        <v/>
      </c>
      <c r="D14" s="23">
        <f>SUM(Evaluation!$F$2:$F$21)</f>
        <v/>
      </c>
      <c r="E14" s="24">
        <f>AVERAGE(Evaluation!$G$2:$G$21)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2026-10-06T06:28:51Z</dcterms:created>
  <dcterms:modified xmlns:dcterms="http://purl.org/dc/terms/" xmlns:xsi="http://www.w3.org/2001/XMLSchema-instance" xsi:type="dcterms:W3CDTF">2026-10-06T06:28:51Z</dcterms:modified>
</cp:coreProperties>
</file>