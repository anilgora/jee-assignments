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F2CC"/>
      </patternFill>
    </fill>
    <fill>
      <patternFill patternType="solid">
        <fgColor rgb="00E8F0D8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 (printed Q41)</t>
        </is>
      </c>
      <c r="D2" s="2" t="inlineStr">
        <is>
          <t>SCQ</t>
        </is>
      </c>
      <c r="E2" s="3" t="inlineStr">
        <is>
          <t>Differential Equations</t>
        </is>
      </c>
      <c r="F2" s="2" t="n">
        <v>4</v>
      </c>
      <c r="G2" s="4" t="n">
        <v>2</v>
      </c>
      <c r="H2" s="4" t="inlineStr">
        <is>
          <t>Easier than Advanced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Differentiate to a linear DE (I.F. x), substitute x+1=t^2, use f(3)=2.</t>
        </is>
      </c>
      <c r="N2" s="3" t="inlineStr">
        <is>
          <t>Standard linear DE after differentiating the integral equation; one substitution (L2).</t>
        </is>
      </c>
      <c r="O2" s="3" t="inlineStr">
        <is>
          <t>2026-P2-Q4 (L1) / 2023-P2-Q9 (L2) used as lowest anchors</t>
        </is>
      </c>
      <c r="P2" s="2" t="inlineStr">
        <is>
          <t>Medium</t>
        </is>
      </c>
    </row>
    <row r="3">
      <c r="A3" s="2" t="n">
        <v>2</v>
      </c>
      <c r="B3" s="2" t="inlineStr"/>
      <c r="C3" s="2" t="inlineStr">
        <is>
          <t>Q2 (printed Q42)</t>
        </is>
      </c>
      <c r="D3" s="2" t="inlineStr">
        <is>
          <t>SCQ</t>
        </is>
      </c>
      <c r="E3" s="3" t="inlineStr">
        <is>
          <t>Area under Curves</t>
        </is>
      </c>
      <c r="F3" s="2" t="n">
        <v>4</v>
      </c>
      <c r="G3" s="6" t="n">
        <v>1</v>
      </c>
      <c r="H3" s="6" t="inlineStr">
        <is>
          <t>JEE Main level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Subtract the parabola-line region (1/6) from the circle (2pi).</t>
        </is>
      </c>
      <c r="N3" s="3" t="inlineStr">
        <is>
          <t>Short two-step area computation (L1).</t>
        </is>
      </c>
      <c r="O3" s="3" t="inlineStr">
        <is>
          <t>2026-P2-Q4 (L1) / 2023-P2-Q9 (L2) used as lowest anchors</t>
        </is>
      </c>
      <c r="P3" s="2" t="inlineStr">
        <is>
          <t>Medium</t>
        </is>
      </c>
    </row>
    <row r="4">
      <c r="A4" s="2" t="n">
        <v>3</v>
      </c>
      <c r="B4" s="2" t="inlineStr"/>
      <c r="C4" s="2" t="inlineStr">
        <is>
          <t>Q3 (printed Q43)</t>
        </is>
      </c>
      <c r="D4" s="2" t="inlineStr">
        <is>
          <t>SCQ</t>
        </is>
      </c>
      <c r="E4" s="3" t="inlineStr">
        <is>
          <t>Definite Integration</t>
        </is>
      </c>
      <c r="F4" s="2" t="n">
        <v>4</v>
      </c>
      <c r="G4" s="4" t="n">
        <v>2</v>
      </c>
      <c r="H4" s="4" t="inlineStr">
        <is>
          <t>Easier than Advanced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[x/pi]+[-x/pi]=-1 makes the integrand odd; or evaluate the floor directly on [-2,0) and [0,2].</t>
        </is>
      </c>
      <c r="N4" s="3" t="inlineStr">
        <is>
          <t>Needs the odd-function insight or direct floor evaluation; short once seen (L2).</t>
        </is>
      </c>
      <c r="O4" s="3" t="inlineStr">
        <is>
          <t>2026-P2-Q4 (L1) / 2023-P2-Q9 (L2) used as lowest anchors</t>
        </is>
      </c>
      <c r="P4" s="2" t="inlineStr">
        <is>
          <t>Medium</t>
        </is>
      </c>
    </row>
    <row r="5">
      <c r="A5" s="2" t="n">
        <v>4</v>
      </c>
      <c r="B5" s="2" t="inlineStr"/>
      <c r="C5" s="2" t="inlineStr">
        <is>
          <t>Q4 (printed Q44)</t>
        </is>
      </c>
      <c r="D5" s="2" t="inlineStr">
        <is>
          <t>SCQ</t>
        </is>
      </c>
      <c r="E5" s="3" t="inlineStr">
        <is>
          <t>Definite Integration</t>
        </is>
      </c>
      <c r="F5" s="2" t="n">
        <v>4</v>
      </c>
      <c r="G5" s="4" t="n">
        <v>2</v>
      </c>
      <c r="H5" s="4" t="inlineStr">
        <is>
          <t>Easier than Advanced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Express both sides in a,b,c (Simpson's rule for a quadratic).</t>
        </is>
      </c>
      <c r="N5" s="3" t="inlineStr">
        <is>
          <t>Requires recognising Simpson's rule / testing on basis functions (L2).</t>
        </is>
      </c>
      <c r="O5" s="3" t="inlineStr">
        <is>
          <t>2026-P2-Q4 (L1) / 2023-P2-Q9 (L2) used as lowest anchors</t>
        </is>
      </c>
      <c r="P5" s="2" t="inlineStr">
        <is>
          <t>Medium</t>
        </is>
      </c>
    </row>
    <row r="6">
      <c r="A6" s="2" t="n">
        <v>5</v>
      </c>
      <c r="B6" s="2" t="inlineStr"/>
      <c r="C6" s="2" t="inlineStr">
        <is>
          <t>Q5 (printed Q45)</t>
        </is>
      </c>
      <c r="D6" s="2" t="inlineStr">
        <is>
          <t>SCQ</t>
        </is>
      </c>
      <c r="E6" s="3" t="inlineStr">
        <is>
          <t>Area under Curves</t>
        </is>
      </c>
      <c r="F6" s="2" t="n">
        <v>4</v>
      </c>
      <c r="G6" s="6" t="n">
        <v>1</v>
      </c>
      <c r="H6" s="6" t="inlineStr">
        <is>
          <t>JEE Main level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Lines meet at (+-2,0),(0,+-2): a square of side 2*sqrt2.</t>
        </is>
      </c>
      <c r="N6" s="3" t="inlineStr">
        <is>
          <t>Direct modulus region; essentially a sketch (L1).</t>
        </is>
      </c>
      <c r="O6" s="3" t="inlineStr">
        <is>
          <t>2026-P2-Q4 (L1) / 2023-P2-Q9 (L2) used as lowest anchors</t>
        </is>
      </c>
      <c r="P6" s="2" t="inlineStr">
        <is>
          <t>Medium</t>
        </is>
      </c>
    </row>
    <row r="7">
      <c r="A7" s="2" t="n">
        <v>6</v>
      </c>
      <c r="B7" s="2" t="inlineStr"/>
      <c r="C7" s="2" t="inlineStr">
        <is>
          <t>Q6 (printed Q46)</t>
        </is>
      </c>
      <c r="D7" s="2" t="inlineStr">
        <is>
          <t>SCQ</t>
        </is>
      </c>
      <c r="E7" s="3" t="inlineStr">
        <is>
          <t>Definite Integration</t>
        </is>
      </c>
      <c r="F7" s="2" t="n">
        <v>4</v>
      </c>
      <c r="G7" s="7" t="n">
        <v>3</v>
      </c>
      <c r="H7" s="7" t="inlineStr">
        <is>
          <t>Average Advanced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Integrand is half the derivative of tan^4x sin^4 3x after sin6x=2sin3x cos3x.</t>
        </is>
      </c>
      <c r="N7" s="3" t="inlineStr">
        <is>
          <t>Disguised product-rule integrand; the recognition step is the whole question (L3).</t>
        </is>
      </c>
      <c r="O7" s="3" t="inlineStr">
        <is>
          <t>2026-P2-Q4 (L1) / 2023-P2-Q9 (L2) used as lowest anchors</t>
        </is>
      </c>
      <c r="P7" s="2" t="inlineStr">
        <is>
          <t>Medium</t>
        </is>
      </c>
    </row>
    <row r="8">
      <c r="A8" s="2" t="n">
        <v>7</v>
      </c>
      <c r="B8" s="2" t="inlineStr"/>
      <c r="C8" s="2" t="inlineStr">
        <is>
          <t>Q7 (printed Q47)</t>
        </is>
      </c>
      <c r="D8" s="2" t="inlineStr">
        <is>
          <t>SCQ</t>
        </is>
      </c>
      <c r="E8" s="3" t="inlineStr">
        <is>
          <t>Differential Equations</t>
        </is>
      </c>
      <c r="F8" s="2" t="n">
        <v>4</v>
      </c>
      <c r="G8" s="7" t="n">
        <v>3</v>
      </c>
      <c r="H8" s="7" t="inlineStr">
        <is>
          <t>Average Advanced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Substitute t=ln(y+2); linear in x with I.F. sqrt t; then initial condition.</t>
        </is>
      </c>
      <c r="N8" s="3" t="inlineStr">
        <is>
          <t>Non-obvious substitution leading to a linear DE in x, with fractional-power I.F. (L3).</t>
        </is>
      </c>
      <c r="O8" s="3" t="inlineStr">
        <is>
          <t>2026-P2-Q4 (L1) / 2023-P2-Q9 (L2) used as lowest anchors</t>
        </is>
      </c>
      <c r="P8" s="2" t="inlineStr">
        <is>
          <t>Medium</t>
        </is>
      </c>
    </row>
    <row r="9">
      <c r="A9" s="2" t="n">
        <v>8</v>
      </c>
      <c r="B9" s="2" t="inlineStr"/>
      <c r="C9" s="2" t="inlineStr">
        <is>
          <t>Q8 (printed Q48)</t>
        </is>
      </c>
      <c r="D9" s="2" t="inlineStr">
        <is>
          <t>SCQ</t>
        </is>
      </c>
      <c r="E9" s="3" t="inlineStr">
        <is>
          <t>Definite Integration</t>
        </is>
      </c>
      <c r="F9" s="2" t="n">
        <v>4</v>
      </c>
      <c r="G9" s="4" t="n">
        <v>2</v>
      </c>
      <c r="H9" s="4" t="inlineStr">
        <is>
          <t>Easier than Advanced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King's property gives g constant = pi/12; then judge the four statements.</t>
        </is>
      </c>
      <c r="N9" s="3" t="inlineStr">
        <is>
          <t>King's property is routine, but verdicts on four statements add a step (L2).</t>
        </is>
      </c>
      <c r="O9" s="3" t="inlineStr">
        <is>
          <t>2026-P2-Q4 (L1) / 2023-P2-Q9 (L2) used as lowest anchors</t>
        </is>
      </c>
      <c r="P9" s="2" t="inlineStr">
        <is>
          <t>Medium</t>
        </is>
      </c>
    </row>
    <row r="10">
      <c r="A10" s="2" t="n">
        <v>9</v>
      </c>
      <c r="B10" s="2" t="inlineStr"/>
      <c r="C10" s="2" t="inlineStr">
        <is>
          <t>Q9 (printed Q49)</t>
        </is>
      </c>
      <c r="D10" s="2" t="inlineStr">
        <is>
          <t>SCQ</t>
        </is>
      </c>
      <c r="E10" s="3" t="inlineStr">
        <is>
          <t>Differential Equations</t>
        </is>
      </c>
      <c r="F10" s="2" t="n">
        <v>4</v>
      </c>
      <c r="G10" s="4" t="n">
        <v>2</v>
      </c>
      <c r="H10" s="4" t="inlineStr">
        <is>
          <t>Easier than Advanced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Substitute t=y+3x, then separate variables.</t>
        </is>
      </c>
      <c r="N10" s="3" t="inlineStr">
        <is>
          <t>One substitution to separable form, then a standard integral (L2).</t>
        </is>
      </c>
      <c r="O10" s="3" t="inlineStr">
        <is>
          <t>2026-P2-Q4 (L1) / 2023-P2-Q9 (L2) used as lowest anchors</t>
        </is>
      </c>
      <c r="P10" s="2" t="inlineStr">
        <is>
          <t>Medium</t>
        </is>
      </c>
    </row>
    <row r="11">
      <c r="A11" s="2" t="n">
        <v>10</v>
      </c>
      <c r="B11" s="2" t="inlineStr"/>
      <c r="C11" s="2" t="inlineStr">
        <is>
          <t>Q10 (printed Q50)</t>
        </is>
      </c>
      <c r="D11" s="2" t="inlineStr">
        <is>
          <t>SCQ</t>
        </is>
      </c>
      <c r="E11" s="3" t="inlineStr">
        <is>
          <t>Definite Integration</t>
        </is>
      </c>
      <c r="F11" s="2" t="n">
        <v>4</v>
      </c>
      <c r="G11" s="4" t="n">
        <v>2</v>
      </c>
      <c r="H11" s="4" t="inlineStr">
        <is>
          <t>Easier than Advanced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Split into 2(1-cosx)/sin^3x and 3/(1+cosx); substitute cot x = t (or tan(x/2)).</t>
        </is>
      </c>
      <c r="N11" s="3" t="inlineStr">
        <is>
          <t>Two trigonometric splittings and a sqrt(1+t^2) integral; several routine steps (L2).</t>
        </is>
      </c>
      <c r="O11" s="3" t="inlineStr">
        <is>
          <t>2026-P2-Q4 (L1) / 2023-P2-Q9 (L2) used as lowest anchors</t>
        </is>
      </c>
      <c r="P11" s="2" t="inlineStr">
        <is>
          <t>Medium</t>
        </is>
      </c>
    </row>
    <row r="12">
      <c r="A12" s="2" t="n">
        <v>11</v>
      </c>
      <c r="B12" s="2" t="inlineStr"/>
      <c r="C12" s="2" t="inlineStr">
        <is>
          <t>Q11 (printed Q51)</t>
        </is>
      </c>
      <c r="D12" s="2" t="inlineStr">
        <is>
          <t>SCQ</t>
        </is>
      </c>
      <c r="E12" s="3" t="inlineStr">
        <is>
          <t>Definite Integration</t>
        </is>
      </c>
      <c r="F12" s="2" t="n">
        <v>4</v>
      </c>
      <c r="G12" s="4" t="n">
        <v>2</v>
      </c>
      <c r="H12" s="4" t="inlineStr">
        <is>
          <t>Easier than Advanced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[x]=1 on [1,2), x^3=t, sum a geometric series of e^[t].</t>
        </is>
      </c>
      <c r="N12" s="3" t="inlineStr">
        <is>
          <t>Floor function, cube substitution and a G.P.; multiple routine steps (L2).</t>
        </is>
      </c>
      <c r="O12" s="3" t="inlineStr">
        <is>
          <t>2026-P2-Q4 (L1) / 2023-P2-Q9 (L2) used as lowest anchors</t>
        </is>
      </c>
      <c r="P12" s="2" t="inlineStr">
        <is>
          <t>Medium</t>
        </is>
      </c>
    </row>
    <row r="13">
      <c r="A13" s="2" t="n">
        <v>12</v>
      </c>
      <c r="B13" s="2" t="inlineStr"/>
      <c r="C13" s="2" t="inlineStr">
        <is>
          <t>Q12 (printed Q52)</t>
        </is>
      </c>
      <c r="D13" s="2" t="inlineStr">
        <is>
          <t>SCQ</t>
        </is>
      </c>
      <c r="E13" s="3" t="inlineStr">
        <is>
          <t>Indefinite Integration</t>
        </is>
      </c>
      <c r="F13" s="2" t="n">
        <v>4</v>
      </c>
      <c r="G13" s="6" t="n">
        <v>1</v>
      </c>
      <c r="H13" s="6" t="inlineStr">
        <is>
          <t>JEE Main level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Multiply by 2cos(x/2): ratio becomes 1+2cosx+2cos2x.</t>
        </is>
      </c>
      <c r="N13" s="3" t="inlineStr">
        <is>
          <t>One standard identity and direct integration (L1).</t>
        </is>
      </c>
      <c r="O13" s="3" t="inlineStr">
        <is>
          <t>2026-P2-Q4 (L1) / 2023-P2-Q9 (L2) used as lowest anchors</t>
        </is>
      </c>
      <c r="P13" s="2" t="inlineStr">
        <is>
          <t>Medium</t>
        </is>
      </c>
    </row>
    <row r="14">
      <c r="A14" s="2" t="n">
        <v>13</v>
      </c>
      <c r="B14" s="2" t="inlineStr"/>
      <c r="C14" s="2" t="inlineStr">
        <is>
          <t>Q13 (printed Q53)</t>
        </is>
      </c>
      <c r="D14" s="2" t="inlineStr">
        <is>
          <t>SCQ</t>
        </is>
      </c>
      <c r="E14" s="3" t="inlineStr">
        <is>
          <t>Differential Equations</t>
        </is>
      </c>
      <c r="F14" s="2" t="n">
        <v>4</v>
      </c>
      <c r="G14" s="4" t="n">
        <v>2</v>
      </c>
      <c r="H14" s="4" t="inlineStr">
        <is>
          <t>Easier than Advanced</t>
        </is>
      </c>
      <c r="I14" s="5" t="n">
        <v>0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Combine y dx - x dy into d(y/x), separate.</t>
        </is>
      </c>
      <c r="N14" s="3" t="inlineStr">
        <is>
          <t>Needs to see d(y/x), otherwise Bernoulli; two routine routes (L2).</t>
        </is>
      </c>
      <c r="O14" s="3" t="inlineStr">
        <is>
          <t>2026-P2-Q4 (L1) / 2023-P2-Q9 (L2) used as lowest anchors</t>
        </is>
      </c>
      <c r="P14" s="2" t="inlineStr">
        <is>
          <t>Medium</t>
        </is>
      </c>
    </row>
    <row r="15">
      <c r="A15" s="2" t="n">
        <v>14</v>
      </c>
      <c r="B15" s="2" t="inlineStr"/>
      <c r="C15" s="2" t="inlineStr">
        <is>
          <t>Q14 (printed Q54)</t>
        </is>
      </c>
      <c r="D15" s="2" t="inlineStr">
        <is>
          <t>SCQ</t>
        </is>
      </c>
      <c r="E15" s="3" t="inlineStr">
        <is>
          <t>Differential Equations</t>
        </is>
      </c>
      <c r="F15" s="2" t="n">
        <v>4</v>
      </c>
      <c r="G15" s="4" t="n">
        <v>2</v>
      </c>
      <c r="H15" s="4" t="inlineStr">
        <is>
          <t>Easier than Advanced</t>
        </is>
      </c>
      <c r="I15" s="5" t="n">
        <v>0</v>
      </c>
      <c r="J15" s="5" t="n">
        <v>0</v>
      </c>
      <c r="K15" s="5">
        <f>MIN(5,MAX(G15+I15,J15))</f>
        <v/>
      </c>
      <c r="L15" s="5">
        <f>F15*K15</f>
        <v/>
      </c>
      <c r="M15" s="3" t="inlineStr">
        <is>
          <t>Separate variables and partial fractions with a repeated factor x^2.</t>
        </is>
      </c>
      <c r="N15" s="3" t="inlineStr">
        <is>
          <t>Separable DE with repeated-factor partial fractions and initial condition (L2).</t>
        </is>
      </c>
      <c r="O15" s="3" t="inlineStr">
        <is>
          <t>2026-P2-Q4 (L1) / 2023-P2-Q9 (L2) used as lowest anchors</t>
        </is>
      </c>
      <c r="P15" s="2" t="inlineStr">
        <is>
          <t>Medium</t>
        </is>
      </c>
    </row>
    <row r="16">
      <c r="A16" s="2" t="n">
        <v>15</v>
      </c>
      <c r="B16" s="2" t="inlineStr"/>
      <c r="C16" s="2" t="inlineStr">
        <is>
          <t>Q15 (printed Q55)</t>
        </is>
      </c>
      <c r="D16" s="2" t="inlineStr">
        <is>
          <t>SCQ</t>
        </is>
      </c>
      <c r="E16" s="3" t="inlineStr">
        <is>
          <t>Area under Curves</t>
        </is>
      </c>
      <c r="F16" s="2" t="n">
        <v>4</v>
      </c>
      <c r="G16" s="6" t="n">
        <v>1</v>
      </c>
      <c r="H16" s="6" t="inlineStr">
        <is>
          <t>JEE Main level</t>
        </is>
      </c>
      <c r="I16" s="5" t="n">
        <v>0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Split at x=1 for [x]; area under 2 sqrt x minus a triangle.</t>
        </is>
      </c>
      <c r="N16" s="3" t="inlineStr">
        <is>
          <t>Standard area with a greatest-integer boundary (L1).</t>
        </is>
      </c>
      <c r="O16" s="3" t="inlineStr">
        <is>
          <t>2026-P2-Q4 (L1) / 2023-P2-Q9 (L2) used as lowest anchors</t>
        </is>
      </c>
      <c r="P16" s="2" t="inlineStr">
        <is>
          <t>Medium</t>
        </is>
      </c>
    </row>
    <row r="17">
      <c r="A17" s="2" t="n">
        <v>16</v>
      </c>
      <c r="B17" s="2" t="inlineStr"/>
      <c r="C17" s="2" t="inlineStr">
        <is>
          <t>Q16 (printed Q56)</t>
        </is>
      </c>
      <c r="D17" s="2" t="inlineStr">
        <is>
          <t>SCQ</t>
        </is>
      </c>
      <c r="E17" s="3" t="inlineStr">
        <is>
          <t>Indefinite Integration</t>
        </is>
      </c>
      <c r="F17" s="2" t="n">
        <v>4</v>
      </c>
      <c r="G17" s="6" t="n">
        <v>1</v>
      </c>
      <c r="H17" s="6" t="inlineStr">
        <is>
          <t>JEE Main level</t>
        </is>
      </c>
      <c r="I17" s="5" t="n">
        <v>0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Substitute 2x-1=t^2 and read off f.</t>
        </is>
      </c>
      <c r="N17" s="3" t="inlineStr">
        <is>
          <t>Single substitution and simplification (L1).</t>
        </is>
      </c>
      <c r="O17" s="3" t="inlineStr">
        <is>
          <t>2026-P2-Q4 (L1) / 2023-P2-Q9 (L2) used as lowest anchors</t>
        </is>
      </c>
      <c r="P17" s="2" t="inlineStr">
        <is>
          <t>Medium</t>
        </is>
      </c>
    </row>
    <row r="18">
      <c r="A18" s="2" t="n">
        <v>17</v>
      </c>
      <c r="B18" s="2" t="inlineStr"/>
      <c r="C18" s="2" t="inlineStr">
        <is>
          <t>Q17 (printed Q57)</t>
        </is>
      </c>
      <c r="D18" s="2" t="inlineStr">
        <is>
          <t>SCQ</t>
        </is>
      </c>
      <c r="E18" s="3" t="inlineStr">
        <is>
          <t>Indefinite Integration</t>
        </is>
      </c>
      <c r="F18" s="2" t="n">
        <v>4</v>
      </c>
      <c r="G18" s="4" t="n">
        <v>2</v>
      </c>
      <c r="H18" s="4" t="inlineStr">
        <is>
          <t>Easier than Advanced</t>
        </is>
      </c>
      <c r="I18" s="5" t="n">
        <v>0</v>
      </c>
      <c r="J18" s="5" t="n">
        <v>0</v>
      </c>
      <c r="K18" s="5">
        <f>MIN(5,MAX(G18+I18,J18))</f>
        <v/>
      </c>
      <c r="L18" s="5">
        <f>F18*K18</f>
        <v/>
      </c>
      <c r="M18" s="3" t="inlineStr">
        <is>
          <t>Recognise e^g(g'f+f'), giving f'=sec x tan x+sec^2 x.</t>
        </is>
      </c>
      <c r="N18" s="3" t="inlineStr">
        <is>
          <t>Needs the e^g(g'f+f') identity; recognition step (L2).</t>
        </is>
      </c>
      <c r="O18" s="3" t="inlineStr">
        <is>
          <t>2026-P2-Q4 (L1) / 2023-P2-Q9 (L2) used as lowest anchors</t>
        </is>
      </c>
      <c r="P18" s="2" t="inlineStr">
        <is>
          <t>Medium</t>
        </is>
      </c>
    </row>
    <row r="19">
      <c r="A19" s="2" t="n">
        <v>18</v>
      </c>
      <c r="B19" s="2" t="inlineStr"/>
      <c r="C19" s="2" t="inlineStr">
        <is>
          <t>Q18 (printed Q58)</t>
        </is>
      </c>
      <c r="D19" s="2" t="inlineStr">
        <is>
          <t>SCQ</t>
        </is>
      </c>
      <c r="E19" s="3" t="inlineStr">
        <is>
          <t>Definite Integration</t>
        </is>
      </c>
      <c r="F19" s="2" t="n">
        <v>4</v>
      </c>
      <c r="G19" s="4" t="n">
        <v>2</v>
      </c>
      <c r="H19" s="4" t="inlineStr">
        <is>
          <t>Easier than Advanced</t>
        </is>
      </c>
      <c r="I19" s="5" t="n">
        <v>0</v>
      </c>
      <c r="J19" s="5" t="n">
        <v>0</v>
      </c>
      <c r="K19" s="5">
        <f>MIN(5,MAX(G19+I19,J19))</f>
        <v/>
      </c>
      <c r="L19" s="5">
        <f>F19*K19</f>
        <v/>
      </c>
      <c r="M19" s="3" t="inlineStr">
        <is>
          <t>x-&gt;1/x gives cot^-1; add to get (pi/2) integral of dx/x.</t>
        </is>
      </c>
      <c r="N19" s="3" t="inlineStr">
        <is>
          <t>Reciprocal substitution with an inverse-trigonometric identity (L2).</t>
        </is>
      </c>
      <c r="O19" s="3" t="inlineStr">
        <is>
          <t>2026-P2-Q4 (L1) / 2023-P2-Q9 (L2) used as lowest anchors</t>
        </is>
      </c>
      <c r="P19" s="2" t="inlineStr">
        <is>
          <t>Medium</t>
        </is>
      </c>
    </row>
    <row r="20">
      <c r="A20" s="2" t="n">
        <v>19</v>
      </c>
      <c r="B20" s="2" t="inlineStr"/>
      <c r="C20" s="2" t="inlineStr">
        <is>
          <t>Q19 (printed Q59)</t>
        </is>
      </c>
      <c r="D20" s="2" t="inlineStr">
        <is>
          <t>SCQ</t>
        </is>
      </c>
      <c r="E20" s="3" t="inlineStr">
        <is>
          <t>Differential Equations</t>
        </is>
      </c>
      <c r="F20" s="2" t="n">
        <v>4</v>
      </c>
      <c r="G20" s="7" t="n">
        <v>3</v>
      </c>
      <c r="H20" s="7" t="inlineStr">
        <is>
          <t>Average Advanced</t>
        </is>
      </c>
      <c r="I20" s="5" t="n">
        <v>0</v>
      </c>
      <c r="J20" s="5" t="n">
        <v>0</v>
      </c>
      <c r="K20" s="5">
        <f>MIN(5,MAX(G20+I20,J20))</f>
        <v/>
      </c>
      <c r="L20" s="5">
        <f>F20*K20</f>
        <v/>
      </c>
      <c r="M20" s="3" t="inlineStr">
        <is>
          <t>y=vx then decompose (v^2+3)/(v+1)^3 with powers of (v+1).</t>
        </is>
      </c>
      <c r="N20" s="3" t="inlineStr">
        <is>
          <t>Homogeneous DE; the (v+1)-powers decomposition and back-substitution are fiddly (L3).</t>
        </is>
      </c>
      <c r="O20" s="3" t="inlineStr">
        <is>
          <t>2026-P2-Q4 (L1) / 2023-P2-Q9 (L2) used as lowest anchors</t>
        </is>
      </c>
      <c r="P20" s="2" t="inlineStr">
        <is>
          <t>Medium</t>
        </is>
      </c>
    </row>
    <row r="21">
      <c r="A21" s="2" t="n">
        <v>20</v>
      </c>
      <c r="B21" s="2" t="inlineStr"/>
      <c r="C21" s="2" t="inlineStr">
        <is>
          <t>Q20 (printed Q60)</t>
        </is>
      </c>
      <c r="D21" s="2" t="inlineStr">
        <is>
          <t>SCQ</t>
        </is>
      </c>
      <c r="E21" s="3" t="inlineStr">
        <is>
          <t>Definite Integration</t>
        </is>
      </c>
      <c r="F21" s="2" t="n">
        <v>4</v>
      </c>
      <c r="G21" s="4" t="n">
        <v>2</v>
      </c>
      <c r="H21" s="4" t="inlineStr">
        <is>
          <t>Easier than Advanced</t>
        </is>
      </c>
      <c r="I21" s="5" t="n">
        <v>0</v>
      </c>
      <c r="J21" s="5" t="n">
        <v>0</v>
      </c>
      <c r="K21" s="5">
        <f>MIN(5,MAX(G21+I21,J21))</f>
        <v/>
      </c>
      <c r="L21" s="5">
        <f>F21*K21</f>
        <v/>
      </c>
      <c r="M21" s="3" t="inlineStr">
        <is>
          <t>d/dx(e^x x^x)=e^x x^x(2+ln x), a disguised exact derivative.</t>
        </is>
      </c>
      <c r="N21" s="3" t="inlineStr">
        <is>
          <t>Recognise e^x x^x as exact derivative; one key idea (L2).</t>
        </is>
      </c>
      <c r="O21" s="3" t="inlineStr">
        <is>
          <t>2026-P2-Q4 (L1) / 2023-P2-Q9 (L2) used as lowest anchors</t>
        </is>
      </c>
      <c r="P21" s="2" t="inlineStr">
        <is>
          <t>Medium</t>
        </is>
      </c>
    </row>
    <row r="23">
      <c r="A23" s="8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9" t="inlineStr">
        <is>
          <t>Difficulty summary</t>
        </is>
      </c>
    </row>
    <row r="2">
      <c r="A2" s="8" t="inlineStr">
        <is>
          <t>Source: JEE_Main_Question_Bank_02_Integral_Calculus_03.pdf   |   Evaluated on: 2026-10-13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0" t="n">
        <v>0</v>
      </c>
      <c r="B5" s="10" t="inlineStr">
        <is>
          <t>Easier than JEE Main</t>
        </is>
      </c>
      <c r="C5" s="10">
        <f>COUNTIF(Evaluation!$G$2:$G$21,A5)</f>
        <v/>
      </c>
      <c r="D5" s="10">
        <f>SUMIF(Evaluation!$G$2:$G$21,A5,Evaluation!$F$2:$F$21)</f>
        <v/>
      </c>
      <c r="E5" s="11">
        <f>IF(SUM($D$5:$D$10)=0,0,D5/SUM($D$5:$D$10))</f>
        <v/>
      </c>
    </row>
    <row r="6">
      <c r="A6" s="12" t="n">
        <v>1</v>
      </c>
      <c r="B6" s="12" t="inlineStr">
        <is>
          <t>JEE Main level</t>
        </is>
      </c>
      <c r="C6" s="12">
        <f>COUNTIF(Evaluation!$G$2:$G$21,A6)</f>
        <v/>
      </c>
      <c r="D6" s="12">
        <f>SUMIF(Evaluation!$G$2:$G$21,A6,Evaluation!$F$2:$F$21)</f>
        <v/>
      </c>
      <c r="E6" s="13">
        <f>IF(SUM($D$5:$D$10)=0,0,D6/SUM($D$5:$D$10))</f>
        <v/>
      </c>
    </row>
    <row r="7">
      <c r="A7" s="14" t="n">
        <v>2</v>
      </c>
      <c r="B7" s="14" t="inlineStr">
        <is>
          <t>Easier than Advanced</t>
        </is>
      </c>
      <c r="C7" s="14">
        <f>COUNTIF(Evaluation!$G$2:$G$21,A7)</f>
        <v/>
      </c>
      <c r="D7" s="14">
        <f>SUMIF(Evaluation!$G$2:$G$21,A7,Evaluation!$F$2:$F$21)</f>
        <v/>
      </c>
      <c r="E7" s="15">
        <f>IF(SUM($D$5:$D$10)=0,0,D7/SUM($D$5:$D$10))</f>
        <v/>
      </c>
    </row>
    <row r="8">
      <c r="A8" s="16" t="n">
        <v>3</v>
      </c>
      <c r="B8" s="16" t="inlineStr">
        <is>
          <t>Average Advanced</t>
        </is>
      </c>
      <c r="C8" s="16">
        <f>COUNTIF(Evaluation!$G$2:$G$21,A8)</f>
        <v/>
      </c>
      <c r="D8" s="16">
        <f>SUMIF(Evaluation!$G$2:$G$21,A8,Evaluation!$F$2:$F$21)</f>
        <v/>
      </c>
      <c r="E8" s="17">
        <f>IF(SUM($D$5:$D$10)=0,0,D8/SUM($D$5:$D$10))</f>
        <v/>
      </c>
    </row>
    <row r="9">
      <c r="A9" s="18" t="n">
        <v>4</v>
      </c>
      <c r="B9" s="18" t="inlineStr">
        <is>
          <t>Slightly difficult</t>
        </is>
      </c>
      <c r="C9" s="18">
        <f>COUNTIF(Evaluation!$G$2:$G$21,A9)</f>
        <v/>
      </c>
      <c r="D9" s="18">
        <f>SUMIF(Evaluation!$G$2:$G$21,A9,Evaluation!$F$2:$F$21)</f>
        <v/>
      </c>
      <c r="E9" s="19">
        <f>IF(SUM($D$5:$D$10)=0,0,D9/SUM($D$5:$D$10))</f>
        <v/>
      </c>
    </row>
    <row r="10">
      <c r="A10" s="20" t="n">
        <v>5</v>
      </c>
      <c r="B10" s="20" t="inlineStr">
        <is>
          <t>Very difficult</t>
        </is>
      </c>
      <c r="C10" s="20">
        <f>COUNTIF(Evaluation!$G$2:$G$21,A10)</f>
        <v/>
      </c>
      <c r="D10" s="20">
        <f>SUMIF(Evaluation!$G$2:$G$21,A10,Evaluation!$F$2:$F$21)</f>
        <v/>
      </c>
      <c r="E10" s="21">
        <f>IF(SUM($D$5:$D$10)=0,0,D10/SUM($D$5:$D$10))</f>
        <v/>
      </c>
    </row>
    <row r="11">
      <c r="A11" s="22" t="inlineStr">
        <is>
          <t>Total</t>
        </is>
      </c>
      <c r="C11" s="22">
        <f>SUM(C5:C10)</f>
        <v/>
      </c>
      <c r="D11" s="22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2" t="inlineStr">
        <is>
          <t>Overall</t>
        </is>
      </c>
      <c r="B14" s="23">
        <f>SUM(Evaluation!$L$2:$L$21)/SUM(Evaluation!$F$2:$F$21)</f>
        <v/>
      </c>
      <c r="C14" s="23">
        <f>SUMPRODUCT(Evaluation!$F$2:$F$21,Evaluation!$G$2:$G$21)/SUM(Evaluation!$F$2:$F$21)</f>
        <v/>
      </c>
      <c r="D14" s="22">
        <f>SUM(Evaluation!$F$2:$F$21)</f>
        <v/>
      </c>
      <c r="E14" s="23">
        <f>AVERAGE(Evaluation!$G$2:$G$21)</f>
        <v/>
      </c>
    </row>
    <row r="16">
      <c r="A16" s="8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9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4" t="n">
        <v>2021</v>
      </c>
      <c r="B4" s="25" t="n">
        <v>2.758333333333333</v>
      </c>
      <c r="C4" s="25" t="n">
        <v>2.894736842105263</v>
      </c>
      <c r="D4" s="24" t="n">
        <v>16</v>
      </c>
      <c r="E4" s="24" t="n">
        <v>34</v>
      </c>
      <c r="F4" s="24" t="n">
        <v>1</v>
      </c>
    </row>
    <row r="5">
      <c r="A5" s="24" t="n">
        <v>2023</v>
      </c>
      <c r="B5" s="25" t="n">
        <v>3.191666666666667</v>
      </c>
      <c r="C5" s="25" t="n">
        <v>3.147058823529412</v>
      </c>
      <c r="D5" s="24" t="n">
        <v>13</v>
      </c>
      <c r="E5" s="24" t="n">
        <v>47</v>
      </c>
      <c r="F5" s="24" t="n">
        <v>5</v>
      </c>
    </row>
    <row r="6">
      <c r="A6" s="24" t="n">
        <v>2024</v>
      </c>
      <c r="B6" s="25" t="n">
        <v>2.591666666666667</v>
      </c>
      <c r="C6" s="25" t="n">
        <v>2.558823529411764</v>
      </c>
      <c r="D6" s="24" t="n">
        <v>28</v>
      </c>
      <c r="E6" s="24" t="n">
        <v>40</v>
      </c>
      <c r="F6" s="24" t="n">
        <v>1</v>
      </c>
    </row>
    <row r="7">
      <c r="A7" s="24" t="n">
        <v>2025</v>
      </c>
      <c r="B7" s="25" t="n">
        <v>3.208333333333333</v>
      </c>
      <c r="C7" s="25" t="n">
        <v>3.1875</v>
      </c>
      <c r="D7" s="24" t="n">
        <v>8</v>
      </c>
      <c r="E7" s="24" t="n">
        <v>65</v>
      </c>
      <c r="F7" s="24" t="n">
        <v>1</v>
      </c>
    </row>
    <row r="8">
      <c r="A8" s="24" t="n">
        <v>2026</v>
      </c>
      <c r="B8" s="25" t="n">
        <v>3.025</v>
      </c>
      <c r="C8" s="25" t="n">
        <v>2.941176470588236</v>
      </c>
      <c r="D8" s="24" t="n">
        <v>6</v>
      </c>
      <c r="E8" s="24" t="n">
        <v>38</v>
      </c>
      <c r="F8" s="24" t="n">
        <v>2</v>
      </c>
    </row>
    <row r="9">
      <c r="A9" s="22" t="inlineStr">
        <is>
          <t>This paper</t>
        </is>
      </c>
      <c r="B9" s="23">
        <f>Summary!B14</f>
        <v/>
      </c>
      <c r="C9" s="23">
        <f>Summary!E14</f>
        <v/>
      </c>
      <c r="D9" s="22">
        <f>Summary!D5+Summary!D6</f>
        <v/>
      </c>
      <c r="E9" s="22">
        <f>Summary!D9+Summary!D10</f>
        <v/>
      </c>
      <c r="F9" s="22">
        <f>Summary!C10</f>
        <v/>
      </c>
    </row>
    <row r="11">
      <c r="A11" s="8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2026-10-13T03:25:18Z</dcterms:created>
  <dcterms:modified xmlns:dcterms="http://purl.org/dc/terms/" xmlns:xsi="http://www.w3.org/2001/XMLSchema-instance" xsi:type="dcterms:W3CDTF">2026-10-13T03:25:18Z</dcterms:modified>
</cp:coreProperties>
</file>