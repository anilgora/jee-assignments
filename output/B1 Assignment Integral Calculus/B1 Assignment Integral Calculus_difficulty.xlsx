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Differential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Express $ST=\frac y{y'}$, $SN=yy'$ and set the area to $y^3$.</t>
        </is>
      </c>
      <c r="N2" s="3" t="inlineStr">
        <is>
          <t>Routine chain: subtangent/subnormal, area formula, algebra to a quadratic in $y'$; options let the student check. Similar demand to 2024-P1-Q1 (L2, DE formed from a limit definition).</t>
        </is>
      </c>
      <c r="O2" s="3" t="inlineStr">
        <is>
          <t>2024-P1-Q1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Differential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$(xf)'=x^3$ gives $f=\frac{x^3}{4}$; then substitute $u=x^2$ in the integral.</t>
        </is>
      </c>
      <c r="N3" s="3" t="inlineStr">
        <is>
          <t>Linear DE with a visible exact derivative, then a standard $\int ue^u$; two routine stages, no insight. Comparable to 2023-P2-Q1 (L2, differentiate integral equation, linear DE).</t>
        </is>
      </c>
      <c r="O3" s="3" t="inlineStr">
        <is>
          <t>2023-P2-Q1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Differential Equation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Invert to $\frac{dx}{dy}$, recognise Bernoulli in $x$ with $y^2=t$ and $x^{-2}=z$.</t>
        </is>
      </c>
      <c r="N4" s="3" t="inlineStr">
        <is>
          <t>Three linked substitutions ($y^2$, inversion to Bernoulli, $x^{-2}$) plus $\int e^t\sin t$; the inversion is less familiar than a plain linear or separable DE, but options allow checking. Above 2026-P2-Q3 (L2, separable with quartic finish), below the L4 non-routine anchors.</t>
        </is>
      </c>
      <c r="O4" s="3" t="inlineStr">
        <is>
          <t>2026-P2-Q3 (L2); 2021-P2-Q4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Differential Equation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Substitute $t=x^2y^2$ to get $\frac{dt}{dx}=\tan t$.</t>
        </is>
      </c>
      <c r="N5" s="3" t="inlineStr">
        <is>
          <t>One familiar substitution matching the left side, then separable and a single initial condition; options available. Same routine class as 2025-P2-Q9 (L2, DE with y(1)=0).</t>
        </is>
      </c>
      <c r="O5" s="3" t="inlineStr">
        <is>
          <t>2025-P2-Q9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Differential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Linear DE with abstract $f$: integrating factor $\frac{e^{-x}}{f}$.</t>
        </is>
      </c>
      <c r="N6" s="3" t="inlineStr">
        <is>
          <t>Standard linear DE; the abstract function adds a little care but no new idea, and the options show the form. Similar to 2024-P1-Q1 (L2).</t>
        </is>
      </c>
      <c r="O6" s="3" t="inlineStr">
        <is>
          <t>2024-P1-Q1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Differential Equation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L'Hopital in $t$ turns the limit into $3xf-x^2f'=1$, a linear ODE.</t>
        </is>
      </c>
      <c r="N7" s="3" t="inlineStr">
        <is>
          <t>Three routine steps (limit as derivative, linear DE, initial value). The L'Hopital-in-$t$ trick is common in coaching sets. (Paper's printed option C and PDF solution had an exponent error; rated on the intended question.)</t>
        </is>
      </c>
      <c r="O7" s="3" t="inlineStr">
        <is>
          <t>2023-P2-Q1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Differential Equation</t>
        </is>
      </c>
      <c r="F8" s="2" t="n">
        <v>4</v>
      </c>
      <c r="G8" s="7" t="n">
        <v>4</v>
      </c>
      <c r="H8" s="7" t="inlineStr">
        <is>
          <t>Slightly difficult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Shift to $v=\frac{y^2-3}{x^2-1}$ (centre $(1,3)$ in $X=x^2$, $Y=y^2$), then integrate the rational function.</t>
        </is>
      </c>
      <c r="N8" s="3" t="inlineStr">
        <is>
          <t>Long chain: spot $x^2,y^2$ pairing, shift to the intersection point, homogeneous substitution, $\int\frac{v-3}{v^2-4v+5}$ with log and arctan, and heavy back-substitution of a quartic. Options let the final form be matched, but the first step is non-routine; placed with 2026-P2-Q6 (L4, non-routine key idea) and above 2025-P2-Q9 (L2, standard homogeneous DE).</t>
        </is>
      </c>
      <c r="O8" s="3" t="inlineStr">
        <is>
          <t>2026-P2-Q6 (L4); 2025-P2-Q9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Differential Equation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Normal slope $-\frac1a$ gives tangent slope $a=k$ in $y'=ky$.</t>
        </is>
      </c>
      <c r="N9" s="3" t="inlineStr">
        <is>
          <t>Short geometric DE: slope from the normal, separable DE, tangent equation. Routine multi-step with no insight; options present. Like 2024-P1-Q1 (L2).</t>
        </is>
      </c>
      <c r="O9" s="3" t="inlineStr">
        <is>
          <t>2024-P1-Q1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Indefinite Integration</t>
        </is>
      </c>
      <c r="F10" s="2" t="n">
        <v>4</v>
      </c>
      <c r="G10" s="8" t="n">
        <v>1</v>
      </c>
      <c r="H10" s="8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Recognise $e^x(g+g')$ with $g=\frac1{\ln x}$.</t>
        </is>
      </c>
      <c r="N10" s="3" t="inlineStr">
        <is>
          <t>One familiar pattern applied once; the only care is $\ln x^x=x\ln x$. Same single-move class as 2026-P2-Q4 (L1, king property).</t>
        </is>
      </c>
      <c r="O10" s="3" t="inlineStr">
        <is>
          <t>2026-P2-Q4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Indefinite Integration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Differentiate the given identity to get $f(\ln x)$, hence $f(x)$, then $\int e^{e^x}e^x\,dx$.</t>
        </is>
      </c>
      <c r="N11" s="3" t="inlineStr">
        <is>
          <t>Three routine stages (differentiate, rename variable to find $f$, substitute); the nested exponential is the only mild trap. Similar to 2021-P2-Q3 (L2, indirect function information).</t>
        </is>
      </c>
      <c r="O11" s="3" t="inlineStr">
        <is>
          <t>2021-P2-Q3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Indefinite Integration</t>
        </is>
      </c>
      <c r="F12" s="2" t="n">
        <v>4</v>
      </c>
      <c r="G12" s="8" t="n">
        <v>1</v>
      </c>
      <c r="H12" s="8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Recognise the integrand as $\frac{d}{dx}(x^2e^{\tan x})$ (product rule on $x\cdot xe^{\tan x}$).</t>
        </is>
      </c>
      <c r="N12" s="3" t="inlineStr">
        <is>
          <t>One familiar move (product-rule recognition, then differentiate-to-check); no chain. Same single-move level as 2026-P2-Q4 (king property, L1).</t>
        </is>
      </c>
      <c r="O12" s="3" t="inlineStr">
        <is>
          <t>2026-P2-Q4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Indefinite Integration</t>
        </is>
      </c>
      <c r="F13" s="2" t="n">
        <v>4</v>
      </c>
      <c r="G13" s="8" t="n">
        <v>1</v>
      </c>
      <c r="H13" s="8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Multiply by $\cos x$ to get $\cos x/\sqrt{1-2\sin^2x}$ and substitute $s=\sin x$.</t>
        </is>
      </c>
      <c r="N13" s="3" t="inlineStr">
        <is>
          <t>One standard trick (tan to sin/cos conversion then substitution) applied once; the answer is read off from the standard arcsin form. Comparable to 2024-P2-Q3 (single familiar move, L1).</t>
        </is>
      </c>
      <c r="O13" s="3" t="inlineStr">
        <is>
          <t>2024-P2-Q3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Indefinite Integration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Substitute $t=\sin^{-1}(2012^x)$; the derivative factor $\ln2012$ appears in the integrand.</t>
        </is>
      </c>
      <c r="N14" s="3" t="inlineStr">
        <is>
          <t>Two small stages (spot the substitution with a constant $\ln a$ factor, then integrate $a^t$) with option bookkeeping of $\log_{2012}e$; routine, no insight. Like 2026-P2-Q3 (routine chain, L2).</t>
        </is>
      </c>
      <c r="O14" s="3" t="inlineStr">
        <is>
          <t>2026-P2-Q3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Indefinite Integration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Differentiate $y(x+y)^2=x$ and see that $1+y'$ makes $(x+y)^2+1$ appear, giving $\frac{(x+y)d(x+y)}{(x+y)^2+1}$.</t>
        </is>
      </c>
      <c r="N15" s="3" t="inlineStr">
        <is>
          <t>Needs a non-standard link between implicit differentiation and an integral in $x,y$; two ideas linked, with an unfamiliar exact-differential step (options help only by differentiation check). Above routine chains like 2026-P2-Q3 (L2); similar to 2023-P2-Q8 (L3).</t>
        </is>
      </c>
      <c r="O15" s="3" t="inlineStr">
        <is>
          <t>2023-P2-Q8 (L3)</t>
        </is>
      </c>
      <c r="P15" s="2" t="inlineStr">
        <is>
          <t>Low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Definite Integration</t>
        </is>
      </c>
      <c r="F16" s="2" t="n">
        <v>4</v>
      </c>
      <c r="G16" s="8" t="n">
        <v>1</v>
      </c>
      <c r="H16" s="8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Add $I$ to itself with $x\to-x$ using $\cot^{-1}z+\cot^{-1}(-z)=\pi$ on a symmetric interval.</t>
        </is>
      </c>
      <c r="N16" s="3" t="inlineStr">
        <is>
          <t>One well-known property (even weight, $f(x)+f(-x)=\pi$) applied once, then a power integral. Same demand as 2026-P2-Q4 (king property, L1).</t>
        </is>
      </c>
      <c r="O16" s="3" t="inlineStr">
        <is>
          <t>2026-P2-Q4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Definite Integration</t>
        </is>
      </c>
      <c r="F17" s="2" t="n">
        <v>4</v>
      </c>
      <c r="G17" s="8" t="n">
        <v>1</v>
      </c>
      <c r="H17" s="8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Bound $\cos^8\theta$ between $\frac1{16}$ and $1$ on $(0,\frac\pi4)$.</t>
        </is>
      </c>
      <c r="N17" s="3" t="inlineStr">
        <is>
          <t>A single estimate with endpoint values; no computation of the integral. Single-move level like 2024-P2-Q3 (L1).</t>
        </is>
      </c>
      <c r="O17" s="3" t="inlineStr">
        <is>
          <t>2024-P2-Q3 (L1)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Definite Integration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Leibniz differentiation of $f$ to show $f&gt;0$, then positivity of $2x^2-\ln x$ via its derivative.</t>
        </is>
      </c>
      <c r="N18" s="3" t="inlineStr">
        <is>
          <t>Two ideas linked (sign of integral function via Leibniz, and sign of $2x^2-\ln x$), each routine but needing care that $f(1)$ is not $0$. Comparable to 2023-P2-Q8 (integral function monotonicity, L3).</t>
        </is>
      </c>
      <c r="O18" s="3" t="inlineStr">
        <is>
          <t>2023-P2-Q8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Definite Integration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Integrate by parts in $t$ to get $\pi\cos x-2\sin x$, then use the amplitude $\sqrt{a^2+b^2}$.</t>
        </is>
      </c>
      <c r="N19" s="3" t="inlineStr">
        <is>
          <t>Routine two-stage chain: parameter integral by parts, then maximum of $a\cos x+b\sin x$; no insight. Like 2023-P2-Q9 (linear DE then maximum, L2).</t>
        </is>
      </c>
      <c r="O19" s="3" t="inlineStr">
        <is>
          <t>2023-P2-Q9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Area Under Curve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$[x-2]=1$ on $[3,4)$, so the curve is the strip $1\le x+3y&lt;2$ of height $\frac13$ over width $1$.</t>
        </is>
      </c>
      <c r="N20" s="3" t="inlineStr">
        <is>
          <t>Chain of standard steps: decode greatest-integer equation, sketch the strip, compute a parallelogram area. Close to 2021-P1-Q2 (area of a polygonal region, L2).</t>
        </is>
      </c>
      <c r="O20" s="3" t="inlineStr">
        <is>
          <t>2021-P1-Q2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Definite Integration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$[\cos t]=-1$ on $(\frac\pi2,\frac{3\pi}2)$, so $f(x)=\frac\pi2-x$ and the region is a right triangle.</t>
        </is>
      </c>
      <c r="N21" s="3" t="inlineStr">
        <is>
          <t>Routine multi-step: evaluate integral of a step function on two pieces, graph a line, triangle area. Easier than 2021-P2-Q19 (greatest-integer breakpoints, L4) because there are no breakpoints to locate; level 2 in the same chain-length class as 2026-P2-Q3.</t>
        </is>
      </c>
      <c r="O21" s="3" t="inlineStr">
        <is>
          <t>2021-P2-Q19 (L4, much heavier)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Definite Integration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Differentiate the integral relation in x and eliminate e^y using the relation itself.</t>
        </is>
      </c>
      <c r="N22" s="3" t="inlineStr">
        <is>
          <t>Single differentiation of an integral relation with a variable upper limit plus one substitution; no insight needed, like 2023-P2-Q1 (L2, differentiate integral equation). Four closely worded options but the route is routine.</t>
        </is>
      </c>
      <c r="O22" s="3" t="inlineStr">
        <is>
          <t>2023-P2-Q1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Area Under Curve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Factorise the quartic into circle x^2+y^2=4 and lines y=+-1, then identify the intended bounded region.</t>
        </is>
      </c>
      <c r="N23" s="3" t="inlineStr">
        <is>
          <t>Spotting the factorisation (quadratic in x^2) and then a circular-strip area with an inverse-sine evaluation; slightly above plain area questions such as 2021-P1-Q2 (L2) and 2025-P2-Q2 (L2) because of the factorisation and the region ambiguity. Recent ratings lean higher.</t>
        </is>
      </c>
      <c r="O23" s="3" t="inlineStr">
        <is>
          <t>2021-P1-Q2 (L2); 2024-P2-Q2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Definite Integration</t>
        </is>
      </c>
      <c r="F24" s="2" t="n">
        <v>4</v>
      </c>
      <c r="G24" s="8" t="n">
        <v>1</v>
      </c>
      <c r="H24" s="8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Substitute x=4/t on [2,4] so that f(4/t)=f(t).</t>
        </is>
      </c>
      <c r="N24" s="3" t="inlineStr">
        <is>
          <t>One familiar substitution, applied once, then add; same weight as the king-property question 2026-P2-Q4 (L1). Slightly easier than a full Advanced item since the integrand is not specified and options are numeric.</t>
        </is>
      </c>
      <c r="O24" s="3" t="inlineStr">
        <is>
          <t>2026-P2-Q4 (L1)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Definite Integration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Greatest integer takes only values 0/1, giving a-tan^2 1 = cot^2 1, then trig simplification to cos4 form.</t>
        </is>
      </c>
      <c r="N25" s="3" t="inlineStr">
        <is>
          <t>Breakpoint analysis for two greatest-integer integrals (need to see a&gt;tan^2 1 and the order of the breakpoints) followed by a half-angle simplification to match the options; options soften it relative to 2021-P2-Q19 (INT, L4, greatest-integer breakpoints), so L3.</t>
        </is>
      </c>
      <c r="O25" s="3" t="inlineStr">
        <is>
          <t>2021-P2-Q19 (L4)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MCQ</t>
        </is>
      </c>
      <c r="E26" s="3" t="inlineStr">
        <is>
          <t>Differential Equation</t>
        </is>
      </c>
      <c r="F26" s="2" t="n">
        <v>4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Spot the integrating factor e^{-x^3} so that the inequality says (e^{-x^3} f)' &gt; 0.</t>
        </is>
      </c>
      <c r="N26" s="3" t="inlineStr">
        <is>
          <t>Integrating-factor idea applied to an inequality (less drilled than the equality version) plus an IVT argument to decide the attainable options; comparable to 2021-P2-Q3 (MCQ, L2) in format but the idea is less familiar, so L3. Single chapter, so no multi-concept floor.</t>
        </is>
      </c>
      <c r="O26" s="3" t="inlineStr">
        <is>
          <t>2021-P2-Q3 (L2); 2023-P2-Q1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MCQ</t>
        </is>
      </c>
      <c r="E27" s="3" t="inlineStr">
        <is>
          <t>Definite Integration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 = tan x reduces it to 1/sqrt(a+(a-b)t^2); choose log or arcsin by the sign of a-b.</t>
        </is>
      </c>
      <c r="N27" s="3" t="inlineStr">
        <is>
          <t>One standard substitution and two standard integral forms, with a case split on the sign of a-b; routine chain, no insight, like 2026-P2-Q3 (L2, routine chain). Four options each need the condition checked, which keeps it at 2 rather than 1.</t>
        </is>
      </c>
      <c r="O27" s="3" t="inlineStr">
        <is>
          <t>2026-P2-Q3 (L2); 2023-P2-Q9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MCQ</t>
        </is>
      </c>
      <c r="E28" s="3" t="inlineStr">
        <is>
          <t>Area Under Curve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2.5</v>
      </c>
      <c r="K28" s="5">
        <f>MIN(5,MAX(G28+I28,J28))</f>
        <v/>
      </c>
      <c r="L28" s="5">
        <f>F28*K28</f>
        <v/>
      </c>
      <c r="M28" s="3" t="inlineStr">
        <is>
          <t>Area 4a^2=64 gives a=4, then x dy - y dx = x^2 d(y/x) integrates the ODE.</t>
        </is>
      </c>
      <c r="N28" s="3" t="inlineStr">
        <is>
          <t>Two short routine chains (area of a parabolic segment, a linear ODE solved by the d(y/x) trick) and four simple checks; no real insight, like 2021-P2-Q5 (MCQ, L2). Two chapters, so the 2.5 multi-correct floor applies to the adjusted level.</t>
        </is>
      </c>
      <c r="O28" s="3" t="inlineStr">
        <is>
          <t>2021-P2-Q5 (L2); 2023-P2-Q1 (L2)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MCQ</t>
        </is>
      </c>
      <c r="E29" s="3" t="inlineStr">
        <is>
          <t>Definite Integration</t>
        </is>
      </c>
      <c r="F29" s="2" t="n">
        <v>4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Reconstruct the falling cubic with zeros a,0,c and use c&gt;|a| to see the positive lobe dominates.</t>
        </is>
      </c>
      <c r="N29" s="3" t="inlineStr">
        <is>
          <t>Four statements, each needing a careful sign/area judgement with reversed limits; the key is comparing two lobes through c&gt;|a|. Less demanding than 2023-P1-Q3 (MCQ, L4, IVT-style area balancing), since the shape is fixed, so L3. Figure missing in the PDF (reconstructed).</t>
        </is>
      </c>
      <c r="O29" s="3" t="inlineStr">
        <is>
          <t>2023-P1-Q3 (L4)</t>
        </is>
      </c>
      <c r="P29" s="2" t="inlineStr">
        <is>
          <t>Low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MCQ</t>
        </is>
      </c>
      <c r="E30" s="3" t="inlineStr">
        <is>
          <t>Definite Integration</t>
        </is>
      </c>
      <c r="F30" s="2" t="n">
        <v>4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2.5</v>
      </c>
      <c r="K30" s="5">
        <f>MIN(5,MAX(G30+I30,J30))</f>
        <v/>
      </c>
      <c r="L30" s="5">
        <f>F30*K30</f>
        <v/>
      </c>
      <c r="M30" s="3" t="inlineStr">
        <is>
          <t>Integral of an inverse: substitute x=f(t) (or use the rectangle identity) to get pi^2/2 - 2, then bound-check options.</t>
        </is>
      </c>
      <c r="N30" s="3" t="inlineStr">
        <is>
          <t>The inverse-function integral trick is familiar but not routine, and four statements each need a numerical-bound check with no calculator; comparable to 2021-P2-Q3 (MCQ, L2) in format but with a less common key step, so L3. Two concepts (inverse functions and integral estimates) also trigger the multi-correct floor of 2.5 but L3 is already above it.</t>
        </is>
      </c>
      <c r="O30" s="3" t="inlineStr">
        <is>
          <t>2021-P2-Q3 (L2); 2021-P2-Q15 (L4)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MCQ</t>
        </is>
      </c>
      <c r="E31" s="3" t="inlineStr">
        <is>
          <t>Definite Integration</t>
        </is>
      </c>
      <c r="F31" s="2" t="n">
        <v>4</v>
      </c>
      <c r="G31" s="6" t="n">
        <v>3</v>
      </c>
      <c r="H31" s="6" t="inlineStr">
        <is>
          <t>Average Advanced</t>
        </is>
      </c>
      <c r="I31" s="5" t="n">
        <v>0</v>
      </c>
      <c r="J31" s="5" t="n">
        <v>2.5</v>
      </c>
      <c r="K31" s="5">
        <f>MIN(5,MAX(G31+I31,J31))</f>
        <v/>
      </c>
      <c r="L31" s="5">
        <f>F31*K31</f>
        <v/>
      </c>
      <c r="M31" s="3" t="inlineStr">
        <is>
          <t>Differentiate the integral equation to get f = x/(1+x^2), then analyse asymptote, range, extremes and f(|x|)=k.</t>
        </is>
      </c>
      <c r="N31" s="3" t="inlineStr">
        <is>
          <t>Recovering f from a two-integral equation is routine (as 2023-P2-Q1, L2), but then four statements about asymptotes, injectivity/surjectivity, tangents and a count of solutions each need a genuine check, like 2026-P1-Q7 (MCQ, L3). Two concepts so the 2.5 floor is satisfied anyway.</t>
        </is>
      </c>
      <c r="O31" s="3" t="inlineStr">
        <is>
          <t>2026-P1-Q7 (L3); 2023-P2-Q1 (L2)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MCQ</t>
        </is>
      </c>
      <c r="E32" s="3" t="inlineStr">
        <is>
          <t>Definite Integration</t>
        </is>
      </c>
      <c r="F32" s="2" t="n">
        <v>4</v>
      </c>
      <c r="G32" s="7" t="n">
        <v>4</v>
      </c>
      <c r="H32" s="7" t="inlineStr">
        <is>
          <t>Slightly difficult</t>
        </is>
      </c>
      <c r="I32" s="5" t="n">
        <v>0</v>
      </c>
      <c r="J32" s="5" t="n">
        <v>2.5</v>
      </c>
      <c r="K32" s="5">
        <f>MIN(5,MAX(G32+I32,J32))</f>
        <v/>
      </c>
      <c r="L32" s="5">
        <f>F32*K32</f>
        <v/>
      </c>
      <c r="M32" s="3" t="inlineStr">
        <is>
          <t>Area of the parabola region inside the ellipse gives $a+b=5$; then sign changes of $2x(x^2-1)(x^2-4)$.</t>
        </is>
      </c>
      <c r="N32" s="3" t="inlineStr">
        <is>
          <t>Two-stage: split-area computation with the intersection at x=1 and an exact value to read off a, b (precision risk), then Leibniz and a sign-change check at five points including x=0. Comparable to 2025-P2-Q6 (L4, area under curve with parabola in MCQ) and heavier than 2026-P2-Q8 (L2). Two chapters, so the multi-correct floor does not bind.</t>
        </is>
      </c>
      <c r="O32" s="3" t="inlineStr">
        <is>
          <t>2025-P2-Q6 (L4)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MCQ</t>
        </is>
      </c>
      <c r="E33" s="3" t="inlineStr">
        <is>
          <t>Definite Integration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Combine the two radicals over a common root and spot the exact derivative $2\sqrt{(x-a)(b-x)}$.</t>
        </is>
      </c>
      <c r="N33" s="3" t="inlineStr">
        <is>
          <t>Single recognition (common denominator gives an exact derivative) followed by routine evaluation, then four option checks; no further idea needed. Similar demand to 2024-P2-Q16 (L2) and a little harder than the one-move 2021-P2-Q11 (L1). Option (D) has no data, so it is a quick elimination.</t>
        </is>
      </c>
      <c r="O33" s="3" t="inlineStr">
        <is>
          <t>2024-P2-Q16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MCQ</t>
        </is>
      </c>
      <c r="E34" s="3" t="inlineStr">
        <is>
          <t>Definite Integration</t>
        </is>
      </c>
      <c r="F34" s="2" t="n">
        <v>4</v>
      </c>
      <c r="G34" s="8" t="n">
        <v>1</v>
      </c>
      <c r="H34" s="8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The condition means period $6$; one period is a triangle of area $9$.</t>
        </is>
      </c>
      <c r="N34" s="3" t="inlineStr">
        <is>
          <t>One familiar move (periodicity, area of one period) followed by four multiplications. Same one-trick demand as 2021-P2-Q17 (L1) and 2026-P2-Q4 (L1).</t>
        </is>
      </c>
      <c r="O34" s="3" t="inlineStr">
        <is>
          <t>2021-P2-Q17 (L1)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MCQ</t>
        </is>
      </c>
      <c r="E35" s="3" t="inlineStr">
        <is>
          <t>Differential Equation</t>
        </is>
      </c>
      <c r="F35" s="2" t="n">
        <v>4</v>
      </c>
      <c r="G35" s="6" t="n">
        <v>3</v>
      </c>
      <c r="H35" s="6" t="inlineStr">
        <is>
          <t>Average Advanced</t>
        </is>
      </c>
      <c r="I35" s="5" t="n">
        <v>0</v>
      </c>
      <c r="J35" s="5" t="n">
        <v>2.5</v>
      </c>
      <c r="K35" s="5">
        <f>MIN(5,MAX(G35+I35,J35))</f>
        <v/>
      </c>
      <c r="L35" s="5">
        <f>F35*K35</f>
        <v/>
      </c>
      <c r="M35" s="3" t="inlineStr">
        <is>
          <t>Subtract 1 ($Y=y-1$) to separate variables, then read the conic $(y-1)^2=C(x^2-1)$ and test four statements.</t>
        </is>
      </c>
      <c r="N35" s="3" t="inlineStr">
        <is>
          <t>Two linked ideas: spotting the shift/solving the DE, then classifying the resulting conic by the sign of C on |x|&lt;1 versus |x|&gt;1 and axis length. The DE is routine (cf. 2021-P2-Q4, L3 MCQ on linear DEs and function families) but the PDF gives no solution and the four conic statements each need a check. Multi-concept MCQ (DE plus conics), so floor 2.5 is satisfied.</t>
        </is>
      </c>
      <c r="O35" s="3" t="inlineStr">
        <is>
          <t>2021-P2-Q4 (L3)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MCQ</t>
        </is>
      </c>
      <c r="E36" s="3" t="inlineStr">
        <is>
          <t>Indefinite Integration</t>
        </is>
      </c>
      <c r="F36" s="2" t="n">
        <v>4</v>
      </c>
      <c r="G36" s="6" t="n">
        <v>3</v>
      </c>
      <c r="H36" s="6" t="inlineStr">
        <is>
          <t>Average Advanced</t>
        </is>
      </c>
      <c r="I36" s="5" t="n">
        <v>0</v>
      </c>
      <c r="J36" s="5" t="n">
        <v>2.5</v>
      </c>
      <c r="K36" s="5">
        <f>MIN(5,MAX(G36+I36,J36))</f>
        <v/>
      </c>
      <c r="L36" s="5">
        <f>F36*K36</f>
        <v/>
      </c>
      <c r="M36" s="3" t="inlineStr">
        <is>
          <t>Multiply and divide by $\sqrt{\sec^2x+3}$ to split into $\frac{dt}{\sqrt{4+t^2}}$ and $\frac{\sqrt3\,d\theta}{\sqrt{4-\theta^2}}$.</t>
        </is>
      </c>
      <c r="N36" s="3" t="inlineStr">
        <is>
          <t>The decisive step (multiply/divide by the root and split so two different substitutions apply) is outside the usual single-substitution pattern (F1), and four options each need an identity check; no insight beyond that. Near 2025-P2-Q16 (L4, tan^-1 integral needing a non-obvious step) but with option support and standard forms, so one lower; matches the average-Advanced L3 (2021-P1-Q15 style).</t>
        </is>
      </c>
      <c r="O36" s="3" t="inlineStr">
        <is>
          <t>2025-P2-Q16 (L4)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MCQ</t>
        </is>
      </c>
      <c r="E37" s="3" t="inlineStr">
        <is>
          <t>Differential Equation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2.5</v>
      </c>
      <c r="K37" s="5">
        <f>MIN(5,MAX(G37+I37,J37))</f>
        <v/>
      </c>
      <c r="L37" s="5">
        <f>F37*K37</f>
        <v/>
      </c>
      <c r="M37" s="3" t="inlineStr">
        <is>
          <t>$f'g'=f'g+fg'$ gives $\frac{g'}{g}=\frac{-3}{x-3}$; its sign decides monotonicity.</t>
        </is>
      </c>
      <c r="N37" s="3" t="inlineStr">
        <is>
          <t>Routine chain: translate the 'mistake' into an equation, separate variables, read signs; the only subtlety is that g(4)=1 fixes just the branch x&gt;3. Comparable to 2026-P2-Q8 (L2, separable DE with monotonicity) and 2024-P1-Q1 (L2). Multi-concept MCQ (DE and monotonicity) so the adjusted level is lifted to the 2.5 floor.</t>
        </is>
      </c>
      <c r="O37" s="3" t="inlineStr">
        <is>
          <t>2026-P2-Q8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MCQ</t>
        </is>
      </c>
      <c r="E38" s="3" t="inlineStr">
        <is>
          <t>Definite Integration</t>
        </is>
      </c>
      <c r="F38" s="2" t="n">
        <v>4</v>
      </c>
      <c r="G38" s="6" t="n">
        <v>3</v>
      </c>
      <c r="H38" s="6" t="inlineStr">
        <is>
          <t>Average Advanced</t>
        </is>
      </c>
      <c r="I38" s="5" t="n">
        <v>0</v>
      </c>
      <c r="J38" s="5" t="n">
        <v>2.5</v>
      </c>
      <c r="K38" s="5">
        <f>MIN(5,MAX(G38+I38,J38))</f>
        <v/>
      </c>
      <c r="L38" s="5">
        <f>F38*K38</f>
        <v/>
      </c>
      <c r="M38" s="3" t="inlineStr">
        <is>
          <t>Recognise $\sin^{-1}e^x+\cos^{-1}e^x=\frac\pi2$ and the substitution $t=\tan^{-1}e^x$ that leaves $\int\frac{dt}{P+t}$.</t>
        </is>
      </c>
      <c r="N38" s="3" t="inlineStr">
        <is>
          <t>Two moderately familiar moves (inverse-trig identity, substitution t=tan^-1 e^x) with a log finish and an improper limit; the integrand looks forbidding but the chain is short. Easier than 2025-P2-Q16 (L4) which needed a king-type idea; sits above 2024-P2-Q16 (L2). The stem is also garbled, which lowers confidence.</t>
        </is>
      </c>
      <c r="O38" s="3" t="inlineStr">
        <is>
          <t>2025-P2-Q16 (L4)</t>
        </is>
      </c>
      <c r="P38" s="2" t="inlineStr">
        <is>
          <t>Low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MCQ</t>
        </is>
      </c>
      <c r="E39" s="3" t="inlineStr">
        <is>
          <t>Definite Integration</t>
        </is>
      </c>
      <c r="F39" s="2" t="n">
        <v>4</v>
      </c>
      <c r="G39" s="8" t="n">
        <v>1</v>
      </c>
      <c r="H39" s="8" t="inlineStr">
        <is>
          <t>JEE Main level</t>
        </is>
      </c>
      <c r="I39" s="5" t="n">
        <v>0</v>
      </c>
      <c r="J39" s="5" t="n">
        <v>2.5</v>
      </c>
      <c r="K39" s="5">
        <f>MIN(5,MAX(G39+I39,J39))</f>
        <v/>
      </c>
      <c r="L39" s="5">
        <f>F39*K39</f>
        <v/>
      </c>
      <c r="M39" s="3" t="inlineStr">
        <is>
          <t>Odd functions integrate to zero on $[-1,1]$ and $[x^2]=0$ there, so only $D\sin|x|$ survives.</t>
        </is>
      </c>
      <c r="N39" s="3" t="inlineStr">
        <is>
          <t>One familiar property (odd/even symmetry) plus the observation [x^2]=0; PDF leaves the D part unfinished. It stays at the bottom of the scale, similar to the one-move 2021-P2-Q6 (MCQ, L1) and the king property question 2026-P2-Q4 (L1). Two concepts (symmetry and GIF), so the adjusted level is lifted to the 2.5 floor.</t>
        </is>
      </c>
      <c r="O39" s="3" t="inlineStr">
        <is>
          <t>2021-P2-Q6 (L1)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MCQ</t>
        </is>
      </c>
      <c r="E40" s="3" t="inlineStr">
        <is>
          <t>Definite Integration</t>
        </is>
      </c>
      <c r="F40" s="2" t="n">
        <v>4</v>
      </c>
      <c r="G40" s="8" t="n">
        <v>1</v>
      </c>
      <c r="H40" s="8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LMVT (or bounds on the integrand) gives $f(2)=\frac{1}{2+c^4}$ with $c\in(1,2)$.</t>
        </is>
      </c>
      <c r="N40" s="3" t="inlineStr">
        <is>
          <t>Single familiar move (bound the integrand on [1,2]) answers all four options; no insight or long computation. Level-1 type like 2021-P2-Q17 (L1) and a notch below 2021-P2-Q3 (MCQ with IVT/Rolle, L2).</t>
        </is>
      </c>
      <c r="O40" s="3" t="inlineStr">
        <is>
          <t>2021-P2-Q3 (L2)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MCQ</t>
        </is>
      </c>
      <c r="E41" s="3" t="inlineStr">
        <is>
          <t>Definite Integration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$\ln(x+1)&lt;x$ and $e^x&gt;x+1$ turn the integrands into $\frac1x$ and $\frac1{x+1}$.</t>
        </is>
      </c>
      <c r="N41" s="3" t="inlineStr">
        <is>
          <t>Two short comparisons built on two standard inequalities, each applied once; no computation. Slightly above one-move L1 because both integrals and the combined option D must be judged; like 2021-P2-Q3 (L2) and 2024-P2-Q16 (L2).</t>
        </is>
      </c>
      <c r="O41" s="3" t="inlineStr">
        <is>
          <t>2021-P2-Q3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MCQ</t>
        </is>
      </c>
      <c r="E42" s="3" t="inlineStr">
        <is>
          <t>Definite Integration</t>
        </is>
      </c>
      <c r="F42" s="2" t="n">
        <v>4</v>
      </c>
      <c r="G42" s="6" t="n">
        <v>3</v>
      </c>
      <c r="H42" s="6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Evaluate $I_n$ in closed form (by parts or $t=\sec x+\tan x$), then test four statements.</t>
        </is>
      </c>
      <c r="N42" s="3" t="inlineStr">
        <is>
          <t>One non-obvious but well-known device ($t=\sec x+\tan x$ or parts with a perfect-differential partner) gives a closed form; four numeric checks follow, with a near-miss option (7/12 vs 5/12). Comparable to 2026-P2-Q4 (L3, single trick plus execution); less delicate than 2025-P2-Q16 (L4).</t>
        </is>
      </c>
      <c r="O42" s="3" t="inlineStr">
        <is>
          <t>2026-P2-Q4 (L3)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MCQ</t>
        </is>
      </c>
      <c r="E43" s="3" t="inlineStr">
        <is>
          <t>Definite Integration</t>
        </is>
      </c>
      <c r="F43" s="2" t="n">
        <v>4</v>
      </c>
      <c r="G43" s="6" t="n">
        <v>3</v>
      </c>
      <c r="H43" s="6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Divide by $x^2$ and substitute $u=x-3/x$ to reduce the quartic denominator to $u^2+u+5$.</t>
        </is>
      </c>
      <c r="N43" s="3" t="inlineStr">
        <is>
          <t>One recognised substitution (the $x\mp k/x$ trick on a near-reciprocal quartic) followed by a completed square and four evaluations; the trick is practised but not universal, and the paper gives no hint. Between 2026-P2-Q4 (L3) and 2025-P2-Q16 (L4).</t>
        </is>
      </c>
      <c r="O43" s="3" t="inlineStr">
        <is>
          <t>2026-P2-Q4 (L3)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MCQ</t>
        </is>
      </c>
      <c r="E44" s="3" t="inlineStr">
        <is>
          <t>Differential Equation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2.5</v>
      </c>
      <c r="K44" s="5">
        <f>MIN(5,MAX(G44+I44,J44))</f>
        <v/>
      </c>
      <c r="L44" s="5">
        <f>F44*K44</f>
        <v/>
      </c>
      <c r="M44" s="3" t="inlineStr">
        <is>
          <t>Recognise $(x y'-y)/x^2=(y/x)'$, integrate, apply $f(1)=1$, then test extremum and values.</t>
        </is>
      </c>
      <c r="N44" s="3" t="inlineStr">
        <is>
          <t>Routine linear DE, then a second-derivative test and two evaluations; several standard steps, no insight. Same chain as 2023-P2-Q9 (linear DE then maximum, L2). Two concepts (DE + maxima) in an MCQ, so the 2.5 floor applies.</t>
        </is>
      </c>
      <c r="O44" s="3" t="inlineStr">
        <is>
          <t>2023-P2-Q9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MCQ</t>
        </is>
      </c>
      <c r="E45" s="3" t="inlineStr">
        <is>
          <t>Differential Equation</t>
        </is>
      </c>
      <c r="F45" s="2" t="n">
        <v>4</v>
      </c>
      <c r="G45" s="6" t="n">
        <v>3</v>
      </c>
      <c r="H45" s="6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Spot $d(x^2+y^2)$ and $d(x/y)$ in the ratio, separate, integrate, and match equivalent forms.</t>
        </is>
      </c>
      <c r="N45" s="3" t="inlineStr">
        <is>
          <t>Needs recognising two exact differentials in a disguised ratio (idea availability is moderate) and then matching an equivalent implicit form; option (B) as printed is mis-typed (reconstructed). Comparable to 2023-P2-Q1 (L2) plus a non-obvious grouping step.</t>
        </is>
      </c>
      <c r="O45" s="3" t="inlineStr">
        <is>
          <t>2023-P2-Q1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MCQ</t>
        </is>
      </c>
      <c r="E46" s="3" t="inlineStr">
        <is>
          <t>Area Under Curve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Interpret $\min$ and $\max$ level curves as a hash plus a square, giving four unit squares.</t>
        </is>
      </c>
      <c r="N46" s="3" t="inlineStr">
        <is>
          <t>Needs a clear picture of unfamiliar min/max level curves, but the computation is trivial and the statements are 'less than or equal' tests; routine-plus-picture. Easier than 2021-P1-Q2 (L3, region from four lines).</t>
        </is>
      </c>
      <c r="O46" s="3" t="inlineStr">
        <is>
          <t>2021-P1-Q2 (L3)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MCQ</t>
        </is>
      </c>
      <c r="E47" s="3" t="inlineStr">
        <is>
          <t>Differential Equation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Group terms into $d(xy)$ and $d(x^3y^{3/2})$ (or test exactness).</t>
        </is>
      </c>
      <c r="N47" s="3" t="inlineStr">
        <is>
          <t>Standard exact-equation work with fractional powers; routine with options to compare. Stem is mis-printed (factor $y$ missing) and reconstructed from the PDF working. Level 2 like 2026-P2-Q3 (separable DE with an awkward finish, L2).</t>
        </is>
      </c>
      <c r="O47" s="3" t="inlineStr">
        <is>
          <t>2026-P2-Q3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Para SCQ</t>
        </is>
      </c>
      <c r="E48" s="3" t="inlineStr">
        <is>
          <t>Differential Equation</t>
        </is>
      </c>
      <c r="F48" s="2" t="n">
        <v>3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Set $x=0$ for $f(0)$, differentiate the integral equation with the Leibniz rule.</t>
        </is>
      </c>
      <c r="N48" s="3" t="inlineStr">
        <is>
          <t>Two routine moves (initial value, Leibniz) chained, options to match; no real insight. Similar chain to 2023-P2-Q1 (integral equation to DE, L2).</t>
        </is>
      </c>
      <c r="O48" s="3" t="inlineStr">
        <is>
          <t>2023-P2-Q1 (L2)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Para SCQ</t>
        </is>
      </c>
      <c r="E49" s="3" t="inlineStr">
        <is>
          <t>Differential Equation</t>
        </is>
      </c>
      <c r="F49" s="2" t="n">
        <v>3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Get $f(0)=2$, then $f'(0)$ and $f''(0)$ from the derived DE.</t>
        </is>
      </c>
      <c r="N49" s="3" t="inlineStr">
        <is>
          <t>Short follow-up using the previous part; evaluating derivatives at $0$ needs care but is routine. Level 2 as for 2023-P2-Q1 (L2).</t>
        </is>
      </c>
      <c r="O49" s="3" t="inlineStr">
        <is>
          <t>2023-P2-Q1 (L2)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Para SCQ</t>
        </is>
      </c>
      <c r="E50" s="3" t="inlineStr">
        <is>
          <t>Differential Equation</t>
        </is>
      </c>
      <c r="F50" s="2" t="n">
        <v>3</v>
      </c>
      <c r="G50" s="6" t="n">
        <v>3</v>
      </c>
      <c r="H50" s="6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Solve the linear DE with integrating factor $e^x$ and standard exponential-trig integrals; fix constant by $f(0)=2$.</t>
        </is>
      </c>
      <c r="N50" s="3" t="inlineStr">
        <is>
          <t>Longest part of the paragraph: integrating factor, two exponential-trig integrals and constant fixing, with a trap option; execution-heavy but options allow elimination. A notch above 2026-P2-Q3 (L2).</t>
        </is>
      </c>
      <c r="O50" s="3" t="inlineStr">
        <is>
          <t>2026-P2-Q3 (L2)</t>
        </is>
      </c>
      <c r="P50" s="2" t="inlineStr">
        <is>
          <t>Low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Para SCQ</t>
        </is>
      </c>
      <c r="E51" s="3" t="inlineStr">
        <is>
          <t>Indefinite Integration</t>
        </is>
      </c>
      <c r="F51" s="2" t="n">
        <v>3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Differentiate both relations, solve for $f$ and $g$ via product and ratio.</t>
        </is>
      </c>
      <c r="N51" s="3" t="inlineStr">
        <is>
          <t>Two differentiations and a small algebraic solve; routine chain with no insight. Level 2 as 2023-P2-Q1 (integral equation to a function, L2).</t>
        </is>
      </c>
      <c r="O51" s="3" t="inlineStr">
        <is>
          <t>2023-P2-Q1 (L2)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Para SCQ</t>
        </is>
      </c>
      <c r="E52" s="3" t="inlineStr">
        <is>
          <t>Indefinite Integration</t>
        </is>
      </c>
      <c r="F52" s="2" t="n">
        <v>3</v>
      </c>
      <c r="G52" s="4" t="n">
        <v>2</v>
      </c>
      <c r="H52" s="4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Differentiate the two integral relations to get $fg$ and $g/f$, hence $f=x^2+1$, $g=x^3+x$.</t>
        </is>
      </c>
      <c r="N52" s="3" t="inlineStr">
        <is>
          <t>Two differentiations, a division to solve for $f^2$, then a routine polynomial integration; no insight needed and options allow checking. Same routine-chain demand as 2026-P2-Q3 (L2).</t>
        </is>
      </c>
      <c r="O52" s="3" t="inlineStr">
        <is>
          <t>2026-P2-Q3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Para SCQ</t>
        </is>
      </c>
      <c r="E53" s="3" t="inlineStr">
        <is>
          <t>Differential Equation</t>
        </is>
      </c>
      <c r="F53" s="2" t="n">
        <v>3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Spot $\frac{d}{dx}\frac{\phi}{y}=\frac{\phi'y-\phi y'}{y^2}$ so the equation reads $(\phi/y)'=1$.</t>
        </is>
      </c>
      <c r="N53" s="3" t="inlineStr">
        <is>
          <t>One familiar quotient-rule recognition, then a two-line integration with the initial data. Comparable to 2024-P1-Q1 (L2, derive a linear DE, solve with a condition).</t>
        </is>
      </c>
      <c r="O53" s="3" t="inlineStr">
        <is>
          <t>2024-P1-Q1 (L2)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Para SCQ</t>
        </is>
      </c>
      <c r="E54" s="3" t="inlineStr">
        <is>
          <t>Definite Integration</t>
        </is>
      </c>
      <c r="F54" s="2" t="n">
        <v>3</v>
      </c>
      <c r="G54" s="6" t="n">
        <v>3</v>
      </c>
      <c r="H54" s="6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Factor $x$ out of the root and use $t=1-\frac1x$ with $dt=\frac{dx}{x^2}$.</t>
        </is>
      </c>
      <c r="N54" s="3" t="inlineStr">
        <is>
          <t>Needs the previous part's result and a non-obvious substitution ($t=1/x$ type, hidden by the $\frac1{x^2}$) before a standard integral; options let the student check. Between 2026-P2-Q4 (L1, king property) and 2025-P2-Q16 (L4); the same paragraph-based demand as 2021-P2-Q16 (Para SCQ, L3).</t>
        </is>
      </c>
      <c r="O54" s="3" t="inlineStr">
        <is>
          <t>2021-P2-Q16 (L3)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Para SCQ</t>
        </is>
      </c>
      <c r="E55" s="3" t="inlineStr">
        <is>
          <t>Area Under Curve</t>
        </is>
      </c>
      <c r="F55" s="2" t="n">
        <v>3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Substitute $g=x-1$ and check four statements (monotonicity, area, extrema, differentiability of $|g|$).</t>
        </is>
      </c>
      <c r="N55" s="3" t="inlineStr">
        <is>
          <t>Four short statements, each a routine check on a line or on $|x-1|$, once the paragraph result is known; no real idea but several verifications. Similar to 2021-P1-Q2 (L2, area of simple linear region).</t>
        </is>
      </c>
      <c r="O55" s="3" t="inlineStr">
        <is>
          <t>2021-P1-Q2 (L2)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Para SCQ</t>
        </is>
      </c>
      <c r="E56" s="3" t="inlineStr">
        <is>
          <t>Differential Equation + Area Under Curve</t>
        </is>
      </c>
      <c r="F56" s="2" t="n">
        <v>3</v>
      </c>
      <c r="G56" s="7" t="n">
        <v>4</v>
      </c>
      <c r="H56" s="7" t="inlineStr">
        <is>
          <t>Slightly difficult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Translate the geometric area condition into $|y'|=\frac{xy}{2}$, fix the sign with $f(3)$, then bound an area with a non-elementary integral.</t>
        </is>
      </c>
      <c r="N56" s="3" t="inlineStr">
        <is>
          <t>Long chain: geometry to ODE (sub-tangent, absolute value), solve and fix the sign using both data points, find the intersection with the line, set up the area and estimate $\int e^{(x^2-1)/4}$ without a closed form. Heavier than 2023-P2-Q1 (L2); comparable stages and precision risk to 2025-P2-Q6 (L4, area from a geometric condition).</t>
        </is>
      </c>
      <c r="O56" s="3" t="inlineStr">
        <is>
          <t>2025-P2-Q6 (L4)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Para SCQ</t>
        </is>
      </c>
      <c r="E57" s="3" t="inlineStr">
        <is>
          <t>Differential Equation</t>
        </is>
      </c>
      <c r="F57" s="2" t="n">
        <v>3</v>
      </c>
      <c r="G57" s="6" t="n">
        <v>3</v>
      </c>
      <c r="H57" s="6" t="inlineStr">
        <is>
          <t>Average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Evaluate $\int_0^x\cos(t-x)dt=\sin x$ before differentiating; then $f'=(f-1)\cos x$ and find the range.</t>
        </is>
      </c>
      <c r="N57" s="3" t="inlineStr">
        <is>
          <t>Integral equation with $x$ inside the integrand, then a linear ODE and a range-and-count step; three linked ideas but all standard. Same shape as 2023-P2-Q1 (L2, differentiate an integral equation) plus the extra range stage, so one level above.</t>
        </is>
      </c>
      <c r="O57" s="3" t="inlineStr">
        <is>
          <t>2023-P2-Q1 (L2)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Definite Integration + Application of Derivatives</t>
        </is>
      </c>
      <c r="F58" s="2" t="n">
        <v>4</v>
      </c>
      <c r="G58" s="6" t="n">
        <v>3</v>
      </c>
      <c r="H58" s="6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Treat $\int_0^1f$ as constant $k$; get $f=kx^2+1$, $k=\frac32$; shortest distance parabola-line at slope $1$.</t>
        </is>
      </c>
      <c r="N58" s="3" t="inlineStr">
        <is>
          <t>Three stages (constant trick, Leibniz and self-consistency, shortest distance) all standard; numerical format with no options but low precision risk. Comparable to 2024-P2-Q13 (INT, L3, integral-defined functions) and 2023-P2-Q8 (L3).</t>
        </is>
      </c>
      <c r="O58" s="3" t="inlineStr">
        <is>
          <t>2024-P2-Q13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Numerical</t>
        </is>
      </c>
      <c r="E59" s="3" t="inlineStr">
        <is>
          <t>Area Under Curve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Region is a triangle with base $3$ and height $\frac{6}{2a+1}$; solve $\frac{9}{2a+1}=3$.</t>
        </is>
      </c>
      <c r="N59" s="3" t="inlineStr">
        <is>
          <t>Routine: intersect two lines, area of a triangle, solve one equation. Same demand as 2021-P1-Q2 (L2, area of a linear region); no insight and little precision risk.</t>
        </is>
      </c>
      <c r="O59" s="3" t="inlineStr">
        <is>
          <t>2021-P1-Q2 (L2)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Numerical</t>
        </is>
      </c>
      <c r="E60" s="3" t="inlineStr">
        <is>
          <t>Differential Equation + Area Under Curve</t>
        </is>
      </c>
      <c r="F60" s="2" t="n">
        <v>4</v>
      </c>
      <c r="G60" s="6" t="n">
        <v>3</v>
      </c>
      <c r="H60" s="6" t="inlineStr">
        <is>
          <t>Average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Reduce $yy''=2y'^2$ to $y'=ky^2$, solve with two conditions, then split the area at the crossing point.</t>
        </is>
      </c>
      <c r="N60" s="3" t="inlineStr">
        <is>
          <t>Reduction of order (familiar), two-point initial conditions, and an area with a switch of the lower curve and an unusual boundary description ('line $f(x)=2/e$'); numerical answer with no options. Comparable to 2025-P2-Q9 (Numerical, L2, DE then evaluate) but with an extra area stage, so one level higher.</t>
        </is>
      </c>
      <c r="O60" s="3" t="inlineStr">
        <is>
          <t>2025-P2-Q9 (L2)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Numerical</t>
        </is>
      </c>
      <c r="E61" s="3" t="inlineStr">
        <is>
          <t>Differential Equation + Definite Integration</t>
        </is>
      </c>
      <c r="F61" s="2" t="n">
        <v>4</v>
      </c>
      <c r="G61" s="6" t="n">
        <v>3</v>
      </c>
      <c r="H61" s="6" t="inlineStr">
        <is>
          <t>Average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Combine the terms to $\frac{x^2+1}{x^4+1}$, divide by $x^2$ and use $t=x-\frac1x$.</t>
        </is>
      </c>
      <c r="N61" s="3" t="inlineStr">
        <is>
          <t>A separable DE, then the well-known $x-\frac1x$ substitution applied to a rational function with a limit at $-\infty$, and a final least-$(p+q)$ reading. Standard coaching trick (idea available) but chained; below 2025-P2-Q16 (L4, king-type substitution) and above 2026-P2-Q4 (L1).</t>
        </is>
      </c>
      <c r="O61" s="3" t="inlineStr">
        <is>
          <t>2025-P2-Q16 (L4)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Numerical</t>
        </is>
      </c>
      <c r="E62" s="3" t="inlineStr">
        <is>
          <t>Definite Integration</t>
        </is>
      </c>
      <c r="F62" s="2" t="n">
        <v>4</v>
      </c>
      <c r="G62" s="4" t="n">
        <v>2</v>
      </c>
      <c r="H62" s="4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One-line identity: integral of f^n f' is end values only; sign choice f(1)=-f(0) forced by 54.</t>
        </is>
      </c>
      <c r="N62" s="3" t="inlineStr">
        <is>
          <t>Same family of definite-integral identity questions as 2024-P2-Q16 (L3) but with only a familiar substitution and short chain; a notch easier than 2023-P2-Q1 (L3, DE from integral equation).</t>
        </is>
      </c>
      <c r="O62" s="3" t="inlineStr">
        <is>
          <t>2024-P2-Q16 (L3)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Area Under Curve</t>
        </is>
      </c>
      <c r="F63" s="2" t="n">
        <v>4</v>
      </c>
      <c r="G63" s="6" t="n">
        <v>3</v>
      </c>
      <c r="H63" s="6" t="inlineStr">
        <is>
          <t>Average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|x+2|+|x-5|&gt;=7 gives r=7, then quadratic-in-y discriminant gives a semicircle-type area.</t>
        </is>
      </c>
      <c r="N63" s="3" t="inlineStr">
        <is>
          <t>Three linked stages (modulus plateau, conic as two branches, semicircle area); comparable to 2021-P1-Q2 (L3) area-by-regions, lighter than 2025-P2-Q6 (L4).</t>
        </is>
      </c>
      <c r="O63" s="3" t="inlineStr">
        <is>
          <t>2021-P1-Q2 (L3)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Area Under Curve</t>
        </is>
      </c>
      <c r="F64" s="2" t="n">
        <v>4</v>
      </c>
      <c r="G64" s="6" t="n">
        <v>3</v>
      </c>
      <c r="H64" s="6" t="inlineStr">
        <is>
          <t>Average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Area of y=|f(|x|)| gives k=4; circumcentre on x=1 and the diameter gives height 4.</t>
        </is>
      </c>
      <c r="N64" s="3" t="inlineStr">
        <is>
          <t>Two chapters in a numerical question with four short stages (graph transformations, area, perpendicular bisector, rectangle); similar chaining to 2023-P1-Q7 (L3) parabola/area with integer data; no hidden idea so not 4.</t>
        </is>
      </c>
      <c r="O64" s="3" t="inlineStr">
        <is>
          <t>2023-P1-Q7 (L3)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Definite Integration</t>
        </is>
      </c>
      <c r="F65" s="2" t="n">
        <v>4</v>
      </c>
      <c r="G65" s="6" t="n">
        <v>3</v>
      </c>
      <c r="H65" s="6" t="inlineStr">
        <is>
          <t>Average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|x| even kills odd powers; remaining terms telescope as 1/(k(k+1)).</t>
        </is>
      </c>
      <c r="N65" s="3" t="inlineStr">
        <is>
          <t>Parity plus termwise integration plus telescoping limit, numerical answer; like 2025-P1-Q11 (L4) in being a series-integral combination but with every move familiar, so one level lower; near 2024-P2-Q16 (L3).</t>
        </is>
      </c>
      <c r="O65" s="3" t="inlineStr">
        <is>
          <t>2025-P1-Q11 (L4)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Limit</t>
        </is>
      </c>
      <c r="F66" s="2" t="n">
        <v>4</v>
      </c>
      <c r="G66" s="6" t="n">
        <v>3</v>
      </c>
      <c r="H66" s="6" t="inlineStr">
        <is>
          <t>Average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Binomial ratio = prod (3n-r)/(2n-r), then Riemann sum of ln((3-x)/(2-x)).</t>
        </is>
      </c>
      <c r="N66" s="3" t="inlineStr">
        <is>
          <t>Limit-as-sum of a factorial ratio is a standard but multi-step trick: recognise the product, convert to integral, integrate two logs; no options to check. Near 2026-P1-Q12 (L4, telescoping product) but with a more familiar idea.</t>
        </is>
      </c>
      <c r="O66" s="3" t="inlineStr">
        <is>
          <t>2026-P1-Q12 (L4)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Numerical</t>
        </is>
      </c>
      <c r="E67" s="3" t="inlineStr">
        <is>
          <t>Differential Equation</t>
        </is>
      </c>
      <c r="F67" s="2" t="n">
        <v>4</v>
      </c>
      <c r="G67" s="4" t="n">
        <v>2</v>
      </c>
      <c r="H67" s="4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Newton's cooling: separable DE with two conditions.</t>
        </is>
      </c>
      <c r="N67" s="3" t="inlineStr">
        <is>
          <t>Routine separable DE with a word-problem set-up and two substitutions, like 2026-P2-Q3 (L2) and 2023-P2-Q9 (L2).</t>
        </is>
      </c>
      <c r="O67" s="3" t="inlineStr">
        <is>
          <t>2026-P2-Q3 (L2)</t>
        </is>
      </c>
      <c r="P67" s="2" t="inlineStr">
        <is>
          <t>High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Numerical</t>
        </is>
      </c>
      <c r="E68" s="3" t="inlineStr">
        <is>
          <t>Circle</t>
        </is>
      </c>
      <c r="F68" s="2" t="n">
        <v>4</v>
      </c>
      <c r="G68" s="4" t="n">
        <v>2</v>
      </c>
      <c r="H68" s="4" t="inlineStr">
        <is>
          <t>Easier than Advanced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Tangent length sqrt(S1) from Q(0,3), then e^{6r}=2.</t>
        </is>
      </c>
      <c r="N68" s="3" t="inlineStr">
        <is>
          <t>Two short routine pieces from different chapters, no insight; like 2026-P2-Q2 (L2) perpendicular tangents in being a few standard steps.</t>
        </is>
      </c>
      <c r="O68" s="3" t="inlineStr">
        <is>
          <t>2026-P2-Q2 (L2)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Numerical</t>
        </is>
      </c>
      <c r="E69" s="3" t="inlineStr">
        <is>
          <t>Definite Integration</t>
        </is>
      </c>
      <c r="F69" s="2" t="n">
        <v>4</v>
      </c>
      <c r="G69" s="4" t="n">
        <v>2</v>
      </c>
      <c r="H69" s="4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(f^{-1})'(0)=1/f'(2) with f(2)=0 and Leibniz derivative.</t>
        </is>
      </c>
      <c r="N69" s="3" t="inlineStr">
        <is>
          <t>One familiar chain (Leibniz then inverse-derivative formula); more routine steps than a level-1 single move; below 2023-P2-Q8 (L4). Note the printed key/branch ambiguity.</t>
        </is>
      </c>
      <c r="O69" s="3" t="inlineStr">
        <is>
          <t>2026-P2-Q4 (L3)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Area Under Curve</t>
        </is>
      </c>
      <c r="F70" s="2" t="n">
        <v>4</v>
      </c>
      <c r="G70" s="4" t="n">
        <v>2</v>
      </c>
      <c r="H70" s="4" t="inlineStr">
        <is>
          <t>Easier than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Symmetry in both axes, then 4*integral of (1 - x^{2/5}).</t>
        </is>
      </c>
      <c r="N70" s="3" t="inlineStr">
        <is>
          <t>Area with a fractional power curve: symmetry plus a single power-rule integral; slightly more than one move because of the cusp/symmetry reading; below 2025-P2-Q2 (L3).</t>
        </is>
      </c>
      <c r="O70" s="3" t="inlineStr">
        <is>
          <t>2025-P2-Q2 (L3)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Area Under Curve</t>
        </is>
      </c>
      <c r="F71" s="2" t="n">
        <v>4</v>
      </c>
      <c r="G71" s="4" t="n">
        <v>2</v>
      </c>
      <c r="H71" s="4" t="inlineStr">
        <is>
          <t>Easier than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Strip [k,k+1): area k+2/3, then sum an arithmetic series.</t>
        </is>
      </c>
      <c r="N71" s="3" t="inlineStr">
        <is>
          <t>Greatest-integer/fractional-part area is a routine chain once the strip pattern is seen; easier than 2021-P2-Q19 (L4, locating breakpoints of [sqrt(10x/(x+1))]).</t>
        </is>
      </c>
      <c r="O71" s="3" t="inlineStr">
        <is>
          <t>2021-P2-Q19 (L4)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Definite Integration</t>
        </is>
      </c>
      <c r="F72" s="2" t="n">
        <v>4</v>
      </c>
      <c r="G72" s="4" t="n">
        <v>2</v>
      </c>
      <c r="H72" s="4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Eliminate y, cancel the 2t terms, then 0/0 limit of an integral (L'Hopital/FTC).</t>
        </is>
      </c>
      <c r="N72" s="3" t="inlineStr">
        <is>
          <t>Chain of three routine steps with no non-routine idea (only the cancellation of 2t is a trap). Similar to 2023-P2-Q1 (L2, integral relation plus routine calculus). Numerical format keeps it at 2, not 1.</t>
        </is>
      </c>
      <c r="O72" s="3" t="inlineStr">
        <is>
          <t>2023-P2-Q1 (L2)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Definite Integration</t>
        </is>
      </c>
      <c r="F73" s="2" t="n">
        <v>4</v>
      </c>
      <c r="G73" s="4" t="n">
        <v>2</v>
      </c>
      <c r="H73" s="4" t="inlineStr">
        <is>
          <t>Easier than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Shift u=x-r makes the 11 integrals identical; then |cubic| split at roots.</t>
        </is>
      </c>
      <c r="N73" s="3" t="inlineStr">
        <is>
          <t>Routine chain: shift, symmetry, split at roots, polynomial integrals. Precision risk small. Below 2021-P2-Q19 (L4, greatest-integer breakpoints) and comparable to 2024-P2-Q16 (L3) only in length, not insight; no hidden idea.</t>
        </is>
      </c>
      <c r="O73" s="3" t="inlineStr">
        <is>
          <t>2023-P2-Q1 (L2)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Differential Equation</t>
        </is>
      </c>
      <c r="F74" s="2" t="n">
        <v>4</v>
      </c>
      <c r="G74" s="6" t="n">
        <v>3</v>
      </c>
      <c r="H74" s="6" t="inlineStr">
        <is>
          <t>Average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Recognise the exact differential d(x sin(x^2 y)) and solve x sin(x^2y)+y=0.</t>
        </is>
      </c>
      <c r="N74" s="3" t="inlineStr">
        <is>
          <t>Exact-equation test plus finding the potential with a composite argument x^2y is less routine than a linear/separable DE (2023-P2-Q1, L2; 2026-P2-Q3, L2); the final value needs the insight that no explicit alpha is needed. Numerical answer, no options.</t>
        </is>
      </c>
      <c r="O74" s="3" t="inlineStr">
        <is>
          <t>2023-P2-Q1 (L2); 2026-P2-Q3 (L2)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Numerical</t>
        </is>
      </c>
      <c r="E75" s="3" t="inlineStr">
        <is>
          <t>Indefinite Integration</t>
        </is>
      </c>
      <c r="F75" s="2" t="n">
        <v>4</v>
      </c>
      <c r="G75" s="6" t="n">
        <v>3</v>
      </c>
      <c r="H75" s="6" t="inlineStr">
        <is>
          <t>Average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Rewrite sin4x via tan, substitute t=tan^2x, recognise e^t(f+f').</t>
        </is>
      </c>
      <c r="N75" s="3" t="inlineStr">
        <is>
          <t>Needs a non-obvious rewrite of sin4x in tan x and recognition of the e^t(f+f') pattern for a rational f; a strong student knows the pattern but the chain is 3-4 stages. Comparable to 2025-P1-Q11 (L4, series expansion) but with a given answer form that allows checking, hence 3.</t>
        </is>
      </c>
      <c r="O75" s="3" t="inlineStr">
        <is>
          <t>2025-P2-Q16 (L4); 2023-P2-Q1 (L2)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Numerical</t>
        </is>
      </c>
      <c r="E76" s="3" t="inlineStr">
        <is>
          <t>Area Under Curve</t>
        </is>
      </c>
      <c r="F76" s="2" t="n">
        <v>4</v>
      </c>
      <c r="G76" s="6" t="n">
        <v>3</v>
      </c>
      <c r="H76" s="6" t="inlineStr">
        <is>
          <t>Average Advanced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sin x = 2 sin(x/2)cos(x/2) gives the meeting point; set one part's area equal to 1 and reject k=2+sqrt2.</t>
        </is>
      </c>
      <c r="N76" s="3" t="inlineStr">
        <is>
          <t>Standard area-bisection with an inverse-trig limit, algebra with half-angle identities and a root rejection; numerical answer so slips are costly. Nearer to 2021-P1-Q2 (L2) in demand, but more algebra and a domain trap, so 3.</t>
        </is>
      </c>
      <c r="O76" s="3" t="inlineStr">
        <is>
          <t>2021-P1-Q2 (L2); 2024-P2-Q2 (L2)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Numerical</t>
        </is>
      </c>
      <c r="E77" s="3" t="inlineStr">
        <is>
          <t>Definite Integration</t>
        </is>
      </c>
      <c r="F77" s="2" t="n">
        <v>4</v>
      </c>
      <c r="G77" s="4" t="n">
        <v>2</v>
      </c>
      <c r="H77" s="4" t="inlineStr">
        <is>
          <t>Easier than Advanced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t = tan(theta) converts the integrand to sin^4 cos^6; apply Wallis.</t>
        </is>
      </c>
      <c r="N77" s="3" t="inlineStr">
        <is>
          <t>One standard substitution followed by Wallis' formula: a routine two-step chain with no insight. Easier than 2025-P2-Q16 (L4); similar in spirit to 2026-P2-Q4 (L1) but with longer evaluation.</t>
        </is>
      </c>
      <c r="O77" s="3" t="inlineStr">
        <is>
          <t>2026-P2-Q4 (L1); 2023-P2-Q1 (L2)</t>
        </is>
      </c>
      <c r="P77" s="2" t="inlineStr">
        <is>
          <t>High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Numerical</t>
        </is>
      </c>
      <c r="E78" s="3" t="inlineStr">
        <is>
          <t>Definite Integration</t>
        </is>
      </c>
      <c r="F78" s="2" t="n">
        <v>4</v>
      </c>
      <c r="G78" s="4" t="n">
        <v>2</v>
      </c>
      <c r="H78" s="4" t="inlineStr">
        <is>
          <t>Easier than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Integration by parts on each linear piece (or test f=1 to get 0 at once).</t>
        </is>
      </c>
      <c r="N78" s="3" t="inlineStr">
        <is>
          <t>Parts on two linear pieces and collecting coefficients, or the f=1 test; no heavy computation. Less demanding than 2024-P2-Q13 (L3, piecewise f with g=integral); routine chain so 2.</t>
        </is>
      </c>
      <c r="O78" s="3" t="inlineStr">
        <is>
          <t>2024-P2-Q13 (L3); 2024-P2-Q17 (L3)</t>
        </is>
      </c>
      <c r="P78" s="2" t="inlineStr">
        <is>
          <t>Medium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Numerical</t>
        </is>
      </c>
      <c r="E79" s="3" t="inlineStr">
        <is>
          <t>Definite Integration</t>
        </is>
      </c>
      <c r="F79" s="2" t="n">
        <v>4</v>
      </c>
      <c r="G79" s="4" t="n">
        <v>2</v>
      </c>
      <c r="H79" s="4" t="inlineStr">
        <is>
          <t>Easier than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x=tan t, by parts, then king property on ln(1+tan t).</t>
        </is>
      </c>
      <c r="N79" s="3" t="inlineStr">
        <is>
          <t>Well-known three-stage chain (substitution, by parts, king); each stage standard. Easier than 2025-P2-Q16 (L4, king-type with tan^-1 and a quadratic) and harder than 2026-P2-Q4 (L1, single king).</t>
        </is>
      </c>
      <c r="O79" s="3" t="inlineStr">
        <is>
          <t>2026-P2-Q4 (L1); 2025-P2-Q16 (L4)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Numerical</t>
        </is>
      </c>
      <c r="E80" s="3" t="inlineStr">
        <is>
          <t>Hyperbola</t>
        </is>
      </c>
      <c r="F80" s="2" t="n">
        <v>4</v>
      </c>
      <c r="G80" s="4" t="n">
        <v>2</v>
      </c>
      <c r="H80" s="4" t="inlineStr">
        <is>
          <t>Easier than Advanced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1/e^2+1/e'^2=1 gives f(e)=e/sqrt(e^2-1) and f(f(e))=e; then two elementary integrals.</t>
        </is>
      </c>
      <c r="N80" s="3" t="inlineStr">
        <is>
          <t>Two short stages across two chapters (conic relation, then integration); the involution f(f(e))=e saves work but is not hidden. Routine chain so 2, with the two-chapter nature as a minor tie-breaker.</t>
        </is>
      </c>
      <c r="O80" s="3" t="inlineStr">
        <is>
          <t>2026-P2-Q4 (L1); 2026-P2-Q12 (L2)</t>
        </is>
      </c>
      <c r="P80" s="2" t="inlineStr">
        <is>
          <t>Medium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Numerical</t>
        </is>
      </c>
      <c r="E81" s="3" t="inlineStr">
        <is>
          <t>Definite Integration</t>
        </is>
      </c>
      <c r="F81" s="2" t="n">
        <v>4</v>
      </c>
      <c r="G81" s="6" t="n">
        <v>3</v>
      </c>
      <c r="H81" s="6" t="inlineStr">
        <is>
          <t>Average Advanced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Period 2pi plus king property to kill sin(cos x), then sin x = t to reach I2.</t>
        </is>
      </c>
      <c r="N81" s="3" t="inlineStr">
        <is>
          <t>Several property applications chained (periodicity, f(2pi-x)=f(x), king, half-range, substitution) with a cancellation insight; numerical with no options. More stages than 2026-P2-Q4 (L1); less delicate than 2025-P2-Q16 (L4).</t>
        </is>
      </c>
      <c r="O81" s="3" t="inlineStr">
        <is>
          <t>2026-P2-Q4 (L1); 2025-P2-Q16 (L4)</t>
        </is>
      </c>
      <c r="P81" s="2" t="inlineStr">
        <is>
          <t>Medium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Numerical</t>
        </is>
      </c>
      <c r="E82" s="3" t="inlineStr">
        <is>
          <t>Definite Integration</t>
        </is>
      </c>
      <c r="F82" s="2" t="n">
        <v>4</v>
      </c>
      <c r="G82" s="6" t="n">
        <v>3</v>
      </c>
      <c r="H82" s="6" t="inlineStr">
        <is>
          <t>Average Advanced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Completing the square; zero integral of a square forces $f=x/2$</t>
        </is>
      </c>
      <c r="N82" s="3" t="inlineStr">
        <is>
          <t>Needs the unprompted completing-the-square idea and the 'zero integral of a square' argument, then a trivial finish; numerical so no options. Comparable to 2026-P2-Q4 (king property, short idea-led integral) but with a less automatic trick, so a level above it.</t>
        </is>
      </c>
      <c r="O82" s="3" t="inlineStr">
        <is>
          <t>2026-P2-Q4 (L1) / 2023-P2-Q1 (L3)</t>
        </is>
      </c>
      <c r="P82" s="2" t="inlineStr">
        <is>
          <t>Medium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Numerical</t>
        </is>
      </c>
      <c r="E83" s="3" t="inlineStr">
        <is>
          <t>Definite Integration</t>
        </is>
      </c>
      <c r="F83" s="2" t="n">
        <v>4</v>
      </c>
      <c r="G83" s="6" t="n">
        <v>3</v>
      </c>
      <c r="H83" s="6" t="inlineStr">
        <is>
          <t>Average Advanced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Recurrence $2I_{n+1}=I_n$ from by parts, giving $I_n=\pi/2^{n+1}$</t>
        </is>
      </c>
      <c r="N83" s="3" t="inlineStr">
        <is>
          <t>A well-known reduction but the by-parts with the sin(n+1)x factor and the cancellation must be seen; no options. One chain of three standard steps with a precision trap; sits with other integral-recurrence style numericals.</t>
        </is>
      </c>
      <c r="O83" s="3" t="inlineStr">
        <is>
          <t>2023-P2-Q8 (L4) / 2021-P2-Q12 (L2)</t>
        </is>
      </c>
      <c r="P83" s="2" t="inlineStr">
        <is>
          <t>Medium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Numerical</t>
        </is>
      </c>
      <c r="E84" s="3" t="inlineStr">
        <is>
          <t>Indefinite Integration</t>
        </is>
      </c>
      <c r="F84" s="2" t="n">
        <v>4</v>
      </c>
      <c r="G84" s="4" t="n">
        <v>2</v>
      </c>
      <c r="H84" s="4" t="inlineStr">
        <is>
          <t>Easier than Advanced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$f$ is an involution, so $2017$ (odd) compositions equal $f$</t>
        </is>
      </c>
      <c r="N84" s="3" t="inlineStr">
        <is>
          <t>One recognition (f is its own inverse, odd number of compositions) then a routine integral and a floor; chain of three routine steps, no insight beyond the involution. Numerical but short.</t>
        </is>
      </c>
      <c r="O84" s="3" t="inlineStr">
        <is>
          <t>2026-P2-Q3 (L2) / 2026-P2-Q4 (L1)</t>
        </is>
      </c>
      <c r="P84" s="2" t="inlineStr">
        <is>
          <t>High</t>
        </is>
      </c>
    </row>
    <row r="85">
      <c r="A85" s="2" t="n">
        <v>84</v>
      </c>
      <c r="B85" s="2" t="inlineStr"/>
      <c r="C85" s="2" t="inlineStr">
        <is>
          <t>Q84</t>
        </is>
      </c>
      <c r="D85" s="2" t="inlineStr">
        <is>
          <t>Numerical</t>
        </is>
      </c>
      <c r="E85" s="3" t="inlineStr">
        <is>
          <t>Area Under Curve</t>
        </is>
      </c>
      <c r="F85" s="2" t="n">
        <v>4</v>
      </c>
      <c r="G85" s="7" t="n">
        <v>4</v>
      </c>
      <c r="H85" s="7" t="inlineStr">
        <is>
          <t>Slightly difficult</t>
        </is>
      </c>
      <c r="I85" s="5" t="n">
        <v>0</v>
      </c>
      <c r="J85" s="5" t="n">
        <v>0</v>
      </c>
      <c r="K85" s="5">
        <f>MIN(5,MAX(G85+I85,J85))</f>
        <v/>
      </c>
      <c r="L85" s="5">
        <f>F85*K85</f>
        <v/>
      </c>
      <c r="M85" s="3" t="inlineStr">
        <is>
          <t>Boundary is $\sin x=\sin(y\pm\pi/3)$: straight lines, then area is square minus corner triangles</t>
        </is>
      </c>
      <c r="N85" s="3" t="inlineStr">
        <is>
          <t>Needs the unprompted discriminant/identity step to turn a trig inequality into straight lines, plus careful handling of the fold at $y=\pi/6$ and area of a pentagon; numerical, easy to slip. Similar demand to 2023-P1-Q9 (area of piecewise region, L4) and 2021-P1-Q2 (polygon region, L3), one step less routine.</t>
        </is>
      </c>
      <c r="O85" s="3" t="inlineStr">
        <is>
          <t>2023-P1-Q9 (L4) / 2021-P1-Q2 (L3)</t>
        </is>
      </c>
      <c r="P85" s="2" t="inlineStr">
        <is>
          <t>Medium</t>
        </is>
      </c>
    </row>
    <row r="86">
      <c r="A86" s="2" t="n">
        <v>85</v>
      </c>
      <c r="B86" s="2" t="inlineStr"/>
      <c r="C86" s="2" t="inlineStr">
        <is>
          <t>Q85</t>
        </is>
      </c>
      <c r="D86" s="2" t="inlineStr">
        <is>
          <t>Numerical</t>
        </is>
      </c>
      <c r="E86" s="3" t="inlineStr">
        <is>
          <t>Area Under Curve</t>
        </is>
      </c>
      <c r="F86" s="2" t="n">
        <v>4</v>
      </c>
      <c r="G86" s="4" t="n">
        <v>2</v>
      </c>
      <c r="H86" s="4" t="inlineStr">
        <is>
          <t>Easier than Advanced</t>
        </is>
      </c>
      <c r="I86" s="5" t="n">
        <v>0</v>
      </c>
      <c r="J86" s="5" t="n">
        <v>0</v>
      </c>
      <c r="K86" s="5">
        <f>MIN(5,MAX(G86+I86,J86))</f>
        <v/>
      </c>
      <c r="L86" s="5">
        <f>F86*K86</f>
        <v/>
      </c>
      <c r="M86" s="3" t="inlineStr">
        <is>
          <t>Area between tangent and curve = trapezium under the tangent minus given area</t>
        </is>
      </c>
      <c r="N86" s="3" t="inlineStr">
        <is>
          <t>Read the figure, get the two parallel lines, and subtract a trapezium area from the given area; three routine steps, a single idea. Figure is described in the stem.</t>
        </is>
      </c>
      <c r="O86" s="3" t="inlineStr">
        <is>
          <t>2025-P2-Q2 (L3) / 2021-P1-Q2 (L3)</t>
        </is>
      </c>
      <c r="P86" s="2" t="inlineStr">
        <is>
          <t>Medium</t>
        </is>
      </c>
    </row>
    <row r="87">
      <c r="A87" s="2" t="n">
        <v>86</v>
      </c>
      <c r="B87" s="2" t="inlineStr"/>
      <c r="C87" s="2" t="inlineStr">
        <is>
          <t>Q86</t>
        </is>
      </c>
      <c r="D87" s="2" t="inlineStr">
        <is>
          <t>Numerical</t>
        </is>
      </c>
      <c r="E87" s="3" t="inlineStr">
        <is>
          <t>Definite Integration</t>
        </is>
      </c>
      <c r="F87" s="2" t="n">
        <v>4</v>
      </c>
      <c r="G87" s="4" t="n">
        <v>2</v>
      </c>
      <c r="H87" s="4" t="inlineStr">
        <is>
          <t>Easier than Advanced</t>
        </is>
      </c>
      <c r="I87" s="5" t="n">
        <v>0</v>
      </c>
      <c r="J87" s="5" t="n">
        <v>0</v>
      </c>
      <c r="K87" s="5">
        <f>MIN(5,MAX(G87+I87,J87))</f>
        <v/>
      </c>
      <c r="L87" s="5">
        <f>F87*K87</f>
        <v/>
      </c>
      <c r="M87" s="3" t="inlineStr">
        <is>
          <t>$x\to-x$ gives the complementary fraction, so the integral is half of the integral of the numerator</t>
        </is>
      </c>
      <c r="N87" s="3" t="inlineStr">
        <is>
          <t>Standard king-property pairing with a disguised $g^x$ denominator and an even integrand; one familiar move plus a short evaluation. Same demand as 2026-P2-Q4 (king property, L1) with an extra step to recognise the reciprocal, so L2.</t>
        </is>
      </c>
      <c r="O87" s="3" t="inlineStr">
        <is>
          <t>2026-P2-Q4 (L1)</t>
        </is>
      </c>
      <c r="P87" s="2" t="inlineStr">
        <is>
          <t>High</t>
        </is>
      </c>
    </row>
    <row r="88">
      <c r="A88" s="2" t="n">
        <v>87</v>
      </c>
      <c r="B88" s="2" t="inlineStr"/>
      <c r="C88" s="2" t="inlineStr">
        <is>
          <t>Q87</t>
        </is>
      </c>
      <c r="D88" s="2" t="inlineStr">
        <is>
          <t>Numerical</t>
        </is>
      </c>
      <c r="E88" s="3" t="inlineStr">
        <is>
          <t>Differential Equations</t>
        </is>
      </c>
      <c r="F88" s="2" t="n">
        <v>4</v>
      </c>
      <c r="G88" s="6" t="n">
        <v>3</v>
      </c>
      <c r="H88" s="6" t="inlineStr">
        <is>
          <t>Average Advanced</t>
        </is>
      </c>
      <c r="I88" s="5" t="n">
        <v>0</v>
      </c>
      <c r="J88" s="5" t="n">
        <v>0</v>
      </c>
      <c r="K88" s="5">
        <f>MIN(5,MAX(G88+I88,J88))</f>
        <v/>
      </c>
      <c r="L88" s="5">
        <f>F88*K88</f>
        <v/>
      </c>
      <c r="M88" s="3" t="inlineStr">
        <is>
          <t>Substitute $\cos y+\sin y$ to get a linear ODE; integrating factor $e^{-e^{-x}}$</t>
        </is>
      </c>
      <c r="N88" s="3" t="inlineStr">
        <is>
          <t>Spot the substitution $\cos y+\sin y$ and solve a linear ODE with a double-exponential integrating factor; but the printed question is internally inconsistent, so the rating is on the intended route.</t>
        </is>
      </c>
      <c r="O88" s="3" t="inlineStr">
        <is>
          <t>2026-P2-Q3 (L2) / 2023-P2-Q1 (L3)</t>
        </is>
      </c>
      <c r="P88" s="2" t="inlineStr">
        <is>
          <t>Low</t>
        </is>
      </c>
    </row>
    <row r="89">
      <c r="A89" s="2" t="n">
        <v>88</v>
      </c>
      <c r="B89" s="2" t="inlineStr"/>
      <c r="C89" s="2" t="inlineStr">
        <is>
          <t>Q88</t>
        </is>
      </c>
      <c r="D89" s="2" t="inlineStr">
        <is>
          <t>Numerical</t>
        </is>
      </c>
      <c r="E89" s="3" t="inlineStr">
        <is>
          <t>Indefinite Integration</t>
        </is>
      </c>
      <c r="F89" s="2" t="n">
        <v>4</v>
      </c>
      <c r="G89" s="4" t="n">
        <v>2</v>
      </c>
      <c r="H89" s="4" t="inlineStr">
        <is>
          <t>Easier than Advanced</t>
        </is>
      </c>
      <c r="I89" s="5" t="n">
        <v>0</v>
      </c>
      <c r="J89" s="5" t="n">
        <v>0</v>
      </c>
      <c r="K89" s="5">
        <f>MIN(5,MAX(G89+I89,J89))</f>
        <v/>
      </c>
      <c r="L89" s="5">
        <f>F89*K89</f>
        <v/>
      </c>
      <c r="M89" s="3" t="inlineStr">
        <is>
          <t>$P^2+Q^2=\frac{e^{6x}}{a^2+b^2}$ since $(a\cos+b\sin)^2+(a\sin-b\cos)^2=a^2+b^2$</t>
        </is>
      </c>
      <c r="N89" s="3" t="inlineStr">
        <is>
          <t>Known integral formulas then a Pythagorean-type simplification; routine chain, large numbers hide the pattern but nothing deep. Level 2 like other routine integral chains.</t>
        </is>
      </c>
      <c r="O89" s="3" t="inlineStr">
        <is>
          <t>2026-P2-Q3 (L2) / 2021-P2-Q11 (L2)</t>
        </is>
      </c>
      <c r="P89" s="2" t="inlineStr">
        <is>
          <t>High</t>
        </is>
      </c>
    </row>
    <row r="90">
      <c r="A90" s="2" t="n">
        <v>89</v>
      </c>
      <c r="B90" s="2" t="inlineStr"/>
      <c r="C90" s="2" t="inlineStr">
        <is>
          <t>Q89</t>
        </is>
      </c>
      <c r="D90" s="2" t="inlineStr">
        <is>
          <t>Numerical</t>
        </is>
      </c>
      <c r="E90" s="3" t="inlineStr">
        <is>
          <t>Differential Equations</t>
        </is>
      </c>
      <c r="F90" s="2" t="n">
        <v>4</v>
      </c>
      <c r="G90" s="8" t="n">
        <v>1</v>
      </c>
      <c r="H90" s="8" t="inlineStr">
        <is>
          <t>JEE Main level</t>
        </is>
      </c>
      <c r="I90" s="5" t="n">
        <v>0</v>
      </c>
      <c r="J90" s="5" t="n">
        <v>0</v>
      </c>
      <c r="K90" s="5">
        <f>MIN(5,MAX(G90+I90,J90))</f>
        <v/>
      </c>
      <c r="L90" s="5">
        <f>F90*K90</f>
        <v/>
      </c>
      <c r="M90" s="3" t="inlineStr">
        <is>
          <t>$\frac{dV}{dt}=kV^2$ gives $\frac1{V_0}-\frac1V=kt$</t>
        </is>
      </c>
      <c r="N90" s="3" t="inlineStr">
        <is>
          <t>A single standard separable rate equation applied twice with substitution; one familiar move, no ambiguity. JEE-Main-level DE.</t>
        </is>
      </c>
      <c r="O90" s="3" t="inlineStr">
        <is>
          <t>2024-P2-Q3 (L1) / 2026-P2-Q3 (L2)</t>
        </is>
      </c>
      <c r="P90" s="2" t="inlineStr">
        <is>
          <t>High</t>
        </is>
      </c>
    </row>
    <row r="91">
      <c r="A91" s="2" t="n">
        <v>90</v>
      </c>
      <c r="B91" s="2" t="inlineStr"/>
      <c r="C91" s="2" t="inlineStr">
        <is>
          <t>Q90</t>
        </is>
      </c>
      <c r="D91" s="2" t="inlineStr">
        <is>
          <t>Numerical</t>
        </is>
      </c>
      <c r="E91" s="3" t="inlineStr">
        <is>
          <t>Area Under Curve</t>
        </is>
      </c>
      <c r="F91" s="2" t="n">
        <v>4</v>
      </c>
      <c r="G91" s="4" t="n">
        <v>2</v>
      </c>
      <c r="H91" s="4" t="inlineStr">
        <is>
          <t>Easier than Advanced</t>
        </is>
      </c>
      <c r="I91" s="5" t="n">
        <v>0</v>
      </c>
      <c r="J91" s="5" t="n">
        <v>0</v>
      </c>
      <c r="K91" s="5">
        <f>MIN(5,MAX(G91+I91,J91))</f>
        <v/>
      </c>
      <c r="L91" s="5">
        <f>F91*K91</f>
        <v/>
      </c>
      <c r="M91" s="3" t="inlineStr">
        <is>
          <t>Rebuild $f$ piecewise from the two functional relations, then integrate</t>
        </is>
      </c>
      <c r="N91" s="3" t="inlineStr">
        <is>
          <t>Translating two functional relations into four pieces and noticing positivity, then four routine integrals; careful bookkeeping but no new idea. Routine chain, L2.</t>
        </is>
      </c>
      <c r="O91" s="3" t="inlineStr">
        <is>
          <t>2024-P2-Q13 (L4) / 2026-P2-Q15 (L2)</t>
        </is>
      </c>
      <c r="P91" s="2" t="inlineStr">
        <is>
          <t>Medium</t>
        </is>
      </c>
    </row>
    <row r="92">
      <c r="A92" s="2" t="n">
        <v>91</v>
      </c>
      <c r="B92" s="2" t="inlineStr"/>
      <c r="C92" s="2" t="inlineStr">
        <is>
          <t>Q91</t>
        </is>
      </c>
      <c r="D92" s="2" t="inlineStr">
        <is>
          <t>Numerical</t>
        </is>
      </c>
      <c r="E92" s="3" t="inlineStr">
        <is>
          <t>Differential Equations &amp; Definite Integration</t>
        </is>
      </c>
      <c r="F92" s="2" t="n">
        <v>4</v>
      </c>
      <c r="G92" s="6" t="n">
        <v>3</v>
      </c>
      <c r="H92" s="6" t="inlineStr">
        <is>
          <t>Average Advanced</t>
        </is>
      </c>
      <c r="I92" s="5" t="n">
        <v>0</v>
      </c>
      <c r="J92" s="5" t="n">
        <v>0</v>
      </c>
      <c r="K92" s="5">
        <f>MIN(5,MAX(G92+I92,J92))</f>
        <v/>
      </c>
      <c r="L92" s="5">
        <f>F92*K92</f>
        <v/>
      </c>
      <c r="M92" s="3" t="inlineStr">
        <is>
          <t>Solve $f'=f^2$ for $f$, then $\frac{x^2+1}{x^4+1}$ via $x-\frac1x=t$</t>
        </is>
      </c>
      <c r="N92" s="3" t="inlineStr">
        <is>
          <t>Two linked ideas: separable DE giving $f=-1/(x+1)$ and the $x-\frac1x$ substitution for $\frac{x^2+1}{x^4+1}$; the second trick is well known but must be recognised unprompted; numerical. Reconstruction of the coefficient noted.</t>
        </is>
      </c>
      <c r="O92" s="3" t="inlineStr">
        <is>
          <t>2025-P2-Q16 (L4) / 2026-P2-Q4 (L1)</t>
        </is>
      </c>
      <c r="P92" s="2" t="inlineStr">
        <is>
          <t>Medium</t>
        </is>
      </c>
    </row>
    <row r="93">
      <c r="A93" s="2" t="n">
        <v>92</v>
      </c>
      <c r="B93" s="2" t="inlineStr"/>
      <c r="C93" s="2" t="inlineStr">
        <is>
          <t>Q92</t>
        </is>
      </c>
      <c r="D93" s="2" t="inlineStr">
        <is>
          <t>Numerical</t>
        </is>
      </c>
      <c r="E93" s="3" t="inlineStr">
        <is>
          <t>Differential Equation</t>
        </is>
      </c>
      <c r="F93" s="2" t="n">
        <v>4</v>
      </c>
      <c r="G93" s="6" t="n">
        <v>3</v>
      </c>
      <c r="H93" s="6" t="inlineStr">
        <is>
          <t>Average Advanced</t>
        </is>
      </c>
      <c r="I93" s="5" t="n">
        <v>0</v>
      </c>
      <c r="J93" s="5" t="n">
        <v>0</v>
      </c>
      <c r="K93" s="5">
        <f>MIN(5,MAX(G93+I93,J93))</f>
        <v/>
      </c>
      <c r="L93" s="5">
        <f>F93*K93</f>
        <v/>
      </c>
      <c r="M93" s="3" t="inlineStr">
        <is>
          <t>Spot that $2e^{g^2}$ makes the left side $\frac{d}{dx}(e^{g^2}y^2)$ (or put $w=1-y^2$), then use $g(e)=g(0)$.</t>
        </is>
      </c>
      <c r="N93" s="3" t="inlineStr">
        <is>
          <t>Needs two linked ideas: y^2 as the unknown and an integrating factor built from an abstract g; there are no options to check. Each step is routine once seen, so below L4 but above the routine linear/separable DE anchors (L2).</t>
        </is>
      </c>
      <c r="O93" s="3" t="inlineStr">
        <is>
          <t>2025-P2-Q9 (L2, homogeneous DE); 2023-P2-Q9 (L2, linear DE)</t>
        </is>
      </c>
      <c r="P93" s="2" t="inlineStr">
        <is>
          <t>Medium</t>
        </is>
      </c>
    </row>
    <row r="94">
      <c r="A94" s="2" t="n">
        <v>93</v>
      </c>
      <c r="B94" s="2" t="inlineStr"/>
      <c r="C94" s="2" t="inlineStr">
        <is>
          <t>Q93</t>
        </is>
      </c>
      <c r="D94" s="2" t="inlineStr">
        <is>
          <t>Numerical</t>
        </is>
      </c>
      <c r="E94" s="3" t="inlineStr">
        <is>
          <t>Differential Equation</t>
        </is>
      </c>
      <c r="F94" s="2" t="n">
        <v>4</v>
      </c>
      <c r="G94" s="6" t="n">
        <v>3</v>
      </c>
      <c r="H94" s="6" t="inlineStr">
        <is>
          <t>Average Advanced</t>
        </is>
      </c>
      <c r="I94" s="5" t="n">
        <v>0</v>
      </c>
      <c r="J94" s="5" t="n">
        <v>0</v>
      </c>
      <c r="K94" s="5">
        <f>MIN(5,MAX(G94+I94,J94))</f>
        <v/>
      </c>
      <c r="L94" s="5">
        <f>F94*K94</f>
        <v/>
      </c>
      <c r="M94" s="3" t="inlineStr">
        <is>
          <t>Solve the separable DE to $f=Ae^{x}(\ln x)^{2n}$ and see that $n\to\infty$ kills $f$ exactly on $(1/e,e)$.</t>
        </is>
      </c>
      <c r="N94" s="3" t="inlineStr">
        <is>
          <t>Standard separable DE (L2 level) followed by a limit-of-powers case analysis and the trick that endpoint values do not matter; the infinite values outside the interval are a distraction. Numerical, no options.</t>
        </is>
      </c>
      <c r="O94" s="3" t="inlineStr">
        <is>
          <t>2026-P2-Q3 (L2, separable DE); 2021-P2-Q9 (L4, integral with parity analysis)</t>
        </is>
      </c>
      <c r="P94" s="2" t="inlineStr">
        <is>
          <t>Medium</t>
        </is>
      </c>
    </row>
    <row r="95">
      <c r="A95" s="2" t="n">
        <v>94</v>
      </c>
      <c r="B95" s="2" t="inlineStr"/>
      <c r="C95" s="2" t="inlineStr">
        <is>
          <t>Q94</t>
        </is>
      </c>
      <c r="D95" s="2" t="inlineStr">
        <is>
          <t>Numerical</t>
        </is>
      </c>
      <c r="E95" s="3" t="inlineStr">
        <is>
          <t>Differential Equation</t>
        </is>
      </c>
      <c r="F95" s="2" t="n">
        <v>4</v>
      </c>
      <c r="G95" s="7" t="n">
        <v>4</v>
      </c>
      <c r="H95" s="7" t="inlineStr">
        <is>
          <t>Slightly difficult</t>
        </is>
      </c>
      <c r="I95" s="5" t="n">
        <v>0</v>
      </c>
      <c r="J95" s="5" t="n">
        <v>0</v>
      </c>
      <c r="K95" s="5">
        <f>MIN(5,MAX(G95+I95,J95))</f>
        <v/>
      </c>
      <c r="L95" s="5">
        <f>F95*K95</f>
        <v/>
      </c>
      <c r="M95" s="3" t="inlineStr">
        <is>
          <t>Translate the tangent condition into $g'=Cg$, get $k=12$ from the area, then use the three-tangent triangle formula with $\cot\theta=t$.</t>
        </is>
      </c>
      <c r="N95" s="3" t="inlineStr">
        <is>
          <t>Three-stage chain across three chapters (tangent condition to DE, area, parabola tangents) with the value k carried from one part to the next; no options to check. Each stage is moderate, but a slip anywhere ruins the answer. Question-stem style, sits with the L4 stem anchors.</t>
        </is>
      </c>
      <c r="O95" s="3" t="inlineStr">
        <is>
          <t>2024-P2-Q17 (L3, stem needing area interpretation); 2025-P2-Q6 (L4, area and parabola chords)</t>
        </is>
      </c>
      <c r="P95" s="2" t="inlineStr">
        <is>
          <t>Medium</t>
        </is>
      </c>
    </row>
    <row r="96">
      <c r="A96" s="2" t="n">
        <v>95</v>
      </c>
      <c r="B96" s="2" t="inlineStr"/>
      <c r="C96" s="2" t="inlineStr">
        <is>
          <t>Q95</t>
        </is>
      </c>
      <c r="D96" s="2" t="inlineStr">
        <is>
          <t>Numerical</t>
        </is>
      </c>
      <c r="E96" s="3" t="inlineStr">
        <is>
          <t>Differential Equation</t>
        </is>
      </c>
      <c r="F96" s="2" t="n">
        <v>4</v>
      </c>
      <c r="G96" s="4" t="n">
        <v>2</v>
      </c>
      <c r="H96" s="4" t="inlineStr">
        <is>
          <t>Easier than Advanced</t>
        </is>
      </c>
      <c r="I96" s="5" t="n">
        <v>0</v>
      </c>
      <c r="J96" s="5" t="n">
        <v>0</v>
      </c>
      <c r="K96" s="5">
        <f>MIN(5,MAX(G96+I96,J96))</f>
        <v/>
      </c>
      <c r="L96" s="5">
        <f>F96*K96</f>
        <v/>
      </c>
      <c r="M96" s="3" t="inlineStr">
        <is>
          <t>Spot $x+y=(x+2)+(y-2)$, shift the origin, then solve the homogeneous equation with $Y=vX$.</t>
        </is>
      </c>
      <c r="N96" s="3" t="inlineStr">
        <is>
          <t>Routine chain: expand, shift origin, homogeneous substitution, one partial-fraction integral; no insight beyond standard DE technique. Same demand as the homogeneous-type DE anchor.</t>
        </is>
      </c>
      <c r="O96" s="3" t="inlineStr">
        <is>
          <t>2025-P2-Q9 (L2, homogeneous-type DE); 2026-P2-Q3 (L2)</t>
        </is>
      </c>
      <c r="P96" s="2" t="inlineStr">
        <is>
          <t>High</t>
        </is>
      </c>
    </row>
    <row r="97">
      <c r="A97" s="2" t="n">
        <v>96</v>
      </c>
      <c r="B97" s="2" t="inlineStr"/>
      <c r="C97" s="2" t="inlineStr">
        <is>
          <t>Q96</t>
        </is>
      </c>
      <c r="D97" s="2" t="inlineStr">
        <is>
          <t>Numerical</t>
        </is>
      </c>
      <c r="E97" s="3" t="inlineStr">
        <is>
          <t>Area Under Curve</t>
        </is>
      </c>
      <c r="F97" s="2" t="n">
        <v>4</v>
      </c>
      <c r="G97" s="4" t="n">
        <v>2</v>
      </c>
      <c r="H97" s="4" t="inlineStr">
        <is>
          <t>Easier than Advanced</t>
        </is>
      </c>
      <c r="I97" s="5" t="n">
        <v>0</v>
      </c>
      <c r="J97" s="5" t="n">
        <v>0</v>
      </c>
      <c r="K97" s="5">
        <f>MIN(5,MAX(G97+I97,J97))</f>
        <v/>
      </c>
      <c r="L97" s="5">
        <f>F97*K97</f>
        <v/>
      </c>
      <c r="M97" s="3" t="inlineStr">
        <is>
          <t>Differentiate $\int_0^xf=\lambda f^{n+1}$ to get a separable DE, integrate with $f(0)=0$ and use $f(1)=1$.</t>
        </is>
      </c>
      <c r="N97" s="3" t="inlineStr">
        <is>
          <t>Integral equation to separable DE, three routine steps with a symbolic n; the wording is the only difficulty. Same demand as the integral-equation anchor (L2).</t>
        </is>
      </c>
      <c r="O97" s="3" t="inlineStr">
        <is>
          <t>2023-P2-Q1 (L2, integral equation to linear DE)</t>
        </is>
      </c>
      <c r="P97" s="2" t="inlineStr">
        <is>
          <t>Medium</t>
        </is>
      </c>
    </row>
    <row r="98">
      <c r="A98" s="2" t="n">
        <v>97</v>
      </c>
      <c r="B98" s="2" t="inlineStr"/>
      <c r="C98" s="2" t="inlineStr">
        <is>
          <t>Q97</t>
        </is>
      </c>
      <c r="D98" s="2" t="inlineStr">
        <is>
          <t>Numerical</t>
        </is>
      </c>
      <c r="E98" s="3" t="inlineStr">
        <is>
          <t>Definite Integration</t>
        </is>
      </c>
      <c r="F98" s="2" t="n">
        <v>4</v>
      </c>
      <c r="G98" s="4" t="n">
        <v>2</v>
      </c>
      <c r="H98" s="4" t="inlineStr">
        <is>
          <t>Easier than Advanced</t>
        </is>
      </c>
      <c r="I98" s="5" t="n">
        <v>0</v>
      </c>
      <c r="J98" s="5" t="n">
        <v>0</v>
      </c>
      <c r="K98" s="5">
        <f>MIN(5,MAX(G98+I98,J98))</f>
        <v/>
      </c>
      <c r="L98" s="5">
        <f>F98*K98</f>
        <v/>
      </c>
      <c r="M98" s="3" t="inlineStr">
        <is>
          <t>Use $1\le\sin x+\cos x\le\sqrt2$ and monotonicity of $x^s$ in $s$ on $(0,1]$ to sandwich the integrand between $x$ and $x^{\sqrt2}$.</t>
        </is>
      </c>
      <c r="N98" s="3" t="inlineStr">
        <is>
          <t>One standard bounding idea (monotone in the exponent) plus a numerical comparison; no hidden difficulty and the answer is a proof. Easier than the L3 integral-inequality anchors, which need an extra observation.</t>
        </is>
      </c>
      <c r="O98" s="3" t="inlineStr">
        <is>
          <t>2023-P2-Q8 (L3, integral with bounds); 2021-P2-Q16 (L3, inequality statements)</t>
        </is>
      </c>
      <c r="P98" s="2" t="inlineStr">
        <is>
          <t>Medium</t>
        </is>
      </c>
    </row>
    <row r="99">
      <c r="A99" s="2" t="n">
        <v>98</v>
      </c>
      <c r="B99" s="2" t="inlineStr"/>
      <c r="C99" s="2" t="inlineStr">
        <is>
          <t>Q98</t>
        </is>
      </c>
      <c r="D99" s="2" t="inlineStr">
        <is>
          <t>Numerical</t>
        </is>
      </c>
      <c r="E99" s="3" t="inlineStr">
        <is>
          <t>Definite Integration</t>
        </is>
      </c>
      <c r="F99" s="2" t="n">
        <v>4</v>
      </c>
      <c r="G99" s="8" t="n">
        <v>1</v>
      </c>
      <c r="H99" s="8" t="inlineStr">
        <is>
          <t>JEE Main level</t>
        </is>
      </c>
      <c r="I99" s="5" t="n">
        <v>0</v>
      </c>
      <c r="J99" s="5" t="n">
        <v>0</v>
      </c>
      <c r="K99" s="5">
        <f>MIN(5,MAX(G99+I99,J99))</f>
        <v/>
      </c>
      <c r="L99" s="5">
        <f>F99*K99</f>
        <v/>
      </c>
      <c r="M99" s="3" t="inlineStr">
        <is>
          <t>Apply the Leibniz rule to $g(x)=\int_x^{2x}\frac{f(t)}{t}dt$ and use $f(2x)=f(x)$.</t>
        </is>
      </c>
      <c r="N99" s="3" t="inlineStr">
        <is>
          <t>A single familiar move (Leibniz differentiation) followed by substituting the given functional relation; a proof-type question with no computation. JEE-Main level.</t>
        </is>
      </c>
      <c r="O99" s="3" t="inlineStr">
        <is>
          <t>2024-P2-Q3 (L1, one standard move); 2021-P2-Q3 (L2, IVT/Rolle on integral)</t>
        </is>
      </c>
      <c r="P99" s="2" t="inlineStr">
        <is>
          <t>Medium</t>
        </is>
      </c>
    </row>
    <row r="100">
      <c r="A100" s="2" t="n">
        <v>99</v>
      </c>
      <c r="B100" s="2" t="inlineStr"/>
      <c r="C100" s="2" t="inlineStr">
        <is>
          <t>Q99</t>
        </is>
      </c>
      <c r="D100" s="2" t="inlineStr">
        <is>
          <t>Numerical</t>
        </is>
      </c>
      <c r="E100" s="3" t="inlineStr">
        <is>
          <t>Definite Integration</t>
        </is>
      </c>
      <c r="F100" s="2" t="n">
        <v>4</v>
      </c>
      <c r="G100" s="4" t="n">
        <v>2</v>
      </c>
      <c r="H100" s="4" t="inlineStr">
        <is>
          <t>Easier than Advanced</t>
        </is>
      </c>
      <c r="I100" s="5" t="n">
        <v>0</v>
      </c>
      <c r="J100" s="5" t="n">
        <v>0</v>
      </c>
      <c r="K100" s="5">
        <f>MIN(5,MAX(G100+I100,J100))</f>
        <v/>
      </c>
      <c r="L100" s="5">
        <f>F100*K100</f>
        <v/>
      </c>
      <c r="M100" s="3" t="inlineStr">
        <is>
          <t>Use $f'(x)=(x-3)(x-4)$ to locate the minimum at $x=4$, then compare $f(3)$, $f(4)$, $f(6)$.</t>
        </is>
      </c>
      <c r="N100" s="3" t="inlineStr">
        <is>
          <t>Three routine steps: FTC derivative, sign analysis, evaluation of two integrals; no real insight. Slightly longer than a single-move L1 question and easier than the L3 piecewise g=integral anchor.</t>
        </is>
      </c>
      <c r="O100" s="3" t="inlineStr">
        <is>
          <t>2024-P2-Q13 (L3, g defined by integral, zeros and derivative); 2024-P2-Q10 (L1)</t>
        </is>
      </c>
      <c r="P100" s="2" t="inlineStr">
        <is>
          <t>High</t>
        </is>
      </c>
    </row>
    <row r="101">
      <c r="A101" s="2" t="n">
        <v>100</v>
      </c>
      <c r="B101" s="2" t="inlineStr"/>
      <c r="C101" s="2" t="inlineStr">
        <is>
          <t>Q100</t>
        </is>
      </c>
      <c r="D101" s="2" t="inlineStr">
        <is>
          <t>MTC SCQ</t>
        </is>
      </c>
      <c r="E101" s="3" t="inlineStr">
        <is>
          <t>Definite Integration</t>
        </is>
      </c>
      <c r="F101" s="2" t="n">
        <v>3</v>
      </c>
      <c r="G101" s="6" t="n">
        <v>3</v>
      </c>
      <c r="H101" s="6" t="inlineStr">
        <is>
          <t>Average Advanced</t>
        </is>
      </c>
      <c r="I101" s="5" t="n">
        <v>0</v>
      </c>
      <c r="J101" s="5" t="n">
        <v>0</v>
      </c>
      <c r="K101" s="5">
        <f>MIN(5,MAX(G101+I101,J101))</f>
        <v/>
      </c>
      <c r="L101" s="5">
        <f>F101*K101</f>
        <v/>
      </c>
      <c r="M101" s="3" t="inlineStr">
        <is>
          <t>Four independent computations; the hard ones are the $0/0$ expansion in (a) and the limit of a ratio of integrals over shrinking intervals in (d).</t>
        </is>
      </c>
      <c r="N101" s="3" t="inlineStr">
        <is>
          <t>Four items, each needing a few steps (Taylor expansion, 6th-power substitution, exact-derivative recognition, shrinking-interval ratio); elimination helps little because the options are defective. Comparable to the L3 four-item matching anchors, above the short-part L1 matching ones.</t>
        </is>
      </c>
      <c r="O101" s="3" t="inlineStr">
        <is>
          <t>2026-P1-Q13 (L3, MTC with four computations); 2025-P1-Q15 (L1, short parts)</t>
        </is>
      </c>
      <c r="P101" s="2" t="inlineStr">
        <is>
          <t>Low</t>
        </is>
      </c>
    </row>
    <row r="102">
      <c r="A102" s="2" t="n">
        <v>101</v>
      </c>
      <c r="B102" s="2" t="inlineStr"/>
      <c r="C102" s="2" t="inlineStr">
        <is>
          <t>Q101</t>
        </is>
      </c>
      <c r="D102" s="2" t="inlineStr">
        <is>
          <t>MTC SCQ</t>
        </is>
      </c>
      <c r="E102" s="3" t="inlineStr">
        <is>
          <t>Definite Integration</t>
        </is>
      </c>
      <c r="F102" s="2" t="n">
        <v>3</v>
      </c>
      <c r="G102" s="4" t="n">
        <v>2</v>
      </c>
      <c r="H102" s="4" t="inlineStr">
        <is>
          <t>Easier than Advanced</t>
        </is>
      </c>
      <c r="I102" s="5" t="n">
        <v>0</v>
      </c>
      <c r="J102" s="5" t="n">
        <v>0</v>
      </c>
      <c r="K102" s="5">
        <f>MIN(5,MAX(G102+I102,J102))</f>
        <v/>
      </c>
      <c r="L102" s="5">
        <f>F102*K102</f>
        <v/>
      </c>
      <c r="M102" s="3" t="inlineStr">
        <is>
          <t>Four short standard computations: trig substitution, inverse-function derivative, Riemann sum, Leibniz rule.</t>
        </is>
      </c>
      <c r="N102" s="3" t="inlineStr">
        <is>
          <t>Each item is one familiar move (trig substitution, reciprocal derivative, sum to integral, Leibniz); four routine steps overall, options allow elimination. Slightly above the L1 short-part matching anchors, below the L3 matching ones.</t>
        </is>
      </c>
      <c r="O102" s="3" t="inlineStr">
        <is>
          <t>2025-P1-Q15 (L1, short parts); 2026-P1-Q13 (L3, matching)</t>
        </is>
      </c>
      <c r="P102" s="2" t="inlineStr">
        <is>
          <t>Medium</t>
        </is>
      </c>
    </row>
    <row r="103">
      <c r="A103" s="2" t="n">
        <v>102</v>
      </c>
      <c r="B103" s="2" t="inlineStr"/>
      <c r="C103" s="2" t="inlineStr">
        <is>
          <t>Q102</t>
        </is>
      </c>
      <c r="D103" s="2" t="inlineStr">
        <is>
          <t>MTC SCQ</t>
        </is>
      </c>
      <c r="E103" s="3" t="inlineStr">
        <is>
          <t>Indefinite Integration</t>
        </is>
      </c>
      <c r="F103" s="2" t="n">
        <v>3</v>
      </c>
      <c r="G103" s="4" t="n">
        <v>2</v>
      </c>
      <c r="H103" s="4" t="inlineStr">
        <is>
          <t>Easier than Advanced</t>
        </is>
      </c>
      <c r="I103" s="5" t="n">
        <v>0</v>
      </c>
      <c r="J103" s="5" t="n">
        <v>0</v>
      </c>
      <c r="K103" s="5">
        <f>MIN(5,MAX(G103+I103,J103))</f>
        <v/>
      </c>
      <c r="L103" s="5">
        <f>F103*K103</f>
        <v/>
      </c>
      <c r="M103" s="3" t="inlineStr">
        <is>
          <t>Four standard one-move evaluations; the only care is that $2$ and $4$ are natural numbers, so (a),(b),(c) also match (t).</t>
        </is>
      </c>
      <c r="N103" s="3" t="inlineStr">
        <is>
          <t>Each item is a textbook computation (cos^5 by sin x = t, partial fractions, parametric second derivative, a limit giving ln L = 0); the matching with multiple letters needs attention but no insight.</t>
        </is>
      </c>
      <c r="O103" s="3" t="inlineStr">
        <is>
          <t>2025-P1-Q15 (L1, short parts); 2026-P1-Q13 (L3, matching)</t>
        </is>
      </c>
      <c r="P103" s="2" t="inlineStr">
        <is>
          <t>Medium</t>
        </is>
      </c>
    </row>
    <row r="104">
      <c r="A104" s="2" t="n">
        <v>103</v>
      </c>
      <c r="B104" s="2" t="inlineStr"/>
      <c r="C104" s="2" t="inlineStr">
        <is>
          <t>Q103</t>
        </is>
      </c>
      <c r="D104" s="2" t="inlineStr">
        <is>
          <t>MTC SCQ</t>
        </is>
      </c>
      <c r="E104" s="3" t="inlineStr">
        <is>
          <t>Indefinite Integration</t>
        </is>
      </c>
      <c r="F104" s="2" t="n">
        <v>3</v>
      </c>
      <c r="G104" s="4" t="n">
        <v>2</v>
      </c>
      <c r="H104" s="4" t="inlineStr">
        <is>
          <t>Easier than Advanced</t>
        </is>
      </c>
      <c r="I104" s="5" t="n">
        <v>0</v>
      </c>
      <c r="J104" s="5" t="n">
        <v>0</v>
      </c>
      <c r="K104" s="5">
        <f>MIN(5,MAX(G104+I104,J104))</f>
        <v/>
      </c>
      <c r="L104" s="5">
        <f>F104*K104</f>
        <v/>
      </c>
      <c r="M104" s="3" t="inlineStr">
        <is>
          <t>Same four standard evaluations as Q102; the question as printed has no matching option (key B is for a lost version).</t>
        </is>
      </c>
      <c r="N104" s="3" t="inlineStr">
        <is>
          <t>Items identical to Q102 (textbook one-move evaluations), so same level; the defective option set does not change the mathematics.</t>
        </is>
      </c>
      <c r="O104" s="3" t="inlineStr">
        <is>
          <t>2025-P1-Q15 (L1, short parts); 2026-P1-Q13 (L3, matching)</t>
        </is>
      </c>
      <c r="P104" s="2" t="inlineStr">
        <is>
          <t>Low</t>
        </is>
      </c>
    </row>
    <row r="106">
      <c r="A106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B1 Assignment Integral Calculus.pdf   |   Evaluated on: 2026-10-08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COUNTIF(Evaluation!$G$2:$G$104,A5)</f>
        <v/>
      </c>
      <c r="D5" s="11">
        <f>SUMIF(Evaluation!$G$2:$G$104,A5,Evaluation!$F$2:$F$104)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COUNTIF(Evaluation!$G$2:$G$104,A6)</f>
        <v/>
      </c>
      <c r="D6" s="13">
        <f>SUMIF(Evaluation!$G$2:$G$104,A6,Evaluation!$F$2:$F$104)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COUNTIF(Evaluation!$G$2:$G$104,A7)</f>
        <v/>
      </c>
      <c r="D7" s="15">
        <f>SUMIF(Evaluation!$G$2:$G$104,A7,Evaluation!$F$2:$F$104)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COUNTIF(Evaluation!$G$2:$G$104,A8)</f>
        <v/>
      </c>
      <c r="D8" s="17">
        <f>SUMIF(Evaluation!$G$2:$G$104,A8,Evaluation!$F$2:$F$104)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COUNTIF(Evaluation!$G$2:$G$104,A9)</f>
        <v/>
      </c>
      <c r="D9" s="19">
        <f>SUMIF(Evaluation!$G$2:$G$104,A9,Evaluation!$F$2:$F$104)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COUNTIF(Evaluation!$G$2:$G$104,A10)</f>
        <v/>
      </c>
      <c r="D10" s="21">
        <f>SUMIF(Evaluation!$G$2:$G$104,A10,Evaluation!$F$2:$F$104)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SUM(Evaluation!$L$2:$L$104)/SUM(Evaluation!$F$2:$F$104)</f>
        <v/>
      </c>
      <c r="C14" s="24">
        <f>SUMPRODUCT(Evaluation!$F$2:$F$104,Evaluation!$G$2:$G$104)/SUM(Evaluation!$F$2:$F$104)</f>
        <v/>
      </c>
      <c r="D14" s="23">
        <f>SUM(Evaluation!$F$2:$F$104)</f>
        <v/>
      </c>
      <c r="E14" s="24">
        <f>AVERAGE(Evaluation!$G$2:$G$104)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2026-10-08T08:08:26Z</dcterms:created>
  <dcterms:modified xmlns:dcterms="http://purl.org/dc/terms/" xmlns:xsi="http://www.w3.org/2001/XMLSchema-instance" xsi:type="dcterms:W3CDTF">2026-10-08T08:08:26Z</dcterms:modified>
</cp:coreProperties>
</file>