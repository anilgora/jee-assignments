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Statistics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Variance $np(1-p)$ gives $n=4$; then $P(X\ge2)=1-P(0)-P(1)$ since the mean is $1.6$.</t>
        </is>
      </c>
      <c r="N2" s="3" t="inlineStr">
        <is>
          <t>Two routine formulas (variance, binomial pmf) and a complement; no decision beyond rounding the mean up to 2.</t>
        </is>
      </c>
      <c r="O2" s="3" t="inlineStr">
        <is>
          <t>2021-P2-Q17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Statistics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Subtracting the two sums of squares gives $\sum x_i=40$ and $\sum x_i^2=180$; then $(6+k)^2+45=46$.</t>
        </is>
      </c>
      <c r="N3" s="3" t="inlineStr">
        <is>
          <t>Four chained routine steps (sums, mean, variance, transformation law) ending in a quadratic; nothing unfamiliar.</t>
        </is>
      </c>
      <c r="O3" s="3" t="inlineStr">
        <is>
          <t>2026-P2-Q12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Limit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Cancel the $x$ coefficient to get $a=b$, then $\frac{\sqrt{1+x^2}-1}{x}=\tan\frac{\theta}{2}$ for $x=\tan\theta$ so $f=\frac12\tan^{-1}x$.</t>
        </is>
      </c>
      <c r="N4" s="3" t="inlineStr">
        <is>
          <t>Series limit to find a, b plus a standard half-angle simplification before differentiating; two familiar tricks in sequence.</t>
        </is>
      </c>
      <c r="O4" s="3" t="inlineStr">
        <is>
          <t>2026-P2-Q3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Permutation &amp; Combination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No two odd digits adjacent: arrange the evens first and put the odds in the gaps, over three cases by number of odd digits.</t>
        </is>
      </c>
      <c r="N5" s="3" t="inlineStr">
        <is>
          <t>Standard gap method with three cases; counts are small and options allow checking.</t>
        </is>
      </c>
      <c r="O5" s="3" t="inlineStr">
        <is>
          <t>2024-P1-Q11 (L4) is much heavier; closer to 2021-P2-Q1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MCQ</t>
        </is>
      </c>
      <c r="E6" s="3" t="inlineStr">
        <is>
          <t>ITF</t>
        </is>
      </c>
      <c r="F6" s="2" t="n">
        <v>4</v>
      </c>
      <c r="G6" s="7" t="n">
        <v>3</v>
      </c>
      <c r="H6" s="7" t="inlineStr">
        <is>
          <t>Average Advanced</t>
        </is>
      </c>
      <c r="I6" s="5" t="n">
        <v>0</v>
      </c>
      <c r="J6" s="5" t="n">
        <v>2.5</v>
      </c>
      <c r="K6" s="5">
        <f>MIN(5,MAX(G6+I6,J6))</f>
        <v/>
      </c>
      <c r="L6" s="5">
        <f>F6*K6</f>
        <v/>
      </c>
      <c r="M6" s="3" t="inlineStr">
        <is>
          <t>The sum telescopes to $\tan^{-1}x$ (odd extension), and $\cos^{-1}\frac{1-x^2}{1+x^2}=2|\tan^{-1}x|$, so $f=3\tan^{-1}x$ for $x\ge0$ and $-\tan^{-1}x$ for $x&lt;0$.</t>
        </is>
      </c>
      <c r="N6" s="3" t="inlineStr">
        <is>
          <t>Telescoping tan^-1 series with branch care, then a piecewise function whose graph decides four statements (continuity, differentiability, extremum, solution counts). Two concepts, so the 2.5 floor applies but does not bind.</t>
        </is>
      </c>
      <c r="O6" s="3" t="inlineStr">
        <is>
          <t>2021-P1-Q15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MCQ</t>
        </is>
      </c>
      <c r="E7" s="3" t="inlineStr">
        <is>
          <t>Probability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Linear pmf $a+bk$: the two conditions $\sum p=1$, $E[X]=2$ give $a=b=\frac1{10}$; each statement is then a direct computation.</t>
        </is>
      </c>
      <c r="N7" s="3" t="inlineStr">
        <is>
          <t>Two linear equations then four short routine evaluations (tail, variance, conditional probability, scaling law); nothing needs insight.</t>
        </is>
      </c>
      <c r="O7" s="3" t="inlineStr">
        <is>
          <t>2026-P1-Q5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MCQ</t>
        </is>
      </c>
      <c r="E8" s="3" t="inlineStr">
        <is>
          <t>Continuity &amp; Differentiability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2.5</v>
      </c>
      <c r="K8" s="5">
        <f>MIN(5,MAX(G8+I8,J8))</f>
        <v/>
      </c>
      <c r="L8" s="5">
        <f>F8*K8</f>
        <v/>
      </c>
      <c r="M8" s="3" t="inlineStr">
        <is>
          <t>$f=t\lfloor 1/t\rfloor$ with $t=\{x\}$ lies in $(1-t,1]$ so $f\to1$ at integers, yet $\frac{f(x)-1}{x}=-\{1/x\}$ oscillates; $g=\sin^2(\pi x)f$ kills the oscillation and keeps the jumps at $n+\frac1m$.</t>
        </is>
      </c>
      <c r="N8" s="3" t="inlineStr">
        <is>
          <t>Four statements each needing a real check on a fractional-part/greatest-integer function: continuity by squeeze, non-differentiability by oscillation, differentiability of g, and equality of discontinuity sets. Several concepts so the 2.5 floor applies but does not bind.</t>
        </is>
      </c>
      <c r="O8" s="3" t="inlineStr">
        <is>
          <t>2026-P1-Q7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MCQ</t>
        </is>
      </c>
      <c r="E9" s="3" t="inlineStr">
        <is>
          <t>Probability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Complement of the union is the single colour order G,B,R; with $P(E_i)=\frac7{12}$ and symmetry of the pair intersections, inclusion-exclusion gives every statement.</t>
        </is>
      </c>
      <c r="N9" s="3" t="inlineStr">
        <is>
          <t>Three overlapping events on sequential draws, four numerical statements each needing exact fractions; the symmetry insight shortens it but a slip in any fraction is costly.</t>
        </is>
      </c>
      <c r="O9" s="3" t="inlineStr">
        <is>
          <t>2021-P1-Q13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MCQ</t>
        </is>
      </c>
      <c r="E10" s="3" t="inlineStr">
        <is>
          <t>Permutation &amp; Combination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Gap method for (A) and (D), mirror-half for the palindrome (B), and inclusion-exclusion over three blocks for (C), which gives 1806, not 1890.</t>
        </is>
      </c>
      <c r="N10" s="3" t="inlineStr">
        <is>
          <t>Four counting statements with repeated letters, each needing its own technique and exact arithmetic; (C) is a near-miss trap.</t>
        </is>
      </c>
      <c r="O10" s="3" t="inlineStr">
        <is>
          <t>2021-P2-Q1 (L2) lighter; 2026-P1-Q11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MCQ</t>
        </is>
      </c>
      <c r="E11" s="3" t="inlineStr">
        <is>
          <t>Binomial Theorem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$A_n=\binom{2n}{n}$ by Vandermonde, $B_n=nA_n-B_n$ by $r\to n-r$, and $r\binom nr=n\binom{n-1}{r-1}$ for $C_n$; the ratio then follows.</t>
        </is>
      </c>
      <c r="N11" s="3" t="inlineStr">
        <is>
          <t>Three standard identities each needing a recognised trick, then comparison of expressions; every statement must be judged.</t>
        </is>
      </c>
      <c r="O11" s="3" t="inlineStr">
        <is>
          <t>2025-P2-Q10 (L4) heavier; 2023-P1-Q13 (L1) lighter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MTC SCQ</t>
        </is>
      </c>
      <c r="E12" s="3" t="inlineStr">
        <is>
          <t>Permutation &amp; Combination</t>
        </is>
      </c>
      <c r="F12" s="2" t="n">
        <v>3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Four short counting items: multinomial coefficient, gap method, combinations, divisibility by 3 by omitting digit 3.</t>
        </is>
      </c>
      <c r="N12" s="3" t="inlineStr">
        <is>
          <t>Four independent routine counts, elimination possible from the options; typical matching level.</t>
        </is>
      </c>
      <c r="O12" s="3" t="inlineStr">
        <is>
          <t>2026-P1-Q15 is harder; 2023-P1-Q15 (L0) is easier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MTC SCQ</t>
        </is>
      </c>
      <c r="E13" s="3" t="inlineStr">
        <is>
          <t>Permutation &amp; Combination</t>
        </is>
      </c>
      <c r="F13" s="2" t="n">
        <v>3</v>
      </c>
      <c r="G13" s="4" t="n">
        <v>1</v>
      </c>
      <c r="H13" s="4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Four direct textbook counts (equal groups, coin tosses, committee, non-consecutive pair).</t>
        </is>
      </c>
      <c r="N13" s="3" t="inlineStr">
        <is>
          <t>Each item is a single standard formula or short count; options plus elimination make it easy.</t>
        </is>
      </c>
      <c r="O13" s="3" t="inlineStr">
        <is>
          <t>2023-P1-Q15 (L0)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INT</t>
        </is>
      </c>
      <c r="E14" s="3" t="inlineStr">
        <is>
          <t>Methods of Differentiation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Expand $y$ as a power series $a_1x+a_2x^2+a_3x^3$ in the implicit relation and equate coefficients to get $a_3=\frac56$, so $f'''(0)=5$.</t>
        </is>
      </c>
      <c r="N14" s="3" t="inlineStr">
        <is>
          <t>Implicit relation needing third-order information; series bookkeeping with several cross terms, no options to check.</t>
        </is>
      </c>
      <c r="O14" s="3" t="inlineStr">
        <is>
          <t>2026-P2-Q14 (L4) heavier; 2026-P1-Q3 (L1) lighter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INT</t>
        </is>
      </c>
      <c r="E15" s="3" t="inlineStr">
        <is>
          <t>Continuity &amp; Differentiability</t>
        </is>
      </c>
      <c r="F15" s="2" t="n">
        <v>4</v>
      </c>
      <c r="G15" s="8" t="n">
        <v>4</v>
      </c>
      <c r="H15" s="8" t="inlineStr">
        <is>
          <t>Slightly difficult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Continuity at 0 fixes $a=-1,b=-2$; roots then need an IVT plus a monotonicity proof, and on $(-2,0)$ the sign of $f'$ rests on $x\cos x-\sin x&gt;0$.</t>
        </is>
      </c>
      <c r="N15" s="3" t="inlineStr">
        <is>
          <t>Four stages (limit with trig, parameter values, root counting on two pieces) with a non-trivial derivative-sign argument on the left piece; a numerical answer with no options.</t>
        </is>
      </c>
      <c r="O15" s="3" t="inlineStr">
        <is>
          <t>2026-P2-Q14 (L4)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INT</t>
        </is>
      </c>
      <c r="E16" s="3" t="inlineStr">
        <is>
          <t>Limit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Only $8k^3$ matters: floor and $k\ln(1+k/n)$ add $O(n^2)$, and $k^2\sin k=O(n^2)$ against $n^4$, so squeeze gives $\sum 8k^3/n^4\to2$.</t>
        </is>
      </c>
      <c r="N16" s="3" t="inlineStr">
        <is>
          <t>Squeeze or Riemann-sum recognition with floor and sin perturbations; the idea is a known pattern but the bounding must be done carefully.</t>
        </is>
      </c>
      <c r="O16" s="3" t="inlineStr">
        <is>
          <t>2026-P2-Q3 (L2) lighter; 2024-P2-Q3 (L1)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INT</t>
        </is>
      </c>
      <c r="E17" s="3" t="inlineStr">
        <is>
          <t>Methods of Differentiation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Derivatives of the inverse at $f(0)=1$ need $f'(0)=3,f''(0)=1,f'''(0)=0$ and the formulas for $g'',g'''$; the combination gives $1-2+6=5$.</t>
        </is>
      </c>
      <c r="N17" s="3" t="inlineStr">
        <is>
          <t>Third derivative of an inverse function is not a routinely memorised formula; the chain is mechanical but error-prone.</t>
        </is>
      </c>
      <c r="O17" s="3" t="inlineStr">
        <is>
          <t>2026-P2-Q14 (L4) heavier; 2026-P1-Q3 (L1)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INT</t>
        </is>
      </c>
      <c r="E18" s="3" t="inlineStr">
        <is>
          <t>Limit</t>
        </is>
      </c>
      <c r="F18" s="2" t="n">
        <v>4</v>
      </c>
      <c r="G18" s="8" t="n">
        <v>4</v>
      </c>
      <c r="H18" s="8" t="inlineStr">
        <is>
          <t>Slightly difficult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$1^\infty$ form: $\ln f=\lim n(\text{base}-1)=1+\frac{x^4}{1-x^2}$ (the $x^2$ terms cancel); then series of numerator to the $x^8$ term gives $4$.</t>
        </is>
      </c>
      <c r="N18" s="3" t="inlineStr">
        <is>
          <t>Two nested expansions (cube root of cosine in 1/n, then a series in x up to $x^8$) with cancellations; heavy precise computation with no options.</t>
        </is>
      </c>
      <c r="O18" s="3" t="inlineStr">
        <is>
          <t>2023-P1-Q10 (L5) heavier; 2025-P2-Q16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Statistics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Mean deviation about the mode $=\frac{10+k}{12+k}=\frac78$ gives $k=4$; then mean $3.375$ and mean deviation $\frac{59}{64}$.</t>
        </is>
      </c>
      <c r="N19" s="3" t="inlineStr">
        <is>
          <t>Routine statistics formulas in sequence with fraction arithmetic; unique-mode condition is only a side check.</t>
        </is>
      </c>
      <c r="O19" s="3" t="inlineStr">
        <is>
          <t>2026-P2-Q12 (L2)</t>
        </is>
      </c>
      <c r="P19" s="2" t="inlineStr">
        <is>
          <t>High</t>
        </is>
      </c>
    </row>
    <row r="21">
      <c r="A21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PRT 06 Paper 02 JEE Adv.pdf   |   Evaluated on: 2026-10-23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COUNTIF(Evaluation!$G$2:$G$19,A5)</f>
        <v/>
      </c>
      <c r="D5" s="11">
        <f>SUMIF(Evaluation!$G$2:$G$19,A5,Evaluation!$F$2:$F$19)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COUNTIF(Evaluation!$G$2:$G$19,A6)</f>
        <v/>
      </c>
      <c r="D6" s="13">
        <f>SUMIF(Evaluation!$G$2:$G$19,A6,Evaluation!$F$2:$F$19)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COUNTIF(Evaluation!$G$2:$G$19,A7)</f>
        <v/>
      </c>
      <c r="D7" s="15">
        <f>SUMIF(Evaluation!$G$2:$G$19,A7,Evaluation!$F$2:$F$19)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COUNTIF(Evaluation!$G$2:$G$19,A8)</f>
        <v/>
      </c>
      <c r="D8" s="17">
        <f>SUMIF(Evaluation!$G$2:$G$19,A8,Evaluation!$F$2:$F$19)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COUNTIF(Evaluation!$G$2:$G$19,A9)</f>
        <v/>
      </c>
      <c r="D9" s="19">
        <f>SUMIF(Evaluation!$G$2:$G$19,A9,Evaluation!$F$2:$F$19)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COUNTIF(Evaluation!$G$2:$G$19,A10)</f>
        <v/>
      </c>
      <c r="D10" s="21">
        <f>SUMIF(Evaluation!$G$2:$G$19,A10,Evaluation!$F$2:$F$19)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SUM(Evaluation!$L$2:$L$19)/SUM(Evaluation!$F$2:$F$19)</f>
        <v/>
      </c>
      <c r="C14" s="24">
        <f>SUMPRODUCT(Evaluation!$F$2:$F$19,Evaluation!$G$2:$G$19)/SUM(Evaluation!$F$2:$F$19)</f>
        <v/>
      </c>
      <c r="D14" s="23">
        <f>SUM(Evaluation!$F$2:$F$19)</f>
        <v/>
      </c>
      <c r="E14" s="24">
        <f>AVERAGE(Evaluation!$G$2:$G$19)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2026-10-23T15:38:42Z</dcterms:created>
  <dcterms:modified xmlns:dcterms="http://purl.org/dc/terms/" xmlns:xsi="http://www.w3.org/2001/XMLSchema-instance" xsi:type="dcterms:W3CDTF">2026-10-23T15:38:42Z</dcterms:modified>
</cp:coreProperties>
</file>