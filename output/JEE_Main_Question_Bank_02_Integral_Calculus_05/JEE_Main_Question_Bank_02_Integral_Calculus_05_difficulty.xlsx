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CE5CD"/>
      </patternFill>
    </fill>
    <fill>
      <patternFill patternType="solid">
        <fgColor rgb="00FFF2CC"/>
      </patternFill>
    </fill>
    <fill>
      <patternFill patternType="solid">
        <fgColor rgb="00E8F0D8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 (printed Q81)</t>
        </is>
      </c>
      <c r="D2" s="2" t="inlineStr">
        <is>
          <t>SCQ</t>
        </is>
      </c>
      <c r="E2" s="3" t="inlineStr">
        <is>
          <t>Differential Equations</t>
        </is>
      </c>
      <c r="F2" s="2" t="n">
        <v>4</v>
      </c>
      <c r="G2" s="4" t="n">
        <v>3</v>
      </c>
      <c r="H2" s="4" t="inlineStr">
        <is>
          <t>Average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Bernoulli reduction then integration by parts; routine but long (several linked stages).</t>
        </is>
      </c>
      <c r="N2" s="3" t="inlineStr">
        <is>
          <t>Bernoulli reduction $t=y^{-2}$, integrating factor $x^2$, integration by parts, constant and algebraic matching of the option: four linked stages (L3 relative to the Main-level bank).</t>
        </is>
      </c>
      <c r="O2" s="3" t="inlineStr">
        <is>
          <t>2026-P2-Q4 (L1) / 2023-P2-Q9 (L2) used as lowest anchors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Q2 (printed Q82)</t>
        </is>
      </c>
      <c r="D3" s="2" t="inlineStr">
        <is>
          <t>SCQ</t>
        </is>
      </c>
      <c r="E3" s="3" t="inlineStr">
        <is>
          <t>Area under Curves</t>
        </is>
      </c>
      <c r="F3" s="2" t="n">
        <v>4</v>
      </c>
      <c r="G3" s="6" t="n">
        <v>2</v>
      </c>
      <c r="H3" s="6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Locate where $\sin x\ge|\cos x-\sin x|$, split at $\frac\pi4$, evaluate at $\tan x=\frac12$.</t>
        </is>
      </c>
      <c r="N3" s="3" t="inlineStr">
        <is>
          <t>Two-piece area with modulus; the lower limit $\tan^{-1}\frac12$ is not obvious and the surd arithmetic needs care (L2).</t>
        </is>
      </c>
      <c r="O3" s="3" t="inlineStr">
        <is>
          <t>2026-P2-Q4 (L1) / 2023-P2-Q9 (L2) used as lowest anchors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 (printed Q83)</t>
        </is>
      </c>
      <c r="D4" s="2" t="inlineStr">
        <is>
          <t>SCQ</t>
        </is>
      </c>
      <c r="E4" s="3" t="inlineStr">
        <is>
          <t>Differential Equations</t>
        </is>
      </c>
      <c r="F4" s="2" t="n">
        <v>4</v>
      </c>
      <c r="G4" s="7" t="n">
        <v>1</v>
      </c>
      <c r="H4" s="7" t="inlineStr">
        <is>
          <t>JEE Main level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Integrating factor $e^{\alpha t}$; both terms of the solution decay.</t>
        </is>
      </c>
      <c r="N4" s="3" t="inlineStr">
        <is>
          <t>Standard first-order linear equation, then a limit of decaying exponentials (L1).</t>
        </is>
      </c>
      <c r="O4" s="3" t="inlineStr">
        <is>
          <t>2026-P2-Q4 (L1) / 2023-P2-Q9 (L2) used as lowest anchors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 (printed Q84)</t>
        </is>
      </c>
      <c r="D5" s="2" t="inlineStr">
        <is>
          <t>SCQ</t>
        </is>
      </c>
      <c r="E5" s="3" t="inlineStr">
        <is>
          <t>Definite Integration</t>
        </is>
      </c>
      <c r="F5" s="2" t="n">
        <v>4</v>
      </c>
      <c r="G5" s="6" t="n">
        <v>2</v>
      </c>
      <c r="H5" s="6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Split $|x-t|$ at $t=x$ for three ranges of $x$; the minimum is at the interior critical point $x=1$.</t>
        </is>
      </c>
      <c r="N5" s="3" t="inlineStr">
        <is>
          <t>Three-case integral of a modulus exponent followed by minimisation; a few linked steps (L2).</t>
        </is>
      </c>
      <c r="O5" s="3" t="inlineStr">
        <is>
          <t>2026-P2-Q4 (L1) / 2023-P2-Q9 (L2) used as lowest anchors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 (printed Q85)</t>
        </is>
      </c>
      <c r="D6" s="2" t="inlineStr">
        <is>
          <t>SCQ</t>
        </is>
      </c>
      <c r="E6" s="3" t="inlineStr">
        <is>
          <t>Definite Integration</t>
        </is>
      </c>
      <c r="F6" s="2" t="n">
        <v>4</v>
      </c>
      <c r="G6" s="7" t="n">
        <v>1</v>
      </c>
      <c r="H6" s="7" t="inlineStr">
        <is>
          <t>JEE Main level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Two linear conditions in $b$, $c$: the integral and $P(2)=5$.</t>
        </is>
      </c>
      <c r="N6" s="3" t="inlineStr">
        <is>
          <t>Two linear equations from an integral and the remainder theorem (L1).</t>
        </is>
      </c>
      <c r="O6" s="3" t="inlineStr">
        <is>
          <t>2026-P2-Q4 (L1) / 2023-P2-Q9 (L2) used as lowest anchors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 (printed Q86)</t>
        </is>
      </c>
      <c r="D7" s="2" t="inlineStr">
        <is>
          <t>SCQ</t>
        </is>
      </c>
      <c r="E7" s="3" t="inlineStr">
        <is>
          <t>Indefinite Integration</t>
        </is>
      </c>
      <c r="F7" s="2" t="n">
        <v>4</v>
      </c>
      <c r="G7" s="6" t="n">
        <v>2</v>
      </c>
      <c r="H7" s="6" t="inlineStr">
        <is>
          <t>Easier than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Factor $\sin^n\theta$ out of the root so that $d\left(1-\sin^{1-n}\theta\right)$ appears.</t>
        </is>
      </c>
      <c r="N7" s="3" t="inlineStr">
        <is>
          <t>Algebraic rearrangement then a power substitution with symbolic $n$ (L2).</t>
        </is>
      </c>
      <c r="O7" s="3" t="inlineStr">
        <is>
          <t>2026-P2-Q4 (L1) / 2023-P2-Q9 (L2) used as lowest anchors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 (printed Q87)</t>
        </is>
      </c>
      <c r="D8" s="2" t="inlineStr">
        <is>
          <t>SCQ</t>
        </is>
      </c>
      <c r="E8" s="3" t="inlineStr">
        <is>
          <t>Differential Equations</t>
        </is>
      </c>
      <c r="F8" s="2" t="n">
        <v>4</v>
      </c>
      <c r="G8" s="6" t="n">
        <v>2</v>
      </c>
      <c r="H8" s="6" t="inlineStr">
        <is>
          <t>Easier than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$t=y^2$ gives $(xt)'=\frac1x$.</t>
        </is>
      </c>
      <c r="N8" s="3" t="inlineStr">
        <is>
          <t>One substitution to a linear equation with a simple integrating factor, then matching the form of the answer (L2).</t>
        </is>
      </c>
      <c r="O8" s="3" t="inlineStr">
        <is>
          <t>2026-P2-Q4 (L1) / 2023-P2-Q9 (L2) used as lowest anchors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 (printed Q88)</t>
        </is>
      </c>
      <c r="D9" s="2" t="inlineStr">
        <is>
          <t>SCQ</t>
        </is>
      </c>
      <c r="E9" s="3" t="inlineStr">
        <is>
          <t>Differential Equations</t>
        </is>
      </c>
      <c r="F9" s="2" t="n">
        <v>4</v>
      </c>
      <c r="G9" s="7" t="n">
        <v>1</v>
      </c>
      <c r="H9" s="7" t="inlineStr">
        <is>
          <t>JEE Main level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Separable: $\frac{1+y^2}{y^2}dy=\frac{e^x}{e^x+1}dx$.</t>
        </is>
      </c>
      <c r="N9" s="3" t="inlineStr">
        <is>
          <t>Direct separation of variables and two standard integrals (L1).</t>
        </is>
      </c>
      <c r="O9" s="3" t="inlineStr">
        <is>
          <t>2026-P2-Q4 (L1) / 2023-P2-Q9 (L2) used as lowest anchors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 (printed Q89)</t>
        </is>
      </c>
      <c r="D10" s="2" t="inlineStr">
        <is>
          <t>SCQ</t>
        </is>
      </c>
      <c r="E10" s="3" t="inlineStr">
        <is>
          <t>Area under Curves</t>
        </is>
      </c>
      <c r="F10" s="2" t="n">
        <v>4</v>
      </c>
      <c r="G10" s="6" t="n">
        <v>2</v>
      </c>
      <c r="H10" s="6" t="inlineStr">
        <is>
          <t>Easier than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Identify the pieces on $\left[\frac12,\frac{\sqrt3}2\right]$: line $1-x$ above parabola; area $=$ trapezium $-$ parabola area.</t>
        </is>
      </c>
      <c r="N10" s="3" t="inlineStr">
        <is>
          <t>Piecewise function plus a parabola, surds in the limits; two area pieces (L2).</t>
        </is>
      </c>
      <c r="O10" s="3" t="inlineStr">
        <is>
          <t>2026-P2-Q4 (L1) / 2023-P2-Q9 (L2) used as lowest anchors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Q10 (printed Q90)</t>
        </is>
      </c>
      <c r="D11" s="2" t="inlineStr">
        <is>
          <t>SCQ</t>
        </is>
      </c>
      <c r="E11" s="3" t="inlineStr">
        <is>
          <t>Indefinite Integration</t>
        </is>
      </c>
      <c r="F11" s="2" t="n">
        <v>4</v>
      </c>
      <c r="G11" s="6" t="n">
        <v>2</v>
      </c>
      <c r="H11" s="6" t="inlineStr">
        <is>
          <t>Easier than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Divide by $x^2$: the numerator $2x-x^{-2}$ is the derivative of $x^2+x^{-1}$.</t>
        </is>
      </c>
      <c r="N11" s="3" t="inlineStr">
        <is>
          <t>Single recognised substitution, no further work (L2 relative to the bank: the division by $x^2$ must be seen).</t>
        </is>
      </c>
      <c r="O11" s="3" t="inlineStr">
        <is>
          <t>2026-P2-Q4 (L1) / 2023-P2-Q9 (L2) used as lowest anchors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Q11 (printed Q91)</t>
        </is>
      </c>
      <c r="D12" s="2" t="inlineStr">
        <is>
          <t>SCQ</t>
        </is>
      </c>
      <c r="E12" s="3" t="inlineStr">
        <is>
          <t>Area under Curves</t>
        </is>
      </c>
      <c r="F12" s="2" t="n">
        <v>4</v>
      </c>
      <c r="G12" s="6" t="n">
        <v>2</v>
      </c>
      <c r="H12" s="6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Horizontal strips: width $\sqrt y-\frac y2$; equate the integrals below and above $y=\alpha$.</t>
        </is>
      </c>
      <c r="N12" s="3" t="inlineStr">
        <is>
          <t>Area bisection with strip integration and a fractional-power equation (L2).</t>
        </is>
      </c>
      <c r="O12" s="3" t="inlineStr">
        <is>
          <t>2026-P2-Q4 (L1) / 2023-P2-Q9 (L2) used as lowest anchors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Q12 (printed Q92)</t>
        </is>
      </c>
      <c r="D13" s="2" t="inlineStr">
        <is>
          <t>SCQ</t>
        </is>
      </c>
      <c r="E13" s="3" t="inlineStr">
        <is>
          <t>Differential Equations</t>
        </is>
      </c>
      <c r="F13" s="2" t="n">
        <v>4</v>
      </c>
      <c r="G13" s="4" t="n">
        <v>3</v>
      </c>
      <c r="H13" s="4" t="inlineStr">
        <is>
          <t>Average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Reduce to a linear equation with IF $x^{-1/2}$, then substitute $x=u^4$ and $u^3=t$.</t>
        </is>
      </c>
      <c r="N13" s="3" t="inlineStr">
        <is>
          <t>Linear equation with fractional powers, two nested substitutions and a constant-fitting stage (L3).</t>
        </is>
      </c>
      <c r="O13" s="3" t="inlineStr">
        <is>
          <t>2026-P2-Q4 (L1) / 2023-P2-Q9 (L2) used as lowest anchors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Q13 (printed Q93)</t>
        </is>
      </c>
      <c r="D14" s="2" t="inlineStr">
        <is>
          <t>Numerical</t>
        </is>
      </c>
      <c r="E14" s="3" t="inlineStr">
        <is>
          <t>Definite Integration</t>
        </is>
      </c>
      <c r="F14" s="2" t="n">
        <v>4</v>
      </c>
      <c r="G14" s="4" t="n">
        <v>3</v>
      </c>
      <c r="H14" s="4" t="inlineStr">
        <is>
          <t>Average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King-type pairing $x\to\pi-x$ halves the integral because the bracket is symmetric about $\frac\pi2$.</t>
        </is>
      </c>
      <c r="N14" s="3" t="inlineStr">
        <is>
          <t>Recognising the $1/(1+5^{\cos x})$ symmetry and then trigonometric product-to-sum reduction; two ideas combined (L3).</t>
        </is>
      </c>
      <c r="O14" s="3" t="inlineStr">
        <is>
          <t>2026-P2-Q4 (L1) / 2023-P2-Q9 (L2) used as lowest anchors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 (printed Q94)</t>
        </is>
      </c>
      <c r="D15" s="2" t="inlineStr">
        <is>
          <t>Numerical</t>
        </is>
      </c>
      <c r="E15" s="3" t="inlineStr">
        <is>
          <t>Definite Integration</t>
        </is>
      </c>
      <c r="F15" s="2" t="n">
        <v>4</v>
      </c>
      <c r="G15" s="6" t="n">
        <v>2</v>
      </c>
      <c r="H15" s="6" t="inlineStr">
        <is>
          <t>Easier than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By parts: $20I_n+nI_{n-1}=e^{20}$; subtract two consecutive cases.</t>
        </is>
      </c>
      <c r="N15" s="3" t="inlineStr">
        <is>
          <t>Standard reduction formula by parts and elimination of the constant (L2).</t>
        </is>
      </c>
      <c r="O15" s="3" t="inlineStr">
        <is>
          <t>2026-P2-Q4 (L1) / 2023-P2-Q9 (L2) used as lowest anchors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 (printed Q95)</t>
        </is>
      </c>
      <c r="D16" s="2" t="inlineStr">
        <is>
          <t>Numerical</t>
        </is>
      </c>
      <c r="E16" s="3" t="inlineStr">
        <is>
          <t>Area under Curves</t>
        </is>
      </c>
      <c r="F16" s="2" t="n">
        <v>4</v>
      </c>
      <c r="G16" s="7" t="n">
        <v>1</v>
      </c>
      <c r="H16" s="7" t="inlineStr">
        <is>
          <t>JEE Main level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Split at $x=0$, where $x(3-x)$ changes sign; take absolute values.</t>
        </is>
      </c>
      <c r="N16" s="3" t="inlineStr">
        <is>
          <t>Single-parabola area with one sign change (L1).</t>
        </is>
      </c>
      <c r="O16" s="3" t="inlineStr">
        <is>
          <t>2026-P2-Q4 (L1) / 2023-P2-Q9 (L2) used as lowest anchors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Q16 (printed Q96)</t>
        </is>
      </c>
      <c r="D17" s="2" t="inlineStr">
        <is>
          <t>Numerical</t>
        </is>
      </c>
      <c r="E17" s="3" t="inlineStr">
        <is>
          <t>Differential Equations</t>
        </is>
      </c>
      <c r="F17" s="2" t="n">
        <v>4</v>
      </c>
      <c r="G17" s="6" t="n">
        <v>2</v>
      </c>
      <c r="H17" s="6" t="inlineStr">
        <is>
          <t>Easier than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With $t=e^{\sin y}$ the equation is $t'+t\cos x=\cos x$, whose solution through the initial data is $t\equiv1$.</t>
        </is>
      </c>
      <c r="N17" s="3" t="inlineStr">
        <is>
          <t>One substitution; the initial condition collapses the solution to $y\equiv0$ (L2: the substitution is hidden).</t>
        </is>
      </c>
      <c r="O17" s="3" t="inlineStr">
        <is>
          <t>2026-P2-Q4 (L1) / 2023-P2-Q9 (L2) used as lowest anchors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Q17 (printed Q97)</t>
        </is>
      </c>
      <c r="D18" s="2" t="inlineStr">
        <is>
          <t>Numerical</t>
        </is>
      </c>
      <c r="E18" s="3" t="inlineStr">
        <is>
          <t>Indefinite Integration</t>
        </is>
      </c>
      <c r="F18" s="2" t="n">
        <v>4</v>
      </c>
      <c r="G18" s="4" t="n">
        <v>3</v>
      </c>
      <c r="H18" s="4" t="inlineStr">
        <is>
          <t>Average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$1-\cos2x=2\sin^2x$ and $t=\cos x$ give $-\sqrt2\int\frac{dt}{\sqrt{2t^2-1}}$; then match the form by squaring.</t>
        </is>
      </c>
      <c r="N18" s="3" t="inlineStr">
        <is>
          <t>Trigonometric rewriting, a standard $\sqrt{2t^2-1}$ integral, and a non-trivial rearrangement to match the given form (L3).</t>
        </is>
      </c>
      <c r="O18" s="3" t="inlineStr">
        <is>
          <t>2026-P2-Q4 (L1) / 2023-P2-Q9 (L2) used as lowest anchors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Q18 (printed Q98)</t>
        </is>
      </c>
      <c r="D19" s="2" t="inlineStr">
        <is>
          <t>Numerical</t>
        </is>
      </c>
      <c r="E19" s="3" t="inlineStr">
        <is>
          <t>Differential Equations</t>
        </is>
      </c>
      <c r="F19" s="2" t="n">
        <v>4</v>
      </c>
      <c r="G19" s="4" t="n">
        <v>3</v>
      </c>
      <c r="H19" s="4" t="inlineStr">
        <is>
          <t>Average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Tangent intercept $c=f-bf'$; $bc=3$ gives $\left(\frac fb\right)'=-\frac3{b^3}$, an exact derivative.</t>
        </is>
      </c>
      <c r="N19" s="3" t="inlineStr">
        <is>
          <t>Translate a tangent condition to an ODE, spot the exact derivative, then use two points on the curve (L3).</t>
        </is>
      </c>
      <c r="O19" s="3" t="inlineStr">
        <is>
          <t>2026-P2-Q4 (L1) / 2023-P2-Q9 (L2) used as lowest anchors</t>
        </is>
      </c>
      <c r="P19" s="2" t="inlineStr">
        <is>
          <t>Medium</t>
        </is>
      </c>
    </row>
    <row r="20">
      <c r="A20" s="2" t="n">
        <v>19</v>
      </c>
      <c r="B20" s="2" t="inlineStr"/>
      <c r="C20" s="2" t="inlineStr">
        <is>
          <t>Q19 (printed Q99)</t>
        </is>
      </c>
      <c r="D20" s="2" t="inlineStr">
        <is>
          <t>Numerical</t>
        </is>
      </c>
      <c r="E20" s="3" t="inlineStr">
        <is>
          <t>Area under Curves</t>
        </is>
      </c>
      <c r="F20" s="2" t="n">
        <v>4</v>
      </c>
      <c r="G20" s="6" t="n">
        <v>2</v>
      </c>
      <c r="H20" s="6" t="inlineStr">
        <is>
          <t>Easier than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Symmetry about $x=\frac12$; limits $\frac13$ to $\frac12$ with lower curve $(1-x)^2$.</t>
        </is>
      </c>
      <c r="N20" s="3" t="inlineStr">
        <is>
          <t>Three-curve region with symmetry; limits need care but the integral is polynomial (L2).</t>
        </is>
      </c>
      <c r="O20" s="3" t="inlineStr">
        <is>
          <t>2026-P2-Q4 (L1) / 2023-P2-Q9 (L2) used as lowest anchors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Q20 (printed Q100)</t>
        </is>
      </c>
      <c r="D21" s="2" t="inlineStr">
        <is>
          <t>Numerical</t>
        </is>
      </c>
      <c r="E21" s="3" t="inlineStr">
        <is>
          <t>Definite Integration</t>
        </is>
      </c>
      <c r="F21" s="2" t="n">
        <v>4</v>
      </c>
      <c r="G21" s="4" t="n">
        <v>3</v>
      </c>
      <c r="H21" s="4" t="inlineStr">
        <is>
          <t>Average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$x=\frac1{1+t}$ converts the Beta integral to $\int_0^\infty$; fold $[1,\infty)$ back with $t\to\frac1t$.</t>
        </is>
      </c>
      <c r="N21" s="3" t="inlineStr">
        <is>
          <t>Beta-function substitution and fold-back symmetry; the idea is not routine for Main-level students (L3).</t>
        </is>
      </c>
      <c r="O21" s="3" t="inlineStr">
        <is>
          <t>2026-P2-Q4 (L1) / 2023-P2-Q9 (L2) used as lowest anchors</t>
        </is>
      </c>
      <c r="P21" s="2" t="inlineStr">
        <is>
          <t>Medium</t>
        </is>
      </c>
    </row>
    <row r="23">
      <c r="A23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JEE_Main_Question_Bank_02_Integral_Calculus_05.pdf   |   Evaluated on: 2026-10-13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COUNTIF(Evaluation!$G$2:$G$21,A5)</f>
        <v/>
      </c>
      <c r="D5" s="10">
        <f>SUMIF(Evaluation!$G$2:$G$21,A5,Evaluation!$F$2:$F$21)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COUNTIF(Evaluation!$G$2:$G$21,A6)</f>
        <v/>
      </c>
      <c r="D6" s="12">
        <f>SUMIF(Evaluation!$G$2:$G$21,A6,Evaluation!$F$2:$F$21)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COUNTIF(Evaluation!$G$2:$G$21,A7)</f>
        <v/>
      </c>
      <c r="D7" s="14">
        <f>SUMIF(Evaluation!$G$2:$G$21,A7,Evaluation!$F$2:$F$21)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COUNTIF(Evaluation!$G$2:$G$21,A8)</f>
        <v/>
      </c>
      <c r="D8" s="16">
        <f>SUMIF(Evaluation!$G$2:$G$21,A8,Evaluation!$F$2:$F$21)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COUNTIF(Evaluation!$G$2:$G$21,A9)</f>
        <v/>
      </c>
      <c r="D9" s="18">
        <f>SUMIF(Evaluation!$G$2:$G$21,A9,Evaluation!$F$2:$F$21)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COUNTIF(Evaluation!$G$2:$G$21,A10)</f>
        <v/>
      </c>
      <c r="D10" s="20">
        <f>SUMIF(Evaluation!$G$2:$G$21,A10,Evaluation!$F$2:$F$21)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SUM(Evaluation!$L$2:$L$21)/SUM(Evaluation!$F$2:$F$21)</f>
        <v/>
      </c>
      <c r="C14" s="23">
        <f>SUMPRODUCT(Evaluation!$F$2:$F$21,Evaluation!$G$2:$G$21)/SUM(Evaluation!$F$2:$F$21)</f>
        <v/>
      </c>
      <c r="D14" s="22">
        <f>SUM(Evaluation!$F$2:$F$21)</f>
        <v/>
      </c>
      <c r="E14" s="23">
        <f>AVERAGE(Evaluation!$G$2:$G$21)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2026-10-13T05:28:40Z</dcterms:created>
  <dcterms:modified xmlns:dcterms="http://purl.org/dc/terms/" xmlns:xsi="http://www.w3.org/2001/XMLSchema-instance" xsi:type="dcterms:W3CDTF">2026-10-13T05:28:40Z</dcterms:modified>
</cp:coreProperties>
</file>