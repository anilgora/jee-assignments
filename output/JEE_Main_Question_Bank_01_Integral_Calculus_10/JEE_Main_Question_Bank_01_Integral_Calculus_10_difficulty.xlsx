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181)</t>
        </is>
      </c>
      <c r="D2" s="2" t="inlineStr">
        <is>
          <t>Numerical</t>
        </is>
      </c>
      <c r="E2" s="3" t="inlineStr">
        <is>
          <t>Area Under Curve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Read a three-boundary region and pick x-slicing with three ranges; surds must cancel.</t>
        </is>
      </c>
      <c r="N2" s="3" t="inlineStr">
        <is>
          <t>Three boundaries, two parabolas and a line, three integrals with cancelling surds; one slip changes m+n and no options.</t>
        </is>
      </c>
      <c r="O2" s="3" t="inlineStr">
        <is>
          <t>2024-P2-Q2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182)</t>
        </is>
      </c>
      <c r="D3" s="2" t="inlineStr">
        <is>
          <t>Numerical</t>
        </is>
      </c>
      <c r="E3" s="3" t="inlineStr">
        <is>
          <t>Area Under Curve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Break the min at x=4: triangle plus one parabola integral.</t>
        </is>
      </c>
      <c r="N3" s="3" t="inlineStr">
        <is>
          <t>Routine: one crossing, a triangle and one polynomial integral.</t>
        </is>
      </c>
      <c r="O3" s="3" t="inlineStr">
        <is>
          <t>2026-P2-Q15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 (printed 183)</t>
        </is>
      </c>
      <c r="D4" s="2" t="inlineStr">
        <is>
          <t>Numerical</t>
        </is>
      </c>
      <c r="E4" s="3" t="inlineStr">
        <is>
          <t>Area Under Curve</t>
        </is>
      </c>
      <c r="F4" s="2" t="n">
        <v>4</v>
      </c>
      <c r="G4" s="4" t="n">
        <v>3</v>
      </c>
      <c r="H4" s="4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Segment with central angle pi/2+phi and matching the sin^-1 format.</t>
        </is>
      </c>
      <c r="N4" s="3" t="inlineStr">
        <is>
          <t>Segment area needs the central angle and sine, then matching coprime alpha/beta in the given form.</t>
        </is>
      </c>
      <c r="O4" s="3" t="inlineStr">
        <is>
          <t>2024-P2-Q2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184)</t>
        </is>
      </c>
      <c r="D5" s="2" t="inlineStr">
        <is>
          <t>Numerical</t>
        </is>
      </c>
      <c r="E5" s="3" t="inlineStr">
        <is>
          <t>Area Under Curve</t>
        </is>
      </c>
      <c r="F5" s="2" t="n">
        <v>4</v>
      </c>
      <c r="G5" s="7" t="n">
        <v>1</v>
      </c>
      <c r="H5" s="7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Switch of the lower curve at x=2.</t>
        </is>
      </c>
      <c r="N5" s="3" t="inlineStr">
        <is>
          <t>One crossing and two elementary integrals.</t>
        </is>
      </c>
      <c r="O5" s="3" t="inlineStr">
        <is>
          <t>2026-P2-Q15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 (printed 185)</t>
        </is>
      </c>
      <c r="D6" s="2" t="inlineStr">
        <is>
          <t>Numerical</t>
        </is>
      </c>
      <c r="E6" s="3" t="inlineStr">
        <is>
          <t>Area Under Curve</t>
        </is>
      </c>
      <c r="F6" s="2" t="n">
        <v>4</v>
      </c>
      <c r="G6" s="4" t="n">
        <v>3</v>
      </c>
      <c r="H6" s="4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Chord equation, area (a+b)^3/6, triangle area, then AM-GM.</t>
        </is>
      </c>
      <c r="N6" s="3" t="inlineStr">
        <is>
          <t>Parameterised area ratio plus an inequality; two chapters but each step standard.</t>
        </is>
      </c>
      <c r="O6" s="3" t="inlineStr">
        <is>
          <t>2021-P1-Q2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186)</t>
        </is>
      </c>
      <c r="D7" s="2" t="inlineStr">
        <is>
          <t>Numerical</t>
        </is>
      </c>
      <c r="E7" s="3" t="inlineStr">
        <is>
          <t>Area Under Curve</t>
        </is>
      </c>
      <c r="F7" s="2" t="n">
        <v>4</v>
      </c>
      <c r="G7" s="4" t="n">
        <v>3</v>
      </c>
      <c r="H7" s="4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Reduce the area to (2/3)k^2/(k^2+4)^2 and maximise over both signs of k.</t>
        </is>
      </c>
      <c r="N7" s="3" t="inlineStr">
        <is>
          <t>Parametric area then calculus; both signs of k must be remembered.</t>
        </is>
      </c>
      <c r="O7" s="3" t="inlineStr">
        <is>
          <t>2021-P1-Q2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187)</t>
        </is>
      </c>
      <c r="D8" s="2" t="inlineStr">
        <is>
          <t>Numerical</t>
        </is>
      </c>
      <c r="E8" s="3" t="inlineStr">
        <is>
          <t>Area Under Curve</t>
        </is>
      </c>
      <c r="F8" s="2" t="n">
        <v>4</v>
      </c>
      <c r="G8" s="4" t="n">
        <v>3</v>
      </c>
      <c r="H8" s="4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Read the circle from an inequality and split at y=1.</t>
        </is>
      </c>
      <c r="N8" s="3" t="inlineStr">
        <is>
          <t>Circle, parabola and line combined; the circle condition is binding only for y&lt;1.</t>
        </is>
      </c>
      <c r="O8" s="3" t="inlineStr">
        <is>
          <t>2024-P2-Q2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188)</t>
        </is>
      </c>
      <c r="D9" s="2" t="inlineStr">
        <is>
          <t>Numerical</t>
        </is>
      </c>
      <c r="E9" s="3" t="inlineStr">
        <is>
          <t>Area Under Curve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Greatest-integer step in min; the line bounds for x&gt;=1.</t>
        </is>
      </c>
      <c r="N9" s="3" t="inlineStr">
        <is>
          <t>Piecewise reading of a step function but only simple integrals.</t>
        </is>
      </c>
      <c r="O9" s="3" t="inlineStr">
        <is>
          <t>2026-P2-Q15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189)</t>
        </is>
      </c>
      <c r="D10" s="2" t="inlineStr">
        <is>
          <t>Numerical</t>
        </is>
      </c>
      <c r="E10" s="3" t="inlineStr">
        <is>
          <t>Area Under Curve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Recover y=1-x^2 and see the lens as quarter-disc minus a corner.</t>
        </is>
      </c>
      <c r="N10" s="3" t="inlineStr">
        <is>
          <t>Short geometric area, one standard integral.</t>
        </is>
      </c>
      <c r="O10" s="3" t="inlineStr">
        <is>
          <t>2026-P2-Q15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 (printed 190)</t>
        </is>
      </c>
      <c r="D11" s="2" t="inlineStr">
        <is>
          <t>Numerical</t>
        </is>
      </c>
      <c r="E11" s="3" t="inlineStr">
        <is>
          <t>Area Under Curve</t>
        </is>
      </c>
      <c r="F11" s="2" t="n">
        <v>4</v>
      </c>
      <c r="G11" s="4" t="n">
        <v>3</v>
      </c>
      <c r="H11" s="4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Triangles on the axis around the tangent and line.</t>
        </is>
      </c>
      <c r="N11" s="3" t="inlineStr">
        <is>
          <t>Tangent plus intersection points and triangle decomposition needing care with signs.</t>
        </is>
      </c>
      <c r="O11" s="3" t="inlineStr">
        <is>
          <t>2024-P2-Q2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191)</t>
        </is>
      </c>
      <c r="D12" s="2" t="inlineStr">
        <is>
          <t>Numerical</t>
        </is>
      </c>
      <c r="E12" s="3" t="inlineStr">
        <is>
          <t>Area Under Curve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Line through the circle centre removes an eighth of the disc.</t>
        </is>
      </c>
      <c r="N12" s="3" t="inlineStr">
        <is>
          <t>Routine strip integral plus recognising the eighth-sector.</t>
        </is>
      </c>
      <c r="O12" s="3" t="inlineStr">
        <is>
          <t>2026-P2-Q15 (L2)</t>
        </is>
      </c>
      <c r="P12" s="2" t="inlineStr">
        <is>
          <t>Medium</t>
        </is>
      </c>
    </row>
    <row r="14">
      <c r="A14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JEE_Main_Question_Bank_01_Integral_Calculus_10.pdf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COUNTIF(Evaluation!$G$2:$G$12,A5)</f>
        <v/>
      </c>
      <c r="D5" s="10">
        <f>SUMIF(Evaluation!$G$2:$G$12,A5,Evaluation!$F$2:$F$12)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COUNTIF(Evaluation!$G$2:$G$12,A6)</f>
        <v/>
      </c>
      <c r="D6" s="12">
        <f>SUMIF(Evaluation!$G$2:$G$12,A6,Evaluation!$F$2:$F$12)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COUNTIF(Evaluation!$G$2:$G$12,A7)</f>
        <v/>
      </c>
      <c r="D7" s="14">
        <f>SUMIF(Evaluation!$G$2:$G$12,A7,Evaluation!$F$2:$F$12)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COUNTIF(Evaluation!$G$2:$G$12,A8)</f>
        <v/>
      </c>
      <c r="D8" s="16">
        <f>SUMIF(Evaluation!$G$2:$G$12,A8,Evaluation!$F$2:$F$12)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COUNTIF(Evaluation!$G$2:$G$12,A9)</f>
        <v/>
      </c>
      <c r="D9" s="18">
        <f>SUMIF(Evaluation!$G$2:$G$12,A9,Evaluation!$F$2:$F$12)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COUNTIF(Evaluation!$G$2:$G$12,A10)</f>
        <v/>
      </c>
      <c r="D10" s="20">
        <f>SUMIF(Evaluation!$G$2:$G$12,A10,Evaluation!$F$2:$F$12)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SUM(Evaluation!$L$2:$L$12)/SUM(Evaluation!$F$2:$F$12)</f>
        <v/>
      </c>
      <c r="C14" s="23">
        <f>SUMPRODUCT(Evaluation!$F$2:$F$12,Evaluation!$G$2:$G$12)/SUM(Evaluation!$F$2:$F$12)</f>
        <v/>
      </c>
      <c r="D14" s="22">
        <f>SUM(Evaluation!$F$2:$F$12)</f>
        <v/>
      </c>
      <c r="E14" s="23">
        <f>AVERAGE(Evaluation!$G$2:$G$12)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2026-10-06T11:27:51Z</dcterms:created>
  <dcterms:modified xmlns:dcterms="http://purl.org/dc/terms/" xmlns:xsi="http://www.w3.org/2001/XMLSchema-instance" xsi:type="dcterms:W3CDTF">2026-10-06T11:27:51Z</dcterms:modified>
</cp:coreProperties>
</file>