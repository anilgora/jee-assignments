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F4CCCC"/>
      </patternFill>
    </fill>
    <fill>
      <patternFill patternType="solid">
        <fgColor rgb="00EA9999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8" borderId="1" pivotButton="0" quotePrefix="0" xfId="0"/>
    <xf numFmtId="9" fontId="2" fillId="8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Permutation &amp; Combination</t>
        </is>
      </c>
      <c r="F2" s="2" t="n">
        <v>3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Group sizes 1,1,3 and 1,2,2.</t>
        </is>
      </c>
      <c r="N2" s="3" t="inlineStr">
        <is>
          <t>Standard onto-distribution; two size patterns, small counts, options to check.</t>
        </is>
      </c>
      <c r="O2" s="3" t="inlineStr">
        <is>
          <t>2021-P2-Q1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Para SCQ</t>
        </is>
      </c>
      <c r="E3" s="3" t="inlineStr">
        <is>
          <t>Permutation &amp; Combination</t>
        </is>
      </c>
      <c r="F3" s="2" t="n">
        <v>3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b_n=a_{n-1}, c_n=a_{n-2}.</t>
        </is>
      </c>
      <c r="N3" s="3" t="inlineStr">
        <is>
          <t>Fibonacci-type recurrence from last-digit split; routine.</t>
        </is>
      </c>
      <c r="O3" s="3" t="inlineStr">
        <is>
          <t>2021-P2-Q1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Para SCQ</t>
        </is>
      </c>
      <c r="E4" s="3" t="inlineStr">
        <is>
          <t>Permutation &amp; Combination</t>
        </is>
      </c>
      <c r="F4" s="2" t="n">
        <v>3</v>
      </c>
      <c r="G4" s="6" t="n">
        <v>3</v>
      </c>
      <c r="H4" s="6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Index shifts among a,b,c.</t>
        </is>
      </c>
      <c r="N4" s="3" t="inlineStr">
        <is>
          <t>Four recurrence statements to judge, each needing the index shift b_n=a_{n-1}, c_n=a_{n-2}.</t>
        </is>
      </c>
      <c r="O4" s="3" t="inlineStr">
        <is>
          <t>2021-P2-Q1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Permutation &amp; Combination</t>
        </is>
      </c>
      <c r="F5" s="2" t="n">
        <v>3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Split on card 2.</t>
        </is>
      </c>
      <c r="N5" s="3" t="inlineStr">
        <is>
          <t>Derangement with a forced assignment; split on where card 2 goes; two standard formulas.</t>
        </is>
      </c>
      <c r="O5" s="3" t="inlineStr">
        <is>
          <t>2021-P2-Q1 (L2)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Permutation &amp; Combination</t>
        </is>
      </c>
      <c r="F6" s="2" t="n">
        <v>4</v>
      </c>
      <c r="G6" s="6" t="n">
        <v>3</v>
      </c>
      <c r="H6" s="6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t_i substitution.</t>
        </is>
      </c>
      <c r="N6" s="3" t="inlineStr">
        <is>
          <t>Needs the gap substitution (or partitions) for strict inequalities; numerical so no check.</t>
        </is>
      </c>
      <c r="O6" s="3" t="inlineStr">
        <is>
          <t>2026-P1-Q11 (L3)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Permutation &amp; Combination</t>
        </is>
      </c>
      <c r="F7" s="2" t="n">
        <v>4</v>
      </c>
      <c r="G7" s="7" t="n">
        <v>1</v>
      </c>
      <c r="H7" s="7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Sides n, diagonals nC2-n.</t>
        </is>
      </c>
      <c r="N7" s="3" t="inlineStr">
        <is>
          <t>Single formula: sides vs diagonals.</t>
        </is>
      </c>
      <c r="O7" s="3" t="inlineStr">
        <is>
          <t>2021-P2-Q1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Permutation &amp; Combination</t>
        </is>
      </c>
      <c r="F8" s="2" t="n">
        <v>4</v>
      </c>
      <c r="G8" s="8" t="n">
        <v>4</v>
      </c>
      <c r="H8" s="8" t="inlineStr">
        <is>
          <t>Slightly difficult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Gap method.</t>
        </is>
      </c>
      <c r="N8" s="3" t="inlineStr">
        <is>
          <t>Gap method with a block of four girls; ordering factors easy to slip on in a numerical question.</t>
        </is>
      </c>
      <c r="O8" s="3" t="inlineStr">
        <is>
          <t>2024-P1-Q11 (L4)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Permutation &amp; Combination</t>
        </is>
      </c>
      <c r="F9" s="2" t="n">
        <v>3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Case split + captain.</t>
        </is>
      </c>
      <c r="N9" s="3" t="inlineStr">
        <is>
          <t>Case split on boys plus captain factor; routine.</t>
        </is>
      </c>
      <c r="O9" s="3" t="inlineStr">
        <is>
          <t>2021-P2-Q1 (L2)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Permutation &amp; Combination</t>
        </is>
      </c>
      <c r="F10" s="2" t="n">
        <v>3</v>
      </c>
      <c r="G10" s="7" t="n">
        <v>1</v>
      </c>
      <c r="H10" s="7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N_k = 5Ck 4C(5-k).</t>
        </is>
      </c>
      <c r="N10" s="3" t="inlineStr">
        <is>
          <t>Parity split; one observation (no all-even subset) or direct sum.</t>
        </is>
      </c>
      <c r="O10" s="3" t="inlineStr">
        <is>
          <t>2021-P2-Q1 (L2)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Permutation &amp; Combination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Choose repeated and omitted letters.</t>
        </is>
      </c>
      <c r="N11" s="3" t="inlineStr">
        <is>
          <t>Repeated-letter count and ratio; routine chain.</t>
        </is>
      </c>
      <c r="O11" s="3" t="inlineStr">
        <is>
          <t>2021-P2-Q1 (L2)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Permutation &amp; Combination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Last two digits.</t>
        </is>
      </c>
      <c r="N12" s="3" t="inlineStr">
        <is>
          <t>Divisibility by 4 via last two digits; short.</t>
        </is>
      </c>
      <c r="O12" s="3" t="inlineStr">
        <is>
          <t>2021-P2-Q1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MTC SCQ</t>
        </is>
      </c>
      <c r="E13" s="3" t="inlineStr">
        <is>
          <t>Permutation &amp; Combination</t>
        </is>
      </c>
      <c r="F13" s="2" t="n">
        <v>3</v>
      </c>
      <c r="G13" s="6" t="n">
        <v>3</v>
      </c>
      <c r="H13" s="6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Vandermonde and case split.</t>
        </is>
      </c>
      <c r="N13" s="3" t="inlineStr">
        <is>
          <t>Four small counts; Vandermonde for Q and a three-case restriction for S.</t>
        </is>
      </c>
      <c r="O13" s="3" t="inlineStr">
        <is>
          <t>2021-P2-Q1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Permutation &amp; Combination</t>
        </is>
      </c>
      <c r="F14" s="2" t="n">
        <v>4</v>
      </c>
      <c r="G14" s="6" t="n">
        <v>3</v>
      </c>
      <c r="H14" s="6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Colour counts 2,2,1.</t>
        </is>
      </c>
      <c r="N14" s="3" t="inlineStr">
        <is>
          <t>Circular colouring: key observation that no colour is used 3 times then casework; numerical.</t>
        </is>
      </c>
      <c r="O14" s="3" t="inlineStr">
        <is>
          <t>2025-P1-Q10 (L5)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Permutation &amp; Combination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12C4 via gaps.</t>
        </is>
      </c>
      <c r="N15" s="3" t="inlineStr">
        <is>
          <t>Non-consecutive selection via gaps; a standard result.</t>
        </is>
      </c>
      <c r="O15" s="3" t="inlineStr">
        <is>
          <t>2026-P1-Q11 (L3)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Permutation &amp; Combination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Sizes 1,1,2,2.</t>
        </is>
      </c>
      <c r="N16" s="3" t="inlineStr">
        <is>
          <t>Size pattern 1,1,2,2 then grouping and arrangement; routine but must divide correctly.</t>
        </is>
      </c>
      <c r="O16" s="3" t="inlineStr">
        <is>
          <t>2024-P1-Q11 (L4)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MCQ</t>
        </is>
      </c>
      <c r="E17" s="3" t="inlineStr">
        <is>
          <t>Permutation &amp; Combination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n3=210, n4=5040.</t>
        </is>
      </c>
      <c r="N17" s="3" t="inlineStr">
        <is>
          <t>Four independent counting statements; n3 and n4 are standard; anchored to 2021-P2-Q1 which the user rated 2.</t>
        </is>
      </c>
      <c r="O17" s="3" t="inlineStr">
        <is>
          <t>2021-P2-Q1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Permutation &amp; Combination</t>
        </is>
      </c>
      <c r="F18" s="2" t="n">
        <v>4</v>
      </c>
      <c r="G18" s="6" t="n">
        <v>3</v>
      </c>
      <c r="H18" s="6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Split by leading digits.</t>
        </is>
      </c>
      <c r="N18" s="3" t="inlineStr">
        <is>
          <t>Interval counting with boundary casework on a digit set; precision risk.</t>
        </is>
      </c>
      <c r="O18" s="3" t="inlineStr">
        <is>
          <t>2023-P2-Q10 (L4)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Permutation &amp; Combination</t>
        </is>
      </c>
      <c r="F19" s="2" t="n">
        <v>3</v>
      </c>
      <c r="G19" s="8" t="n">
        <v>4</v>
      </c>
      <c r="H19" s="8" t="inlineStr">
        <is>
          <t>Slightly difficult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Patterns of (sum r, sum b).</t>
        </is>
      </c>
      <c r="N19" s="3" t="inlineStr">
        <is>
          <t>Per-box minimum constraints; four distributions to enumerate with box weights; options help.</t>
        </is>
      </c>
      <c r="O19" s="3" t="inlineStr">
        <is>
          <t>2026-P1-Q11 (L3)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Permutation &amp; Combination</t>
        </is>
      </c>
      <c r="F20" s="2" t="n">
        <v>4</v>
      </c>
      <c r="G20" s="8" t="n">
        <v>4</v>
      </c>
      <c r="H20" s="8" t="inlineStr">
        <is>
          <t>Slightly difficult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Inclusion-exclusion.</t>
        </is>
      </c>
      <c r="N20" s="3" t="inlineStr">
        <is>
          <t>Two restrictions with inclusion-exclusion; same as 2024-P1-Q11 (user L4).</t>
        </is>
      </c>
      <c r="O20" s="3" t="inlineStr">
        <is>
          <t>2024-P1-Q11 (L4)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Permutation &amp; Combination</t>
        </is>
      </c>
      <c r="F21" s="2" t="n">
        <v>4</v>
      </c>
      <c r="G21" s="9" t="n">
        <v>5</v>
      </c>
      <c r="H21" s="9" t="inlineStr">
        <is>
          <t>Very difficult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|A|+|B|-|A and B|, leading zero.</t>
        </is>
      </c>
      <c r="N21" s="3" t="inlineStr">
        <is>
          <t>Overlapping frequency casework plus leading zero; the exact question rated L5 by the user in 2025-P1-Q10.</t>
        </is>
      </c>
      <c r="O21" s="3" t="inlineStr">
        <is>
          <t>2025-P1-Q10 (L5)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Permutation &amp; Combination</t>
        </is>
      </c>
      <c r="F22" s="2" t="n">
        <v>4</v>
      </c>
      <c r="G22" s="6" t="n">
        <v>3</v>
      </c>
      <c r="H22" s="6" t="inlineStr">
        <is>
          <t>Average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r_i&lt;=6, stars and bars.</t>
        </is>
      </c>
      <c r="N22" s="3" t="inlineStr">
        <is>
          <t>Reduction to bounded stars and bars; same as 2026-P1-Q11 (user L3).</t>
        </is>
      </c>
      <c r="O22" s="3" t="inlineStr">
        <is>
          <t>2026-P1-Q11 (L3)</t>
        </is>
      </c>
      <c r="P22" s="2" t="inlineStr">
        <is>
          <t>High</t>
        </is>
      </c>
    </row>
    <row r="24">
      <c r="A24" s="10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1" t="inlineStr">
        <is>
          <t>Difficulty summary</t>
        </is>
      </c>
    </row>
    <row r="2">
      <c r="A2" s="10" t="inlineStr">
        <is>
          <t>Source: SHEET_P_&amp;_C_FCopy_JA.pdf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2" t="n">
        <v>0</v>
      </c>
      <c r="B5" s="12" t="inlineStr">
        <is>
          <t>Easier than JEE Main</t>
        </is>
      </c>
      <c r="C5" s="12">
        <f>COUNTIF(Evaluation!$G$2:$G$22,A5)</f>
        <v/>
      </c>
      <c r="D5" s="12">
        <f>SUMIF(Evaluation!$G$2:$G$22,A5,Evaluation!$F$2:$F$22)</f>
        <v/>
      </c>
      <c r="E5" s="13">
        <f>IF(SUM($D$5:$D$10)=0,0,D5/SUM($D$5:$D$10))</f>
        <v/>
      </c>
    </row>
    <row r="6">
      <c r="A6" s="14" t="n">
        <v>1</v>
      </c>
      <c r="B6" s="14" t="inlineStr">
        <is>
          <t>JEE Main level</t>
        </is>
      </c>
      <c r="C6" s="14">
        <f>COUNTIF(Evaluation!$G$2:$G$22,A6)</f>
        <v/>
      </c>
      <c r="D6" s="14">
        <f>SUMIF(Evaluation!$G$2:$G$22,A6,Evaluation!$F$2:$F$22)</f>
        <v/>
      </c>
      <c r="E6" s="15">
        <f>IF(SUM($D$5:$D$10)=0,0,D6/SUM($D$5:$D$10))</f>
        <v/>
      </c>
    </row>
    <row r="7">
      <c r="A7" s="16" t="n">
        <v>2</v>
      </c>
      <c r="B7" s="16" t="inlineStr">
        <is>
          <t>Easier than Advanced</t>
        </is>
      </c>
      <c r="C7" s="16">
        <f>COUNTIF(Evaluation!$G$2:$G$22,A7)</f>
        <v/>
      </c>
      <c r="D7" s="16">
        <f>SUMIF(Evaluation!$G$2:$G$22,A7,Evaluation!$F$2:$F$22)</f>
        <v/>
      </c>
      <c r="E7" s="17">
        <f>IF(SUM($D$5:$D$10)=0,0,D7/SUM($D$5:$D$10))</f>
        <v/>
      </c>
    </row>
    <row r="8">
      <c r="A8" s="18" t="n">
        <v>3</v>
      </c>
      <c r="B8" s="18" t="inlineStr">
        <is>
          <t>Average Advanced</t>
        </is>
      </c>
      <c r="C8" s="18">
        <f>COUNTIF(Evaluation!$G$2:$G$22,A8)</f>
        <v/>
      </c>
      <c r="D8" s="18">
        <f>SUMIF(Evaluation!$G$2:$G$22,A8,Evaluation!$F$2:$F$22)</f>
        <v/>
      </c>
      <c r="E8" s="19">
        <f>IF(SUM($D$5:$D$10)=0,0,D8/SUM($D$5:$D$10))</f>
        <v/>
      </c>
    </row>
    <row r="9">
      <c r="A9" s="20" t="n">
        <v>4</v>
      </c>
      <c r="B9" s="20" t="inlineStr">
        <is>
          <t>Slightly difficult</t>
        </is>
      </c>
      <c r="C9" s="20">
        <f>COUNTIF(Evaluation!$G$2:$G$22,A9)</f>
        <v/>
      </c>
      <c r="D9" s="20">
        <f>SUMIF(Evaluation!$G$2:$G$22,A9,Evaluation!$F$2:$F$22)</f>
        <v/>
      </c>
      <c r="E9" s="21">
        <f>IF(SUM($D$5:$D$10)=0,0,D9/SUM($D$5:$D$10))</f>
        <v/>
      </c>
    </row>
    <row r="10">
      <c r="A10" s="22" t="n">
        <v>5</v>
      </c>
      <c r="B10" s="22" t="inlineStr">
        <is>
          <t>Very difficult</t>
        </is>
      </c>
      <c r="C10" s="22">
        <f>COUNTIF(Evaluation!$G$2:$G$22,A10)</f>
        <v/>
      </c>
      <c r="D10" s="22">
        <f>SUMIF(Evaluation!$G$2:$G$22,A10,Evaluation!$F$2:$F$22)</f>
        <v/>
      </c>
      <c r="E10" s="23">
        <f>IF(SUM($D$5:$D$10)=0,0,D10/SUM($D$5:$D$10))</f>
        <v/>
      </c>
    </row>
    <row r="11">
      <c r="A11" s="24" t="inlineStr">
        <is>
          <t>Total</t>
        </is>
      </c>
      <c r="C11" s="24">
        <f>SUM(C5:C10)</f>
        <v/>
      </c>
      <c r="D11" s="24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4" t="inlineStr">
        <is>
          <t>Overall</t>
        </is>
      </c>
      <c r="B14" s="25">
        <f>SUM(Evaluation!$L$2:$L$22)/SUM(Evaluation!$F$2:$F$22)</f>
        <v/>
      </c>
      <c r="C14" s="25">
        <f>SUMPRODUCT(Evaluation!$F$2:$F$22,Evaluation!$G$2:$G$22)/SUM(Evaluation!$F$2:$F$22)</f>
        <v/>
      </c>
      <c r="D14" s="24">
        <f>SUM(Evaluation!$F$2:$F$22)</f>
        <v/>
      </c>
      <c r="E14" s="25">
        <f>AVERAGE(Evaluation!$G$2:$G$22)</f>
        <v/>
      </c>
    </row>
    <row r="16">
      <c r="A16" s="10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1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6" t="n">
        <v>2021</v>
      </c>
      <c r="B4" s="27" t="n">
        <v>2.758333333333333</v>
      </c>
      <c r="C4" s="27" t="n">
        <v>2.894736842105263</v>
      </c>
      <c r="D4" s="26" t="n">
        <v>16</v>
      </c>
      <c r="E4" s="26" t="n">
        <v>34</v>
      </c>
      <c r="F4" s="26" t="n">
        <v>1</v>
      </c>
    </row>
    <row r="5">
      <c r="A5" s="26" t="n">
        <v>2023</v>
      </c>
      <c r="B5" s="27" t="n">
        <v>3.191666666666667</v>
      </c>
      <c r="C5" s="27" t="n">
        <v>3.147058823529412</v>
      </c>
      <c r="D5" s="26" t="n">
        <v>13</v>
      </c>
      <c r="E5" s="26" t="n">
        <v>47</v>
      </c>
      <c r="F5" s="26" t="n">
        <v>5</v>
      </c>
    </row>
    <row r="6">
      <c r="A6" s="26" t="n">
        <v>2024</v>
      </c>
      <c r="B6" s="27" t="n">
        <v>2.591666666666667</v>
      </c>
      <c r="C6" s="27" t="n">
        <v>2.558823529411764</v>
      </c>
      <c r="D6" s="26" t="n">
        <v>28</v>
      </c>
      <c r="E6" s="26" t="n">
        <v>40</v>
      </c>
      <c r="F6" s="26" t="n">
        <v>1</v>
      </c>
    </row>
    <row r="7">
      <c r="A7" s="26" t="n">
        <v>2025</v>
      </c>
      <c r="B7" s="27" t="n">
        <v>3.208333333333333</v>
      </c>
      <c r="C7" s="27" t="n">
        <v>3.1875</v>
      </c>
      <c r="D7" s="26" t="n">
        <v>8</v>
      </c>
      <c r="E7" s="26" t="n">
        <v>65</v>
      </c>
      <c r="F7" s="26" t="n">
        <v>1</v>
      </c>
    </row>
    <row r="8">
      <c r="A8" s="26" t="n">
        <v>2026</v>
      </c>
      <c r="B8" s="27" t="n">
        <v>3.025</v>
      </c>
      <c r="C8" s="27" t="n">
        <v>2.941176470588236</v>
      </c>
      <c r="D8" s="26" t="n">
        <v>6</v>
      </c>
      <c r="E8" s="26" t="n">
        <v>38</v>
      </c>
      <c r="F8" s="26" t="n">
        <v>2</v>
      </c>
    </row>
    <row r="9">
      <c r="A9" s="24" t="inlineStr">
        <is>
          <t>This paper</t>
        </is>
      </c>
      <c r="B9" s="25">
        <f>Summary!B14</f>
        <v/>
      </c>
      <c r="C9" s="25">
        <f>Summary!E14</f>
        <v/>
      </c>
      <c r="D9" s="24">
        <f>Summary!D5+Summary!D6</f>
        <v/>
      </c>
      <c r="E9" s="24">
        <f>Summary!D9+Summary!D10</f>
        <v/>
      </c>
      <c r="F9" s="24">
        <f>Summary!C10</f>
        <v/>
      </c>
    </row>
    <row r="11">
      <c r="A11" s="10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2026-10-14T21:06:39Z</dcterms:created>
  <dcterms:modified xmlns:dcterms="http://purl.org/dc/terms/" xmlns:xsi="http://www.w3.org/2001/XMLSchema-instance" xsi:type="dcterms:W3CDTF">2026-10-14T21:06:39Z</dcterms:modified>
</cp:coreProperties>
</file>