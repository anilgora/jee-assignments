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Q121</t>
        </is>
      </c>
      <c r="D2" s="2" t="inlineStr">
        <is>
          <t>SCQ</t>
        </is>
      </c>
      <c r="E2" s="3" t="inlineStr">
        <is>
          <t>Ellipse and Hyperbola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Nearer focus pairs with the nearer directrix; focal distance $=e\cdot PM$ once $B=\frac{c}{e_H}$ is known.</t>
        </is>
      </c>
      <c r="N2" s="3" t="inlineStr">
        <is>
          <t>JEE Main-style question rated on the Advanced scale; chain of standard steps, no special idea needed; anchors only indicative.</t>
        </is>
      </c>
      <c r="O2" s="3" t="inlineStr">
        <is>
          <t>2026-P2-Q17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Q122</t>
        </is>
      </c>
      <c r="D3" s="2" t="inlineStr">
        <is>
          <t>Numerical</t>
        </is>
      </c>
      <c r="E3" s="3" t="inlineStr">
        <is>
          <t>Hyperbola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Centre $(6,2)$, $b^2=4-a^2$, compare the $x^2:y^2$ coefficients to get $a^2=1$.</t>
        </is>
      </c>
      <c r="N3" s="3" t="inlineStr">
        <is>
          <t>JEE Main-style question rated on the Advanced scale; chain of standard steps, no special idea needed; anchors only indicative.</t>
        </is>
      </c>
      <c r="O3" s="3" t="inlineStr">
        <is>
          <t>2026-P2-Q17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Q123</t>
        </is>
      </c>
      <c r="D4" s="2" t="inlineStr">
        <is>
          <t>Numerical</t>
        </is>
      </c>
      <c r="E4" s="3" t="inlineStr">
        <is>
          <t>Hyperbola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Right angle at $P$ is split by the axis: $2ae=\frac{b^2}{a}$, then $a^2+6a-9=0$ and $a^2b^2=6a^3$ with surd cube.</t>
        </is>
      </c>
      <c r="N4" s="3" t="inlineStr">
        <is>
          <t>JEE Main-style question rated on the Advanced scale; a longer chain of linked standard ideas with precision risk (numerical answer, no options to check against); anchors only indicative.</t>
        </is>
      </c>
      <c r="O4" s="3" t="inlineStr">
        <is>
          <t>2026-P2-Q3 (L2)/2026-P1-Q7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Q124</t>
        </is>
      </c>
      <c r="D5" s="2" t="inlineStr">
        <is>
          <t>Numerical</t>
        </is>
      </c>
      <c r="E5" s="3" t="inlineStr">
        <is>
          <t>Circle and Hyperbola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Chord half-length$^2=r^2-p^2$ with $r$ from tangency; solve the quadratic in $h$ and reject the negative root, then link to the hyperbola.</t>
        </is>
      </c>
      <c r="N5" s="3" t="inlineStr">
        <is>
          <t>JEE Main-style question rated on the Advanced scale; a longer chain of linked standard ideas with precision risk (numerical answer, no options to check against); anchors only indicative.</t>
        </is>
      </c>
      <c r="O5" s="3" t="inlineStr">
        <is>
          <t>2026-P2-Q3 (L2)/2026-P1-Q7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Q125</t>
        </is>
      </c>
      <c r="D6" s="2" t="inlineStr">
        <is>
          <t>Numerical</t>
        </is>
      </c>
      <c r="E6" s="3" t="inlineStr">
        <is>
          <t>Hyperbola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$e_1$ gives $\frac{b^2}{a^2}$, then three latus-rectum/axis relations in sequence fix $e_2$.</t>
        </is>
      </c>
      <c r="N6" s="3" t="inlineStr">
        <is>
          <t>JEE Main-style question rated on the Advanced scale; chain of standard steps, no special idea needed; anchors only indicative.</t>
        </is>
      </c>
      <c r="O6" s="3" t="inlineStr">
        <is>
          <t>2026-P2-Q17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Q126</t>
        </is>
      </c>
      <c r="D7" s="2" t="inlineStr">
        <is>
          <t>Numerical</t>
        </is>
      </c>
      <c r="E7" s="3" t="inlineStr">
        <is>
          <t>Hyperbola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Tangency condition plus latus rectum give $a=2,b^2=9$; contact point and $d_1d_2=e^2x_0^2-a^2$; printed directrix is inconsistent.</t>
        </is>
      </c>
      <c r="N7" s="3" t="inlineStr">
        <is>
          <t>JEE Main-style question rated on the Advanced scale; a longer chain of linked standard ideas with precision risk (numerical answer, no options to check against); anchors only indicative.</t>
        </is>
      </c>
      <c r="O7" s="3" t="inlineStr">
        <is>
          <t>2026-P2-Q3 (L2)/2026-P1-Q7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Q127</t>
        </is>
      </c>
      <c r="D8" s="2" t="inlineStr">
        <is>
          <t>Numerical</t>
        </is>
      </c>
      <c r="E8" s="3" t="inlineStr">
        <is>
          <t>Hyperbola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 is the midpoint of the diameter, so $B=2A-S$; then a determinant area.</t>
        </is>
      </c>
      <c r="N8" s="3" t="inlineStr">
        <is>
          <t>JEE Main-style question rated on the Advanced scale; chain of standard steps, no special idea needed; anchors only indicative.</t>
        </is>
      </c>
      <c r="O8" s="3" t="inlineStr">
        <is>
          <t>2026-P2-Q17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Q128</t>
        </is>
      </c>
      <c r="D9" s="2" t="inlineStr">
        <is>
          <t>Numerical</t>
        </is>
      </c>
      <c r="E9" s="3" t="inlineStr">
        <is>
          <t>Hyperbola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Each end of the latus rectum makes $\frac\pi6$: $\tan\frac\pi6=\frac{e^2-1}{e}$, solve the quadratic and rationalise.</t>
        </is>
      </c>
      <c r="N9" s="3" t="inlineStr">
        <is>
          <t>JEE Main-style question rated on the Advanced scale; chain of standard steps, no special idea needed; anchors only indicative.</t>
        </is>
      </c>
      <c r="O9" s="3" t="inlineStr">
        <is>
          <t>2026-P2-Q17 (L2)</t>
        </is>
      </c>
      <c r="P9" s="2" t="inlineStr">
        <is>
          <t>Medium</t>
        </is>
      </c>
    </row>
    <row r="11">
      <c r="A11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JEE_Main_Question_Bank_01_Coordinate_Geometry_07.pdf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COUNTIF(Evaluation!$G$2:$G$9,A5)</f>
        <v/>
      </c>
      <c r="D5" s="9">
        <f>SUMIF(Evaluation!$G$2:$G$9,A5,Evaluation!$F$2:$F$9)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COUNTIF(Evaluation!$G$2:$G$9,A6)</f>
        <v/>
      </c>
      <c r="D6" s="11">
        <f>SUMIF(Evaluation!$G$2:$G$9,A6,Evaluation!$F$2:$F$9)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COUNTIF(Evaluation!$G$2:$G$9,A7)</f>
        <v/>
      </c>
      <c r="D7" s="13">
        <f>SUMIF(Evaluation!$G$2:$G$9,A7,Evaluation!$F$2:$F$9)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COUNTIF(Evaluation!$G$2:$G$9,A8)</f>
        <v/>
      </c>
      <c r="D8" s="15">
        <f>SUMIF(Evaluation!$G$2:$G$9,A8,Evaluation!$F$2:$F$9)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COUNTIF(Evaluation!$G$2:$G$9,A9)</f>
        <v/>
      </c>
      <c r="D9" s="17">
        <f>SUMIF(Evaluation!$G$2:$G$9,A9,Evaluation!$F$2:$F$9)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COUNTIF(Evaluation!$G$2:$G$9,A10)</f>
        <v/>
      </c>
      <c r="D10" s="19">
        <f>SUMIF(Evaluation!$G$2:$G$9,A10,Evaluation!$F$2:$F$9)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SUM(Evaluation!$L$2:$L$9)/SUM(Evaluation!$F$2:$F$9)</f>
        <v/>
      </c>
      <c r="C14" s="22">
        <f>SUMPRODUCT(Evaluation!$F$2:$F$9,Evaluation!$G$2:$G$9)/SUM(Evaluation!$F$2:$F$9)</f>
        <v/>
      </c>
      <c r="D14" s="21">
        <f>SUM(Evaluation!$F$2:$F$9)</f>
        <v/>
      </c>
      <c r="E14" s="22">
        <f>AVERAGE(Evaluation!$G$2:$G$9)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2026-10-05T16:25:12Z</dcterms:created>
  <dcterms:modified xmlns:dcterms="http://purl.org/dc/terms/" xmlns:xsi="http://www.w3.org/2001/XMLSchema-instance" xsi:type="dcterms:W3CDTF">2026-10-05T16:25:12Z</dcterms:modified>
</cp:coreProperties>
</file>