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Q141</t>
        </is>
      </c>
      <c r="D2" s="2" t="inlineStr">
        <is>
          <t>Numerical</t>
        </is>
      </c>
      <c r="E2" s="3" t="inlineStr">
        <is>
          <t>Complex Numbers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Reduce the locus to (x-4)(y+7)=0 and meet it with the circle</t>
        </is>
      </c>
      <c r="N2" s="3" t="inlineStr">
        <is>
          <t>Chain: Im(az) form, factoring, two line-circle intersections; no unfamiliar idea. Same demand as the JEE Main 02_07 complex-locus items.</t>
        </is>
      </c>
      <c r="O2" s="3" t="inlineStr">
        <is>
          <t>JEE Main level; no close Advanced anchor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Q142</t>
        </is>
      </c>
      <c r="D3" s="2" t="inlineStr">
        <is>
          <t>Numerical</t>
        </is>
      </c>
      <c r="E3" s="3" t="inlineStr">
        <is>
          <t>Permutations and Combinations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At most two = 0,1,2 language courses</t>
        </is>
      </c>
      <c r="N3" s="3" t="inlineStr">
        <is>
          <t>One familiar split into cases, direct sum of three products.</t>
        </is>
      </c>
      <c r="O3" s="3" t="inlineStr">
        <is>
          <t>JEE Main level; no close Advanced anchor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Q143</t>
        </is>
      </c>
      <c r="D4" s="2" t="inlineStr">
        <is>
          <t>Numerical</t>
        </is>
      </c>
      <c r="E4" s="3" t="inlineStr">
        <is>
          <t>Binomial Theorem</t>
        </is>
      </c>
      <c r="F4" s="2" t="n">
        <v>4</v>
      </c>
      <c r="G4" s="7" t="n">
        <v>3</v>
      </c>
      <c r="H4" s="7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Shift by x^6, then enumerate (r1,r2,r3) with r1+2r2+3r3=36 and signs (-1)^r3</t>
        </is>
      </c>
      <c r="N4" s="3" t="inlineStr">
        <is>
          <t>Nine exact multinomial terms with signs, no options to check; precision risk (F2/F4) puts it above routine.</t>
        </is>
      </c>
      <c r="O4" s="3" t="inlineStr">
        <is>
          <t>JEE Main level; no close Advanced anchor</t>
        </is>
      </c>
      <c r="P4" s="2" t="inlineStr">
        <is>
          <t>Medium</t>
        </is>
      </c>
    </row>
    <row r="6">
      <c r="A6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JEE_Main_Question_Bank_02_Algebra_02_08.pdf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COUNTIF(Evaluation!$G$2:$G$4,A5)</f>
        <v/>
      </c>
      <c r="D5" s="10">
        <f>SUMIF(Evaluation!$G$2:$G$4,A5,Evaluation!$F$2:$F$4)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COUNTIF(Evaluation!$G$2:$G$4,A6)</f>
        <v/>
      </c>
      <c r="D6" s="12">
        <f>SUMIF(Evaluation!$G$2:$G$4,A6,Evaluation!$F$2:$F$4)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COUNTIF(Evaluation!$G$2:$G$4,A7)</f>
        <v/>
      </c>
      <c r="D7" s="14">
        <f>SUMIF(Evaluation!$G$2:$G$4,A7,Evaluation!$F$2:$F$4)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COUNTIF(Evaluation!$G$2:$G$4,A8)</f>
        <v/>
      </c>
      <c r="D8" s="16">
        <f>SUMIF(Evaluation!$G$2:$G$4,A8,Evaluation!$F$2:$F$4)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COUNTIF(Evaluation!$G$2:$G$4,A9)</f>
        <v/>
      </c>
      <c r="D9" s="18">
        <f>SUMIF(Evaluation!$G$2:$G$4,A9,Evaluation!$F$2:$F$4)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COUNTIF(Evaluation!$G$2:$G$4,A10)</f>
        <v/>
      </c>
      <c r="D10" s="20">
        <f>SUMIF(Evaluation!$G$2:$G$4,A10,Evaluation!$F$2:$F$4)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SUM(Evaluation!$L$2:$L$4)/SUM(Evaluation!$F$2:$F$4)</f>
        <v/>
      </c>
      <c r="C14" s="23">
        <f>SUMPRODUCT(Evaluation!$F$2:$F$4,Evaluation!$G$2:$G$4)/SUM(Evaluation!$F$2:$F$4)</f>
        <v/>
      </c>
      <c r="D14" s="22">
        <f>SUM(Evaluation!$F$2:$F$4)</f>
        <v/>
      </c>
      <c r="E14" s="23">
        <f>AVERAGE(Evaluation!$G$2:$G$4)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2026-10-07T07:22:44Z</dcterms:created>
  <dcterms:modified xmlns:dcterms="http://purl.org/dc/terms/" xmlns:xsi="http://www.w3.org/2001/XMLSchema-instance" xsi:type="dcterms:W3CDTF">2026-10-07T07:22:44Z</dcterms:modified>
</cp:coreProperties>
</file>