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'Evaluation'!$A$1:$P$109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Statistics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GM of a quotient splits into quotient of GMs</t>
        </is>
      </c>
      <c r="N2" s="3" t="inlineStr">
        <is>
          <t>Single known property of geometric mean, applied once; no calculation. Closest to 2023-P1-Q15 (L0) / 2024-P2-Q3 (L1); recall-based so L1.</t>
        </is>
      </c>
      <c r="O2" s="3" t="inlineStr">
        <is>
          <t>2023-P1-Q15 (L0)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Statistics</t>
        </is>
      </c>
      <c r="F3" s="2" t="n">
        <v>4</v>
      </c>
      <c r="G3" s="4" t="n">
        <v>1</v>
      </c>
      <c r="H3" s="4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Median depends only on the middle ordered value</t>
        </is>
      </c>
      <c r="N3" s="3" t="inlineStr">
        <is>
          <t>Single idea: median is the middle ordered value. Direct recall, no computation; rated at the JEE Main level near 2024-P2-Q3 (L1).</t>
        </is>
      </c>
      <c r="O3" s="3" t="inlineStr">
        <is>
          <t>2023-P1-Q15 (L0)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Statistics</t>
        </is>
      </c>
      <c r="F4" s="2" t="n">
        <v>4</v>
      </c>
      <c r="G4" s="4" t="n">
        <v>1</v>
      </c>
      <c r="H4" s="4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Replace 20 by 30 in both sums, then use the sum-of-squares variance formula</t>
        </is>
      </c>
      <c r="N4" s="3" t="inlineStr">
        <is>
          <t>Routine correction of sums followed by the variance formula; two short steps, option-based. Between 2023-P1-Q15 (L0) and 2026-P2-Q12 (L2); L1.</t>
        </is>
      </c>
      <c r="O4" s="3" t="inlineStr">
        <is>
          <t>2023-P1-Q15 (L0)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Statistics</t>
        </is>
      </c>
      <c r="F5" s="2" t="n">
        <v>4</v>
      </c>
      <c r="G5" s="4" t="n">
        <v>1</v>
      </c>
      <c r="H5" s="4" t="inlineStr">
        <is>
          <t>JEE Main level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Variance changes with scale as the square: Var(ax+b)=a^2 Var(x)</t>
        </is>
      </c>
      <c r="N5" s="3" t="inlineStr">
        <is>
          <t>Three recall statements to judge, no computation. Same demand as the properties parts of 2023-P1-Q15 (L0); judging three statements nudges to L1.</t>
        </is>
      </c>
      <c r="O5" s="3" t="inlineStr">
        <is>
          <t>2023-P1-Q15 (L0)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Statistics</t>
        </is>
      </c>
      <c r="F6" s="2" t="n">
        <v>4</v>
      </c>
      <c r="G6" s="4" t="n">
        <v>1</v>
      </c>
      <c r="H6" s="4" t="inlineStr">
        <is>
          <t>JEE Main level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Mean is 0, so SD equals |a|</t>
        </is>
      </c>
      <c r="N6" s="3" t="inlineStr">
        <is>
          <t>One-step standard deviation of a symmetric two-valued set; no decision. L1 (JEE Main level) as in 2024-P2-Q3.</t>
        </is>
      </c>
      <c r="O6" s="3" t="inlineStr">
        <is>
          <t>2023-P1-Q15 (L0)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Statistics</t>
        </is>
      </c>
      <c r="F7" s="2" t="n">
        <v>4</v>
      </c>
      <c r="G7" s="6" t="n">
        <v>0</v>
      </c>
      <c r="H7" s="6" t="inlineStr">
        <is>
          <t>Easier than JEE Main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Mode = 3 Median - 2 Mean</t>
        </is>
      </c>
      <c r="N7" s="3" t="inlineStr">
        <is>
          <t>Direct substitution into a memorised formula, no decision at all: L0 like 2023-P1-Q15 and 2024-P2-Q1.</t>
        </is>
      </c>
      <c r="O7" s="3" t="inlineStr">
        <is>
          <t>2023-P1-Q15 (L0)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Statistics</t>
        </is>
      </c>
      <c r="F8" s="2" t="n">
        <v>4</v>
      </c>
      <c r="G8" s="4" t="n">
        <v>1</v>
      </c>
      <c r="H8" s="4" t="inlineStr">
        <is>
          <t>JEE Main level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Non-negative variance gives n &gt;= (sum x)^2 / sum x^2 = 16</t>
        </is>
      </c>
      <c r="N8" s="3" t="inlineStr">
        <is>
          <t>One familiar inequality (RMS-AM / non-negative variance) applied once, with options to test. L1; below 2025-P1-Q14 (L2) which needs several chained statistics.</t>
        </is>
      </c>
      <c r="O8" s="3" t="inlineStr">
        <is>
          <t>2025-P1-Q14 (L2)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Statistics</t>
        </is>
      </c>
      <c r="F9" s="2" t="n">
        <v>4</v>
      </c>
      <c r="G9" s="4" t="n">
        <v>1</v>
      </c>
      <c r="H9" s="4" t="inlineStr">
        <is>
          <t>JEE Main level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B is A shifted by 50, and variance ignores shifts</t>
        </is>
      </c>
      <c r="N9" s="3" t="inlineStr">
        <is>
          <t>Single known property (variance unaffected by shift), applied once. L1 (JEE Main level) like 2024-P2-Q3.</t>
        </is>
      </c>
      <c r="O9" s="3" t="inlineStr">
        <is>
          <t>2023-P1-Q15 (L0)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Statistics</t>
        </is>
      </c>
      <c r="F10" s="2" t="n">
        <v>4</v>
      </c>
      <c r="G10" s="6" t="n">
        <v>0</v>
      </c>
      <c r="H10" s="6" t="inlineStr">
        <is>
          <t>Easier than JEE Main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Combined mean is a weighted mean of group means</t>
        </is>
      </c>
      <c r="N10" s="3" t="inlineStr">
        <is>
          <t>Direct weighted-mean equation, no decision; L0 as 2023-P1-Q15.</t>
        </is>
      </c>
      <c r="O10" s="3" t="inlineStr">
        <is>
          <t>2023-P1-Q15 (L0)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Statistics</t>
        </is>
      </c>
      <c r="F11" s="2" t="n">
        <v>4</v>
      </c>
      <c r="G11" s="7" t="n">
        <v>2</v>
      </c>
      <c r="H11" s="7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a+b=7 and a^2+b^2=25 give (3,4)</t>
        </is>
      </c>
      <c r="N11" s="3" t="inlineStr">
        <is>
          <t>Mean and variance give two equations for two unknowns, then a quadratic; same recovering-observations pattern as 2026-P2-Q12 (L2), with options to check.</t>
        </is>
      </c>
      <c r="O11" s="3" t="inlineStr">
        <is>
          <t>2026-P2-Q12 (L2)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Statistics</t>
        </is>
      </c>
      <c r="F12" s="2" t="n">
        <v>4</v>
      </c>
      <c r="G12" s="7" t="n">
        <v>2</v>
      </c>
      <c r="H12" s="7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Mean is the middle term; absolute deviations pair up as d times 1..50 twice</t>
        </is>
      </c>
      <c r="N12" s="3" t="inlineStr">
        <is>
          <t>Mean via AP sum, then a symmetric sum of absolute deviations: a short routine chain with no new idea. L2 like 2026-P2-Q12.</t>
        </is>
      </c>
      <c r="O12" s="3" t="inlineStr">
        <is>
          <t>2026-P2-Q12 (L2)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Statistics</t>
        </is>
      </c>
      <c r="F13" s="2" t="n">
        <v>4</v>
      </c>
      <c r="G13" s="7" t="n">
        <v>2</v>
      </c>
      <c r="H13" s="7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Variance of 2,4,..,2n is 4 times (n^2-1)/12, not (n^2-1)/4</t>
        </is>
      </c>
      <c r="N13" s="3" t="inlineStr">
        <is>
          <t>Compute a variance with sums of squares and judge two statements; routine chain, no new idea. L2 like 2025-P1-Q14 / 2026-P2-Q12.</t>
        </is>
      </c>
      <c r="O13" s="3" t="inlineStr">
        <is>
          <t>2025-P1-Q14 (L2)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Statistics</t>
        </is>
      </c>
      <c r="F14" s="2" t="n">
        <v>4</v>
      </c>
      <c r="G14" s="7" t="n">
        <v>2</v>
      </c>
      <c r="H14" s="7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Pooling sums of squares from mean and variance of two sets.</t>
        </is>
      </c>
      <c r="N14" s="3" t="inlineStr">
        <is>
          <t>Three routine formula steps, no trap beyond forgetting the mean-difference term; same kind of recovery-from-mean/variance as 2026-P2-Q12 (L2) but simpler.</t>
        </is>
      </c>
      <c r="O14" s="3" t="inlineStr">
        <is>
          <t>2026-P2-Q12 (L2)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Statistics</t>
        </is>
      </c>
      <c r="F15" s="2" t="n">
        <v>4</v>
      </c>
      <c r="G15" s="7" t="n">
        <v>2</v>
      </c>
      <c r="H15" s="7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Pair the deviations symmetrically about the median of an AP.</t>
        </is>
      </c>
      <c r="N15" s="3" t="inlineStr">
        <is>
          <t>Single idea (symmetric AP deviations) plus a short arithmetic sum; no heavy trap. Above Level 1 because the sum of half-integers must be organised.</t>
        </is>
      </c>
      <c r="O15" s="3" t="inlineStr">
        <is>
          <t>2023-P1-Q15 (L0) / 2026-P2-Q12 (L2)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Statistics</t>
        </is>
      </c>
      <c r="F16" s="2" t="n">
        <v>4</v>
      </c>
      <c r="G16" s="6" t="n">
        <v>0</v>
      </c>
      <c r="H16" s="6" t="inlineStr">
        <is>
          <t>Easier than JEE Main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Shift changes the mean, not the S.D.</t>
        </is>
      </c>
      <c r="N16" s="3" t="inlineStr">
        <is>
          <t>Single direct fact, no decision; same as 2024-P2-Q1 style direct evaluation (L0).</t>
        </is>
      </c>
      <c r="O16" s="3" t="inlineStr">
        <is>
          <t>2024-P2-Q1 (L0)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Statistics</t>
        </is>
      </c>
      <c r="F17" s="2" t="n">
        <v>4</v>
      </c>
      <c r="G17" s="4" t="n">
        <v>1</v>
      </c>
      <c r="H17" s="4" t="inlineStr">
        <is>
          <t>JEE Main level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Linear scaling rules for mean and variance.</t>
        </is>
      </c>
      <c r="N17" s="3" t="inlineStr">
        <is>
          <t>Two direct facts, each checked once; format is assertion-reason but no deep idea. Close to routine statement checks (L1).</t>
        </is>
      </c>
      <c r="O17" s="3" t="inlineStr">
        <is>
          <t>2023-P1-Q15 (L0) / 2026-P2-Q12 (L2)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Statistics</t>
        </is>
      </c>
      <c r="F18" s="2" t="n">
        <v>4</v>
      </c>
      <c r="G18" s="6" t="n">
        <v>0</v>
      </c>
      <c r="H18" s="6" t="inlineStr">
        <is>
          <t>Easier than JEE Main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Shift invariance of variance.</t>
        </is>
      </c>
      <c r="N18" s="3" t="inlineStr">
        <is>
          <t>Single recall, no decision.</t>
        </is>
      </c>
      <c r="O18" s="3" t="inlineStr">
        <is>
          <t>2024-P2-Q1 (L0)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Statistics</t>
        </is>
      </c>
      <c r="F19" s="2" t="n">
        <v>4</v>
      </c>
      <c r="G19" s="4" t="n">
        <v>1</v>
      </c>
      <c r="H19" s="4" t="inlineStr">
        <is>
          <t>JEE Main level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Use $\sum k^2$ formula and mean; or the AP variance formula.</t>
        </is>
      </c>
      <c r="N19" s="3" t="inlineStr">
        <is>
          <t>One standard computation, mostly arithmetic; option set contains the 833/4 slip.</t>
        </is>
      </c>
      <c r="O19" s="3" t="inlineStr">
        <is>
          <t>2026-P2-Q12 (L2)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Statistics</t>
        </is>
      </c>
      <c r="F20" s="2" t="n">
        <v>4</v>
      </c>
      <c r="G20" s="4" t="n">
        <v>1</v>
      </c>
      <c r="H20" s="4" t="inlineStr">
        <is>
          <t>JEE Main level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Sum-based bookkeeping of mean.</t>
        </is>
      </c>
      <c r="N20" s="3" t="inlineStr">
        <is>
          <t>One routine sum-and-count step.</t>
        </is>
      </c>
      <c r="O20" s="3" t="inlineStr">
        <is>
          <t>2023-P1-Q15 (L0) / 2026-P2-Q12 (L2)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Statistics</t>
        </is>
      </c>
      <c r="F21" s="2" t="n">
        <v>4</v>
      </c>
      <c r="G21" s="4" t="n">
        <v>1</v>
      </c>
      <c r="H21" s="4" t="inlineStr">
        <is>
          <t>JEE Main level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Set up variance equation with unknown observation.</t>
        </is>
      </c>
      <c r="N21" s="3" t="inlineStr">
        <is>
          <t>A single standard formula, then algebra; options help.</t>
        </is>
      </c>
      <c r="O21" s="3" t="inlineStr">
        <is>
          <t>2026-P2-Q12 (L2)</t>
        </is>
      </c>
      <c r="P21" s="2" t="inlineStr">
        <is>
          <t>High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SCQ</t>
        </is>
      </c>
      <c r="E22" s="3" t="inlineStr">
        <is>
          <t>Statistics</t>
        </is>
      </c>
      <c r="F22" s="2" t="n">
        <v>4</v>
      </c>
      <c r="G22" s="4" t="n">
        <v>1</v>
      </c>
      <c r="H22" s="4" t="inlineStr">
        <is>
          <t>JEE Main level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Step-deviation variance formula.</t>
        </is>
      </c>
      <c r="N22" s="3" t="inlineStr">
        <is>
          <t>Direct application of one formula.</t>
        </is>
      </c>
      <c r="O22" s="3" t="inlineStr">
        <is>
          <t>2026-P2-Q12 (L2)</t>
        </is>
      </c>
      <c r="P22" s="2" t="inlineStr">
        <is>
          <t>High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SCQ</t>
        </is>
      </c>
      <c r="E23" s="3" t="inlineStr">
        <is>
          <t>Statistics</t>
        </is>
      </c>
      <c r="F23" s="2" t="n">
        <v>4</v>
      </c>
      <c r="G23" s="7" t="n">
        <v>2</v>
      </c>
      <c r="H23" s="7" t="inlineStr">
        <is>
          <t>Easier than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Remember S.D. scales by $|p|$, then use $q\neq0$ to choose the sign of $p$.</t>
        </is>
      </c>
      <c r="N23" s="3" t="inlineStr">
        <is>
          <t>Two routine equations, with a mild sign trap; options help.</t>
        </is>
      </c>
      <c r="O23" s="3" t="inlineStr">
        <is>
          <t>2026-P2-Q12 (L2)</t>
        </is>
      </c>
      <c r="P23" s="2" t="inlineStr">
        <is>
          <t>Medium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SCQ</t>
        </is>
      </c>
      <c r="E24" s="3" t="inlineStr">
        <is>
          <t>Statistics</t>
        </is>
      </c>
      <c r="F24" s="2" t="n">
        <v>4</v>
      </c>
      <c r="G24" s="4" t="n">
        <v>1</v>
      </c>
      <c r="H24" s="4" t="inlineStr">
        <is>
          <t>JEE Main level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Update the sums of values and squares.</t>
        </is>
      </c>
      <c r="N24" s="3" t="inlineStr">
        <is>
          <t>Routine recomputation; the answer set is close (3.98-4.02), but only arithmetic care is needed.</t>
        </is>
      </c>
      <c r="O24" s="3" t="inlineStr">
        <is>
          <t>2026-P2-Q12 (L2)</t>
        </is>
      </c>
      <c r="P24" s="2" t="inlineStr">
        <is>
          <t>High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SCQ</t>
        </is>
      </c>
      <c r="E25" s="3" t="inlineStr">
        <is>
          <t>Statistics</t>
        </is>
      </c>
      <c r="F25" s="2" t="n">
        <v>4</v>
      </c>
      <c r="G25" s="4" t="n">
        <v>1</v>
      </c>
      <c r="H25" s="4" t="inlineStr">
        <is>
          <t>JEE Main level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Shift property with sums of deviations.</t>
        </is>
      </c>
      <c r="N25" s="3" t="inlineStr">
        <is>
          <t>Direct application, same pattern as Q21.</t>
        </is>
      </c>
      <c r="O25" s="3" t="inlineStr">
        <is>
          <t>2026-P2-Q12 (L2)</t>
        </is>
      </c>
      <c r="P25" s="2" t="inlineStr">
        <is>
          <t>High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Numerical</t>
        </is>
      </c>
      <c r="E26" s="3" t="inlineStr">
        <is>
          <t>Statistics</t>
        </is>
      </c>
      <c r="F26" s="2" t="n">
        <v>4</v>
      </c>
      <c r="G26" s="7" t="n">
        <v>2</v>
      </c>
      <c r="H26" s="7" t="inlineStr">
        <is>
          <t>Easier than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Use $\sigma^2=\frac{n^2-1}{12}$ and the scaling rule for even numbers.</t>
        </is>
      </c>
      <c r="N26" s="3" t="inlineStr">
        <is>
          <t>Two routine standard-formula steps with no insight, but numerical format. Same demand as 2026-P2-Q12 (L2); formula is standard coaching knowledge.</t>
        </is>
      </c>
      <c r="O26" s="3" t="inlineStr">
        <is>
          <t>2026-P2-Q12 (L2)</t>
        </is>
      </c>
      <c r="P26" s="2" t="inlineStr">
        <is>
          <t>High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Numerical</t>
        </is>
      </c>
      <c r="E27" s="3" t="inlineStr">
        <is>
          <t>Statistics</t>
        </is>
      </c>
      <c r="F27" s="2" t="n">
        <v>4</v>
      </c>
      <c r="G27" s="7" t="n">
        <v>2</v>
      </c>
      <c r="H27" s="7" t="inlineStr">
        <is>
          <t>Easier than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Convert mean and variance into $x+y$ and $x^2+y^2$.</t>
        </is>
      </c>
      <c r="N27" s="3" t="inlineStr">
        <is>
          <t>Routine chain of standard sum/sum-of-squares formulas, no insight; numerical format. Matches 2026-P2-Q12 (L2) recover-two-observations.</t>
        </is>
      </c>
      <c r="O27" s="3" t="inlineStr">
        <is>
          <t>2026-P2-Q12 (L2)</t>
        </is>
      </c>
      <c r="P27" s="2" t="inlineStr">
        <is>
          <t>High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SCQ</t>
        </is>
      </c>
      <c r="E28" s="3" t="inlineStr">
        <is>
          <t>Statistics</t>
        </is>
      </c>
      <c r="F28" s="2" t="n">
        <v>4</v>
      </c>
      <c r="G28" s="7" t="n">
        <v>2</v>
      </c>
      <c r="H28" s="7" t="inlineStr">
        <is>
          <t>Easier than Advanced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Affine transformation rule for mean and variance, plus variance of $1..17$.</t>
        </is>
      </c>
      <c r="N28" s="3" t="inlineStr">
        <is>
          <t>Three or more routine steps with no real insight; options let the student check. Same as 2026-P2-Q12 (L2) in demand.</t>
        </is>
      </c>
      <c r="O28" s="3" t="inlineStr">
        <is>
          <t>2026-P2-Q12 (L2)</t>
        </is>
      </c>
      <c r="P28" s="2" t="inlineStr">
        <is>
          <t>High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Numerical</t>
        </is>
      </c>
      <c r="E29" s="3" t="inlineStr">
        <is>
          <t>Statistics</t>
        </is>
      </c>
      <c r="F29" s="2" t="n">
        <v>4</v>
      </c>
      <c r="G29" s="7" t="n">
        <v>2</v>
      </c>
      <c r="H29" s="7" t="inlineStr">
        <is>
          <t>Easier than Advanced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Deviations from the middle term are $(i-6)d$, giving $10d^2$.</t>
        </is>
      </c>
      <c r="N29" s="3" t="inlineStr">
        <is>
          <t>Routine chain: mean of AP, symmetric deviations, sum of squares. Numerical, but the formula is standard. Like 2026-P2-Q12 (L2).</t>
        </is>
      </c>
      <c r="O29" s="3" t="inlineStr">
        <is>
          <t>2026-P2-Q12 (L2)</t>
        </is>
      </c>
      <c r="P29" s="2" t="inlineStr">
        <is>
          <t>High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SCQ</t>
        </is>
      </c>
      <c r="E30" s="3" t="inlineStr">
        <is>
          <t>Statistics</t>
        </is>
      </c>
      <c r="F30" s="2" t="n">
        <v>4</v>
      </c>
      <c r="G30" s="8" t="n">
        <v>3</v>
      </c>
      <c r="H30" s="8" t="inlineStr">
        <is>
          <t>Average Advanced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Bound the SD by half the range (Popoviciu); see that 6 exceeds 5.</t>
        </is>
      </c>
      <c r="N30" s="3" t="inlineStr">
        <is>
          <t>Needs a less-practised bounding idea (SD $\le$ half range) rather than a computation; options help. Idea availability pushes above routine L2; similar in spirit to 2025-P1-Q14 (L4) but far shorter.</t>
        </is>
      </c>
      <c r="O30" s="3" t="inlineStr">
        <is>
          <t>2026-P2-Q12 (L2) / 2025-P1-Q14 (L4)</t>
        </is>
      </c>
      <c r="P30" s="2" t="inlineStr">
        <is>
          <t>Medium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SCQ</t>
        </is>
      </c>
      <c r="E31" s="3" t="inlineStr">
        <is>
          <t>Statistics</t>
        </is>
      </c>
      <c r="F31" s="2" t="n">
        <v>4</v>
      </c>
      <c r="G31" s="4" t="n">
        <v>1</v>
      </c>
      <c r="H31" s="4" t="inlineStr">
        <is>
          <t>JEE Main level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Shift invariance: use $y=x-p$ in $\sigma^2=\overline{y^2}-\bar y^2$.</t>
        </is>
      </c>
      <c r="N31" s="3" t="inlineStr">
        <is>
          <t>One familiar move (variance from given $\sum y$, $\sum y^2$), a single substitution. Easier than the L2 anchor 2026-P2-Q12 which needs two unknowns recovered.</t>
        </is>
      </c>
      <c r="O31" s="3" t="inlineStr">
        <is>
          <t>2026-P2-Q12 (L2)</t>
        </is>
      </c>
      <c r="P31" s="2" t="inlineStr">
        <is>
          <t>High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SCQ</t>
        </is>
      </c>
      <c r="E32" s="3" t="inlineStr">
        <is>
          <t>Statistics</t>
        </is>
      </c>
      <c r="F32" s="2" t="n">
        <v>4</v>
      </c>
      <c r="G32" s="7" t="n">
        <v>2</v>
      </c>
      <c r="H32" s="7" t="inlineStr">
        <is>
          <t>Easier than Advanced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Two equations ($a+b$, $a^2+b^2$) give $|a-b|$ without finding $a,b$.</t>
        </is>
      </c>
      <c r="N32" s="3" t="inlineStr">
        <is>
          <t>Routine chain of mean and variance equations, options available; same as recovering two observations in 2026-P2-Q12 (L2).</t>
        </is>
      </c>
      <c r="O32" s="3" t="inlineStr">
        <is>
          <t>2026-P2-Q12 (L2)</t>
        </is>
      </c>
      <c r="P32" s="2" t="inlineStr">
        <is>
          <t>High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Numerical</t>
        </is>
      </c>
      <c r="E33" s="3" t="inlineStr">
        <is>
          <t>Statistics</t>
        </is>
      </c>
      <c r="F33" s="2" t="n">
        <v>4</v>
      </c>
      <c r="G33" s="7" t="n">
        <v>2</v>
      </c>
      <c r="H33" s="7" t="inlineStr">
        <is>
          <t>Easier than Advanced</t>
        </is>
      </c>
      <c r="I33" s="5" t="n">
        <v>0</v>
      </c>
      <c r="J33" s="5" t="n">
        <v>0</v>
      </c>
      <c r="K33" s="5">
        <f>MIN(5,MAX(G33+I33,J33))</f>
        <v/>
      </c>
      <c r="L33" s="5">
        <f>F33*K33</f>
        <v/>
      </c>
      <c r="M33" s="3" t="inlineStr">
        <is>
          <t>Class marks are symmetric, so mean is the middle mark and variance is $\frac{400}{4+x}$.</t>
        </is>
      </c>
      <c r="N33" s="3" t="inlineStr">
        <is>
          <t>Routine grouped-data variance with one unknown; numerical format. Level of 2026-P2-Q12 (L2).</t>
        </is>
      </c>
      <c r="O33" s="3" t="inlineStr">
        <is>
          <t>2026-P2-Q12 (L2)</t>
        </is>
      </c>
      <c r="P33" s="2" t="inlineStr">
        <is>
          <t>High</t>
        </is>
      </c>
    </row>
    <row r="34">
      <c r="A34" s="2" t="n">
        <v>33</v>
      </c>
      <c r="B34" s="2" t="inlineStr"/>
      <c r="C34" s="2" t="inlineStr">
        <is>
          <t>Q33</t>
        </is>
      </c>
      <c r="D34" s="2" t="inlineStr">
        <is>
          <t>SCQ</t>
        </is>
      </c>
      <c r="E34" s="3" t="inlineStr">
        <is>
          <t>Statistics</t>
        </is>
      </c>
      <c r="F34" s="2" t="n">
        <v>4</v>
      </c>
      <c r="G34" s="7" t="n">
        <v>2</v>
      </c>
      <c r="H34" s="7" t="inlineStr">
        <is>
          <t>Easier than Advanced</t>
        </is>
      </c>
      <c r="I34" s="5" t="n">
        <v>0</v>
      </c>
      <c r="J34" s="5" t="n">
        <v>0</v>
      </c>
      <c r="K34" s="5">
        <f>MIN(5,MAX(G34+I34,J34))</f>
        <v/>
      </c>
      <c r="L34" s="5">
        <f>F34*K34</f>
        <v/>
      </c>
      <c r="M34" s="3" t="inlineStr">
        <is>
          <t>Two equations for $x+y$ and $x^2+y^2$ give $|x-y|$.</t>
        </is>
      </c>
      <c r="N34" s="3" t="inlineStr">
        <is>
          <t>Identical in structure to Q31 and 2026-P2-Q12 (L2); routine, options present.</t>
        </is>
      </c>
      <c r="O34" s="3" t="inlineStr">
        <is>
          <t>2026-P2-Q12 (L2)</t>
        </is>
      </c>
      <c r="P34" s="2" t="inlineStr">
        <is>
          <t>High</t>
        </is>
      </c>
    </row>
    <row r="35">
      <c r="A35" s="2" t="n">
        <v>34</v>
      </c>
      <c r="B35" s="2" t="inlineStr"/>
      <c r="C35" s="2" t="inlineStr">
        <is>
          <t>Q34</t>
        </is>
      </c>
      <c r="D35" s="2" t="inlineStr">
        <is>
          <t>SCQ</t>
        </is>
      </c>
      <c r="E35" s="3" t="inlineStr">
        <is>
          <t>Statistics</t>
        </is>
      </c>
      <c r="F35" s="2" t="n">
        <v>4</v>
      </c>
      <c r="G35" s="7" t="n">
        <v>2</v>
      </c>
      <c r="H35" s="7" t="inlineStr">
        <is>
          <t>Easier than Advanced</t>
        </is>
      </c>
      <c r="I35" s="5" t="n">
        <v>0</v>
      </c>
      <c r="J35" s="5" t="n">
        <v>0</v>
      </c>
      <c r="K35" s="5">
        <f>MIN(5,MAX(G35+I35,J35))</f>
        <v/>
      </c>
      <c r="L35" s="5">
        <f>F35*K35</f>
        <v/>
      </c>
      <c r="M35" s="3" t="inlineStr">
        <is>
          <t>Get $a+b$ and $ab$ from mean and variance, then form the quadratic.</t>
        </is>
      </c>
      <c r="N35" s="3" t="inlineStr">
        <is>
          <t>Routine two-equation chain, options available; same pattern as Q31 and 2026-P2-Q12 (L2).</t>
        </is>
      </c>
      <c r="O35" s="3" t="inlineStr">
        <is>
          <t>2026-P2-Q12 (L2)</t>
        </is>
      </c>
      <c r="P35" s="2" t="inlineStr">
        <is>
          <t>High</t>
        </is>
      </c>
    </row>
    <row r="36">
      <c r="A36" s="2" t="n">
        <v>35</v>
      </c>
      <c r="B36" s="2" t="inlineStr"/>
      <c r="C36" s="2" t="inlineStr">
        <is>
          <t>Q35</t>
        </is>
      </c>
      <c r="D36" s="2" t="inlineStr">
        <is>
          <t>SCQ</t>
        </is>
      </c>
      <c r="E36" s="3" t="inlineStr">
        <is>
          <t>Statistics</t>
        </is>
      </c>
      <c r="F36" s="2" t="n">
        <v>4</v>
      </c>
      <c r="G36" s="4" t="n">
        <v>1</v>
      </c>
      <c r="H36" s="4" t="inlineStr">
        <is>
          <t>JEE Main level</t>
        </is>
      </c>
      <c r="I36" s="5" t="n">
        <v>0</v>
      </c>
      <c r="J36" s="5" t="n">
        <v>0</v>
      </c>
      <c r="K36" s="5">
        <f>MIN(5,MAX(G36+I36,J36))</f>
        <v/>
      </c>
      <c r="L36" s="5">
        <f>F36*K36</f>
        <v/>
      </c>
      <c r="M36" s="3" t="inlineStr">
        <is>
          <t>Shift invariance and $\sigma^2=\overline{y^2}-\bar y^2$.</t>
        </is>
      </c>
      <c r="N36" s="3" t="inlineStr">
        <is>
          <t>Single familiar identity applied once, answer read directly from options. Easier than 2026-P2-Q12 (L2).</t>
        </is>
      </c>
      <c r="O36" s="3" t="inlineStr">
        <is>
          <t>2026-P2-Q12 (L2)</t>
        </is>
      </c>
      <c r="P36" s="2" t="inlineStr">
        <is>
          <t>High</t>
        </is>
      </c>
    </row>
    <row r="37">
      <c r="A37" s="2" t="n">
        <v>36</v>
      </c>
      <c r="B37" s="2" t="inlineStr"/>
      <c r="C37" s="2" t="inlineStr">
        <is>
          <t>Q36</t>
        </is>
      </c>
      <c r="D37" s="2" t="inlineStr">
        <is>
          <t>Numerical</t>
        </is>
      </c>
      <c r="E37" s="3" t="inlineStr">
        <is>
          <t>Statistics</t>
        </is>
      </c>
      <c r="F37" s="2" t="n">
        <v>4</v>
      </c>
      <c r="G37" s="7" t="n">
        <v>2</v>
      </c>
      <c r="H37" s="7" t="inlineStr">
        <is>
          <t>Easier than Advanced</t>
        </is>
      </c>
      <c r="I37" s="5" t="n">
        <v>0</v>
      </c>
      <c r="J37" s="5" t="n">
        <v>0</v>
      </c>
      <c r="K37" s="5">
        <f>MIN(5,MAX(G37+I37,J37))</f>
        <v/>
      </c>
      <c r="L37" s="5">
        <f>F37*K37</f>
        <v/>
      </c>
      <c r="M37" s="3" t="inlineStr">
        <is>
          <t>Recognise $\sum 2^r\binom{n}{r}=3^n$ from the binomial theorem.</t>
        </is>
      </c>
      <c r="N37" s="3" t="inlineStr">
        <is>
          <t>One binomial identity after setting up the mean; a recognition step from the Binomial chapter, short. Lower than 2025-P1-Q14 (L4); equal to routine L2 anchors.</t>
        </is>
      </c>
      <c r="O37" s="3" t="inlineStr">
        <is>
          <t>2026-P2-Q12 (L2)</t>
        </is>
      </c>
      <c r="P37" s="2" t="inlineStr">
        <is>
          <t>Medium</t>
        </is>
      </c>
    </row>
    <row r="38">
      <c r="A38" s="2" t="n">
        <v>37</v>
      </c>
      <c r="B38" s="2" t="inlineStr"/>
      <c r="C38" s="2" t="inlineStr">
        <is>
          <t>Q37</t>
        </is>
      </c>
      <c r="D38" s="2" t="inlineStr">
        <is>
          <t>Numerical</t>
        </is>
      </c>
      <c r="E38" s="3" t="inlineStr">
        <is>
          <t>Statistics</t>
        </is>
      </c>
      <c r="F38" s="2" t="n">
        <v>4</v>
      </c>
      <c r="G38" s="7" t="n">
        <v>2</v>
      </c>
      <c r="H38" s="7" t="inlineStr">
        <is>
          <t>Easier than Advanced</t>
        </is>
      </c>
      <c r="I38" s="5" t="n">
        <v>0</v>
      </c>
      <c r="J38" s="5" t="n">
        <v>0</v>
      </c>
      <c r="K38" s="5">
        <f>MIN(5,MAX(G38+I38,J38))</f>
        <v/>
      </c>
      <c r="L38" s="5">
        <f>F38*K38</f>
        <v/>
      </c>
      <c r="M38" s="3" t="inlineStr">
        <is>
          <t>Reduce the variance to a one-variable inequality and take the largest integer.</t>
        </is>
      </c>
      <c r="N38" s="3" t="inlineStr">
        <is>
          <t>Single formula chain to $(k-1)^2&lt;1000/9$ followed by an integer bound; nothing beyond routine chaining, easier than 2026-P2-Q12 (L4) which needs two unknown observations.</t>
        </is>
      </c>
      <c r="O38" s="3" t="inlineStr">
        <is>
          <t>2026-P2-Q12 (L4)</t>
        </is>
      </c>
      <c r="P38" s="2" t="inlineStr">
        <is>
          <t>High</t>
        </is>
      </c>
    </row>
    <row r="39">
      <c r="A39" s="2" t="n">
        <v>38</v>
      </c>
      <c r="B39" s="2" t="inlineStr"/>
      <c r="C39" s="2" t="inlineStr">
        <is>
          <t>Q38</t>
        </is>
      </c>
      <c r="D39" s="2" t="inlineStr">
        <is>
          <t>Numerical</t>
        </is>
      </c>
      <c r="E39" s="3" t="inlineStr">
        <is>
          <t>Statistics</t>
        </is>
      </c>
      <c r="F39" s="2" t="n">
        <v>4</v>
      </c>
      <c r="G39" s="8" t="n">
        <v>3</v>
      </c>
      <c r="H39" s="8" t="inlineStr">
        <is>
          <t>Average Advanced</t>
        </is>
      </c>
      <c r="I39" s="5" t="n">
        <v>0</v>
      </c>
      <c r="J39" s="5" t="n">
        <v>0</v>
      </c>
      <c r="K39" s="5">
        <f>MIN(5,MAX(G39+I39,J39))</f>
        <v/>
      </c>
      <c r="L39" s="5">
        <f>F39*K39</f>
        <v/>
      </c>
      <c r="M39" s="3" t="inlineStr">
        <is>
          <t>Rewrite both given sums in terms of the mean and variance (parallel-axis form) to get (alpha - beta)^2 = 4.</t>
        </is>
      </c>
      <c r="N39" s="3" t="inlineStr">
        <is>
          <t>Needs two sums about unknown centres turned into mean and variance; algebra is short but not a pure formula plug-in. Below 2026-P2-Q12 (L4) which hides two unknown observations; above plain formula questions.</t>
        </is>
      </c>
      <c r="O39" s="3" t="inlineStr">
        <is>
          <t>2026-P2-Q12 (L4)</t>
        </is>
      </c>
      <c r="P39" s="2" t="inlineStr">
        <is>
          <t>Medium</t>
        </is>
      </c>
    </row>
    <row r="40">
      <c r="A40" s="2" t="n">
        <v>39</v>
      </c>
      <c r="B40" s="2" t="inlineStr"/>
      <c r="C40" s="2" t="inlineStr">
        <is>
          <t>Q39</t>
        </is>
      </c>
      <c r="D40" s="2" t="inlineStr">
        <is>
          <t>SCQ</t>
        </is>
      </c>
      <c r="E40" s="3" t="inlineStr">
        <is>
          <t>Statistics</t>
        </is>
      </c>
      <c r="F40" s="2" t="n">
        <v>4</v>
      </c>
      <c r="G40" s="4" t="n">
        <v>1</v>
      </c>
      <c r="H40" s="4" t="inlineStr">
        <is>
          <t>JEE Main level</t>
        </is>
      </c>
      <c r="I40" s="5" t="n">
        <v>0</v>
      </c>
      <c r="J40" s="5" t="n">
        <v>0</v>
      </c>
      <c r="K40" s="5">
        <f>MIN(5,MAX(G40+I40,J40))</f>
        <v/>
      </c>
      <c r="L40" s="5">
        <f>F40*K40</f>
        <v/>
      </c>
      <c r="M40" s="3" t="inlineStr">
        <is>
          <t>Shift invariance of SD and the $\pm a$ symmetric data giving mean 0, SD $a$.</t>
        </is>
      </c>
      <c r="N40" s="3" t="inlineStr">
        <is>
          <t>Single familiar move (shift-invariance of SD) plus a two-line computation; option-based. Comparable to the plain-formula Statistics anchor 2023-P1-Q15 (L0) but needs one small decision.</t>
        </is>
      </c>
      <c r="O40" s="3" t="inlineStr">
        <is>
          <t>2023-P1-Q15 (L0)</t>
        </is>
      </c>
      <c r="P40" s="2" t="inlineStr">
        <is>
          <t>Medium</t>
        </is>
      </c>
    </row>
    <row r="41">
      <c r="A41" s="2" t="n">
        <v>40</v>
      </c>
      <c r="B41" s="2" t="inlineStr"/>
      <c r="C41" s="2" t="inlineStr">
        <is>
          <t>Q40</t>
        </is>
      </c>
      <c r="D41" s="2" t="inlineStr">
        <is>
          <t>Numerical</t>
        </is>
      </c>
      <c r="E41" s="3" t="inlineStr">
        <is>
          <t>Statistics</t>
        </is>
      </c>
      <c r="F41" s="2" t="n">
        <v>4</v>
      </c>
      <c r="G41" s="6" t="n">
        <v>0</v>
      </c>
      <c r="H41" s="6" t="inlineStr">
        <is>
          <t>Easier than JEE Main</t>
        </is>
      </c>
      <c r="I41" s="5" t="n">
        <v>0</v>
      </c>
      <c r="J41" s="5" t="n">
        <v>0</v>
      </c>
      <c r="K41" s="5">
        <f>MIN(5,MAX(G41+I41,J41))</f>
        <v/>
      </c>
      <c r="L41" s="5">
        <f>F41*K41</f>
        <v/>
      </c>
      <c r="M41" s="3" t="inlineStr">
        <is>
          <t>Convert mean to total and replace one value.</t>
        </is>
      </c>
      <c r="N41" s="3" t="inlineStr">
        <is>
          <t>Direct one-formula evaluation with no decision, like the L0 anchor 2023-P1-Q15 (direct statistics evaluation).</t>
        </is>
      </c>
      <c r="O41" s="3" t="inlineStr">
        <is>
          <t>2023-P1-Q15 (L0)</t>
        </is>
      </c>
      <c r="P41" s="2" t="inlineStr">
        <is>
          <t>High</t>
        </is>
      </c>
    </row>
    <row r="42">
      <c r="A42" s="2" t="n">
        <v>41</v>
      </c>
      <c r="B42" s="2" t="inlineStr"/>
      <c r="C42" s="2" t="inlineStr">
        <is>
          <t>Q41</t>
        </is>
      </c>
      <c r="D42" s="2" t="inlineStr">
        <is>
          <t>Numerical</t>
        </is>
      </c>
      <c r="E42" s="3" t="inlineStr">
        <is>
          <t>Statistics</t>
        </is>
      </c>
      <c r="F42" s="2" t="n">
        <v>4</v>
      </c>
      <c r="G42" s="8" t="n">
        <v>3</v>
      </c>
      <c r="H42" s="8" t="inlineStr">
        <is>
          <t>Average Advanced</t>
        </is>
      </c>
      <c r="I42" s="5" t="n">
        <v>0</v>
      </c>
      <c r="J42" s="5" t="n">
        <v>0</v>
      </c>
      <c r="K42" s="5">
        <f>MIN(5,MAX(G42+I42,J42))</f>
        <v/>
      </c>
      <c r="L42" s="5">
        <f>F42*K42</f>
        <v/>
      </c>
      <c r="M42" s="3" t="inlineStr">
        <is>
          <t>Track $\sum x^2$ and the mean of the two groups separately through the shifts.</t>
        </is>
      </c>
      <c r="N42" s="3" t="inlineStr">
        <is>
          <t>Two-group bookkeeping with sums of squares and an updated mean, one slip in counts gives a wrong answer and no options; harder than a direct combined-variance plug-in. Between 2023-P1-Q15 (L3) style and 2026-P2-Q12 (L4).</t>
        </is>
      </c>
      <c r="O42" s="3" t="inlineStr">
        <is>
          <t>2026-P2-Q12 (L4)</t>
        </is>
      </c>
      <c r="P42" s="2" t="inlineStr">
        <is>
          <t>Medium</t>
        </is>
      </c>
    </row>
    <row r="43">
      <c r="A43" s="2" t="n">
        <v>42</v>
      </c>
      <c r="B43" s="2" t="inlineStr"/>
      <c r="C43" s="2" t="inlineStr">
        <is>
          <t>Q42</t>
        </is>
      </c>
      <c r="D43" s="2" t="inlineStr">
        <is>
          <t>Numerical</t>
        </is>
      </c>
      <c r="E43" s="3" t="inlineStr">
        <is>
          <t>Statistics</t>
        </is>
      </c>
      <c r="F43" s="2" t="n">
        <v>4</v>
      </c>
      <c r="G43" s="7" t="n">
        <v>2</v>
      </c>
      <c r="H43" s="7" t="inlineStr">
        <is>
          <t>Easier than Advanced</t>
        </is>
      </c>
      <c r="I43" s="5" t="n">
        <v>0</v>
      </c>
      <c r="J43" s="5" t="n">
        <v>0</v>
      </c>
      <c r="K43" s="5">
        <f>MIN(5,MAX(G43+I43,J43))</f>
        <v/>
      </c>
      <c r="L43" s="5">
        <f>F43*K43</f>
        <v/>
      </c>
      <c r="M43" s="3" t="inlineStr">
        <is>
          <t>Add $\sum x$ and $\sum x^2$ of the two sets and solve the resulting equation for $n$.</t>
        </is>
      </c>
      <c r="N43" s="3" t="inlineStr">
        <is>
          <t>Routine chain of standard formulas ending in a quadratic; no insight needed, like 2026-P2-Q12 (L4) in setting but with a single unknown, so lower.</t>
        </is>
      </c>
      <c r="O43" s="3" t="inlineStr">
        <is>
          <t>2026-P2-Q12 (L4)</t>
        </is>
      </c>
      <c r="P43" s="2" t="inlineStr">
        <is>
          <t>High</t>
        </is>
      </c>
    </row>
    <row r="44">
      <c r="A44" s="2" t="n">
        <v>43</v>
      </c>
      <c r="B44" s="2" t="inlineStr"/>
      <c r="C44" s="2" t="inlineStr">
        <is>
          <t>Q43</t>
        </is>
      </c>
      <c r="D44" s="2" t="inlineStr">
        <is>
          <t>SCQ</t>
        </is>
      </c>
      <c r="E44" s="3" t="inlineStr">
        <is>
          <t>Statistics</t>
        </is>
      </c>
      <c r="F44" s="2" t="n">
        <v>4</v>
      </c>
      <c r="G44" s="7" t="n">
        <v>2</v>
      </c>
      <c r="H44" s="7" t="inlineStr">
        <is>
          <t>Easier than Advanced</t>
        </is>
      </c>
      <c r="I44" s="5" t="n">
        <v>0</v>
      </c>
      <c r="J44" s="5" t="n">
        <v>0</v>
      </c>
      <c r="K44" s="5">
        <f>MIN(5,MAX(G44+I44,J44))</f>
        <v/>
      </c>
      <c r="L44" s="5">
        <f>F44*K44</f>
        <v/>
      </c>
      <c r="M44" s="3" t="inlineStr">
        <is>
          <t>Use shift invariance and $a+b+c=2b$ to express $d^2$ and rearrange.</t>
        </is>
      </c>
      <c r="N44" s="3" t="inlineStr">
        <is>
          <t>Short chain of standard formulas with option support; less than the L4 anchor 2025-P1-Q14 which has unknown frequencies and median.</t>
        </is>
      </c>
      <c r="O44" s="3" t="inlineStr">
        <is>
          <t>2025-P1-Q14 (L4)</t>
        </is>
      </c>
      <c r="P44" s="2" t="inlineStr">
        <is>
          <t>High</t>
        </is>
      </c>
    </row>
    <row r="45">
      <c r="A45" s="2" t="n">
        <v>44</v>
      </c>
      <c r="B45" s="2" t="inlineStr"/>
      <c r="C45" s="2" t="inlineStr">
        <is>
          <t>Q44</t>
        </is>
      </c>
      <c r="D45" s="2" t="inlineStr">
        <is>
          <t>SCQ</t>
        </is>
      </c>
      <c r="E45" s="3" t="inlineStr">
        <is>
          <t>Statistics</t>
        </is>
      </c>
      <c r="F45" s="2" t="n">
        <v>4</v>
      </c>
      <c r="G45" s="7" t="n">
        <v>2</v>
      </c>
      <c r="H45" s="7" t="inlineStr">
        <is>
          <t>Easier than Advanced</t>
        </is>
      </c>
      <c r="I45" s="5" t="n">
        <v>0</v>
      </c>
      <c r="J45" s="5" t="n">
        <v>0</v>
      </c>
      <c r="K45" s="5">
        <f>MIN(5,MAX(G45+I45,J45))</f>
        <v/>
      </c>
      <c r="L45" s="5">
        <f>F45*K45</f>
        <v/>
      </c>
      <c r="M45" s="3" t="inlineStr">
        <is>
          <t>Get $x+y$ and $x^2+y^2$ from mean and variance and solve the pair.</t>
        </is>
      </c>
      <c r="N45" s="3" t="inlineStr">
        <is>
          <t>Routine: two standard equations and a quadratic; same demand as 2026-P2-Q12 (L4) but with options to check, and no hidden step, so lower.</t>
        </is>
      </c>
      <c r="O45" s="3" t="inlineStr">
        <is>
          <t>2026-P2-Q12 (L4)</t>
        </is>
      </c>
      <c r="P45" s="2" t="inlineStr">
        <is>
          <t>High</t>
        </is>
      </c>
    </row>
    <row r="46">
      <c r="A46" s="2" t="n">
        <v>45</v>
      </c>
      <c r="B46" s="2" t="inlineStr"/>
      <c r="C46" s="2" t="inlineStr">
        <is>
          <t>Q45</t>
        </is>
      </c>
      <c r="D46" s="2" t="inlineStr">
        <is>
          <t>SCQ</t>
        </is>
      </c>
      <c r="E46" s="3" t="inlineStr">
        <is>
          <t>Statistics</t>
        </is>
      </c>
      <c r="F46" s="2" t="n">
        <v>4</v>
      </c>
      <c r="G46" s="7" t="n">
        <v>2</v>
      </c>
      <c r="H46" s="7" t="inlineStr">
        <is>
          <t>Easier than Advanced</t>
        </is>
      </c>
      <c r="I46" s="5" t="n">
        <v>0</v>
      </c>
      <c r="J46" s="5" t="n">
        <v>0</v>
      </c>
      <c r="K46" s="5">
        <f>MIN(5,MAX(G46+I46,J46))</f>
        <v/>
      </c>
      <c r="L46" s="5">
        <f>F46*K46</f>
        <v/>
      </c>
      <c r="M46" s="3" t="inlineStr">
        <is>
          <t>Get $a+b$ and $a^2+b^2$ from mean and variance and form $(a-b)^2$.</t>
        </is>
      </c>
      <c r="N46" s="3" t="inlineStr">
        <is>
          <t>Standard two-equation recovery of two unknown observations, option-based, so below the L4 anchor 2026-P2-Q12 which asks the same with numerical answer and heavier data.</t>
        </is>
      </c>
      <c r="O46" s="3" t="inlineStr">
        <is>
          <t>2026-P2-Q12 (L4)</t>
        </is>
      </c>
      <c r="P46" s="2" t="inlineStr">
        <is>
          <t>High</t>
        </is>
      </c>
    </row>
    <row r="47">
      <c r="A47" s="2" t="n">
        <v>46</v>
      </c>
      <c r="B47" s="2" t="inlineStr"/>
      <c r="C47" s="2" t="inlineStr">
        <is>
          <t>Q46</t>
        </is>
      </c>
      <c r="D47" s="2" t="inlineStr">
        <is>
          <t>SCQ</t>
        </is>
      </c>
      <c r="E47" s="3" t="inlineStr">
        <is>
          <t>Statistics</t>
        </is>
      </c>
      <c r="F47" s="2" t="n">
        <v>4</v>
      </c>
      <c r="G47" s="7" t="n">
        <v>2</v>
      </c>
      <c r="H47" s="7" t="inlineStr">
        <is>
          <t>Easier than Advanced</t>
        </is>
      </c>
      <c r="I47" s="5" t="n">
        <v>0</v>
      </c>
      <c r="J47" s="5" t="n">
        <v>0</v>
      </c>
      <c r="K47" s="5">
        <f>MIN(5,MAX(G47+I47,J47))</f>
        <v/>
      </c>
      <c r="L47" s="5">
        <f>F47*K47</f>
        <v/>
      </c>
      <c r="M47" s="3" t="inlineStr">
        <is>
          <t>Find the second mean, then pool sums of squares.</t>
        </is>
      </c>
      <c r="N47" s="3" t="inlineStr">
        <is>
          <t>Routine multi-step formula chain, option based, no insight; same kind as 2026-P2-Q12 (L4) but simpler data.</t>
        </is>
      </c>
      <c r="O47" s="3" t="inlineStr">
        <is>
          <t>2026-P2-Q12 (L4)</t>
        </is>
      </c>
      <c r="P47" s="2" t="inlineStr">
        <is>
          <t>High</t>
        </is>
      </c>
    </row>
    <row r="48">
      <c r="A48" s="2" t="n">
        <v>47</v>
      </c>
      <c r="B48" s="2" t="inlineStr"/>
      <c r="C48" s="2" t="inlineStr">
        <is>
          <t>Q47</t>
        </is>
      </c>
      <c r="D48" s="2" t="inlineStr">
        <is>
          <t>SCQ</t>
        </is>
      </c>
      <c r="E48" s="3" t="inlineStr">
        <is>
          <t>Statistics</t>
        </is>
      </c>
      <c r="F48" s="2" t="n">
        <v>4</v>
      </c>
      <c r="G48" s="7" t="n">
        <v>2</v>
      </c>
      <c r="H48" s="7" t="inlineStr">
        <is>
          <t>Easier than Advanced</t>
        </is>
      </c>
      <c r="I48" s="5" t="n">
        <v>0</v>
      </c>
      <c r="J48" s="5" t="n">
        <v>0</v>
      </c>
      <c r="K48" s="5">
        <f>MIN(5,MAX(G48+I48,J48))</f>
        <v/>
      </c>
      <c r="L48" s="5">
        <f>F48*K48</f>
        <v/>
      </c>
      <c r="M48" s="3" t="inlineStr">
        <is>
          <t>Mean and variance equations for two unknown data points, then $(a-b)^2$.</t>
        </is>
      </c>
      <c r="N48" s="3" t="inlineStr">
        <is>
          <t>Same two-unknown recovery as Q45; routine, option-based; below 2026-P2-Q12 (L4).</t>
        </is>
      </c>
      <c r="O48" s="3" t="inlineStr">
        <is>
          <t>2026-P2-Q12 (L4)</t>
        </is>
      </c>
      <c r="P48" s="2" t="inlineStr">
        <is>
          <t>High</t>
        </is>
      </c>
    </row>
    <row r="49">
      <c r="A49" s="2" t="n">
        <v>48</v>
      </c>
      <c r="B49" s="2" t="inlineStr"/>
      <c r="C49" s="2" t="inlineStr">
        <is>
          <t>Q48</t>
        </is>
      </c>
      <c r="D49" s="2" t="inlineStr">
        <is>
          <t>SCQ</t>
        </is>
      </c>
      <c r="E49" s="3" t="inlineStr">
        <is>
          <t>Statistics</t>
        </is>
      </c>
      <c r="F49" s="2" t="n">
        <v>4</v>
      </c>
      <c r="G49" s="8" t="n">
        <v>3</v>
      </c>
      <c r="H49" s="8" t="inlineStr">
        <is>
          <t>Average Advanced</t>
        </is>
      </c>
      <c r="I49" s="5" t="n">
        <v>0</v>
      </c>
      <c r="J49" s="5" t="n">
        <v>0</v>
      </c>
      <c r="K49" s="5">
        <f>MIN(5,MAX(G49+I49,J49))</f>
        <v/>
      </c>
      <c r="L49" s="5">
        <f>F49*K49</f>
        <v/>
      </c>
      <c r="M49" s="3" t="inlineStr">
        <is>
          <t>Two linear equations in the unknown frequencies from mean and variance, then update the mean.</t>
        </is>
      </c>
      <c r="N49" s="3" t="inlineStr">
        <is>
          <t>Chain of four stages (mean eq, variance eq, solve, new mean) with a frequency table and unknown frequencies; option-based and linear, so below 2025-P1-Q14 (L4) which adds median and mean deviation.</t>
        </is>
      </c>
      <c r="O49" s="3" t="inlineStr">
        <is>
          <t>2025-P1-Q14 (L4)</t>
        </is>
      </c>
      <c r="P49" s="2" t="inlineStr">
        <is>
          <t>Medium</t>
        </is>
      </c>
    </row>
    <row r="50">
      <c r="A50" s="2" t="n">
        <v>49</v>
      </c>
      <c r="B50" s="2" t="inlineStr"/>
      <c r="C50" s="2" t="inlineStr">
        <is>
          <t>Q49</t>
        </is>
      </c>
      <c r="D50" s="2" t="inlineStr">
        <is>
          <t>Numerical</t>
        </is>
      </c>
      <c r="E50" s="3" t="inlineStr">
        <is>
          <t>Statistics</t>
        </is>
      </c>
      <c r="F50" s="2" t="n">
        <v>4</v>
      </c>
      <c r="G50" s="8" t="n">
        <v>3</v>
      </c>
      <c r="H50" s="8" t="inlineStr">
        <is>
          <t>Average Advanced</t>
        </is>
      </c>
      <c r="I50" s="5" t="n">
        <v>0</v>
      </c>
      <c r="J50" s="5" t="n">
        <v>0</v>
      </c>
      <c r="K50" s="5">
        <f>MIN(5,MAX(G50+I50,J50))</f>
        <v/>
      </c>
      <c r="L50" s="5">
        <f>F50*K50</f>
        <v/>
      </c>
      <c r="M50" s="3" t="inlineStr">
        <is>
          <t>Use the median class 12-18 to get a+b=18, then the mean equation.</t>
        </is>
      </c>
      <c r="N50" s="3" t="inlineStr">
        <is>
          <t>Two unknowns, two conditions (grouped mean and grouped median), routine formulas but careful arithmetic with no options; like 2023-P1-Q15 (L3) frequency-table statistics, easier than 2025-P1-Q14 (L4) which also has a median equation plus extra quantities.</t>
        </is>
      </c>
      <c r="O50" s="3" t="inlineStr">
        <is>
          <t>2023-P1-Q15 (L3)</t>
        </is>
      </c>
      <c r="P50" s="2" t="inlineStr">
        <is>
          <t>High</t>
        </is>
      </c>
    </row>
    <row r="51">
      <c r="A51" s="2" t="n">
        <v>50</v>
      </c>
      <c r="B51" s="2" t="inlineStr"/>
      <c r="C51" s="2" t="inlineStr">
        <is>
          <t>Q50</t>
        </is>
      </c>
      <c r="D51" s="2" t="inlineStr">
        <is>
          <t>Numerical</t>
        </is>
      </c>
      <c r="E51" s="3" t="inlineStr">
        <is>
          <t>Statistics</t>
        </is>
      </c>
      <c r="F51" s="2" t="n">
        <v>4</v>
      </c>
      <c r="G51" s="7" t="n">
        <v>2</v>
      </c>
      <c r="H51" s="7" t="inlineStr">
        <is>
          <t>Easier than Advanced</t>
        </is>
      </c>
      <c r="I51" s="5" t="n">
        <v>0</v>
      </c>
      <c r="J51" s="5" t="n">
        <v>0</v>
      </c>
      <c r="K51" s="5">
        <f>MIN(5,MAX(G51+I51,J51))</f>
        <v/>
      </c>
      <c r="L51" s="5">
        <f>F51*K51</f>
        <v/>
      </c>
      <c r="M51" s="3" t="inlineStr">
        <is>
          <t>Median 45 is mid-point of class 40-50; apply median formula with h=10.</t>
        </is>
      </c>
      <c r="N51" s="3" t="inlineStr">
        <is>
          <t>Single median formula with one unknown after the sum condition; fewer steps than 2023-P1-Q15 (L3) but numerical with no options, so a little above a one-move question.</t>
        </is>
      </c>
      <c r="O51" s="3" t="inlineStr">
        <is>
          <t>2023-P1-Q15 (L3)</t>
        </is>
      </c>
      <c r="P51" s="2" t="inlineStr">
        <is>
          <t>High</t>
        </is>
      </c>
    </row>
    <row r="52">
      <c r="A52" s="2" t="n">
        <v>51</v>
      </c>
      <c r="B52" s="2" t="inlineStr"/>
      <c r="C52" s="2" t="inlineStr">
        <is>
          <t>Q51</t>
        </is>
      </c>
      <c r="D52" s="2" t="inlineStr">
        <is>
          <t>SCQ</t>
        </is>
      </c>
      <c r="E52" s="3" t="inlineStr">
        <is>
          <t>Statistics</t>
        </is>
      </c>
      <c r="F52" s="2" t="n">
        <v>4</v>
      </c>
      <c r="G52" s="7" t="n">
        <v>2</v>
      </c>
      <c r="H52" s="7" t="inlineStr">
        <is>
          <t>Easier than Advanced</t>
        </is>
      </c>
      <c r="I52" s="5" t="n">
        <v>0</v>
      </c>
      <c r="J52" s="5" t="n">
        <v>0</v>
      </c>
      <c r="K52" s="5">
        <f>MIN(5,MAX(G52+I52,J52))</f>
        <v/>
      </c>
      <c r="L52" s="5">
        <f>F52*K52</f>
        <v/>
      </c>
      <c r="M52" s="3" t="inlineStr">
        <is>
          <t>Rebuild sum and sum of squares, swap the wrong value, recompute mean and variance.</t>
        </is>
      </c>
      <c r="N52" s="3" t="inlineStr">
        <is>
          <t>One standard correction-of-data routine, three or four routine steps, with options to check; below 2026-P2-Q12 (L4), which needs two unknown observations.</t>
        </is>
      </c>
      <c r="O52" s="3" t="inlineStr">
        <is>
          <t>2026-P2-Q12 (L4)</t>
        </is>
      </c>
      <c r="P52" s="2" t="inlineStr">
        <is>
          <t>High</t>
        </is>
      </c>
    </row>
    <row r="53">
      <c r="A53" s="2" t="n">
        <v>52</v>
      </c>
      <c r="B53" s="2" t="inlineStr"/>
      <c r="C53" s="2" t="inlineStr">
        <is>
          <t>Q52</t>
        </is>
      </c>
      <c r="D53" s="2" t="inlineStr">
        <is>
          <t>SCQ</t>
        </is>
      </c>
      <c r="E53" s="3" t="inlineStr">
        <is>
          <t>Statistics</t>
        </is>
      </c>
      <c r="F53" s="2" t="n">
        <v>4</v>
      </c>
      <c r="G53" s="7" t="n">
        <v>2</v>
      </c>
      <c r="H53" s="7" t="inlineStr">
        <is>
          <t>Easier than Advanced</t>
        </is>
      </c>
      <c r="I53" s="5" t="n">
        <v>0</v>
      </c>
      <c r="J53" s="5" t="n">
        <v>0</v>
      </c>
      <c r="K53" s="5">
        <f>MIN(5,MAX(G53+I53,J53))</f>
        <v/>
      </c>
      <c r="L53" s="5">
        <f>F53*K53</f>
        <v/>
      </c>
      <c r="M53" s="3" t="inlineStr">
        <is>
          <t>Back out sum and sum of squares of the other five observations.</t>
        </is>
      </c>
      <c r="N53" s="3" t="inlineStr">
        <is>
          <t>Standard subset mean/variance routine, a few steps with options; below 2026-P2-Q12 (L4) which asks for unknowns from two conditions.</t>
        </is>
      </c>
      <c r="O53" s="3" t="inlineStr">
        <is>
          <t>2026-P2-Q12 (L4)</t>
        </is>
      </c>
      <c r="P53" s="2" t="inlineStr">
        <is>
          <t>High</t>
        </is>
      </c>
    </row>
    <row r="54">
      <c r="A54" s="2" t="n">
        <v>53</v>
      </c>
      <c r="B54" s="2" t="inlineStr"/>
      <c r="C54" s="2" t="inlineStr">
        <is>
          <t>Q53</t>
        </is>
      </c>
      <c r="D54" s="2" t="inlineStr">
        <is>
          <t>Numerical</t>
        </is>
      </c>
      <c r="E54" s="3" t="inlineStr">
        <is>
          <t>Statistics</t>
        </is>
      </c>
      <c r="F54" s="2" t="n">
        <v>4</v>
      </c>
      <c r="G54" s="8" t="n">
        <v>3</v>
      </c>
      <c r="H54" s="8" t="inlineStr">
        <is>
          <t>Average Advanced</t>
        </is>
      </c>
      <c r="I54" s="5" t="n">
        <v>0</v>
      </c>
      <c r="J54" s="5" t="n">
        <v>0</v>
      </c>
      <c r="K54" s="5">
        <f>MIN(5,MAX(G54+I54,J54))</f>
        <v/>
      </c>
      <c r="L54" s="5">
        <f>F54*K54</f>
        <v/>
      </c>
      <c r="M54" s="3" t="inlineStr">
        <is>
          <t>Solve x and y from mean and variance conditions, then take the new mean.</t>
        </is>
      </c>
      <c r="N54" s="3" t="inlineStr">
        <is>
          <t>Same recover-two-values-from-mean-and-variance idea as 2026-P2-Q12 (L4) but with only four small numbers and a short finish, so one level lower.</t>
        </is>
      </c>
      <c r="O54" s="3" t="inlineStr">
        <is>
          <t>2026-P2-Q12 (L4)</t>
        </is>
      </c>
      <c r="P54" s="2" t="inlineStr">
        <is>
          <t>High</t>
        </is>
      </c>
    </row>
    <row r="55">
      <c r="A55" s="2" t="n">
        <v>54</v>
      </c>
      <c r="B55" s="2" t="inlineStr"/>
      <c r="C55" s="2" t="inlineStr">
        <is>
          <t>Q54</t>
        </is>
      </c>
      <c r="D55" s="2" t="inlineStr">
        <is>
          <t>Numerical</t>
        </is>
      </c>
      <c r="E55" s="3" t="inlineStr">
        <is>
          <t>Statistics</t>
        </is>
      </c>
      <c r="F55" s="2" t="n">
        <v>4</v>
      </c>
      <c r="G55" s="4" t="n">
        <v>1</v>
      </c>
      <c r="H55" s="4" t="inlineStr">
        <is>
          <t>JEE Main level</t>
        </is>
      </c>
      <c r="I55" s="5" t="n">
        <v>0</v>
      </c>
      <c r="J55" s="5" t="n">
        <v>0</v>
      </c>
      <c r="K55" s="5">
        <f>MIN(5,MAX(G55+I55,J55))</f>
        <v/>
      </c>
      <c r="L55" s="5">
        <f>F55*K55</f>
        <v/>
      </c>
      <c r="M55" s="3" t="inlineStr">
        <is>
          <t>Use the variance formula for $1,\dots,n$.</t>
        </is>
      </c>
      <c r="N55" s="3" t="inlineStr">
        <is>
          <t>One standard formula then a one-line equation; one familiar move like 2024-P2-Q3 (L1).</t>
        </is>
      </c>
      <c r="O55" s="3" t="inlineStr">
        <is>
          <t>2024-P2-Q3 (L1)</t>
        </is>
      </c>
      <c r="P55" s="2" t="inlineStr">
        <is>
          <t>High</t>
        </is>
      </c>
    </row>
    <row r="56">
      <c r="A56" s="2" t="n">
        <v>55</v>
      </c>
      <c r="B56" s="2" t="inlineStr"/>
      <c r="C56" s="2" t="inlineStr">
        <is>
          <t>Q55</t>
        </is>
      </c>
      <c r="D56" s="2" t="inlineStr">
        <is>
          <t>Numerical</t>
        </is>
      </c>
      <c r="E56" s="3" t="inlineStr">
        <is>
          <t>Statistics</t>
        </is>
      </c>
      <c r="F56" s="2" t="n">
        <v>4</v>
      </c>
      <c r="G56" s="8" t="n">
        <v>3</v>
      </c>
      <c r="H56" s="8" t="inlineStr">
        <is>
          <t>Average Advanced</t>
        </is>
      </c>
      <c r="I56" s="5" t="n">
        <v>0</v>
      </c>
      <c r="J56" s="5" t="n">
        <v>0</v>
      </c>
      <c r="K56" s="5">
        <f>MIN(5,MAX(G56+I56,J56))</f>
        <v/>
      </c>
      <c r="L56" s="5">
        <f>F56*K56</f>
        <v/>
      </c>
      <c r="M56" s="3" t="inlineStr">
        <is>
          <t>Find girls' mean from the combined mean, then use the combined variance formula.</t>
        </is>
      </c>
      <c r="N56" s="3" t="inlineStr">
        <is>
          <t>Two linked routine formulas (combined mean, then combined variance) with a numerical answer; near the combined-statistics tasks, comparable to 2023-P1-Q15 (L3) in effort.</t>
        </is>
      </c>
      <c r="O56" s="3" t="inlineStr">
        <is>
          <t>2023-P1-Q15 (L3)</t>
        </is>
      </c>
      <c r="P56" s="2" t="inlineStr">
        <is>
          <t>High</t>
        </is>
      </c>
    </row>
    <row r="57">
      <c r="A57" s="2" t="n">
        <v>56</v>
      </c>
      <c r="B57" s="2" t="inlineStr"/>
      <c r="C57" s="2" t="inlineStr">
        <is>
          <t>Q56</t>
        </is>
      </c>
      <c r="D57" s="2" t="inlineStr">
        <is>
          <t>Numerical</t>
        </is>
      </c>
      <c r="E57" s="3" t="inlineStr">
        <is>
          <t>Statistics</t>
        </is>
      </c>
      <c r="F57" s="2" t="n">
        <v>4</v>
      </c>
      <c r="G57" s="7" t="n">
        <v>2</v>
      </c>
      <c r="H57" s="7" t="inlineStr">
        <is>
          <t>Easier than Advanced</t>
        </is>
      </c>
      <c r="I57" s="5" t="n">
        <v>0</v>
      </c>
      <c r="J57" s="5" t="n">
        <v>0</v>
      </c>
      <c r="K57" s="5">
        <f>MIN(5,MAX(G57+I57,J57))</f>
        <v/>
      </c>
      <c r="L57" s="5">
        <f>F57*K57</f>
        <v/>
      </c>
      <c r="M57" s="3" t="inlineStr">
        <is>
          <t>Write the general term $(3r+4)(2r+6)$ and use sum formulas.</t>
        </is>
      </c>
      <c r="N57" s="3" t="inlineStr">
        <is>
          <t>General term from two APs then standard summations, routine chain with no insight, like 2026-P2-Q3 (L2).</t>
        </is>
      </c>
      <c r="O57" s="3" t="inlineStr">
        <is>
          <t>2026-P2-Q3 (L2)</t>
        </is>
      </c>
      <c r="P57" s="2" t="inlineStr">
        <is>
          <t>High</t>
        </is>
      </c>
    </row>
    <row r="58">
      <c r="A58" s="2" t="n">
        <v>57</v>
      </c>
      <c r="B58" s="2" t="inlineStr"/>
      <c r="C58" s="2" t="inlineStr">
        <is>
          <t>Q57</t>
        </is>
      </c>
      <c r="D58" s="2" t="inlineStr">
        <is>
          <t>Numerical</t>
        </is>
      </c>
      <c r="E58" s="3" t="inlineStr">
        <is>
          <t>Statistics</t>
        </is>
      </c>
      <c r="F58" s="2" t="n">
        <v>4</v>
      </c>
      <c r="G58" s="8" t="n">
        <v>3</v>
      </c>
      <c r="H58" s="8" t="inlineStr">
        <is>
          <t>Average Advanced</t>
        </is>
      </c>
      <c r="I58" s="5" t="n">
        <v>0</v>
      </c>
      <c r="J58" s="5" t="n">
        <v>0</v>
      </c>
      <c r="K58" s="5">
        <f>MIN(5,MAX(G58+I58,J58))</f>
        <v/>
      </c>
      <c r="L58" s="5">
        <f>F58*K58</f>
        <v/>
      </c>
      <c r="M58" s="3" t="inlineStr">
        <is>
          <t>Solve a,b from sum of probabilities and mean, then variance by E(X^2) - mean^2.</t>
        </is>
      </c>
      <c r="N58" s="3" t="inlineStr">
        <is>
          <t>Two linear equations then a five-term variance computation with fractions; slightly longer than a routine chain but no insight, near 2023-P1-Q15 (L3) in effort.</t>
        </is>
      </c>
      <c r="O58" s="3" t="inlineStr">
        <is>
          <t>2023-P1-Q15 (L3)</t>
        </is>
      </c>
      <c r="P58" s="2" t="inlineStr">
        <is>
          <t>Medium</t>
        </is>
      </c>
    </row>
    <row r="59">
      <c r="A59" s="2" t="n">
        <v>58</v>
      </c>
      <c r="B59" s="2" t="inlineStr"/>
      <c r="C59" s="2" t="inlineStr">
        <is>
          <t>Q58</t>
        </is>
      </c>
      <c r="D59" s="2" t="inlineStr">
        <is>
          <t>SCQ</t>
        </is>
      </c>
      <c r="E59" s="3" t="inlineStr">
        <is>
          <t>Statistics</t>
        </is>
      </c>
      <c r="F59" s="2" t="n">
        <v>4</v>
      </c>
      <c r="G59" s="8" t="n">
        <v>3</v>
      </c>
      <c r="H59" s="8" t="inlineStr">
        <is>
          <t>Average Advanced</t>
        </is>
      </c>
      <c r="I59" s="5" t="n">
        <v>0</v>
      </c>
      <c r="J59" s="5" t="n">
        <v>0</v>
      </c>
      <c r="K59" s="5">
        <f>MIN(5,MAX(G59+I59,J59))</f>
        <v/>
      </c>
      <c r="L59" s="5">
        <f>F59*K59</f>
        <v/>
      </c>
      <c r="M59" s="3" t="inlineStr">
        <is>
          <t>Solve for a,b from mean and variance, then compute mean deviation.</t>
        </is>
      </c>
      <c r="N59" s="3" t="inlineStr">
        <is>
          <t>Recover two unknowns from mean and variance (quadratic with symmetric roots) then a different measure, mean deviation; two linked ideas like 2025-P1-Q14 (L4) but lighter, so L3.</t>
        </is>
      </c>
      <c r="O59" s="3" t="inlineStr">
        <is>
          <t>2025-P1-Q14 (L4)</t>
        </is>
      </c>
      <c r="P59" s="2" t="inlineStr">
        <is>
          <t>High</t>
        </is>
      </c>
    </row>
    <row r="60">
      <c r="A60" s="2" t="n">
        <v>59</v>
      </c>
      <c r="B60" s="2" t="inlineStr"/>
      <c r="C60" s="2" t="inlineStr">
        <is>
          <t>Q59</t>
        </is>
      </c>
      <c r="D60" s="2" t="inlineStr">
        <is>
          <t>SCQ</t>
        </is>
      </c>
      <c r="E60" s="3" t="inlineStr">
        <is>
          <t>Statistics</t>
        </is>
      </c>
      <c r="F60" s="2" t="n">
        <v>4</v>
      </c>
      <c r="G60" s="7" t="n">
        <v>2</v>
      </c>
      <c r="H60" s="7" t="inlineStr">
        <is>
          <t>Easier than Advanced</t>
        </is>
      </c>
      <c r="I60" s="5" t="n">
        <v>0</v>
      </c>
      <c r="J60" s="5" t="n">
        <v>0</v>
      </c>
      <c r="K60" s="5">
        <f>MIN(5,MAX(G60+I60,J60))</f>
        <v/>
      </c>
      <c r="L60" s="5">
        <f>F60*K60</f>
        <v/>
      </c>
      <c r="M60" s="3" t="inlineStr">
        <is>
          <t>Find the two observations from sum 70 and mean shift, then update sum of squares.</t>
        </is>
      </c>
      <c r="N60" s="3" t="inlineStr">
        <is>
          <t>Standard data-correction routine with one extra step (find a and b), options present; similar in demand to 2026-P2-Q12 (L4) but one stage lighter, so L2.</t>
        </is>
      </c>
      <c r="O60" s="3" t="inlineStr">
        <is>
          <t>2026-P2-Q12 (L4)</t>
        </is>
      </c>
      <c r="P60" s="2" t="inlineStr">
        <is>
          <t>High</t>
        </is>
      </c>
    </row>
    <row r="61">
      <c r="A61" s="2" t="n">
        <v>60</v>
      </c>
      <c r="B61" s="2" t="inlineStr"/>
      <c r="C61" s="2" t="inlineStr">
        <is>
          <t>Q60</t>
        </is>
      </c>
      <c r="D61" s="2" t="inlineStr">
        <is>
          <t>SCQ</t>
        </is>
      </c>
      <c r="E61" s="3" t="inlineStr">
        <is>
          <t>Statistics</t>
        </is>
      </c>
      <c r="F61" s="2" t="n">
        <v>4</v>
      </c>
      <c r="G61" s="7" t="n">
        <v>2</v>
      </c>
      <c r="H61" s="7" t="inlineStr">
        <is>
          <t>Easier than Advanced</t>
        </is>
      </c>
      <c r="I61" s="5" t="n">
        <v>0</v>
      </c>
      <c r="J61" s="5" t="n">
        <v>0</v>
      </c>
      <c r="K61" s="5">
        <f>MIN(5,MAX(G61+I61,J61))</f>
        <v/>
      </c>
      <c r="L61" s="5">
        <f>F61*K61</f>
        <v/>
      </c>
      <c r="M61" s="3" t="inlineStr">
        <is>
          <t>Mean and variance give x+y and x^2+y^2.</t>
        </is>
      </c>
      <c r="N61" s="3" t="inlineStr">
        <is>
          <t>Two-unknown mean/variance routine with options and short algebra; easier than 2026-P2-Q12 (L4), so L2.</t>
        </is>
      </c>
      <c r="O61" s="3" t="inlineStr">
        <is>
          <t>2026-P2-Q12 (L4)</t>
        </is>
      </c>
      <c r="P61" s="2" t="inlineStr">
        <is>
          <t>High</t>
        </is>
      </c>
    </row>
    <row r="62">
      <c r="A62" s="2" t="n">
        <v>61</v>
      </c>
      <c r="B62" s="2" t="inlineStr"/>
      <c r="C62" s="2" t="inlineStr">
        <is>
          <t>Q61</t>
        </is>
      </c>
      <c r="D62" s="2" t="inlineStr">
        <is>
          <t>SCQ</t>
        </is>
      </c>
      <c r="E62" s="3" t="inlineStr">
        <is>
          <t>Statistics</t>
        </is>
      </c>
      <c r="F62" s="2" t="n">
        <v>4</v>
      </c>
      <c r="G62" s="7" t="n">
        <v>2</v>
      </c>
      <c r="H62" s="7" t="inlineStr">
        <is>
          <t>Easier than Advanced</t>
        </is>
      </c>
      <c r="I62" s="5" t="n">
        <v>0</v>
      </c>
      <c r="J62" s="5" t="n">
        <v>0</v>
      </c>
      <c r="K62" s="5">
        <f>MIN(5,MAX(G62+I62,J62))</f>
        <v/>
      </c>
      <c r="L62" s="5">
        <f>F62*K62</f>
        <v/>
      </c>
      <c r="M62" s="3" t="inlineStr">
        <is>
          <t>Turn mean and variance into sums and sums of squares, remove x5 from both.</t>
        </is>
      </c>
      <c r="N62" s="3" t="inlineStr">
        <is>
          <t>Q61: routine two-stage sums computation (x5 from means, then a from sum of squares) with options; at the level of 2026-P2-Q12 (L4) but only one unknown and options, so lower: L2.</t>
        </is>
      </c>
      <c r="O62" s="3" t="inlineStr">
        <is>
          <t>2026-P2-Q12 (L4)</t>
        </is>
      </c>
      <c r="P62" s="2" t="inlineStr">
        <is>
          <t>Medium</t>
        </is>
      </c>
    </row>
    <row r="63">
      <c r="A63" s="2" t="n">
        <v>62</v>
      </c>
      <c r="B63" s="2" t="inlineStr"/>
      <c r="C63" s="2" t="inlineStr">
        <is>
          <t>Q62</t>
        </is>
      </c>
      <c r="D63" s="2" t="inlineStr">
        <is>
          <t>SCQ</t>
        </is>
      </c>
      <c r="E63" s="3" t="inlineStr">
        <is>
          <t>Statistics</t>
        </is>
      </c>
      <c r="F63" s="2" t="n">
        <v>4</v>
      </c>
      <c r="G63" s="8" t="n">
        <v>3</v>
      </c>
      <c r="H63" s="8" t="inlineStr">
        <is>
          <t>Average Advanced</t>
        </is>
      </c>
      <c r="I63" s="5" t="n">
        <v>0</v>
      </c>
      <c r="J63" s="5" t="n">
        <v>0</v>
      </c>
      <c r="K63" s="5">
        <f>MIN(5,MAX(G63+I63,J63))</f>
        <v/>
      </c>
      <c r="L63" s="5">
        <f>F63*K63</f>
        <v/>
      </c>
      <c r="M63" s="3" t="inlineStr">
        <is>
          <t>Reduce the variance numerator modulo 5 and check all five residues.</t>
        </is>
      </c>
      <c r="N63" s="3" t="inlineStr">
        <is>
          <t>Variance formula plus a residue (mod 5) argument over all naturals; students must recognise a divisibility trick, and the printed solution is itself shaky. Like 2025-P1-Q14 in being a data set with a hidden parameter but easier.</t>
        </is>
      </c>
      <c r="O63" s="3" t="inlineStr">
        <is>
          <t>2025-P1-Q14 (L4)</t>
        </is>
      </c>
      <c r="P63" s="2" t="inlineStr">
        <is>
          <t>Medium</t>
        </is>
      </c>
    </row>
    <row r="64">
      <c r="A64" s="2" t="n">
        <v>63</v>
      </c>
      <c r="B64" s="2" t="inlineStr"/>
      <c r="C64" s="2" t="inlineStr">
        <is>
          <t>Q63</t>
        </is>
      </c>
      <c r="D64" s="2" t="inlineStr">
        <is>
          <t>Numerical</t>
        </is>
      </c>
      <c r="E64" s="3" t="inlineStr">
        <is>
          <t>Statistics</t>
        </is>
      </c>
      <c r="F64" s="2" t="n">
        <v>4</v>
      </c>
      <c r="G64" s="8" t="n">
        <v>3</v>
      </c>
      <c r="H64" s="8" t="inlineStr">
        <is>
          <t>Average Advanced</t>
        </is>
      </c>
      <c r="I64" s="5" t="n">
        <v>0</v>
      </c>
      <c r="J64" s="5" t="n">
        <v>0</v>
      </c>
      <c r="K64" s="5">
        <f>MIN(5,MAX(G64+I64,J64))</f>
        <v/>
      </c>
      <c r="L64" s="5">
        <f>F64*K64</f>
        <v/>
      </c>
      <c r="M64" s="3" t="inlineStr">
        <is>
          <t>Pair the symmetric deviations to get the sum of $|x_i-\bar x|$ as $(n^2-1)/4$.</t>
        </is>
      </c>
      <c r="N64" s="3" t="inlineStr">
        <is>
          <t>Single formula derivation for the mean deviation of $1..n$ then a quadratic; numerical but routine once the symmetric pairing is seen; like 2023-P1-Q15 (L3), mean-deviation computation.</t>
        </is>
      </c>
      <c r="O64" s="3" t="inlineStr">
        <is>
          <t>2023-P1-Q15 (L3)</t>
        </is>
      </c>
      <c r="P64" s="2" t="inlineStr">
        <is>
          <t>Medium</t>
        </is>
      </c>
    </row>
    <row r="65">
      <c r="A65" s="2" t="n">
        <v>64</v>
      </c>
      <c r="B65" s="2" t="inlineStr"/>
      <c r="C65" s="2" t="inlineStr">
        <is>
          <t>Q64</t>
        </is>
      </c>
      <c r="D65" s="2" t="inlineStr">
        <is>
          <t>Numerical</t>
        </is>
      </c>
      <c r="E65" s="3" t="inlineStr">
        <is>
          <t>Statistics</t>
        </is>
      </c>
      <c r="F65" s="2" t="n">
        <v>4</v>
      </c>
      <c r="G65" s="7" t="n">
        <v>2</v>
      </c>
      <c r="H65" s="7" t="inlineStr">
        <is>
          <t>Easier than Advanced</t>
        </is>
      </c>
      <c r="I65" s="5" t="n">
        <v>0</v>
      </c>
      <c r="J65" s="5" t="n">
        <v>0</v>
      </c>
      <c r="K65" s="5">
        <f>MIN(5,MAX(G65+I65,J65))</f>
        <v/>
      </c>
      <c r="L65" s="5">
        <f>F65*K65</f>
        <v/>
      </c>
      <c r="M65" s="3" t="inlineStr">
        <is>
          <t>Correct both sum and sum of squares, then recompute variance with the new mean.</t>
        </is>
      </c>
      <c r="N65" s="3" t="inlineStr">
        <is>
          <t>Single replaced reading: rebuild sum and sum of squares, then recompute; routine multi-step in numerical format. Easier than 2026-P2-Q12 (L4) which has two unknown observations.</t>
        </is>
      </c>
      <c r="O65" s="3" t="inlineStr">
        <is>
          <t>2026-P2-Q12 (L4)</t>
        </is>
      </c>
      <c r="P65" s="2" t="inlineStr">
        <is>
          <t>Medium</t>
        </is>
      </c>
    </row>
    <row r="66">
      <c r="A66" s="2" t="n">
        <v>65</v>
      </c>
      <c r="B66" s="2" t="inlineStr"/>
      <c r="C66" s="2" t="inlineStr">
        <is>
          <t>Q65</t>
        </is>
      </c>
      <c r="D66" s="2" t="inlineStr">
        <is>
          <t>Numerical</t>
        </is>
      </c>
      <c r="E66" s="3" t="inlineStr">
        <is>
          <t>Statistics</t>
        </is>
      </c>
      <c r="F66" s="2" t="n">
        <v>4</v>
      </c>
      <c r="G66" s="8" t="n">
        <v>3</v>
      </c>
      <c r="H66" s="8" t="inlineStr">
        <is>
          <t>Average Advanced</t>
        </is>
      </c>
      <c r="I66" s="5" t="n">
        <v>0</v>
      </c>
      <c r="J66" s="5" t="n">
        <v>0</v>
      </c>
      <c r="K66" s="5">
        <f>MIN(5,MAX(G66+I66,J66))</f>
        <v/>
      </c>
      <c r="L66" s="5">
        <f>F66*K66</f>
        <v/>
      </c>
      <c r="M66" s="3" t="inlineStr">
        <is>
          <t>Total squared deviation is only 140, so one student's deviation can never reach 12.</t>
        </is>
      </c>
      <c r="N66" s="3" t="inlineStr">
        <is>
          <t>Needs the idea that a bounded total of squared deviations limits any single observation; unusual for a student, numerical answer 0 is also easy to doubt. Slightly above routine statistics (2023-P1-Q15, L3).</t>
        </is>
      </c>
      <c r="O66" s="3" t="inlineStr">
        <is>
          <t>2023-P1-Q15 (L3)</t>
        </is>
      </c>
      <c r="P66" s="2" t="inlineStr">
        <is>
          <t>Medium</t>
        </is>
      </c>
    </row>
    <row r="67">
      <c r="A67" s="2" t="n">
        <v>66</v>
      </c>
      <c r="B67" s="2" t="inlineStr"/>
      <c r="C67" s="2" t="inlineStr">
        <is>
          <t>Q66</t>
        </is>
      </c>
      <c r="D67" s="2" t="inlineStr">
        <is>
          <t>SCQ</t>
        </is>
      </c>
      <c r="E67" s="3" t="inlineStr">
        <is>
          <t>Statistics</t>
        </is>
      </c>
      <c r="F67" s="2" t="n">
        <v>4</v>
      </c>
      <c r="G67" s="7" t="n">
        <v>2</v>
      </c>
      <c r="H67" s="7" t="inlineStr">
        <is>
          <t>Easier than Advanced</t>
        </is>
      </c>
      <c r="I67" s="5" t="n">
        <v>0</v>
      </c>
      <c r="J67" s="5" t="n">
        <v>0</v>
      </c>
      <c r="K67" s="5">
        <f>MIN(5,MAX(G67+I67,J67))</f>
        <v/>
      </c>
      <c r="L67" s="5">
        <f>F67*K67</f>
        <v/>
      </c>
      <c r="M67" s="3" t="inlineStr">
        <is>
          <t>Median is the average of the 4th and 5th terms; list the absolute deviations.</t>
        </is>
      </c>
      <c r="N67" s="3" t="inlineStr">
        <is>
          <t>Routine mean-deviation computation with a parameter and one linear equation, options present; below Advanced; Level 2 (routine chain).</t>
        </is>
      </c>
      <c r="O67" s="3" t="inlineStr">
        <is>
          <t>2023-P1-Q15 (L3)</t>
        </is>
      </c>
      <c r="P67" s="2" t="inlineStr">
        <is>
          <t>High</t>
        </is>
      </c>
    </row>
    <row r="68">
      <c r="A68" s="2" t="n">
        <v>67</v>
      </c>
      <c r="B68" s="2" t="inlineStr"/>
      <c r="C68" s="2" t="inlineStr">
        <is>
          <t>Q67</t>
        </is>
      </c>
      <c r="D68" s="2" t="inlineStr">
        <is>
          <t>SCQ</t>
        </is>
      </c>
      <c r="E68" s="3" t="inlineStr">
        <is>
          <t>Statistics</t>
        </is>
      </c>
      <c r="F68" s="2" t="n">
        <v>4</v>
      </c>
      <c r="G68" s="7" t="n">
        <v>2</v>
      </c>
      <c r="H68" s="7" t="inlineStr">
        <is>
          <t>Easier than Advanced</t>
        </is>
      </c>
      <c r="I68" s="5" t="n">
        <v>0</v>
      </c>
      <c r="J68" s="5" t="n">
        <v>0</v>
      </c>
      <c r="K68" s="5">
        <f>MIN(5,MAX(G68+I68,J68))</f>
        <v/>
      </c>
      <c r="L68" s="5">
        <f>F68*K68</f>
        <v/>
      </c>
      <c r="M68" s="3" t="inlineStr">
        <is>
          <t>Variance divided by mean gives $q$; then solve $2n/3^n=4/243$ for $n$.</t>
        </is>
      </c>
      <c r="N68" s="3" t="inlineStr">
        <is>
          <t>Ratio gives $q$, trial-solve $n$, then two binomial terms; routine chain with options, comparable to a Level-2 routine multi-step.</t>
        </is>
      </c>
      <c r="O68" s="3" t="inlineStr">
        <is>
          <t>2021-P2-Q17 (L1)</t>
        </is>
      </c>
      <c r="P68" s="2" t="inlineStr">
        <is>
          <t>Medium</t>
        </is>
      </c>
    </row>
    <row r="69">
      <c r="A69" s="2" t="n">
        <v>68</v>
      </c>
      <c r="B69" s="2" t="inlineStr"/>
      <c r="C69" s="2" t="inlineStr">
        <is>
          <t>Q68</t>
        </is>
      </c>
      <c r="D69" s="2" t="inlineStr">
        <is>
          <t>Numerical</t>
        </is>
      </c>
      <c r="E69" s="3" t="inlineStr">
        <is>
          <t>Statistics</t>
        </is>
      </c>
      <c r="F69" s="2" t="n">
        <v>4</v>
      </c>
      <c r="G69" s="7" t="n">
        <v>2</v>
      </c>
      <c r="H69" s="7" t="inlineStr">
        <is>
          <t>Easier than Advanced</t>
        </is>
      </c>
      <c r="I69" s="5" t="n">
        <v>0</v>
      </c>
      <c r="J69" s="5" t="n">
        <v>0</v>
      </c>
      <c r="K69" s="5">
        <f>MIN(5,MAX(G69+I69,J69))</f>
        <v/>
      </c>
      <c r="L69" s="5">
        <f>F69*K69</f>
        <v/>
      </c>
      <c r="M69" s="3" t="inlineStr">
        <is>
          <t>Subtract the two wrong values from both the sum and the sum of squares, with $n=38$.</t>
        </is>
      </c>
      <c r="N69" s="3" t="inlineStr">
        <is>
          <t>Direct removal of two readings and recomputation; routine numerical sum-of-squares bookkeeping; same type as 2026-P2-Q12 (L4) but a single-stage version, hence lower.</t>
        </is>
      </c>
      <c r="O69" s="3" t="inlineStr">
        <is>
          <t>2026-P2-Q12 (L4)</t>
        </is>
      </c>
      <c r="P69" s="2" t="inlineStr">
        <is>
          <t>Medium</t>
        </is>
      </c>
    </row>
    <row r="70">
      <c r="A70" s="2" t="n">
        <v>69</v>
      </c>
      <c r="B70" s="2" t="inlineStr"/>
      <c r="C70" s="2" t="inlineStr">
        <is>
          <t>Q69</t>
        </is>
      </c>
      <c r="D70" s="2" t="inlineStr">
        <is>
          <t>Numerical</t>
        </is>
      </c>
      <c r="E70" s="3" t="inlineStr">
        <is>
          <t>Statistics</t>
        </is>
      </c>
      <c r="F70" s="2" t="n">
        <v>4</v>
      </c>
      <c r="G70" s="7" t="n">
        <v>2</v>
      </c>
      <c r="H70" s="7" t="inlineStr">
        <is>
          <t>Easier than Advanced</t>
        </is>
      </c>
      <c r="I70" s="5" t="n">
        <v>0</v>
      </c>
      <c r="J70" s="5" t="n">
        <v>0</v>
      </c>
      <c r="K70" s="5">
        <f>MIN(5,MAX(G70+I70,J70))</f>
        <v/>
      </c>
      <c r="L70" s="5">
        <f>F70*K70</f>
        <v/>
      </c>
      <c r="M70" s="3" t="inlineStr">
        <is>
          <t>Correct $\sum x$ and $\sum x^2$ by swapping $25$ for $15$, then recompute.</t>
        </is>
      </c>
      <c r="N70" s="3" t="inlineStr">
        <is>
          <t>Single-observation correction, routine; the only trap is variance versus standard deviation and the mean changing to 14. Below 2026-P2-Q12 (L4), which has two unknown observations.</t>
        </is>
      </c>
      <c r="O70" s="3" t="inlineStr">
        <is>
          <t>2026-P2-Q12 (L4)</t>
        </is>
      </c>
      <c r="P70" s="2" t="inlineStr">
        <is>
          <t>Medium</t>
        </is>
      </c>
    </row>
    <row r="71">
      <c r="A71" s="2" t="n">
        <v>70</v>
      </c>
      <c r="B71" s="2" t="inlineStr"/>
      <c r="C71" s="2" t="inlineStr">
        <is>
          <t>Q70</t>
        </is>
      </c>
      <c r="D71" s="2" t="inlineStr">
        <is>
          <t>Numerical</t>
        </is>
      </c>
      <c r="E71" s="3" t="inlineStr">
        <is>
          <t>Statistics</t>
        </is>
      </c>
      <c r="F71" s="2" t="n">
        <v>4</v>
      </c>
      <c r="G71" s="9" t="n">
        <v>4</v>
      </c>
      <c r="H71" s="9" t="inlineStr">
        <is>
          <t>Slightly difficult</t>
        </is>
      </c>
      <c r="I71" s="5" t="n">
        <v>0</v>
      </c>
      <c r="J71" s="5" t="n">
        <v>0</v>
      </c>
      <c r="K71" s="5">
        <f>MIN(5,MAX(G71+I71,J71))</f>
        <v/>
      </c>
      <c r="L71" s="5">
        <f>F71*K71</f>
        <v/>
      </c>
      <c r="M71" s="3" t="inlineStr">
        <is>
          <t>Split $(x_i-i)^2$ and sum a GP, a sum of squares and an AGP; the exponentially small terms only shift the decimal.</t>
        </is>
      </c>
      <c r="N71" s="3" t="inlineStr">
        <is>
          <t>Three different sums (GP, squares, AGP) with exact handling and an integer-part conclusion, numerical with precision risk; heavy computation (F4) puts it at 4, like other long numerical chains such as 2026-P2-Q14 (L4).</t>
        </is>
      </c>
      <c r="O71" s="3" t="inlineStr">
        <is>
          <t>2026-P2-Q14 (L4)</t>
        </is>
      </c>
      <c r="P71" s="2" t="inlineStr">
        <is>
          <t>Medium</t>
        </is>
      </c>
    </row>
    <row r="72">
      <c r="A72" s="2" t="n">
        <v>71</v>
      </c>
      <c r="B72" s="2" t="inlineStr"/>
      <c r="C72" s="2" t="inlineStr">
        <is>
          <t>Q71</t>
        </is>
      </c>
      <c r="D72" s="2" t="inlineStr">
        <is>
          <t>Numerical</t>
        </is>
      </c>
      <c r="E72" s="3" t="inlineStr">
        <is>
          <t>Statistics</t>
        </is>
      </c>
      <c r="F72" s="2" t="n">
        <v>4</v>
      </c>
      <c r="G72" s="7" t="n">
        <v>2</v>
      </c>
      <c r="H72" s="7" t="inlineStr">
        <is>
          <t>Easier than Advanced</t>
        </is>
      </c>
      <c r="I72" s="5" t="n">
        <v>0</v>
      </c>
      <c r="J72" s="5" t="n">
        <v>0</v>
      </c>
      <c r="K72" s="5">
        <f>MIN(5,MAX(G72+I72,J72))</f>
        <v/>
      </c>
      <c r="L72" s="5">
        <f>F72*K72</f>
        <v/>
      </c>
      <c r="M72" s="3" t="inlineStr">
        <is>
          <t>Expand $\sum(x_i+\alpha)^2$ using $\sum x_i$ and $\sum x_i^2$ to get a quadratic in $\alpha$.</t>
        </is>
      </c>
      <c r="N72" s="3" t="inlineStr">
        <is>
          <t>Two sums, one quadratic, one trap on 'maximum' being $-2$; routine chain, numerical.</t>
        </is>
      </c>
      <c r="O72" s="3" t="inlineStr">
        <is>
          <t>2026-P2-Q12 (L4)</t>
        </is>
      </c>
      <c r="P72" s="2" t="inlineStr">
        <is>
          <t>Medium</t>
        </is>
      </c>
    </row>
    <row r="73">
      <c r="A73" s="2" t="n">
        <v>72</v>
      </c>
      <c r="B73" s="2" t="inlineStr"/>
      <c r="C73" s="2" t="inlineStr">
        <is>
          <t>Q72</t>
        </is>
      </c>
      <c r="D73" s="2" t="inlineStr">
        <is>
          <t>Numerical</t>
        </is>
      </c>
      <c r="E73" s="3" t="inlineStr">
        <is>
          <t>Statistics</t>
        </is>
      </c>
      <c r="F73" s="2" t="n">
        <v>4</v>
      </c>
      <c r="G73" s="7" t="n">
        <v>2</v>
      </c>
      <c r="H73" s="7" t="inlineStr">
        <is>
          <t>Easier than Advanced</t>
        </is>
      </c>
      <c r="I73" s="5" t="n">
        <v>0</v>
      </c>
      <c r="J73" s="5" t="n">
        <v>0</v>
      </c>
      <c r="K73" s="5">
        <f>MIN(5,MAX(G73+I73,J73))</f>
        <v/>
      </c>
      <c r="L73" s="5">
        <f>F73*K73</f>
        <v/>
      </c>
      <c r="M73" s="3" t="inlineStr">
        <is>
          <t>Mean and variance are the two roots; variance $&lt;$ mean fixes which is which, giving $q$ and $n$.</t>
        </is>
      </c>
      <c r="N73" s="3" t="inlineStr">
        <is>
          <t>Solve for mean and variance from sum and product, then $q,p,n$; routine chain, numerical, one trap in the root assignment.</t>
        </is>
      </c>
      <c r="O73" s="3" t="inlineStr">
        <is>
          <t>2021-P2-Q17 (L1)</t>
        </is>
      </c>
      <c r="P73" s="2" t="inlineStr">
        <is>
          <t>Medium</t>
        </is>
      </c>
    </row>
    <row r="74">
      <c r="A74" s="2" t="n">
        <v>73</v>
      </c>
      <c r="B74" s="2" t="inlineStr"/>
      <c r="C74" s="2" t="inlineStr">
        <is>
          <t>Q73</t>
        </is>
      </c>
      <c r="D74" s="2" t="inlineStr">
        <is>
          <t>SCQ</t>
        </is>
      </c>
      <c r="E74" s="3" t="inlineStr">
        <is>
          <t>Statistics</t>
        </is>
      </c>
      <c r="F74" s="2" t="n">
        <v>4</v>
      </c>
      <c r="G74" s="7" t="n">
        <v>2</v>
      </c>
      <c r="H74" s="7" t="inlineStr">
        <is>
          <t>Easier than Advanced</t>
        </is>
      </c>
      <c r="I74" s="5" t="n">
        <v>0</v>
      </c>
      <c r="J74" s="5" t="n">
        <v>0</v>
      </c>
      <c r="K74" s="5">
        <f>MIN(5,MAX(G74+I74,J74))</f>
        <v/>
      </c>
      <c r="L74" s="5">
        <f>F74*K74</f>
        <v/>
      </c>
      <c r="M74" s="3" t="inlineStr">
        <is>
          <t>Get $a,d$ from mean and $a_1+a_3$, then $\sigma^2=\frac{d^2(n^2-1)}{12}$ or direct sum of squares.</t>
        </is>
      </c>
      <c r="N74" s="3" t="inlineStr">
        <is>
          <t>Two linear equations then a routine variance of six numbers; a short chain of standard steps with no new idea, like 2026-P2-Q12 (L2) but shorter and with options.</t>
        </is>
      </c>
      <c r="O74" s="3" t="inlineStr">
        <is>
          <t>2026-P2-Q12 (L2)</t>
        </is>
      </c>
      <c r="P74" s="2" t="inlineStr">
        <is>
          <t>Medium</t>
        </is>
      </c>
    </row>
    <row r="75">
      <c r="A75" s="2" t="n">
        <v>74</v>
      </c>
      <c r="B75" s="2" t="inlineStr"/>
      <c r="C75" s="2" t="inlineStr">
        <is>
          <t>Q74</t>
        </is>
      </c>
      <c r="D75" s="2" t="inlineStr">
        <is>
          <t>SCQ</t>
        </is>
      </c>
      <c r="E75" s="3" t="inlineStr">
        <is>
          <t>Statistics</t>
        </is>
      </c>
      <c r="F75" s="2" t="n">
        <v>4</v>
      </c>
      <c r="G75" s="4" t="n">
        <v>1</v>
      </c>
      <c r="H75" s="4" t="inlineStr">
        <is>
          <t>JEE Main level</t>
        </is>
      </c>
      <c r="I75" s="5" t="n">
        <v>0</v>
      </c>
      <c r="J75" s="5" t="n">
        <v>0</v>
      </c>
      <c r="K75" s="5">
        <f>MIN(5,MAX(G75+I75,J75))</f>
        <v/>
      </c>
      <c r="L75" s="5">
        <f>F75*K75</f>
        <v/>
      </c>
      <c r="M75" s="3" t="inlineStr">
        <is>
          <t>Get $n$ from the mean change, then update $\sum x_i^2$.</t>
        </is>
      </c>
      <c r="N75" s="3" t="inlineStr">
        <is>
          <t>Two standard recoveries ($n$, then $\sum x^2$) and one update; a single familiar technique, simpler than 2026-P2-Q12 (L2), which needs two unknown observations.</t>
        </is>
      </c>
      <c r="O75" s="3" t="inlineStr">
        <is>
          <t>2026-P2-Q12 (L2)</t>
        </is>
      </c>
      <c r="P75" s="2" t="inlineStr">
        <is>
          <t>Medium</t>
        </is>
      </c>
    </row>
    <row r="76">
      <c r="A76" s="2" t="n">
        <v>75</v>
      </c>
      <c r="B76" s="2" t="inlineStr"/>
      <c r="C76" s="2" t="inlineStr">
        <is>
          <t>Q75</t>
        </is>
      </c>
      <c r="D76" s="2" t="inlineStr">
        <is>
          <t>SCQ</t>
        </is>
      </c>
      <c r="E76" s="3" t="inlineStr">
        <is>
          <t>Statistics</t>
        </is>
      </c>
      <c r="F76" s="2" t="n">
        <v>4</v>
      </c>
      <c r="G76" s="4" t="n">
        <v>1</v>
      </c>
      <c r="H76" s="4" t="inlineStr">
        <is>
          <t>JEE Main level</t>
        </is>
      </c>
      <c r="I76" s="5" t="n">
        <v>0</v>
      </c>
      <c r="J76" s="5" t="n">
        <v>0</v>
      </c>
      <c r="K76" s="5">
        <f>MIN(5,MAX(G76+I76,J76))</f>
        <v/>
      </c>
      <c r="L76" s="5">
        <f>F76*K76</f>
        <v/>
      </c>
      <c r="M76" s="3" t="inlineStr">
        <is>
          <t>Mean deviation is translation invariant, so it does not depend on $a_1$.</t>
        </is>
      </c>
      <c r="N76" s="3" t="inlineStr">
        <is>
          <t>One familiar invariance and a short sum; like 2023-P1-Q15 (L0) in being a single standard statistic, with a slight idea (translation invariance) to see.</t>
        </is>
      </c>
      <c r="O76" s="3" t="inlineStr">
        <is>
          <t>2023-P1-Q15 (L0)</t>
        </is>
      </c>
      <c r="P76" s="2" t="inlineStr">
        <is>
          <t>Medium</t>
        </is>
      </c>
    </row>
    <row r="77">
      <c r="A77" s="2" t="n">
        <v>76</v>
      </c>
      <c r="B77" s="2" t="inlineStr"/>
      <c r="C77" s="2" t="inlineStr">
        <is>
          <t>Q76</t>
        </is>
      </c>
      <c r="D77" s="2" t="inlineStr">
        <is>
          <t>MCQ</t>
        </is>
      </c>
      <c r="E77" s="3" t="inlineStr">
        <is>
          <t>Statistics</t>
        </is>
      </c>
      <c r="F77" s="2" t="n">
        <v>4</v>
      </c>
      <c r="G77" s="8" t="n">
        <v>3</v>
      </c>
      <c r="H77" s="8" t="inlineStr">
        <is>
          <t>Average Advanced</t>
        </is>
      </c>
      <c r="I77" s="5" t="n">
        <v>0</v>
      </c>
      <c r="J77" s="5" t="n">
        <v>0</v>
      </c>
      <c r="K77" s="5">
        <f>MIN(5,MAX(G77+I77,J77))</f>
        <v/>
      </c>
      <c r="L77" s="5">
        <f>F77*K77</f>
        <v/>
      </c>
      <c r="M77" s="3" t="inlineStr">
        <is>
          <t>Find $n=200$, form the quadratic in $\alpha$, and keep both roots including $\alpha=30$ ($\sigma_B=0$).</t>
        </is>
      </c>
      <c r="N77" s="3" t="inlineStr">
        <is>
          <t>Single concept but a longer algebraic chain and a trap root, with two options to judge; above 2026-P2-Q12 (L2) because of the combined-variance setup and the extra admissible root.</t>
        </is>
      </c>
      <c r="O77" s="3" t="inlineStr">
        <is>
          <t>2026-P2-Q12 (L2)</t>
        </is>
      </c>
      <c r="P77" s="2" t="inlineStr">
        <is>
          <t>Medium</t>
        </is>
      </c>
    </row>
    <row r="78">
      <c r="A78" s="2" t="n">
        <v>77</v>
      </c>
      <c r="B78" s="2" t="inlineStr"/>
      <c r="C78" s="2" t="inlineStr">
        <is>
          <t>Q77</t>
        </is>
      </c>
      <c r="D78" s="2" t="inlineStr">
        <is>
          <t>SCQ</t>
        </is>
      </c>
      <c r="E78" s="3" t="inlineStr">
        <is>
          <t>Statistics</t>
        </is>
      </c>
      <c r="F78" s="2" t="n">
        <v>4</v>
      </c>
      <c r="G78" s="7" t="n">
        <v>2</v>
      </c>
      <c r="H78" s="7" t="inlineStr">
        <is>
          <t>Easier than Advanced</t>
        </is>
      </c>
      <c r="I78" s="5" t="n">
        <v>0</v>
      </c>
      <c r="J78" s="5" t="n">
        <v>0</v>
      </c>
      <c r="K78" s="5">
        <f>MIN(5,MAX(G78+I78,J78))</f>
        <v/>
      </c>
      <c r="L78" s="5">
        <f>F78*K78</f>
        <v/>
      </c>
      <c r="M78" s="3" t="inlineStr">
        <is>
          <t>Use $\alpha+\beta$ and $\alpha^2+\beta^2$ with the cube identity (or solve for $7,9$).</t>
        </is>
      </c>
      <c r="N78" s="3" t="inlineStr">
        <is>
          <t>Three routine stages with a standard identity and no new idea; same recovery-of-unknown-observations style as 2026-P2-Q12 (L2), a little easier with options.</t>
        </is>
      </c>
      <c r="O78" s="3" t="inlineStr">
        <is>
          <t>2026-P2-Q12 (L2)</t>
        </is>
      </c>
      <c r="P78" s="2" t="inlineStr">
        <is>
          <t>High</t>
        </is>
      </c>
    </row>
    <row r="79">
      <c r="A79" s="2" t="n">
        <v>78</v>
      </c>
      <c r="B79" s="2" t="inlineStr"/>
      <c r="C79" s="2" t="inlineStr">
        <is>
          <t>Q78</t>
        </is>
      </c>
      <c r="D79" s="2" t="inlineStr">
        <is>
          <t>SCQ</t>
        </is>
      </c>
      <c r="E79" s="3" t="inlineStr">
        <is>
          <t>Statistics</t>
        </is>
      </c>
      <c r="F79" s="2" t="n">
        <v>4</v>
      </c>
      <c r="G79" s="4" t="n">
        <v>1</v>
      </c>
      <c r="H79" s="4" t="inlineStr">
        <is>
          <t>JEE Main level</t>
        </is>
      </c>
      <c r="I79" s="5" t="n">
        <v>0</v>
      </c>
      <c r="J79" s="5" t="n">
        <v>0</v>
      </c>
      <c r="K79" s="5">
        <f>MIN(5,MAX(G79+I79,J79))</f>
        <v/>
      </c>
      <c r="L79" s="5">
        <f>F79*K79</f>
        <v/>
      </c>
      <c r="M79" s="3" t="inlineStr">
        <is>
          <t>Mean of seven A.P. terms is $x_4$; variance reduces to $4d^2=16$.</t>
        </is>
      </c>
      <c r="N79" s="3" t="inlineStr">
        <is>
          <t>One standard observation (A.P. mean and variance) leading to a short computation; a single familiar move, easier than 2025-P1-Q14 (L2).</t>
        </is>
      </c>
      <c r="O79" s="3" t="inlineStr">
        <is>
          <t>2025-P1-Q14 (L2)</t>
        </is>
      </c>
      <c r="P79" s="2" t="inlineStr">
        <is>
          <t>High</t>
        </is>
      </c>
    </row>
    <row r="80">
      <c r="A80" s="2" t="n">
        <v>79</v>
      </c>
      <c r="B80" s="2" t="inlineStr"/>
      <c r="C80" s="2" t="inlineStr">
        <is>
          <t>Q79</t>
        </is>
      </c>
      <c r="D80" s="2" t="inlineStr">
        <is>
          <t>Numerical</t>
        </is>
      </c>
      <c r="E80" s="3" t="inlineStr">
        <is>
          <t>Statistics</t>
        </is>
      </c>
      <c r="F80" s="2" t="n">
        <v>4</v>
      </c>
      <c r="G80" s="7" t="n">
        <v>2</v>
      </c>
      <c r="H80" s="7" t="inlineStr">
        <is>
          <t>Easier than Advanced</t>
        </is>
      </c>
      <c r="I80" s="5" t="n">
        <v>0</v>
      </c>
      <c r="J80" s="5" t="n">
        <v>0</v>
      </c>
      <c r="K80" s="5">
        <f>MIN(5,MAX(G80+I80,J80))</f>
        <v/>
      </c>
      <c r="L80" s="5">
        <f>F80*K80</f>
        <v/>
      </c>
      <c r="M80" s="3" t="inlineStr">
        <is>
          <t>Both sets have the same shape, so the two sums of squared deviations are equal; evaluate $10^2+\cdots+40^2$.</t>
        </is>
      </c>
      <c r="N80" s="3" t="inlineStr">
        <is>
          <t>A standard combined-variance setup with one observation (equal spread in both sets) and a heavier exact sum, numerical format; a little more than 2026-P2-Q12 (L2) in arithmetic but no deeper idea.</t>
        </is>
      </c>
      <c r="O80" s="3" t="inlineStr">
        <is>
          <t>2026-P2-Q12 (L2)</t>
        </is>
      </c>
      <c r="P80" s="2" t="inlineStr">
        <is>
          <t>Medium</t>
        </is>
      </c>
    </row>
    <row r="81">
      <c r="A81" s="2" t="n">
        <v>80</v>
      </c>
      <c r="B81" s="2" t="inlineStr"/>
      <c r="C81" s="2" t="inlineStr">
        <is>
          <t>Q80</t>
        </is>
      </c>
      <c r="D81" s="2" t="inlineStr">
        <is>
          <t>Numerical</t>
        </is>
      </c>
      <c r="E81" s="3" t="inlineStr">
        <is>
          <t>Statistics</t>
        </is>
      </c>
      <c r="F81" s="2" t="n">
        <v>4</v>
      </c>
      <c r="G81" s="7" t="n">
        <v>2</v>
      </c>
      <c r="H81" s="7" t="inlineStr">
        <is>
          <t>Easier than Advanced</t>
        </is>
      </c>
      <c r="I81" s="5" t="n">
        <v>0</v>
      </c>
      <c r="J81" s="5" t="n">
        <v>0</v>
      </c>
      <c r="K81" s="5">
        <f>MIN(5,MAX(G81+I81,J81))</f>
        <v/>
      </c>
      <c r="L81" s="5">
        <f>F81*K81</f>
        <v/>
      </c>
      <c r="M81" s="3" t="inlineStr">
        <is>
          <t>Remove $14$ from both $\sum x$ and $\sum x^2$ and recompute mean and variance for $6$ values.</t>
        </is>
      </c>
      <c r="N81" s="3" t="inlineStr">
        <is>
          <t>Same technique as 2026-P2-Q12 (L2) with one removal instead of two unknowns, but numerical with a fraction to carry; two routine stages.</t>
        </is>
      </c>
      <c r="O81" s="3" t="inlineStr">
        <is>
          <t>2026-P2-Q12 (L2)</t>
        </is>
      </c>
      <c r="P81" s="2" t="inlineStr">
        <is>
          <t>Medium</t>
        </is>
      </c>
    </row>
    <row r="82">
      <c r="A82" s="2" t="n">
        <v>81</v>
      </c>
      <c r="B82" s="2" t="inlineStr"/>
      <c r="C82" s="2" t="inlineStr">
        <is>
          <t>Q81</t>
        </is>
      </c>
      <c r="D82" s="2" t="inlineStr">
        <is>
          <t>Numerical</t>
        </is>
      </c>
      <c r="E82" s="3" t="inlineStr">
        <is>
          <t>Statistics</t>
        </is>
      </c>
      <c r="F82" s="2" t="n">
        <v>4</v>
      </c>
      <c r="G82" s="7" t="n">
        <v>2</v>
      </c>
      <c r="H82" s="7" t="inlineStr">
        <is>
          <t>Easier than Advanced</t>
        </is>
      </c>
      <c r="I82" s="5" t="n">
        <v>0</v>
      </c>
      <c r="J82" s="5" t="n">
        <v>0</v>
      </c>
      <c r="K82" s="5">
        <f>MIN(5,MAX(G82+I82,J82))</f>
        <v/>
      </c>
      <c r="L82" s="5">
        <f>F82*K82</f>
        <v/>
      </c>
      <c r="M82" s="3" t="inlineStr">
        <is>
          <t>Shift to $d=x-5$ so the unknown frequency disappears from the numerators.</t>
        </is>
      </c>
      <c r="N82" s="3" t="inlineStr">
        <is>
          <t>A routine table computation with one unknown; chain of seven table rows but no new idea, same level as 2025-P1-Q14 (L2) minus the median.</t>
        </is>
      </c>
      <c r="O82" s="3" t="inlineStr">
        <is>
          <t>2025-P1-Q14 (L2)</t>
        </is>
      </c>
      <c r="P82" s="2" t="inlineStr">
        <is>
          <t>Medium</t>
        </is>
      </c>
    </row>
    <row r="83">
      <c r="A83" s="2" t="n">
        <v>82</v>
      </c>
      <c r="B83" s="2" t="inlineStr"/>
      <c r="C83" s="2" t="inlineStr">
        <is>
          <t>Q82</t>
        </is>
      </c>
      <c r="D83" s="2" t="inlineStr">
        <is>
          <t>SCQ</t>
        </is>
      </c>
      <c r="E83" s="3" t="inlineStr">
        <is>
          <t>Statistics</t>
        </is>
      </c>
      <c r="F83" s="2" t="n">
        <v>4</v>
      </c>
      <c r="G83" s="4" t="n">
        <v>1</v>
      </c>
      <c r="H83" s="4" t="inlineStr">
        <is>
          <t>JEE Main level</t>
        </is>
      </c>
      <c r="I83" s="5" t="n">
        <v>0</v>
      </c>
      <c r="J83" s="5" t="n">
        <v>0</v>
      </c>
      <c r="K83" s="5">
        <f>MIN(5,MAX(G83+I83,J83))</f>
        <v/>
      </c>
      <c r="L83" s="5">
        <f>F83*K83</f>
        <v/>
      </c>
      <c r="M83" s="3" t="inlineStr">
        <is>
          <t>Apply the combined-variance formula for two sets of equal size.</t>
        </is>
      </c>
      <c r="N83" s="3" t="inlineStr">
        <is>
          <t>A direct standard formula, one decisive step; below 2025-P1-Q14 (L2) in chain length.</t>
        </is>
      </c>
      <c r="O83" s="3" t="inlineStr">
        <is>
          <t>2025-P1-Q14 (L2)</t>
        </is>
      </c>
      <c r="P83" s="2" t="inlineStr">
        <is>
          <t>High</t>
        </is>
      </c>
    </row>
    <row r="84">
      <c r="A84" s="2" t="n">
        <v>83</v>
      </c>
      <c r="B84" s="2" t="inlineStr"/>
      <c r="C84" s="2" t="inlineStr">
        <is>
          <t>Q83</t>
        </is>
      </c>
      <c r="D84" s="2" t="inlineStr">
        <is>
          <t>SCQ</t>
        </is>
      </c>
      <c r="E84" s="3" t="inlineStr">
        <is>
          <t>Statistics</t>
        </is>
      </c>
      <c r="F84" s="2" t="n">
        <v>4</v>
      </c>
      <c r="G84" s="7" t="n">
        <v>2</v>
      </c>
      <c r="H84" s="7" t="inlineStr">
        <is>
          <t>Easier than Advanced</t>
        </is>
      </c>
      <c r="I84" s="5" t="n">
        <v>0</v>
      </c>
      <c r="J84" s="5" t="n">
        <v>0</v>
      </c>
      <c r="K84" s="5">
        <f>MIN(5,MAX(G84+I84,J84))</f>
        <v/>
      </c>
      <c r="L84" s="5">
        <f>F84*K84</f>
        <v/>
      </c>
      <c r="M84" s="3" t="inlineStr">
        <is>
          <t>Update $\sum x$ and $\sum x^2$ for the corrected observations.</t>
        </is>
      </c>
      <c r="N84" s="3" t="inlineStr">
        <is>
          <t>Routine correction-of-data technique with exact fraction arithmetic, a little more than 2026-P2-Q12 (L2)'s shortest form but option-based; stays at L2.</t>
        </is>
      </c>
      <c r="O84" s="3" t="inlineStr">
        <is>
          <t>2026-P2-Q12 (L2)</t>
        </is>
      </c>
      <c r="P84" s="2" t="inlineStr">
        <is>
          <t>Medium</t>
        </is>
      </c>
    </row>
    <row r="85">
      <c r="A85" s="2" t="n">
        <v>84</v>
      </c>
      <c r="B85" s="2" t="inlineStr"/>
      <c r="C85" s="2" t="inlineStr">
        <is>
          <t>Q84</t>
        </is>
      </c>
      <c r="D85" s="2" t="inlineStr">
        <is>
          <t>SCQ</t>
        </is>
      </c>
      <c r="E85" s="3" t="inlineStr">
        <is>
          <t>Statistics</t>
        </is>
      </c>
      <c r="F85" s="2" t="n">
        <v>4</v>
      </c>
      <c r="G85" s="7" t="n">
        <v>2</v>
      </c>
      <c r="H85" s="7" t="inlineStr">
        <is>
          <t>Easier than Advanced</t>
        </is>
      </c>
      <c r="I85" s="5" t="n">
        <v>0</v>
      </c>
      <c r="J85" s="5" t="n">
        <v>0</v>
      </c>
      <c r="K85" s="5">
        <f>MIN(5,MAX(G85+I85,J85))</f>
        <v/>
      </c>
      <c r="L85" s="5">
        <f>F85*K85</f>
        <v/>
      </c>
      <c r="M85" s="3" t="inlineStr">
        <is>
          <t>Only $\frac{\sum f_ix_i^2}{\sum f_i}$ is needed since $\mu^2+\sigma^2$ is the mean of squares.</t>
        </is>
      </c>
      <c r="N85" s="3" t="inlineStr">
        <is>
          <t>Routine frequency-table work with an awkward quadratic root; no new idea. Slightly above the plain table 2025-P1-Q14 (L2) because of the surd, but still L2.</t>
        </is>
      </c>
      <c r="O85" s="3" t="inlineStr">
        <is>
          <t>2025-P1-Q14 (L2)</t>
        </is>
      </c>
      <c r="P85" s="2" t="inlineStr">
        <is>
          <t>Medium</t>
        </is>
      </c>
    </row>
    <row r="86">
      <c r="A86" s="2" t="n">
        <v>85</v>
      </c>
      <c r="B86" s="2" t="inlineStr"/>
      <c r="C86" s="2" t="inlineStr">
        <is>
          <t>Q85</t>
        </is>
      </c>
      <c r="D86" s="2" t="inlineStr">
        <is>
          <t>SCQ</t>
        </is>
      </c>
      <c r="E86" s="3" t="inlineStr">
        <is>
          <t>Statistics</t>
        </is>
      </c>
      <c r="F86" s="2" t="n">
        <v>4</v>
      </c>
      <c r="G86" s="7" t="n">
        <v>2</v>
      </c>
      <c r="H86" s="7" t="inlineStr">
        <is>
          <t>Easier than Advanced</t>
        </is>
      </c>
      <c r="I86" s="5" t="n">
        <v>0</v>
      </c>
      <c r="J86" s="5" t="n">
        <v>0</v>
      </c>
      <c r="K86" s="5">
        <f>MIN(5,MAX(G86+I86,J86))</f>
        <v/>
      </c>
      <c r="L86" s="5">
        <f>F86*K86</f>
        <v/>
      </c>
      <c r="M86" s="3" t="inlineStr">
        <is>
          <t>Variance of union of two shifted groups via sum of squares / pooled formula</t>
        </is>
      </c>
      <c r="N86" s="3" t="inlineStr">
        <is>
          <t>Chain of mean, sum of squares, shift and recombine; routine, option check available. Like 2026-P2-Q12 (L4) in method but with no unknown to solve and options present, so lower.</t>
        </is>
      </c>
      <c r="O86" s="3" t="inlineStr">
        <is>
          <t>2026-P2-Q12 (L4)</t>
        </is>
      </c>
      <c r="P86" s="2" t="inlineStr">
        <is>
          <t>Medium</t>
        </is>
      </c>
    </row>
    <row r="87">
      <c r="A87" s="2" t="n">
        <v>86</v>
      </c>
      <c r="B87" s="2" t="inlineStr"/>
      <c r="C87" s="2" t="inlineStr">
        <is>
          <t>Q86</t>
        </is>
      </c>
      <c r="D87" s="2" t="inlineStr">
        <is>
          <t>SCQ</t>
        </is>
      </c>
      <c r="E87" s="3" t="inlineStr">
        <is>
          <t>Statistics</t>
        </is>
      </c>
      <c r="F87" s="2" t="n">
        <v>4</v>
      </c>
      <c r="G87" s="7" t="n">
        <v>2</v>
      </c>
      <c r="H87" s="7" t="inlineStr">
        <is>
          <t>Easier than Advanced</t>
        </is>
      </c>
      <c r="I87" s="5" t="n">
        <v>0</v>
      </c>
      <c r="J87" s="5" t="n">
        <v>0</v>
      </c>
      <c r="K87" s="5">
        <f>MIN(5,MAX(G87+I87,J87))</f>
        <v/>
      </c>
      <c r="L87" s="5">
        <f>F87*K87</f>
        <v/>
      </c>
      <c r="M87" s="3" t="inlineStr">
        <is>
          <t>Two unknown observations from mean and variance, then mean deviation</t>
        </is>
      </c>
      <c r="N87" s="3" t="inlineStr">
        <is>
          <t>Same recover-the-observations step as 2026-P2-Q12 (L4) but with only two easy equations and options; one extra short computation. Routine chain, L2.</t>
        </is>
      </c>
      <c r="O87" s="3" t="inlineStr">
        <is>
          <t>2026-P2-Q12 (L4)</t>
        </is>
      </c>
      <c r="P87" s="2" t="inlineStr">
        <is>
          <t>Medium</t>
        </is>
      </c>
    </row>
    <row r="88">
      <c r="A88" s="2" t="n">
        <v>87</v>
      </c>
      <c r="B88" s="2" t="inlineStr"/>
      <c r="C88" s="2" t="inlineStr">
        <is>
          <t>Q87</t>
        </is>
      </c>
      <c r="D88" s="2" t="inlineStr">
        <is>
          <t>Numerical</t>
        </is>
      </c>
      <c r="E88" s="3" t="inlineStr">
        <is>
          <t>Statistics</t>
        </is>
      </c>
      <c r="F88" s="2" t="n">
        <v>4</v>
      </c>
      <c r="G88" s="4" t="n">
        <v>1</v>
      </c>
      <c r="H88" s="4" t="inlineStr">
        <is>
          <t>JEE Main level</t>
        </is>
      </c>
      <c r="I88" s="5" t="n">
        <v>0</v>
      </c>
      <c r="J88" s="5" t="n">
        <v>0</v>
      </c>
      <c r="K88" s="5">
        <f>MIN(5,MAX(G88+I88,J88))</f>
        <v/>
      </c>
      <c r="L88" s="5">
        <f>F88*K88</f>
        <v/>
      </c>
      <c r="M88" s="3" t="inlineStr">
        <is>
          <t>Correct the raw sums of x and x^2 and recompute</t>
        </is>
      </c>
      <c r="N88" s="3" t="inlineStr">
        <is>
          <t>One familiar correction pattern applied once, with options to check. Easier than the Statistics anchors that need unknowns solved.</t>
        </is>
      </c>
      <c r="O88" s="3" t="inlineStr">
        <is>
          <t>2026-P2-Q12 (L4); well below</t>
        </is>
      </c>
      <c r="P88" s="2" t="inlineStr">
        <is>
          <t>High</t>
        </is>
      </c>
    </row>
    <row r="89">
      <c r="A89" s="2" t="n">
        <v>88</v>
      </c>
      <c r="B89" s="2" t="inlineStr"/>
      <c r="C89" s="2" t="inlineStr">
        <is>
          <t>Q88</t>
        </is>
      </c>
      <c r="D89" s="2" t="inlineStr">
        <is>
          <t>Numerical</t>
        </is>
      </c>
      <c r="E89" s="3" t="inlineStr">
        <is>
          <t>Statistics</t>
        </is>
      </c>
      <c r="F89" s="2" t="n">
        <v>4</v>
      </c>
      <c r="G89" s="8" t="n">
        <v>3</v>
      </c>
      <c r="H89" s="8" t="inlineStr">
        <is>
          <t>Average Advanced</t>
        </is>
      </c>
      <c r="I89" s="5" t="n">
        <v>0</v>
      </c>
      <c r="J89" s="5" t="n">
        <v>0</v>
      </c>
      <c r="K89" s="5">
        <f>MIN(5,MAX(G89+I89,J89))</f>
        <v/>
      </c>
      <c r="L89" s="5">
        <f>F89*K89</f>
        <v/>
      </c>
      <c r="M89" s="3" t="inlineStr">
        <is>
          <t>Mean condition forces alpha = beta, then a linear equation from the variance</t>
        </is>
      </c>
      <c r="N89" s="3" t="inlineStr">
        <is>
          <t>Unknown frequencies, heavy decimal arithmetic with no options. Lighter than 2026-P2-Q12 (L4) since only one unknown survives, so L3.</t>
        </is>
      </c>
      <c r="O89" s="3" t="inlineStr">
        <is>
          <t>2026-P2-Q12 (L4)</t>
        </is>
      </c>
      <c r="P89" s="2" t="inlineStr">
        <is>
          <t>Medium</t>
        </is>
      </c>
    </row>
    <row r="90">
      <c r="A90" s="2" t="n">
        <v>89</v>
      </c>
      <c r="B90" s="2" t="inlineStr"/>
      <c r="C90" s="2" t="inlineStr">
        <is>
          <t>Q89</t>
        </is>
      </c>
      <c r="D90" s="2" t="inlineStr">
        <is>
          <t>Numerical</t>
        </is>
      </c>
      <c r="E90" s="3" t="inlineStr">
        <is>
          <t>Statistics</t>
        </is>
      </c>
      <c r="F90" s="2" t="n">
        <v>4</v>
      </c>
      <c r="G90" s="8" t="n">
        <v>3</v>
      </c>
      <c r="H90" s="8" t="inlineStr">
        <is>
          <t>Average Advanced</t>
        </is>
      </c>
      <c r="I90" s="5" t="n">
        <v>0</v>
      </c>
      <c r="J90" s="5" t="n">
        <v>0</v>
      </c>
      <c r="K90" s="5">
        <f>MIN(5,MAX(G90+I90,J90))</f>
        <v/>
      </c>
      <c r="L90" s="5">
        <f>F90*K90</f>
        <v/>
      </c>
      <c r="M90" s="3" t="inlineStr">
        <is>
          <t>Two unknown observations from mean and variance</t>
        </is>
      </c>
      <c r="N90" s="3" t="inlineStr">
        <is>
          <t>Same pattern as 2026-P2-Q12 (L4): recover two observations; the arithmetic is smaller and no later stage, so L3.</t>
        </is>
      </c>
      <c r="O90" s="3" t="inlineStr">
        <is>
          <t>2026-P2-Q12 (L4)</t>
        </is>
      </c>
      <c r="P90" s="2" t="inlineStr">
        <is>
          <t>Medium</t>
        </is>
      </c>
    </row>
    <row r="91">
      <c r="A91" s="2" t="n">
        <v>90</v>
      </c>
      <c r="B91" s="2" t="inlineStr"/>
      <c r="C91" s="2" t="inlineStr">
        <is>
          <t>Q90</t>
        </is>
      </c>
      <c r="D91" s="2" t="inlineStr">
        <is>
          <t>Numerical</t>
        </is>
      </c>
      <c r="E91" s="3" t="inlineStr">
        <is>
          <t>Statistics</t>
        </is>
      </c>
      <c r="F91" s="2" t="n">
        <v>4</v>
      </c>
      <c r="G91" s="7" t="n">
        <v>2</v>
      </c>
      <c r="H91" s="7" t="inlineStr">
        <is>
          <t>Easier than Advanced</t>
        </is>
      </c>
      <c r="I91" s="5" t="n">
        <v>0</v>
      </c>
      <c r="J91" s="5" t="n">
        <v>0</v>
      </c>
      <c r="K91" s="5">
        <f>MIN(5,MAX(G91+I91,J91))</f>
        <v/>
      </c>
      <c r="L91" s="5">
        <f>F91*K91</f>
        <v/>
      </c>
      <c r="M91" s="3" t="inlineStr">
        <is>
          <t>Class marks, solve x from the mean, then variance</t>
        </is>
      </c>
      <c r="N91" s="3" t="inlineStr">
        <is>
          <t>Routine two-stage chain with moderate arithmetic and no options; no insight needed.</t>
        </is>
      </c>
      <c r="O91" s="3" t="inlineStr">
        <is>
          <t>2026-P2-Q12 (L4); easier</t>
        </is>
      </c>
      <c r="P91" s="2" t="inlineStr">
        <is>
          <t>Medium</t>
        </is>
      </c>
    </row>
    <row r="92">
      <c r="A92" s="2" t="n">
        <v>91</v>
      </c>
      <c r="B92" s="2" t="inlineStr"/>
      <c r="C92" s="2" t="inlineStr">
        <is>
          <t>Q91</t>
        </is>
      </c>
      <c r="D92" s="2" t="inlineStr">
        <is>
          <t>Numerical</t>
        </is>
      </c>
      <c r="E92" s="3" t="inlineStr">
        <is>
          <t>Statistics</t>
        </is>
      </c>
      <c r="F92" s="2" t="n">
        <v>4</v>
      </c>
      <c r="G92" s="7" t="n">
        <v>2</v>
      </c>
      <c r="H92" s="7" t="inlineStr">
        <is>
          <t>Easier than Advanced</t>
        </is>
      </c>
      <c r="I92" s="5" t="n">
        <v>0</v>
      </c>
      <c r="J92" s="5" t="n">
        <v>0</v>
      </c>
      <c r="K92" s="5">
        <f>MIN(5,MAX(G92+I92,J92))</f>
        <v/>
      </c>
      <c r="L92" s="5">
        <f>F92*K92</f>
        <v/>
      </c>
      <c r="M92" s="3" t="inlineStr">
        <is>
          <t>Sum of the middle coefficients via x=1 minus the three end terms</t>
        </is>
      </c>
      <c r="N92" s="3" t="inlineStr">
        <is>
          <t>Single standard binomial trick plus small arithmetic; counting of terms is the only trap. Not a typical Statistics question.</t>
        </is>
      </c>
      <c r="O92" s="3" t="inlineStr">
        <is>
          <t>2023-P1-Q15 (L3) / 2024-P2-Q3 (L1)</t>
        </is>
      </c>
      <c r="P92" s="2" t="inlineStr">
        <is>
          <t>Medium</t>
        </is>
      </c>
    </row>
    <row r="93">
      <c r="A93" s="2" t="n">
        <v>92</v>
      </c>
      <c r="B93" s="2" t="inlineStr"/>
      <c r="C93" s="2" t="inlineStr">
        <is>
          <t>Q92</t>
        </is>
      </c>
      <c r="D93" s="2" t="inlineStr">
        <is>
          <t>Numerical</t>
        </is>
      </c>
      <c r="E93" s="3" t="inlineStr">
        <is>
          <t>Statistics</t>
        </is>
      </c>
      <c r="F93" s="2" t="n">
        <v>4</v>
      </c>
      <c r="G93" s="8" t="n">
        <v>3</v>
      </c>
      <c r="H93" s="8" t="inlineStr">
        <is>
          <t>Average Advanced</t>
        </is>
      </c>
      <c r="I93" s="5" t="n">
        <v>0</v>
      </c>
      <c r="J93" s="5" t="n">
        <v>0</v>
      </c>
      <c r="K93" s="5">
        <f>MIN(5,MAX(G93+I93,J93))</f>
        <v/>
      </c>
      <c r="L93" s="5">
        <f>F93*K93</f>
        <v/>
      </c>
      <c r="M93" s="3" t="inlineStr">
        <is>
          <t>G.P. symmetric parametrisation, a^2 from ratio of sums, r from t = 5/2, then variance</t>
        </is>
      </c>
      <c r="N93" s="3" t="inlineStr">
        <is>
          <t>Two ideas (G.P. symmetric trick + variance) with careful fraction arithmetic and no options. Medium-length chain; below the 2026-P2-Q12 (L4) style two-unknown recovery.</t>
        </is>
      </c>
      <c r="O93" s="3" t="inlineStr">
        <is>
          <t>2026-P2-Q12 (L4)</t>
        </is>
      </c>
      <c r="P93" s="2" t="inlineStr">
        <is>
          <t>Medium</t>
        </is>
      </c>
    </row>
    <row r="94">
      <c r="A94" s="2" t="n">
        <v>93</v>
      </c>
      <c r="B94" s="2" t="inlineStr"/>
      <c r="C94" s="2" t="inlineStr">
        <is>
          <t>Q93</t>
        </is>
      </c>
      <c r="D94" s="2" t="inlineStr">
        <is>
          <t>Numerical</t>
        </is>
      </c>
      <c r="E94" s="3" t="inlineStr">
        <is>
          <t>Statistics</t>
        </is>
      </c>
      <c r="F94" s="2" t="n">
        <v>4</v>
      </c>
      <c r="G94" s="8" t="n">
        <v>3</v>
      </c>
      <c r="H94" s="8" t="inlineStr">
        <is>
          <t>Average Advanced</t>
        </is>
      </c>
      <c r="I94" s="5" t="n">
        <v>0</v>
      </c>
      <c r="J94" s="5" t="n">
        <v>0</v>
      </c>
      <c r="K94" s="5">
        <f>MIN(5,MAX(G94+I94,J94))</f>
        <v/>
      </c>
      <c r="L94" s="5">
        <f>F94*K94</f>
        <v/>
      </c>
      <c r="M94" s="3" t="inlineStr">
        <is>
          <t>Unknown frequency from the mean, then MD and variance from deviations</t>
        </is>
      </c>
      <c r="N94" s="3" t="inlineStr">
        <is>
          <t>Two measures of dispersion on one table with an unknown frequency and no options; routine but long. Compare 2025-P1-Q14 (L4, frequency table with unknowns) - this has one unknown and a single-number answer, so L3.</t>
        </is>
      </c>
      <c r="O94" s="3" t="inlineStr">
        <is>
          <t>2025-P1-Q14 (L4)</t>
        </is>
      </c>
      <c r="P94" s="2" t="inlineStr">
        <is>
          <t>Medium</t>
        </is>
      </c>
    </row>
    <row r="95">
      <c r="A95" s="2" t="n">
        <v>94</v>
      </c>
      <c r="B95" s="2" t="inlineStr"/>
      <c r="C95" s="2" t="inlineStr">
        <is>
          <t>Q94</t>
        </is>
      </c>
      <c r="D95" s="2" t="inlineStr">
        <is>
          <t>Numerical</t>
        </is>
      </c>
      <c r="E95" s="3" t="inlineStr">
        <is>
          <t>Statistics</t>
        </is>
      </c>
      <c r="F95" s="2" t="n">
        <v>4</v>
      </c>
      <c r="G95" s="7" t="n">
        <v>2</v>
      </c>
      <c r="H95" s="7" t="inlineStr">
        <is>
          <t>Easier than Advanced</t>
        </is>
      </c>
      <c r="I95" s="5" t="n">
        <v>0</v>
      </c>
      <c r="J95" s="5" t="n">
        <v>0</v>
      </c>
      <c r="K95" s="5">
        <f>MIN(5,MAX(G95+I95,J95))</f>
        <v/>
      </c>
      <c r="L95" s="5">
        <f>F95*K95</f>
        <v/>
      </c>
      <c r="M95" s="3" t="inlineStr">
        <is>
          <t>Correct the raw sums for two replaced observations</t>
        </is>
      </c>
      <c r="N95" s="3" t="inlineStr">
        <is>
          <t>Same single pattern as Q87 with two replaced values and a numerical answer (no options); only arithmetic risk. Clearly below the Statistics anchors that need unknowns solved.</t>
        </is>
      </c>
      <c r="O95" s="3" t="inlineStr">
        <is>
          <t>2026-P2-Q12 (L4); easier</t>
        </is>
      </c>
      <c r="P95" s="2" t="inlineStr">
        <is>
          <t>Medium</t>
        </is>
      </c>
    </row>
    <row r="96">
      <c r="A96" s="2" t="n">
        <v>95</v>
      </c>
      <c r="B96" s="2" t="inlineStr"/>
      <c r="C96" s="2" t="inlineStr">
        <is>
          <t>Q95</t>
        </is>
      </c>
      <c r="D96" s="2" t="inlineStr">
        <is>
          <t>Numerical</t>
        </is>
      </c>
      <c r="E96" s="3" t="inlineStr">
        <is>
          <t>Statistics</t>
        </is>
      </c>
      <c r="F96" s="2" t="n">
        <v>4</v>
      </c>
      <c r="G96" s="7" t="n">
        <v>2</v>
      </c>
      <c r="H96" s="7" t="inlineStr">
        <is>
          <t>Easier than Advanced</t>
        </is>
      </c>
      <c r="I96" s="5" t="n">
        <v>0</v>
      </c>
      <c r="J96" s="5" t="n">
        <v>0</v>
      </c>
      <c r="K96" s="5">
        <f>MIN(5,MAX(G96+I96,J96))</f>
        <v/>
      </c>
      <c r="L96" s="5">
        <f>F96*K96</f>
        <v/>
      </c>
      <c r="M96" s="3" t="inlineStr">
        <is>
          <t>Squared-sum identity to get the sum of squares</t>
        </is>
      </c>
      <c r="N96" s="3" t="inlineStr">
        <is>
          <t>One familiar identity applied once, then a standard variance formula; options available. Easiest Statistics item here after the correction question.</t>
        </is>
      </c>
      <c r="O96" s="3" t="inlineStr">
        <is>
          <t>2023-P1-Q15 (L3); easier</t>
        </is>
      </c>
      <c r="P96" s="2" t="inlineStr">
        <is>
          <t>High</t>
        </is>
      </c>
    </row>
    <row r="97">
      <c r="A97" s="2" t="n">
        <v>96</v>
      </c>
      <c r="B97" s="2" t="inlineStr"/>
      <c r="C97" s="2" t="inlineStr">
        <is>
          <t>Q96</t>
        </is>
      </c>
      <c r="D97" s="2" t="inlineStr">
        <is>
          <t>SCQ</t>
        </is>
      </c>
      <c r="E97" s="3" t="inlineStr">
        <is>
          <t>Statistics</t>
        </is>
      </c>
      <c r="F97" s="2" t="n">
        <v>4</v>
      </c>
      <c r="G97" s="7" t="n">
        <v>2</v>
      </c>
      <c r="H97" s="7" t="inlineStr">
        <is>
          <t>Easier than Advanced</t>
        </is>
      </c>
      <c r="I97" s="5" t="n">
        <v>0</v>
      </c>
      <c r="J97" s="5" t="n">
        <v>0</v>
      </c>
      <c r="K97" s="5">
        <f>MIN(5,MAX(G97+I97,J97))</f>
        <v/>
      </c>
      <c r="L97" s="5">
        <f>F97*K97</f>
        <v/>
      </c>
      <c r="M97" s="3" t="inlineStr">
        <is>
          <t>Remove the fifth observation from the raw sums</t>
        </is>
      </c>
      <c r="N97" s="3" t="inlineStr">
        <is>
          <t>Recover one observation then reuse sum of squares: two routine stages, options available. Cousin of 2026-P2-Q12 (L4) with fewer unknowns, so lower.</t>
        </is>
      </c>
      <c r="O97" s="3" t="inlineStr">
        <is>
          <t>2026-P2-Q12 (L4)</t>
        </is>
      </c>
      <c r="P97" s="2" t="inlineStr">
        <is>
          <t>Medium</t>
        </is>
      </c>
    </row>
    <row r="98">
      <c r="A98" s="2" t="n">
        <v>97</v>
      </c>
      <c r="B98" s="2" t="inlineStr"/>
      <c r="C98" s="2" t="inlineStr">
        <is>
          <t>Q97</t>
        </is>
      </c>
      <c r="D98" s="2" t="inlineStr">
        <is>
          <t>SCQ</t>
        </is>
      </c>
      <c r="E98" s="3" t="inlineStr">
        <is>
          <t>Statistics</t>
        </is>
      </c>
      <c r="F98" s="2" t="n">
        <v>4</v>
      </c>
      <c r="G98" s="6" t="n">
        <v>0</v>
      </c>
      <c r="H98" s="6" t="inlineStr">
        <is>
          <t>Easier than JEE Main</t>
        </is>
      </c>
      <c r="I98" s="5" t="n">
        <v>0</v>
      </c>
      <c r="J98" s="5" t="n">
        <v>0</v>
      </c>
      <c r="K98" s="5">
        <f>MIN(5,MAX(G98+I98,J98))</f>
        <v/>
      </c>
      <c r="L98" s="5">
        <f>F98*K98</f>
        <v/>
      </c>
      <c r="M98" s="3" t="inlineStr">
        <is>
          <t>Find the median class from the cumulative frequency and substitute in the median formula.</t>
        </is>
      </c>
      <c r="N98" s="3" t="inlineStr">
        <is>
          <t>One standard formula applied once with a single cumulative table, no decision needed; same direct-evaluation demand as 2023-P1-Q15 (L0).</t>
        </is>
      </c>
      <c r="O98" s="3" t="inlineStr">
        <is>
          <t>2023-P1-Q15 (L0)</t>
        </is>
      </c>
      <c r="P98" s="2" t="inlineStr">
        <is>
          <t>High</t>
        </is>
      </c>
    </row>
    <row r="99">
      <c r="A99" s="2" t="n">
        <v>98</v>
      </c>
      <c r="B99" s="2" t="inlineStr"/>
      <c r="C99" s="2" t="inlineStr">
        <is>
          <t>Q98</t>
        </is>
      </c>
      <c r="D99" s="2" t="inlineStr">
        <is>
          <t>SCQ</t>
        </is>
      </c>
      <c r="E99" s="3" t="inlineStr">
        <is>
          <t>Statistics</t>
        </is>
      </c>
      <c r="F99" s="2" t="n">
        <v>4</v>
      </c>
      <c r="G99" s="4" t="n">
        <v>1</v>
      </c>
      <c r="H99" s="4" t="inlineStr">
        <is>
          <t>JEE Main level</t>
        </is>
      </c>
      <c r="I99" s="5" t="n">
        <v>0</v>
      </c>
      <c r="J99" s="5" t="n">
        <v>0</v>
      </c>
      <c r="K99" s="5">
        <f>MIN(5,MAX(G99+I99,J99))</f>
        <v/>
      </c>
      <c r="L99" s="5">
        <f>F99*K99</f>
        <v/>
      </c>
      <c r="M99" s="3" t="inlineStr">
        <is>
          <t>Use mean to get a+b, variance to get a^2+b^2, then solve the pair.</t>
        </is>
      </c>
      <c r="N99" s="3" t="inlineStr">
        <is>
          <t>Same recover-two-observations-from-mean-and-variance step as 2026-P2-Q12 (L2), but option-based and only the sum and sum of squares of two numbers are needed, so one level lower.</t>
        </is>
      </c>
      <c r="O99" s="3" t="inlineStr">
        <is>
          <t>2026-P2-Q12 (L2)</t>
        </is>
      </c>
      <c r="P99" s="2" t="inlineStr">
        <is>
          <t>High</t>
        </is>
      </c>
    </row>
    <row r="100">
      <c r="A100" s="2" t="n">
        <v>99</v>
      </c>
      <c r="B100" s="2" t="inlineStr"/>
      <c r="C100" s="2" t="inlineStr">
        <is>
          <t>Q99</t>
        </is>
      </c>
      <c r="D100" s="2" t="inlineStr">
        <is>
          <t>SCQ</t>
        </is>
      </c>
      <c r="E100" s="3" t="inlineStr">
        <is>
          <t>Statistics</t>
        </is>
      </c>
      <c r="F100" s="2" t="n">
        <v>4</v>
      </c>
      <c r="G100" s="7" t="n">
        <v>2</v>
      </c>
      <c r="H100" s="7" t="inlineStr">
        <is>
          <t>Easier than Advanced</t>
        </is>
      </c>
      <c r="I100" s="5" t="n">
        <v>0</v>
      </c>
      <c r="J100" s="5" t="n">
        <v>0</v>
      </c>
      <c r="K100" s="5">
        <f>MIN(5,MAX(G100+I100,J100))</f>
        <v/>
      </c>
      <c r="L100" s="5">
        <f>F100*K100</f>
        <v/>
      </c>
      <c r="M100" s="3" t="inlineStr">
        <is>
          <t>Median 170 puts a,b below 170, so the median-deviation equation is linear and gives a+b=300.</t>
        </is>
      </c>
      <c r="N100" s="3" t="inlineStr">
        <is>
          <t>Median position reasoning plus two mean-deviation computations, a short routine chain like 2025-P1-Q14 (L2); option-based so no higher.</t>
        </is>
      </c>
      <c r="O100" s="3" t="inlineStr">
        <is>
          <t>2025-P1-Q14 (L2)</t>
        </is>
      </c>
      <c r="P100" s="2" t="inlineStr">
        <is>
          <t>High</t>
        </is>
      </c>
    </row>
    <row r="101">
      <c r="A101" s="2" t="n">
        <v>100</v>
      </c>
      <c r="B101" s="2" t="inlineStr"/>
      <c r="C101" s="2" t="inlineStr">
        <is>
          <t>Q100</t>
        </is>
      </c>
      <c r="D101" s="2" t="inlineStr">
        <is>
          <t>SCQ</t>
        </is>
      </c>
      <c r="E101" s="3" t="inlineStr">
        <is>
          <t>Statistics</t>
        </is>
      </c>
      <c r="F101" s="2" t="n">
        <v>4</v>
      </c>
      <c r="G101" s="7" t="n">
        <v>2</v>
      </c>
      <c r="H101" s="7" t="inlineStr">
        <is>
          <t>Easier than Advanced</t>
        </is>
      </c>
      <c r="I101" s="5" t="n">
        <v>0</v>
      </c>
      <c r="J101" s="5" t="n">
        <v>0</v>
      </c>
      <c r="K101" s="5">
        <f>MIN(5,MAX(G101+I101,J101))</f>
        <v/>
      </c>
      <c r="L101" s="5">
        <f>F101*K101</f>
        <v/>
      </c>
      <c r="M101" s="3" t="inlineStr">
        <is>
          <t>Turn mean and variance into sum and sum of squares, then expand the two given sums.</t>
        </is>
      </c>
      <c r="N101" s="3" t="inlineStr">
        <is>
          <t>Routine chain: mean and variance to sums, two expansions, quadratic with an integer filter; comparable to 2026-P2-Q12 (L2), option-based.</t>
        </is>
      </c>
      <c r="O101" s="3" t="inlineStr">
        <is>
          <t>2026-P2-Q12 (L2)</t>
        </is>
      </c>
      <c r="P101" s="2" t="inlineStr">
        <is>
          <t>High</t>
        </is>
      </c>
    </row>
    <row r="102">
      <c r="A102" s="2" t="n">
        <v>101</v>
      </c>
      <c r="B102" s="2" t="inlineStr"/>
      <c r="C102" s="2" t="inlineStr">
        <is>
          <t>Q101</t>
        </is>
      </c>
      <c r="D102" s="2" t="inlineStr">
        <is>
          <t>Numerical</t>
        </is>
      </c>
      <c r="E102" s="3" t="inlineStr">
        <is>
          <t>Statistics</t>
        </is>
      </c>
      <c r="F102" s="2" t="n">
        <v>4</v>
      </c>
      <c r="G102" s="7" t="n">
        <v>2</v>
      </c>
      <c r="H102" s="7" t="inlineStr">
        <is>
          <t>Easier than Advanced</t>
        </is>
      </c>
      <c r="I102" s="5" t="n">
        <v>0</v>
      </c>
      <c r="J102" s="5" t="n">
        <v>0</v>
      </c>
      <c r="K102" s="5">
        <f>MIN(5,MAX(G102+I102,J102))</f>
        <v/>
      </c>
      <c r="L102" s="5">
        <f>F102*K102</f>
        <v/>
      </c>
      <c r="M102" s="3" t="inlineStr">
        <is>
          <t>Correct the raw sums sum x and sum x^2 and notice that 15(mu^2+sigma^2) is the corrected sum of squares.</t>
        </is>
      </c>
      <c r="N102" s="3" t="inlineStr">
        <is>
          <t>Standard recheck-the-observation question, numerical so a little care needed with fractions, but the shortcut mu^2+sigma^2 = mean of squares makes it routine; same family as 2026-P2-Q12 (L2).</t>
        </is>
      </c>
      <c r="O102" s="3" t="inlineStr">
        <is>
          <t>2026-P2-Q12 (L2)</t>
        </is>
      </c>
      <c r="P102" s="2" t="inlineStr">
        <is>
          <t>High</t>
        </is>
      </c>
    </row>
    <row r="103">
      <c r="A103" s="2" t="n">
        <v>102</v>
      </c>
      <c r="B103" s="2" t="inlineStr"/>
      <c r="C103" s="2" t="inlineStr">
        <is>
          <t>Q102</t>
        </is>
      </c>
      <c r="D103" s="2" t="inlineStr">
        <is>
          <t>Numerical</t>
        </is>
      </c>
      <c r="E103" s="3" t="inlineStr">
        <is>
          <t>Statistics</t>
        </is>
      </c>
      <c r="F103" s="2" t="n">
        <v>4</v>
      </c>
      <c r="G103" s="4" t="n">
        <v>1</v>
      </c>
      <c r="H103" s="4" t="inlineStr">
        <is>
          <t>JEE Main level</t>
        </is>
      </c>
      <c r="I103" s="5" t="n">
        <v>0</v>
      </c>
      <c r="J103" s="5" t="n">
        <v>0</v>
      </c>
      <c r="K103" s="5">
        <f>MIN(5,MAX(G103+I103,J103))</f>
        <v/>
      </c>
      <c r="L103" s="5">
        <f>F103*K103</f>
        <v/>
      </c>
      <c r="M103" s="3" t="inlineStr">
        <is>
          <t>Use sum of squares = n(variance + mean^2); no need to find alpha and beta separately.</t>
        </is>
      </c>
      <c r="N103" s="3" t="inlineStr">
        <is>
          <t>One formula gives the answer directly with an arithmetic of eight squares; easier than 2026-P2-Q12 (L2) where the observations themselves are recovered, so L1.</t>
        </is>
      </c>
      <c r="O103" s="3" t="inlineStr">
        <is>
          <t>2026-P2-Q12 (L2)</t>
        </is>
      </c>
      <c r="P103" s="2" t="inlineStr">
        <is>
          <t>High</t>
        </is>
      </c>
    </row>
    <row r="104">
      <c r="A104" s="2" t="n">
        <v>103</v>
      </c>
      <c r="B104" s="2" t="inlineStr"/>
      <c r="C104" s="2" t="inlineStr">
        <is>
          <t>Q103</t>
        </is>
      </c>
      <c r="D104" s="2" t="inlineStr">
        <is>
          <t>Numerical</t>
        </is>
      </c>
      <c r="E104" s="3" t="inlineStr">
        <is>
          <t>Statistics</t>
        </is>
      </c>
      <c r="F104" s="2" t="n">
        <v>4</v>
      </c>
      <c r="G104" s="4" t="n">
        <v>1</v>
      </c>
      <c r="H104" s="4" t="inlineStr">
        <is>
          <t>JEE Main level</t>
        </is>
      </c>
      <c r="I104" s="5" t="n">
        <v>0</v>
      </c>
      <c r="J104" s="5" t="n">
        <v>0</v>
      </c>
      <c r="K104" s="5">
        <f>MIN(5,MAX(G104+I104,J104))</f>
        <v/>
      </c>
      <c r="L104" s="5">
        <f>F104*K104</f>
        <v/>
      </c>
      <c r="M104" s="3" t="inlineStr">
        <is>
          <t>Compute sum f x and sum f x^2 and apply the variance formula.</t>
        </is>
      </c>
      <c r="N104" s="3" t="inlineStr">
        <is>
          <t>Direct frequency-table variance, only arithmetic care needed (like the table computations of 2023-P1-Q15, L0); numerical format lifts it to L1.</t>
        </is>
      </c>
      <c r="O104" s="3" t="inlineStr">
        <is>
          <t>2023-P1-Q15 (L0)</t>
        </is>
      </c>
      <c r="P104" s="2" t="inlineStr">
        <is>
          <t>High</t>
        </is>
      </c>
    </row>
    <row r="105">
      <c r="A105" s="2" t="n">
        <v>104</v>
      </c>
      <c r="B105" s="2" t="inlineStr"/>
      <c r="C105" s="2" t="inlineStr">
        <is>
          <t>Q104</t>
        </is>
      </c>
      <c r="D105" s="2" t="inlineStr">
        <is>
          <t>SCQ</t>
        </is>
      </c>
      <c r="E105" s="3" t="inlineStr">
        <is>
          <t>Statistics</t>
        </is>
      </c>
      <c r="F105" s="2" t="n">
        <v>4</v>
      </c>
      <c r="G105" s="7" t="n">
        <v>2</v>
      </c>
      <c r="H105" s="7" t="inlineStr">
        <is>
          <t>Easier than Advanced</t>
        </is>
      </c>
      <c r="I105" s="5" t="n">
        <v>0</v>
      </c>
      <c r="J105" s="5" t="n">
        <v>0</v>
      </c>
      <c r="K105" s="5">
        <f>MIN(5,MAX(G105+I105,J105))</f>
        <v/>
      </c>
      <c r="L105" s="5">
        <f>F105*K105</f>
        <v/>
      </c>
      <c r="M105" s="3" t="inlineStr">
        <is>
          <t>Get alpha+beta and alpha^2+beta^2, solve for alpha,beta, then evaluate mean deviation.</t>
        </is>
      </c>
      <c r="N105" s="3" t="inlineStr">
        <is>
          <t>Two linear/quadratic facts to recover the pair, then a mean-deviation sum: short routine chain like 2025-P1-Q14 (L2), option-based.</t>
        </is>
      </c>
      <c r="O105" s="3" t="inlineStr">
        <is>
          <t>2025-P1-Q14 (L2)</t>
        </is>
      </c>
      <c r="P105" s="2" t="inlineStr">
        <is>
          <t>High</t>
        </is>
      </c>
    </row>
    <row r="106">
      <c r="A106" s="2" t="n">
        <v>105</v>
      </c>
      <c r="B106" s="2" t="inlineStr"/>
      <c r="C106" s="2" t="inlineStr">
        <is>
          <t>Q105</t>
        </is>
      </c>
      <c r="D106" s="2" t="inlineStr">
        <is>
          <t>SCQ</t>
        </is>
      </c>
      <c r="E106" s="3" t="inlineStr">
        <is>
          <t>Statistics</t>
        </is>
      </c>
      <c r="F106" s="2" t="n">
        <v>4</v>
      </c>
      <c r="G106" s="4" t="n">
        <v>1</v>
      </c>
      <c r="H106" s="4" t="inlineStr">
        <is>
          <t>JEE Main level</t>
        </is>
      </c>
      <c r="I106" s="5" t="n">
        <v>0</v>
      </c>
      <c r="J106" s="5" t="n">
        <v>0</v>
      </c>
      <c r="K106" s="5">
        <f>MIN(5,MAX(G106+I106,J106))</f>
        <v/>
      </c>
      <c r="L106" s="5">
        <f>F106*K106</f>
        <v/>
      </c>
      <c r="M106" s="3" t="inlineStr">
        <is>
          <t>Replace the wrong value in the sum and sum of squares and recompute.</t>
        </is>
      </c>
      <c r="N106" s="3" t="inlineStr">
        <is>
          <t>One familiar correction trick applied once with options to check against; easier than 2026-P2-Q12 (L2).</t>
        </is>
      </c>
      <c r="O106" s="3" t="inlineStr">
        <is>
          <t>2026-P2-Q12 (L2)</t>
        </is>
      </c>
      <c r="P106" s="2" t="inlineStr">
        <is>
          <t>High</t>
        </is>
      </c>
    </row>
    <row r="107">
      <c r="A107" s="2" t="n">
        <v>106</v>
      </c>
      <c r="B107" s="2" t="inlineStr"/>
      <c r="C107" s="2" t="inlineStr">
        <is>
          <t>Q106</t>
        </is>
      </c>
      <c r="D107" s="2" t="inlineStr">
        <is>
          <t>SCQ</t>
        </is>
      </c>
      <c r="E107" s="3" t="inlineStr">
        <is>
          <t>Statistics</t>
        </is>
      </c>
      <c r="F107" s="2" t="n">
        <v>4</v>
      </c>
      <c r="G107" s="7" t="n">
        <v>2</v>
      </c>
      <c r="H107" s="7" t="inlineStr">
        <is>
          <t>Easier than Advanced</t>
        </is>
      </c>
      <c r="I107" s="5" t="n">
        <v>0</v>
      </c>
      <c r="J107" s="5" t="n">
        <v>0</v>
      </c>
      <c r="K107" s="5">
        <f>MIN(5,MAX(G107+I107,J107))</f>
        <v/>
      </c>
      <c r="L107" s="5">
        <f>F107*K107</f>
        <v/>
      </c>
      <c r="M107" s="3" t="inlineStr">
        <is>
          <t>Observe the median is 18 irrespective of x,y, then form two linear equations.</t>
        </is>
      </c>
      <c r="N107" s="3" t="inlineStr">
        <is>
          <t>Median position fixed by the known counts, then two linear equations from N and the mean deviation; same frequency-table pattern as 2025-P1-Q14 (L2), option-based.</t>
        </is>
      </c>
      <c r="O107" s="3" t="inlineStr">
        <is>
          <t>2025-P1-Q14 (L2)</t>
        </is>
      </c>
      <c r="P107" s="2" t="inlineStr">
        <is>
          <t>High</t>
        </is>
      </c>
    </row>
    <row r="108">
      <c r="A108" s="2" t="n">
        <v>107</v>
      </c>
      <c r="B108" s="2" t="inlineStr"/>
      <c r="C108" s="2" t="inlineStr">
        <is>
          <t>Q107</t>
        </is>
      </c>
      <c r="D108" s="2" t="inlineStr">
        <is>
          <t>SCQ</t>
        </is>
      </c>
      <c r="E108" s="3" t="inlineStr">
        <is>
          <t>Statistics</t>
        </is>
      </c>
      <c r="F108" s="2" t="n">
        <v>4</v>
      </c>
      <c r="G108" s="4" t="n">
        <v>1</v>
      </c>
      <c r="H108" s="4" t="inlineStr">
        <is>
          <t>JEE Main level</t>
        </is>
      </c>
      <c r="I108" s="5" t="n">
        <v>0</v>
      </c>
      <c r="J108" s="5" t="n">
        <v>0</v>
      </c>
      <c r="K108" s="5">
        <f>MIN(5,MAX(G108+I108,J108))</f>
        <v/>
      </c>
      <c r="L108" s="5">
        <f>F108*K108</f>
        <v/>
      </c>
      <c r="M108" s="3" t="inlineStr">
        <is>
          <t>Variance of c times a fixed list is c^2 times its variance; compute once.</t>
        </is>
      </c>
      <c r="N108" s="3" t="inlineStr">
        <is>
          <t>One variance formula applied once with a simple parameter; direct, like the table computations of 2023-P1-Q15 (L0); option-based so L1.</t>
        </is>
      </c>
      <c r="O108" s="3" t="inlineStr">
        <is>
          <t>2023-P1-Q15 (L0)</t>
        </is>
      </c>
      <c r="P108" s="2" t="inlineStr">
        <is>
          <t>High</t>
        </is>
      </c>
    </row>
    <row r="109">
      <c r="A109" s="2" t="n">
        <v>108</v>
      </c>
      <c r="B109" s="2" t="inlineStr"/>
      <c r="C109" s="2" t="inlineStr">
        <is>
          <t>Q108</t>
        </is>
      </c>
      <c r="D109" s="2" t="inlineStr">
        <is>
          <t>Numerical</t>
        </is>
      </c>
      <c r="E109" s="3" t="inlineStr">
        <is>
          <t>Statistics</t>
        </is>
      </c>
      <c r="F109" s="2" t="n">
        <v>4</v>
      </c>
      <c r="G109" s="8" t="n">
        <v>3</v>
      </c>
      <c r="H109" s="8" t="inlineStr">
        <is>
          <t>Average Advanced</t>
        </is>
      </c>
      <c r="I109" s="5" t="n">
        <v>0</v>
      </c>
      <c r="J109" s="5" t="n">
        <v>0</v>
      </c>
      <c r="K109" s="5">
        <f>MIN(5,MAX(G109+I109,J109))</f>
        <v/>
      </c>
      <c r="L109" s="5">
        <f>F109*K109</f>
        <v/>
      </c>
      <c r="M109" s="3" t="inlineStr">
        <is>
          <t>Subtract the known terms and work with deviations from 18: integer deviations with sum of squares 6 are 1,1,2 in absolute value; signs from the sum.</t>
        </is>
      </c>
      <c r="N109" s="3" t="inlineStr">
        <is>
          <t>Three simultaneous statistics (mean, MD, variance) for three integer unknowns with sign casework and no options; more precision risk than 2026-P2-Q12 (L2) but short, so L3.</t>
        </is>
      </c>
      <c r="O109" s="3" t="inlineStr">
        <is>
          <t>2026-P2-Q12 (L2)</t>
        </is>
      </c>
      <c r="P109" s="2" t="inlineStr">
        <is>
          <t>Medium</t>
        </is>
      </c>
    </row>
    <row r="111">
      <c r="A111" s="10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1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1" t="inlineStr">
        <is>
          <t>Difficulty summary</t>
        </is>
      </c>
    </row>
    <row r="2">
      <c r="A2" s="10" t="inlineStr">
        <is>
          <t>Source: SHEET_STATISTICS_FCopy_JM.pdf   |   Evaluated on: 2026-10-15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2" t="n">
        <v>0</v>
      </c>
      <c r="B5" s="12" t="inlineStr">
        <is>
          <t>Easier than JEE Main</t>
        </is>
      </c>
      <c r="C5" s="12">
        <f>COUNTIF(Evaluation!$G$2:$G$109,A5)</f>
        <v/>
      </c>
      <c r="D5" s="12">
        <f>SUMIF(Evaluation!$G$2:$G$109,A5,Evaluation!$F$2:$F$109)</f>
        <v/>
      </c>
      <c r="E5" s="13">
        <f>IF(SUM($D$5:$D$10)=0,0,D5/SUM($D$5:$D$10))</f>
        <v/>
      </c>
    </row>
    <row r="6">
      <c r="A6" s="14" t="n">
        <v>1</v>
      </c>
      <c r="B6" s="14" t="inlineStr">
        <is>
          <t>JEE Main level</t>
        </is>
      </c>
      <c r="C6" s="14">
        <f>COUNTIF(Evaluation!$G$2:$G$109,A6)</f>
        <v/>
      </c>
      <c r="D6" s="14">
        <f>SUMIF(Evaluation!$G$2:$G$109,A6,Evaluation!$F$2:$F$109)</f>
        <v/>
      </c>
      <c r="E6" s="15">
        <f>IF(SUM($D$5:$D$10)=0,0,D6/SUM($D$5:$D$10))</f>
        <v/>
      </c>
    </row>
    <row r="7">
      <c r="A7" s="16" t="n">
        <v>2</v>
      </c>
      <c r="B7" s="16" t="inlineStr">
        <is>
          <t>Easier than Advanced</t>
        </is>
      </c>
      <c r="C7" s="16">
        <f>COUNTIF(Evaluation!$G$2:$G$109,A7)</f>
        <v/>
      </c>
      <c r="D7" s="16">
        <f>SUMIF(Evaluation!$G$2:$G$109,A7,Evaluation!$F$2:$F$109)</f>
        <v/>
      </c>
      <c r="E7" s="17">
        <f>IF(SUM($D$5:$D$10)=0,0,D7/SUM($D$5:$D$10))</f>
        <v/>
      </c>
    </row>
    <row r="8">
      <c r="A8" s="18" t="n">
        <v>3</v>
      </c>
      <c r="B8" s="18" t="inlineStr">
        <is>
          <t>Average Advanced</t>
        </is>
      </c>
      <c r="C8" s="18">
        <f>COUNTIF(Evaluation!$G$2:$G$109,A8)</f>
        <v/>
      </c>
      <c r="D8" s="18">
        <f>SUMIF(Evaluation!$G$2:$G$109,A8,Evaluation!$F$2:$F$109)</f>
        <v/>
      </c>
      <c r="E8" s="19">
        <f>IF(SUM($D$5:$D$10)=0,0,D8/SUM($D$5:$D$10))</f>
        <v/>
      </c>
    </row>
    <row r="9">
      <c r="A9" s="20" t="n">
        <v>4</v>
      </c>
      <c r="B9" s="20" t="inlineStr">
        <is>
          <t>Slightly difficult</t>
        </is>
      </c>
      <c r="C9" s="20">
        <f>COUNTIF(Evaluation!$G$2:$G$109,A9)</f>
        <v/>
      </c>
      <c r="D9" s="20">
        <f>SUMIF(Evaluation!$G$2:$G$109,A9,Evaluation!$F$2:$F$109)</f>
        <v/>
      </c>
      <c r="E9" s="21">
        <f>IF(SUM($D$5:$D$10)=0,0,D9/SUM($D$5:$D$10))</f>
        <v/>
      </c>
    </row>
    <row r="10">
      <c r="A10" s="22" t="n">
        <v>5</v>
      </c>
      <c r="B10" s="22" t="inlineStr">
        <is>
          <t>Very difficult</t>
        </is>
      </c>
      <c r="C10" s="22">
        <f>COUNTIF(Evaluation!$G$2:$G$109,A10)</f>
        <v/>
      </c>
      <c r="D10" s="22">
        <f>SUMIF(Evaluation!$G$2:$G$109,A10,Evaluation!$F$2:$F$109)</f>
        <v/>
      </c>
      <c r="E10" s="23">
        <f>IF(SUM($D$5:$D$10)=0,0,D10/SUM($D$5:$D$10))</f>
        <v/>
      </c>
    </row>
    <row r="11">
      <c r="A11" s="24" t="inlineStr">
        <is>
          <t>Total</t>
        </is>
      </c>
      <c r="C11" s="24">
        <f>SUM(C5:C10)</f>
        <v/>
      </c>
      <c r="D11" s="24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4" t="inlineStr">
        <is>
          <t>Overall</t>
        </is>
      </c>
      <c r="B14" s="25">
        <f>SUM(Evaluation!$L$2:$L$109)/SUM(Evaluation!$F$2:$F$109)</f>
        <v/>
      </c>
      <c r="C14" s="25">
        <f>SUMPRODUCT(Evaluation!$F$2:$F$109,Evaluation!$G$2:$G$109)/SUM(Evaluation!$F$2:$F$109)</f>
        <v/>
      </c>
      <c r="D14" s="24">
        <f>SUM(Evaluation!$F$2:$F$109)</f>
        <v/>
      </c>
      <c r="E14" s="25">
        <f>AVERAGE(Evaluation!$G$2:$G$109)</f>
        <v/>
      </c>
    </row>
    <row r="16">
      <c r="A16" s="10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1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6" t="n">
        <v>2021</v>
      </c>
      <c r="B4" s="27" t="n">
        <v>2.758333333333333</v>
      </c>
      <c r="C4" s="27" t="n">
        <v>2.894736842105263</v>
      </c>
      <c r="D4" s="26" t="n">
        <v>16</v>
      </c>
      <c r="E4" s="26" t="n">
        <v>34</v>
      </c>
      <c r="F4" s="26" t="n">
        <v>1</v>
      </c>
    </row>
    <row r="5">
      <c r="A5" s="26" t="n">
        <v>2023</v>
      </c>
      <c r="B5" s="27" t="n">
        <v>3.191666666666667</v>
      </c>
      <c r="C5" s="27" t="n">
        <v>3.147058823529412</v>
      </c>
      <c r="D5" s="26" t="n">
        <v>13</v>
      </c>
      <c r="E5" s="26" t="n">
        <v>47</v>
      </c>
      <c r="F5" s="26" t="n">
        <v>5</v>
      </c>
    </row>
    <row r="6">
      <c r="A6" s="26" t="n">
        <v>2024</v>
      </c>
      <c r="B6" s="27" t="n">
        <v>2.591666666666667</v>
      </c>
      <c r="C6" s="27" t="n">
        <v>2.558823529411764</v>
      </c>
      <c r="D6" s="26" t="n">
        <v>28</v>
      </c>
      <c r="E6" s="26" t="n">
        <v>40</v>
      </c>
      <c r="F6" s="26" t="n">
        <v>1</v>
      </c>
    </row>
    <row r="7">
      <c r="A7" s="26" t="n">
        <v>2025</v>
      </c>
      <c r="B7" s="27" t="n">
        <v>3.208333333333333</v>
      </c>
      <c r="C7" s="27" t="n">
        <v>3.1875</v>
      </c>
      <c r="D7" s="26" t="n">
        <v>8</v>
      </c>
      <c r="E7" s="26" t="n">
        <v>65</v>
      </c>
      <c r="F7" s="26" t="n">
        <v>1</v>
      </c>
    </row>
    <row r="8">
      <c r="A8" s="26" t="n">
        <v>2026</v>
      </c>
      <c r="B8" s="27" t="n">
        <v>3.025</v>
      </c>
      <c r="C8" s="27" t="n">
        <v>2.941176470588236</v>
      </c>
      <c r="D8" s="26" t="n">
        <v>6</v>
      </c>
      <c r="E8" s="26" t="n">
        <v>38</v>
      </c>
      <c r="F8" s="26" t="n">
        <v>2</v>
      </c>
    </row>
    <row r="9">
      <c r="A9" s="24" t="inlineStr">
        <is>
          <t>This paper</t>
        </is>
      </c>
      <c r="B9" s="25">
        <f>Summary!B14</f>
        <v/>
      </c>
      <c r="C9" s="25">
        <f>Summary!E14</f>
        <v/>
      </c>
      <c r="D9" s="24">
        <f>Summary!D5+Summary!D6</f>
        <v/>
      </c>
      <c r="E9" s="24">
        <f>Summary!D9+Summary!D10</f>
        <v/>
      </c>
      <c r="F9" s="24">
        <f>Summary!C10</f>
        <v/>
      </c>
    </row>
    <row r="11">
      <c r="A11" s="10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2026-10-15T07:16:38Z</dcterms:created>
  <dcterms:modified xmlns:dcterms="http://purl.org/dc/terms/" xmlns:xsi="http://www.w3.org/2001/XMLSchema-instance" xsi:type="dcterms:W3CDTF">2026-10-15T07:16:38Z</dcterms:modified>
</cp:coreProperties>
</file>