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Complex Number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Add the equation to its conjugate to get $\bar z=\pm iz$, then solve two quadratics.</t>
        </is>
      </c>
      <c r="N2" s="3" t="inlineStr">
        <is>
          <t>Routine chain: conjugate, add, split into two cases and solve; one known trick but several stages and a check that roots are distinct; options present. Easier than 2023-P1-Q17 (L3).</t>
        </is>
      </c>
      <c r="O2" s="3" t="inlineStr">
        <is>
          <t>2023-P1-Q17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Permutation &amp; Combination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Interpret the condition as a margin of at least $k$ cells on every side, then count positions for $k=1,2$.</t>
        </is>
      </c>
      <c r="N3" s="3" t="inlineStr">
        <is>
          <t>Short casework with a small interpretation step; no heavy computation and options help. Same demand as 2021-P2-Q1 (routine counting).</t>
        </is>
      </c>
      <c r="O3" s="3" t="inlineStr">
        <is>
          <t>2021-P2-Q1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Permutation &amp; Combination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Reduce to permutations with four forbidden fixed points and count by $D_4+D_5$ or inclusion-exclusion.</t>
        </is>
      </c>
      <c r="N4" s="3" t="inlineStr">
        <is>
          <t>One standard model (restricted permutation / derangements) with a short case split; the free element f(1) is the only trap and options let the student check. Easier than 2026-P2-Q10 (numerical inclusion-exclusion, L4).</t>
        </is>
      </c>
      <c r="O4" s="3" t="inlineStr">
        <is>
          <t>2026-P2-Q10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Permutation &amp; Combination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Sum $\binom{n}{4}$ over all diagonals of length at least $4$, in both directions.</t>
        </is>
      </c>
      <c r="N5" s="3" t="inlineStr">
        <is>
          <t>Routine chain: list diagonal lengths, apply C(n,4), double for the other direction; small precision risk (one direction gives the distractor 182) but no new idea. Same demand as 2021-P2-Q1 (L2).</t>
        </is>
      </c>
      <c r="O5" s="3" t="inlineStr">
        <is>
          <t>2021-P2-Q1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Permutation &amp; Combination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Use product of divisors $=N^{d(N)/2}$, then compare prime exponents with $24^x$.</t>
        </is>
      </c>
      <c r="N6" s="3" t="inlineStr">
        <is>
          <t>One familiar result (product of divisors) followed by a direct exponent comparison; JEE Main level. Close to 2021-P2-Q17 (one standard tool applied once).</t>
        </is>
      </c>
      <c r="O6" s="3" t="inlineStr">
        <is>
          <t>2021-P2-Q17 (L1)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Permutation &amp; Combination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Translate 'no borrowing' into $x_i\le y_i$ per place and multiply, remembering the leading digits are non-zero.</t>
        </is>
      </c>
      <c r="N7" s="3" t="inlineStr">
        <is>
          <t>Short routine chain with one interpretation step and a leading-digit trap; options let the student check the pattern. Same demand as 2021-P2-Q1 (L2).</t>
        </is>
      </c>
      <c r="O7" s="3" t="inlineStr">
        <is>
          <t>2021-P2-Q1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Binomial Theorem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Use $\binom{20}{k}=\binom{20}{20-k}$ to double the sum into all odd-position coefficients, which total $2^{19}$.</t>
        </is>
      </c>
      <c r="N8" s="3" t="inlineStr">
        <is>
          <t>Single familiar symmetry-plus-odd-sum trick, applied once; JEE Main level. Close to 2023-P1-Q13 (L1, binomial coefficient equating).</t>
        </is>
      </c>
      <c r="O8" s="3" t="inlineStr">
        <is>
          <t>2023-P1-Q13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Binomial Theorem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Recognise the sum as Vandermonde's identity and equate with the middle coefficient.</t>
        </is>
      </c>
      <c r="N9" s="3" t="inlineStr">
        <is>
          <t>Two standard ideas chained (Vandermonde, middle coefficient) with a short finish; options available. Easier than 2025-P2-Q10 (numerical largest coefficient, L4).</t>
        </is>
      </c>
      <c r="O9" s="3" t="inlineStr">
        <is>
          <t>2025-P2-Q10 (L4)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Binomial Theorem</t>
        </is>
      </c>
      <c r="F10" s="2" t="n">
        <v>4</v>
      </c>
      <c r="G10" s="6" t="n">
        <v>1</v>
      </c>
      <c r="H10" s="6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Spot $7^3=1+19\cdot18$ and expand binomially (or use Fermat).</t>
        </is>
      </c>
      <c r="N10" s="3" t="inlineStr">
        <is>
          <t>One familiar trick (a power of the base is one more than a multiple of the divisor); JEE Main level with four-option check. Close to 2023-P1-Q13 (L1).</t>
        </is>
      </c>
      <c r="O10" s="3" t="inlineStr">
        <is>
          <t>2023-P1-Q13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Binomial Theorem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Recognise the alternating sum as the $x^5$ coefficient of $\left((1+x)^{101}-1\right)^5$.</t>
        </is>
      </c>
      <c r="N11" s="3" t="inlineStr">
        <is>
          <t>The key step is an unfamiliar-looking pattern (hidden $(u-1)^5$ with $u=(1+x)^{101}$) that students rarely practise, though the computation after it is one line; options help. Placed between routine L2 and the hidden-structure Leibniz question 2026-P2-Q5 (L4).</t>
        </is>
      </c>
      <c r="O11" s="3" t="inlineStr">
        <is>
          <t>2026-P2-Q5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Probability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Sum the geometric series $p+q^2p+q^4p+\dots$ for first success on odd throws.</t>
        </is>
      </c>
      <c r="N12" s="3" t="inlineStr">
        <is>
          <t>Routine chain: count favourable cases, set up the odd-throw geometric series, simplify and reduce the fraction; no new idea and options present. Easier than 2023-P2-Q2 (L3, toss until two consecutive match).</t>
        </is>
      </c>
      <c r="O12" s="3" t="inlineStr">
        <is>
          <t>2023-P2-Q2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Permutation &amp; Combination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Split into primes $2$ and $5$ and count exponent triples under pairwise-maximum conditions ($7\times10$).</t>
        </is>
      </c>
      <c r="N13" s="3" t="inlineStr">
        <is>
          <t>Needs a decoupling idea (prime-wise exponents) plus two careful casework counts (one forces C=4); a slip changes the count and one option is 'None of these'. Between routine counting (L2) and 2024-P1-Q11 (L4).</t>
        </is>
      </c>
      <c r="O13" s="3" t="inlineStr">
        <is>
          <t>2024-P1-Q11 (L4)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Binomial Theorem</t>
        </is>
      </c>
      <c r="F14" s="2" t="n">
        <v>4</v>
      </c>
      <c r="G14" s="6" t="n">
        <v>1</v>
      </c>
      <c r="H14" s="6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Expand $(e^x-1)^2=e^{2x}-2e^x+1$ and read the $x^4$ coefficient</t>
        </is>
      </c>
      <c r="N14" s="3" t="inlineStr">
        <is>
          <t>One familiar move (exponential series) applied once; no decision beyond squaring. Same one-move character as 2026-P2-Q4 and 2024-P2-Q3.</t>
        </is>
      </c>
      <c r="O14" s="3" t="inlineStr">
        <is>
          <t>2026-P2-Q4 (L1)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Binomial Theorem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Symmetry $i\to n-i$ removes $(i+j)$; then $\sum C_r^2$ and $(\sum C_r)^2$</t>
        </is>
      </c>
      <c r="N15" s="3" t="inlineStr">
        <is>
          <t>Non-routine symmetry on a double sum plus two standard identities; but options and an $n=1$ test allow checking, so it stays at 3 rather than 4 (2025-P2-Q10 is a numerical, heavier case).</t>
        </is>
      </c>
      <c r="O15" s="3" t="inlineStr">
        <is>
          <t>2025-P2-Q10 (L4)</t>
        </is>
      </c>
      <c r="P15" s="2" t="inlineStr">
        <is>
          <t>Low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Binomial Theorem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Split $1+kx$ and recognise $(1-u)^n$ and the $k\,C_k$ derivative form</t>
        </is>
      </c>
      <c r="N16" s="3" t="inlineStr">
        <is>
          <t>Routine chain of standard binomial identities; options are constants so $n=1$ settles it. Comparable to a routine multi-step Level 2 such as 2023-P2-Q9.</t>
        </is>
      </c>
      <c r="O16" s="3" t="inlineStr">
        <is>
          <t>2023-P2-Q9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Complex Number</t>
        </is>
      </c>
      <c r="F17" s="2" t="n">
        <v>4</v>
      </c>
      <c r="G17" s="6" t="n">
        <v>1</v>
      </c>
      <c r="H17" s="6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Sum of roots (Vieta) or factor by inspection; real part is additive</t>
        </is>
      </c>
      <c r="N17" s="3" t="inlineStr">
        <is>
          <t>One familiar move, no decision; closest to other single-move items like 2025-P1-Q7.</t>
        </is>
      </c>
      <c r="O17" s="3" t="inlineStr">
        <is>
          <t>2025-P1-Q7 (L1)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Complex Number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$a+b=-1$ from the root-of-unity sum, then reduce $ab$ mod 7</t>
        </is>
      </c>
      <c r="N18" s="3" t="inlineStr">
        <is>
          <t>Several standard facts chained (sum of roots, expansion of 9 products, reduction), no insight beyond that; routine multi-step.</t>
        </is>
      </c>
      <c r="O18" s="3" t="inlineStr">
        <is>
          <t>2023-P2-Q9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Complex Number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$\alpha_k=\alpha_1^k$ so the sum is $(1+\alpha_1)^n-1$</t>
        </is>
      </c>
      <c r="N19" s="3" t="inlineStr">
        <is>
          <t>Binomial theorem applied to roots of unity, then rewriting $\alpha_1=\alpha_2/\alpha_1$; short chain, standard idea.</t>
        </is>
      </c>
      <c r="O19" s="3" t="inlineStr">
        <is>
          <t>2025-P1-Q7 (L1) / 2023-P2-Q9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Permutation &amp; Combination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Dictionary rank by counting words before SIKAR; A.P. iff $a,c$ same parity</t>
        </is>
      </c>
      <c r="N20" s="3" t="inlineStr">
        <is>
          <t>Two independent routine counts (rank and A.P. probability) combined into one last-digit answer; no unfamiliar idea, small slip risk, options present.</t>
        </is>
      </c>
      <c r="O20" s="3" t="inlineStr">
        <is>
          <t>2021-P2-Q17 (L1)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Complex Number</t>
        </is>
      </c>
      <c r="F21" s="2" t="n">
        <v>4</v>
      </c>
      <c r="G21" s="6" t="n">
        <v>1</v>
      </c>
      <c r="H21" s="6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$t=z^3$, conjugate roots so $|t|=5$</t>
        </is>
      </c>
      <c r="N21" s="3" t="inlineStr">
        <is>
          <t>One substitution then a modulus; single familiar move.</t>
        </is>
      </c>
      <c r="O21" s="3" t="inlineStr">
        <is>
          <t>2021-P1-Q17 (L1)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Complex Number</t>
        </is>
      </c>
      <c r="F22" s="2" t="n">
        <v>4</v>
      </c>
      <c r="G22" s="6" t="n">
        <v>1</v>
      </c>
      <c r="H22" s="6" t="inlineStr">
        <is>
          <t>JEE Main level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Split into real and imaginary parts: $x-y=1$ and $x-y=|z|$</t>
        </is>
      </c>
      <c r="N22" s="3" t="inlineStr">
        <is>
          <t>One familiar move (write $z=x+iy$) with two linear equations; question text had a typo that was corrected.</t>
        </is>
      </c>
      <c r="O22" s="3" t="inlineStr">
        <is>
          <t>2021-P2-Q17 (L1)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Complex Number</t>
        </is>
      </c>
      <c r="F23" s="2" t="n">
        <v>4</v>
      </c>
      <c r="G23" s="7" t="n">
        <v>3</v>
      </c>
      <c r="H23" s="7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$C_1$ is a parabola, $C_2$ a ray; tangent from $(-1,-1)$ and rejecting the wrong slope</t>
        </is>
      </c>
      <c r="N23" s="3" t="inlineStr">
        <is>
          <t>Two ideas linked (complex locus to conic, then tangent through a point with ray-direction check); more than routine but no deep insight. Between 2026-P2-Q2 (L2) and 2023-P2-Q13 (L4).</t>
        </is>
      </c>
      <c r="O23" s="3" t="inlineStr">
        <is>
          <t>2026-P2-Q2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Complex Number</t>
        </is>
      </c>
      <c r="F24" s="2" t="n">
        <v>4</v>
      </c>
      <c r="G24" s="6" t="n">
        <v>1</v>
      </c>
      <c r="H24" s="6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Recognise $(z^9+1)/(z+1)$, so $z^9=-1$, $z\ne-1$</t>
        </is>
      </c>
      <c r="N24" s="3" t="inlineStr">
        <is>
          <t>One familiar move (geometric series then roots of unity) with a small exclusion check.</t>
        </is>
      </c>
      <c r="O24" s="3" t="inlineStr">
        <is>
          <t>2026-P1-Q3 (L1)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Complex Number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Rewrite the sum via dot products and use |a+b+c|^2 &gt;= 0 for the extremum; check it is attainable</t>
        </is>
      </c>
      <c r="N25" s="3" t="inlineStr">
        <is>
          <t>One standard identity plus a non-negativity bound, then check attainability (2,3,4 form a triangle); 'None of these' option adds a small trap. Close to the one-trick Level 1 anchor but chain of three short stages puts it at 2.</t>
        </is>
      </c>
      <c r="O25" s="3" t="inlineStr">
        <is>
          <t>2025-P1-Q7 (L1)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Complex Number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k! is divisible by 4 (resp. 3) from k = 4 (resp. 3) on, so all later terms are 1</t>
        </is>
      </c>
      <c r="N26" s="3" t="inlineStr">
        <is>
          <t>One observation (factorial divisibility kills the periodicity) followed by routine bookkeeping of the first few terms and counting 97 and 98 ones; counting slip is the only risk.</t>
        </is>
      </c>
      <c r="O26" s="3" t="inlineStr">
        <is>
          <t>2025-P1-Q7 (L1)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Probability</t>
        </is>
      </c>
      <c r="F27" s="2" t="n">
        <v>4</v>
      </c>
      <c r="G27" s="6" t="n">
        <v>1</v>
      </c>
      <c r="H27" s="6" t="inlineStr">
        <is>
          <t>JEE Main level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Enumerate the product triples and discard the ones using 1 or repeated numbers</t>
        </is>
      </c>
      <c r="N27" s="3" t="inlineStr">
        <is>
          <t>Direct enumeration of three triples over a ten-element set; no insight needed beyond excluding 1.</t>
        </is>
      </c>
      <c r="O27" s="3" t="inlineStr">
        <is>
          <t>2021-P2-Q17 (L1)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Probability</t>
        </is>
      </c>
      <c r="F28" s="2" t="n">
        <v>4</v>
      </c>
      <c r="G28" s="7" t="n">
        <v>3</v>
      </c>
      <c r="H28" s="7" t="inlineStr">
        <is>
          <t>Average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Turn 'stable' into order constraints and count arrangements by who is rank 3 (middle or corner)</t>
        </is>
      </c>
      <c r="N28" s="3" t="inlineStr">
        <is>
          <t>Unfamiliar set-up (poset on a pyramid) and a short case count where overlooking the corner case gives 12/720 = 1/60, not an option, but nearby options exist; two cases, moderate precision risk.</t>
        </is>
      </c>
      <c r="O28" s="3" t="inlineStr">
        <is>
          <t>2023-P2-Q2 (L3)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MCQ</t>
        </is>
      </c>
      <c r="E29" s="3" t="inlineStr">
        <is>
          <t>Complex Number</t>
        </is>
      </c>
      <c r="F29" s="2" t="n">
        <v>4</v>
      </c>
      <c r="G29" s="4" t="n">
        <v>2</v>
      </c>
      <c r="H29" s="4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Real right-hand side forces Im(z^2 - z)=0, i.e. y(2x-1)=0, so z is real</t>
        </is>
      </c>
      <c r="N29" s="3" t="inlineStr">
        <is>
          <t>Standard 'expression is real' move, a tidy factorisation using the Re(z) hypothesis, then x^6=64; options are an easy final check. Single concept so no multi-correct floor. Between the Level 1 Apollonius anchor and the Level 3 modulus anchors.</t>
        </is>
      </c>
      <c r="O29" s="3" t="inlineStr">
        <is>
          <t>2025-P1-Q7 (L1)</t>
        </is>
      </c>
      <c r="P29" s="2" t="inlineStr">
        <is>
          <t>Low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MCQ</t>
        </is>
      </c>
      <c r="E30" s="3" t="inlineStr">
        <is>
          <t>Complex Number</t>
        </is>
      </c>
      <c r="F30" s="2" t="n">
        <v>4</v>
      </c>
      <c r="G30" s="4" t="n">
        <v>2</v>
      </c>
      <c r="H30" s="4" t="inlineStr">
        <is>
          <t>Easier than Advanced</t>
        </is>
      </c>
      <c r="I30" s="5" t="n">
        <v>0</v>
      </c>
      <c r="J30" s="5" t="n">
        <v>2.5</v>
      </c>
      <c r="K30" s="5">
        <f>MIN(5,MAX(G30+I30,J30))</f>
        <v/>
      </c>
      <c r="L30" s="5">
        <f>F30*K30</f>
        <v/>
      </c>
      <c r="M30" s="3" t="inlineStr">
        <is>
          <t>x^2 - x + 1 = 0 gives x^6 = 1 hence a = 2; then b in {5,7} from the unit-digit cycle of 4^n</t>
        </is>
      </c>
      <c r="N30" s="3" t="inlineStr">
        <is>
          <t>Two short, familiar pieces from different chapters (complex roots of unity and unit digits); the multi-correct floor of 2.5 applies. Each piece alone is Level 1-2.</t>
        </is>
      </c>
      <c r="O30" s="3" t="inlineStr">
        <is>
          <t>2025-P1-Q7 (L1)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MCQ</t>
        </is>
      </c>
      <c r="E31" s="3" t="inlineStr">
        <is>
          <t>Permutation &amp; Combination</t>
        </is>
      </c>
      <c r="F31" s="2" t="n">
        <v>4</v>
      </c>
      <c r="G31" s="7" t="n">
        <v>3</v>
      </c>
      <c r="H31" s="7" t="inlineStr">
        <is>
          <t>Average Advanced</t>
        </is>
      </c>
      <c r="I31" s="5" t="n">
        <v>0</v>
      </c>
      <c r="J31" s="5" t="n">
        <v>2.5</v>
      </c>
      <c r="K31" s="5">
        <f>MIN(5,MAX(G31+I31,J31))</f>
        <v/>
      </c>
      <c r="L31" s="5">
        <f>F31*K31</f>
        <v/>
      </c>
      <c r="M31" s="3" t="inlineStr">
        <is>
          <t>Each element appears in C(21,10) subsets, so the total is 253 x C(21,10); then test divisibility of C(21,10)</t>
        </is>
      </c>
      <c r="N31" s="3" t="inlineStr">
        <is>
          <t>Contribution-of-each-element counting is a known technique but the divisibility checks by 8 and 17 require factorising C(21,10) (Kummer or direct), and four statements each need a verdict; multi-concept so floor 2.5, level 3.</t>
        </is>
      </c>
      <c r="O31" s="3" t="inlineStr">
        <is>
          <t>2026-P1-Q11 (L3)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MCQ</t>
        </is>
      </c>
      <c r="E32" s="3" t="inlineStr">
        <is>
          <t>Permutation &amp; Combination</t>
        </is>
      </c>
      <c r="F32" s="2" t="n">
        <v>4</v>
      </c>
      <c r="G32" s="4" t="n">
        <v>2</v>
      </c>
      <c r="H32" s="4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Place the three required digits in order (5x4x3), then free the other two places with 7 digit choices each</t>
        </is>
      </c>
      <c r="N32" s="3" t="inlineStr">
        <is>
          <t>Routine counting once leading zeros are handled; a single slip (e.g. counting 6 positions or 8 free digits) is the only risk. Matches the Level 2 counting anchor.</t>
        </is>
      </c>
      <c r="O32" s="3" t="inlineStr">
        <is>
          <t>2021-P2-Q1 (L2)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MCQ</t>
        </is>
      </c>
      <c r="E33" s="3" t="inlineStr">
        <is>
          <t>Binomial Theorem</t>
        </is>
      </c>
      <c r="F33" s="2" t="n">
        <v>4</v>
      </c>
      <c r="G33" s="4" t="n">
        <v>2</v>
      </c>
      <c r="H33" s="4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Use r -&gt; n-r to get sum r/C(n,r) = (n/2) sum 1/C(n,r), then cancel the positive sum</t>
        </is>
      </c>
      <c r="N33" s="3" t="inlineStr">
        <is>
          <t>One familiar symmetry trick followed by a quadratic; short chain. Two standard steps (not a single move) places it at 2.</t>
        </is>
      </c>
      <c r="O33" s="3" t="inlineStr">
        <is>
          <t>2023-P1-Q13 (L1)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MCQ</t>
        </is>
      </c>
      <c r="E34" s="3" t="inlineStr">
        <is>
          <t>Probability</t>
        </is>
      </c>
      <c r="F34" s="2" t="n">
        <v>4</v>
      </c>
      <c r="G34" s="7" t="n">
        <v>3</v>
      </c>
      <c r="H34" s="7" t="inlineStr">
        <is>
          <t>Average Advanced</t>
        </is>
      </c>
      <c r="I34" s="5" t="n">
        <v>0</v>
      </c>
      <c r="J34" s="5" t="n">
        <v>2.5</v>
      </c>
      <c r="K34" s="5">
        <f>MIN(5,MAX(G34+I34,J34))</f>
        <v/>
      </c>
      <c r="L34" s="5">
        <f>F34*K34</f>
        <v/>
      </c>
      <c r="M34" s="3" t="inlineStr">
        <is>
          <t>G.P. of powers of 2 &lt;=&gt; A.P. of exponents &lt;=&gt; same-parity pair; then split by parity of n</t>
        </is>
      </c>
      <c r="N34" s="3" t="inlineStr">
        <is>
          <t>Key recognition (G.P. to A.P. of exponents) then parity casework in two cases with two options to verify each; multi-concept so floor 2.5, rated 3 since two ideas are linked and precision is needed.</t>
        </is>
      </c>
      <c r="O34" s="3" t="inlineStr">
        <is>
          <t>2023-P1-Q6 (L3)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MCQ</t>
        </is>
      </c>
      <c r="E35" s="3" t="inlineStr">
        <is>
          <t>Quadratic Equation</t>
        </is>
      </c>
      <c r="F35" s="2" t="n">
        <v>4</v>
      </c>
      <c r="G35" s="7" t="n">
        <v>3</v>
      </c>
      <c r="H35" s="7" t="inlineStr">
        <is>
          <t>Average Advanced</t>
        </is>
      </c>
      <c r="I35" s="5" t="n">
        <v>0</v>
      </c>
      <c r="J35" s="5" t="n">
        <v>2.5</v>
      </c>
      <c r="K35" s="5">
        <f>MIN(5,MAX(G35+I35,J35))</f>
        <v/>
      </c>
      <c r="L35" s="5">
        <f>F35*K35</f>
        <v/>
      </c>
      <c r="M35" s="3" t="inlineStr">
        <is>
          <t>Both equations share root 0, so two solutions iff p/r = q/s; count quadruples and restrict the sample space for Statement II</t>
        </is>
      </c>
      <c r="N35" s="3" t="inlineStr">
        <is>
          <t>Two statements each need a careful count over 256 quadruples with ratio grouping; the printed 'exactly one solution' also needs interpreting. Multi-concept floor 2.5; chain of casework gives 3.</t>
        </is>
      </c>
      <c r="O35" s="3" t="inlineStr">
        <is>
          <t>2021-P1-Q13 (L3)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MCQ</t>
        </is>
      </c>
      <c r="E36" s="3" t="inlineStr">
        <is>
          <t>Probability</t>
        </is>
      </c>
      <c r="F36" s="2" t="n">
        <v>4</v>
      </c>
      <c r="G36" s="4" t="n">
        <v>2</v>
      </c>
      <c r="H36" s="4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Check pairwise products P(Ei)P(Ej) and the triple product separately (Bernstein-type example)</t>
        </is>
      </c>
      <c r="N36" s="3" t="inlineStr">
        <is>
          <t>Textbook Bernstein-type example; a few short probability computations and no insight beyond recalling that pairwise independence is weaker than mutual independence. Single concept, so no floor.</t>
        </is>
      </c>
      <c r="O36" s="3" t="inlineStr">
        <is>
          <t>2026-P1-Q5 (L2)</t>
        </is>
      </c>
      <c r="P36" s="2" t="inlineStr">
        <is>
          <t>Medium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MCQ</t>
        </is>
      </c>
      <c r="E37" s="3" t="inlineStr">
        <is>
          <t>Probability</t>
        </is>
      </c>
      <c r="F37" s="2" t="n">
        <v>4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2.5</v>
      </c>
      <c r="K37" s="5">
        <f>MIN(5,MAX(G37+I37,J37))</f>
        <v/>
      </c>
      <c r="L37" s="5">
        <f>F37*K37</f>
        <v/>
      </c>
      <c r="M37" s="3" t="inlineStr">
        <is>
          <t>Know that only square and pentagon have all diagonals equal, and count k(k-3)/2 parity for k = 3..10</t>
        </is>
      </c>
      <c r="N37" s="3" t="inlineStr">
        <is>
          <t>Two quick fact-based checks (equal diagonals; parity of diagonal count) over eight polygons; multi-concept floor of 2.5 applies. Each statement is routine, with only the triangle (no diagonals) as a subtle point.</t>
        </is>
      </c>
      <c r="O37" s="3" t="inlineStr">
        <is>
          <t>2026-P1-Q5 (L2)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MCQ</t>
        </is>
      </c>
      <c r="E38" s="3" t="inlineStr">
        <is>
          <t>Statistics</t>
        </is>
      </c>
      <c r="F38" s="2" t="n">
        <v>4</v>
      </c>
      <c r="G38" s="4" t="n">
        <v>2</v>
      </c>
      <c r="H38" s="4" t="inlineStr">
        <is>
          <t>Easier than Advanced</t>
        </is>
      </c>
      <c r="I38" s="5" t="n">
        <v>0</v>
      </c>
      <c r="J38" s="5" t="n">
        <v>2.5</v>
      </c>
      <c r="K38" s="5">
        <f>MIN(5,MAX(G38+I38,J38))</f>
        <v/>
      </c>
      <c r="L38" s="5">
        <f>F38*K38</f>
        <v/>
      </c>
      <c r="M38" s="3" t="inlineStr">
        <is>
          <t>Median of binomial coefficients is 45; variance &gt;= 0 (Cauchy-Schwarz) gives n &gt;= 16.</t>
        </is>
      </c>
      <c r="N38" s="3" t="inlineStr">
        <is>
          <t>Two short, familiar moves (median of a symmetric list, variance non-negative gives n&gt;=16) with four options to check. Closest to 2026-P2-Q12 (L2, mean/variance data). Multi-correct multi-concept floor 2.5 applied (binomial values + statistics).</t>
        </is>
      </c>
      <c r="O38" s="3" t="inlineStr">
        <is>
          <t>2026-P2-Q12 (L2)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MCQ</t>
        </is>
      </c>
      <c r="E39" s="3" t="inlineStr">
        <is>
          <t>Complex Number</t>
        </is>
      </c>
      <c r="F39" s="2" t="n">
        <v>4</v>
      </c>
      <c r="G39" s="7" t="n">
        <v>3</v>
      </c>
      <c r="H39" s="7" t="inlineStr">
        <is>
          <t>Average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Sum zero + fifth-power sum zero =&gt; e2 = 0 =&gt; differences are z, z*omega, z*omega^2 (equilateral).</t>
        </is>
      </c>
      <c r="N39" s="3" t="inlineStr">
        <is>
          <t>Needs the e1=0 power-sum identity (or factorisation) to reach the equilateral conclusion, then four short checks including an orientation subtlety in (B). One non-trivial but practised idea, options help. Near 2021-P1-Q16 and 2023-P1-Q17 (both L3).</t>
        </is>
      </c>
      <c r="O39" s="3" t="inlineStr">
        <is>
          <t>2023-P1-Q17 (L3)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MCQ</t>
        </is>
      </c>
      <c r="E40" s="3" t="inlineStr">
        <is>
          <t>Complex Number</t>
        </is>
      </c>
      <c r="F40" s="2" t="n">
        <v>4</v>
      </c>
      <c r="G40" s="7" t="n">
        <v>3</v>
      </c>
      <c r="H40" s="7" t="inlineStr">
        <is>
          <t>Average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Rationalise f(x), eliminate x to get circle u^2+v^2=v (centre (0,1/2), r=1/2), then hexagon area.</t>
        </is>
      </c>
      <c r="N40" s="3" t="inlineStr">
        <is>
          <t>Parametric locus identification (three short steps) then a standard hexagon area; one decisive idea, familiar to well-prepared students. Closest to 2021-P1-Q16 (L3, locus of z given condition).</t>
        </is>
      </c>
      <c r="O40" s="3" t="inlineStr">
        <is>
          <t>2021-P1-Q16 (L3)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MCQ</t>
        </is>
      </c>
      <c r="E41" s="3" t="inlineStr">
        <is>
          <t>Probability</t>
        </is>
      </c>
      <c r="F41" s="2" t="n">
        <v>4</v>
      </c>
      <c r="G41" s="4" t="n">
        <v>2</v>
      </c>
      <c r="H41" s="4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Count favourable selections for exactly 5 alike (6C5 x 4 x 3) and 6 alike; A5 and A6 are exclusive.</t>
        </is>
      </c>
      <c r="N41" s="3" t="inlineStr">
        <is>
          <t>Routine binomial counting and one observation of exclusivity; options to check. Closest to 2026-P1-Q5 (L2, MCQ on probabilities/conditional).</t>
        </is>
      </c>
      <c r="O41" s="3" t="inlineStr">
        <is>
          <t>2026-P1-Q5 (L2)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MCQ</t>
        </is>
      </c>
      <c r="E42" s="3" t="inlineStr">
        <is>
          <t>Probability</t>
        </is>
      </c>
      <c r="F42" s="2" t="n">
        <v>4</v>
      </c>
      <c r="G42" s="4" t="n">
        <v>2</v>
      </c>
      <c r="H42" s="4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Treat each coin independently: eaten with probability 3/4, then binomial with n=4.</t>
        </is>
      </c>
      <c r="N42" s="3" t="inlineStr">
        <is>
          <t>One simplifying idea (collapse two rounds into one independent trial) then a short binomial sum; options available. Near 2026-P1-Q5 (L2) and 2021-P2-Q17 (L1).</t>
        </is>
      </c>
      <c r="O42" s="3" t="inlineStr">
        <is>
          <t>2026-P1-Q5 (L2)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MCQ</t>
        </is>
      </c>
      <c r="E43" s="3" t="inlineStr">
        <is>
          <t>Complex Number</t>
        </is>
      </c>
      <c r="F43" s="2" t="n">
        <v>4</v>
      </c>
      <c r="G43" s="7" t="n">
        <v>3</v>
      </c>
      <c r="H43" s="7" t="inlineStr">
        <is>
          <t>Average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Use z z-bar = 1 to show w = -w-bar (purely imaginary, whole y-axis); then identify each option as a locus.</t>
        </is>
      </c>
      <c r="N43" s="3" t="inlineStr">
        <is>
          <t>Single standard trick on the unit circle, followed by four locus identifications; (D) degenerate-hyperbola trap requires care and equivalence to the whole axis must be checked. Near 2021-P1-Q16 (L3).</t>
        </is>
      </c>
      <c r="O43" s="3" t="inlineStr">
        <is>
          <t>2021-P1-Q16 (L3)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MCQ</t>
        </is>
      </c>
      <c r="E44" s="3" t="inlineStr">
        <is>
          <t>Complex Number</t>
        </is>
      </c>
      <c r="F44" s="2" t="n">
        <v>4</v>
      </c>
      <c r="G44" s="4" t="n">
        <v>2</v>
      </c>
      <c r="H44" s="4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Equal-length vectors u,v,w with u+v+w=0 force uv+vw+wu=0, which gives (A),(B),(C); angle B gives (D).</t>
        </is>
      </c>
      <c r="N44" s="3" t="inlineStr">
        <is>
          <t>Standard equilateral-triangle conditions chained over four statements, no single hard idea. Level 2 (routine multi-step); no equivalence/multi floor needed. Nearest 2025-P1-Q7 (L1) is simpler; this has four checks.</t>
        </is>
      </c>
      <c r="O44" s="3" t="inlineStr">
        <is>
          <t>2025-P1-Q7 (L1)</t>
        </is>
      </c>
      <c r="P44" s="2" t="inlineStr">
        <is>
          <t>Medium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MCQ</t>
        </is>
      </c>
      <c r="E45" s="3" t="inlineStr">
        <is>
          <t>Complex Number</t>
        </is>
      </c>
      <c r="F45" s="2" t="n">
        <v>4</v>
      </c>
      <c r="G45" s="7" t="n">
        <v>3</v>
      </c>
      <c r="H45" s="7" t="inlineStr">
        <is>
          <t>Average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Roots are 2w, 2w^2 so z/2 is a cube root of unity and terms repeat 1,1,4 with period 3.</t>
        </is>
      </c>
      <c r="N45" s="3" t="inlineStr">
        <is>
          <t>Short chain: roots as 2*omega, periodicity of the terms, sum of 30 terms, plus modulus/argument checks; options help decide S&gt;50. Slightly above routine because period-3 pattern must be spotted. Near 2025-P2-Q13 (L4, omega-power sum numerical) but easier as MCQ.</t>
        </is>
      </c>
      <c r="O45" s="3" t="inlineStr">
        <is>
          <t>2023-P1-Q17 (L3)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MCQ</t>
        </is>
      </c>
      <c r="E46" s="3" t="inlineStr">
        <is>
          <t>Complex Number</t>
        </is>
      </c>
      <c r="F46" s="2" t="n">
        <v>4</v>
      </c>
      <c r="G46" s="4" t="n">
        <v>2</v>
      </c>
      <c r="H46" s="4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Write z' = z e^{i alpha}, z'' = z e^{-i alpha} and check each statement directly.</t>
        </is>
      </c>
      <c r="N46" s="3" t="inlineStr">
        <is>
          <t>Single familiar rotation fact, four one-line verifications; near-routine but several steps. Nearest 2025-P1-Q7 (L1) is a single move; four statements push to Level 2.</t>
        </is>
      </c>
      <c r="O46" s="3" t="inlineStr">
        <is>
          <t>2025-P1-Q7 (L1)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MCQ</t>
        </is>
      </c>
      <c r="E47" s="3" t="inlineStr">
        <is>
          <t>Probability</t>
        </is>
      </c>
      <c r="F47" s="2" t="n">
        <v>4</v>
      </c>
      <c r="G47" s="4" t="n">
        <v>2</v>
      </c>
      <c r="H47" s="4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Symmetry between first n coins of Ram and Shyam; Ram's last coin decides ties (or heads/tails swap).</t>
        </is>
      </c>
      <c r="N47" s="3" t="inlineStr">
        <is>
          <t>Classic symmetry result; once seen it is two lines. Statements C, D follow from A. Option-based, familiar to prepared students. Near 2023-P2-Q2 (L3) as probability reasoning, but simpler; rated 2.</t>
        </is>
      </c>
      <c r="O47" s="3" t="inlineStr">
        <is>
          <t>2026-P1-Q5 (L2)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MCQ</t>
        </is>
      </c>
      <c r="E48" s="3" t="inlineStr">
        <is>
          <t>Probability</t>
        </is>
      </c>
      <c r="F48" s="2" t="n">
        <v>4</v>
      </c>
      <c r="G48" s="4" t="n">
        <v>2</v>
      </c>
      <c r="H48" s="4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Write P(n) as a telescoping product 1/(n(n+1)) and solve n(n+1)&gt;2010.</t>
        </is>
      </c>
      <c r="N48" s="3" t="inlineStr">
        <is>
          <t>Single concept, one telescoping product then a quadratic inequality; routine chain with no insight; four options to check. Nearest anchor 2023-P2-Q2 (stopping rule) was L3 but that needed a recursion; this is simpler.</t>
        </is>
      </c>
      <c r="O48" s="3" t="inlineStr">
        <is>
          <t>2023-P2-Q2 (L3)</t>
        </is>
      </c>
      <c r="P48" s="2" t="inlineStr">
        <is>
          <t>Medium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MCQ</t>
        </is>
      </c>
      <c r="E49" s="3" t="inlineStr">
        <is>
          <t>Probability</t>
        </is>
      </c>
      <c r="F49" s="2" t="n">
        <v>4</v>
      </c>
      <c r="G49" s="7" t="n">
        <v>3</v>
      </c>
      <c r="H49" s="7" t="inlineStr">
        <is>
          <t>Average Advanced</t>
        </is>
      </c>
      <c r="I49" s="5" t="n">
        <v>0</v>
      </c>
      <c r="J49" s="5" t="n">
        <v>2.5</v>
      </c>
      <c r="K49" s="5">
        <f>MIN(5,MAX(G49+I49,J49))</f>
        <v/>
      </c>
      <c r="L49" s="5">
        <f>F49*K49</f>
        <v/>
      </c>
      <c r="M49" s="3" t="inlineStr">
        <is>
          <t>Reduce the posterior to 4^m : 2^m 3^(m-10) : 7^(m-10) and compare growth rates for the limits.</t>
        </is>
      </c>
      <c r="N49" s="3" t="inlineStr">
        <is>
          <t>Bayes plus binomial likelihood is a familiar Advanced setup (anchors rated 3); four statements each needing a check, and the limits add a second concept, so multi-concept floor 2.5 does not bind above the raw 3.</t>
        </is>
      </c>
      <c r="O49" s="3" t="inlineStr">
        <is>
          <t>2024-P1-Q2 (L3)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MCQ</t>
        </is>
      </c>
      <c r="E50" s="3" t="inlineStr">
        <is>
          <t>Probability</t>
        </is>
      </c>
      <c r="F50" s="2" t="n">
        <v>4</v>
      </c>
      <c r="G50" s="7" t="n">
        <v>3</v>
      </c>
      <c r="H50" s="7" t="inlineStr">
        <is>
          <t>Average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Recognise that the referee seeing plus corresponds to an even/odd number of sign changes and apply Bayes.</t>
        </is>
      </c>
      <c r="N50" s="3" t="inlineStr">
        <is>
          <t>Bayes with a three-stage chain and four statements to compare; anchors for Bayes (2024-P1-Q2, 2025-P2-Q11) are L3; options let the student check, so not 4.</t>
        </is>
      </c>
      <c r="O50" s="3" t="inlineStr">
        <is>
          <t>2024-P1-Q2 (L3)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Para SCQ</t>
        </is>
      </c>
      <c r="E51" s="3" t="inlineStr">
        <is>
          <t>Complex Number</t>
        </is>
      </c>
      <c r="F51" s="2" t="n">
        <v>3</v>
      </c>
      <c r="G51" s="4" t="n">
        <v>2</v>
      </c>
      <c r="H51" s="4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Find the real root, then use the vertical side z1z2 and the horizontal distance to z3.</t>
        </is>
      </c>
      <c r="N51" s="3" t="inlineStr">
        <is>
          <t>Factorisation of a cubic and a base-height area; several routine steps, no insight, with options. Two chapters (equations, complex geometry) but all routine.</t>
        </is>
      </c>
      <c r="O51" s="3" t="inlineStr">
        <is>
          <t>2026-P2-Q1 (L2)</t>
        </is>
      </c>
      <c r="P51" s="2" t="inlineStr">
        <is>
          <t>Medium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Para SCQ</t>
        </is>
      </c>
      <c r="E52" s="3" t="inlineStr">
        <is>
          <t>Complex Number</t>
        </is>
      </c>
      <c r="F52" s="2" t="n">
        <v>3</v>
      </c>
      <c r="G52" s="7" t="n">
        <v>3</v>
      </c>
      <c r="H52" s="7" t="inlineStr">
        <is>
          <t>Average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Place the hexagon with centre at the origin so that alpha, beta, gamma become the cube roots of 8.</t>
        </is>
      </c>
      <c r="N52" s="3" t="inlineStr">
        <is>
          <t>Needs a geometric decoding of the hexagon (centre O, radius 2) and then a Vieta/expansion; two chapters, but standard patterns; options available. Similar in spirit to 2026-P1-Q13 (L3).</t>
        </is>
      </c>
      <c r="O52" s="3" t="inlineStr">
        <is>
          <t>2026-P1-Q13 (L3)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Para SCQ</t>
        </is>
      </c>
      <c r="E53" s="3" t="inlineStr">
        <is>
          <t>Binomial Theorem</t>
        </is>
      </c>
      <c r="F53" s="2" t="n">
        <v>3</v>
      </c>
      <c r="G53" s="8" t="n">
        <v>4</v>
      </c>
      <c r="H53" s="8" t="inlineStr">
        <is>
          <t>Slightly difficult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Spot that the summand is a difference V(r)-V(r-1) of ratios of binomial coefficients, then evaluate Q by Vandermonde.</t>
        </is>
      </c>
      <c r="N53" s="3" t="inlineStr">
        <is>
          <t>The telescoping is non-routine (idea not met in standard practice) and algebra heavy; needs two binomial results. Comparable to the telescoping-product anchor 2026-P1-Q12 (L4).</t>
        </is>
      </c>
      <c r="O53" s="3" t="inlineStr">
        <is>
          <t>2026-P1-Q12 (L4)</t>
        </is>
      </c>
      <c r="P53" s="2" t="inlineStr">
        <is>
          <t>Medium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Para SCQ</t>
        </is>
      </c>
      <c r="E54" s="3" t="inlineStr">
        <is>
          <t>Binomial Theorem</t>
        </is>
      </c>
      <c r="F54" s="2" t="n">
        <v>3</v>
      </c>
      <c r="G54" s="8" t="n">
        <v>4</v>
      </c>
      <c r="H54" s="8" t="inlineStr">
        <is>
          <t>Slightly difficult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Telescoping gives P; the alternating sum of squares of C(100,r) equals C(100,50) because 100/2 is even.</t>
        </is>
      </c>
      <c r="N54" s="3" t="inlineStr">
        <is>
          <t>Needs both the telescoping idea (non-routine) and the alternating-squares identity (known but easy to get the sign wrong); each paragraph part rated separately and high. Anchor 2026-P1-Q12 (L4).</t>
        </is>
      </c>
      <c r="O54" s="3" t="inlineStr">
        <is>
          <t>2026-P1-Q12 (L4)</t>
        </is>
      </c>
      <c r="P54" s="2" t="inlineStr">
        <is>
          <t>Medium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Para SCQ</t>
        </is>
      </c>
      <c r="E55" s="3" t="inlineStr">
        <is>
          <t>Binomial Theorem</t>
        </is>
      </c>
      <c r="F55" s="2" t="n">
        <v>3</v>
      </c>
      <c r="G55" s="8" t="n">
        <v>4</v>
      </c>
      <c r="H55" s="8" t="inlineStr">
        <is>
          <t>Slightly difficult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Combine P=C(100,50)-1 with Q=R=C(100,50) to get Q+R=2P+2.</t>
        </is>
      </c>
      <c r="N55" s="3" t="inlineStr">
        <is>
          <t>Same heavy machinery as Q52/Q53 (telescoping plus two binomial identities) and the final combination is short; rated 4 like its siblings.</t>
        </is>
      </c>
      <c r="O55" s="3" t="inlineStr">
        <is>
          <t>2026-P1-Q12 (L4)</t>
        </is>
      </c>
      <c r="P55" s="2" t="inlineStr">
        <is>
          <t>Medium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Para SCQ</t>
        </is>
      </c>
      <c r="E56" s="3" t="inlineStr">
        <is>
          <t>Complex Number</t>
        </is>
      </c>
      <c r="F56" s="2" t="n">
        <v>3</v>
      </c>
      <c r="G56" s="4" t="n">
        <v>2</v>
      </c>
      <c r="H56" s="4" t="inlineStr">
        <is>
          <t>Easier than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Convert 'part in the second quadrant' to c-1&lt;=0 for the disc centre (c,1), then solve a quadratic inequality.</t>
        </is>
      </c>
      <c r="N56" s="3" t="inlineStr">
        <is>
          <t>Locus reading plus a quadratic inequality; routine chain. The paragraph itself is missing in the PDF and was reconstructed (low confidence in the exact wording).</t>
        </is>
      </c>
      <c r="O56" s="3" t="inlineStr">
        <is>
          <t>2025-P1-Q7 (L1)</t>
        </is>
      </c>
      <c r="P56" s="2" t="inlineStr">
        <is>
          <t>Low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Para SCQ</t>
        </is>
      </c>
      <c r="E57" s="3" t="inlineStr">
        <is>
          <t>Complex Number</t>
        </is>
      </c>
      <c r="F57" s="2" t="n">
        <v>3</v>
      </c>
      <c r="G57" s="7" t="n">
        <v>3</v>
      </c>
      <c r="H57" s="7" t="inlineStr">
        <is>
          <t>Average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Max |z-i| over the family of discs is the distance from i to the farthest disc point, using the minimum -5/4 of the quadratic.</t>
        </is>
      </c>
      <c r="N57" s="3" t="inlineStr">
        <is>
          <t>Two ideas linked (minimum of a quadratic and farthest point of a disc) built on the Q55 reading; reconstructed paragraph, so low confidence.</t>
        </is>
      </c>
      <c r="O57" s="3" t="inlineStr">
        <is>
          <t>2021-P1-Q16 (L3)</t>
        </is>
      </c>
      <c r="P57" s="2" t="inlineStr">
        <is>
          <t>Low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Para SCQ</t>
        </is>
      </c>
      <c r="E58" s="3" t="inlineStr">
        <is>
          <t>Complex Number</t>
        </is>
      </c>
      <c r="F58" s="2" t="n">
        <v>3</v>
      </c>
      <c r="G58" s="7" t="n">
        <v>3</v>
      </c>
      <c r="H58" s="7" t="inlineStr">
        <is>
          <t>Average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Identify the extremal point -9/4+i and compute its argument (reference angle is arctan of Im/|Re| = 4/9).</t>
        </is>
      </c>
      <c r="N58" s="3" t="inlineStr">
        <is>
          <t>Linked to Q56 (needs the same disc setup), then a short argument computation; the printed key reads the ratio upside down. Reconstructed paragraph, so low confidence.</t>
        </is>
      </c>
      <c r="O58" s="3" t="inlineStr">
        <is>
          <t>2021-P1-Q16 (L3)</t>
        </is>
      </c>
      <c r="P58" s="2" t="inlineStr">
        <is>
          <t>Low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Para SCQ</t>
        </is>
      </c>
      <c r="E59" s="3" t="inlineStr">
        <is>
          <t>Probability</t>
        </is>
      </c>
      <c r="F59" s="2" t="n">
        <v>3</v>
      </c>
      <c r="G59" s="7" t="n">
        <v>3</v>
      </c>
      <c r="H59" s="7" t="inlineStr">
        <is>
          <t>Average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Guess probability 1/15 for multi-answer and the unique split 3+3+3+1, then choose questions out of 20</t>
        </is>
      </c>
      <c r="N59" s="3" t="inlineStr">
        <is>
          <t>Two ideas linked (non-obvious 1/15 guess probability, hypergeometric choice of questions) with a 'none of these' option; close to Bayes quiz question 2024-P1-Q2 (L3).</t>
        </is>
      </c>
      <c r="O59" s="3" t="inlineStr">
        <is>
          <t>2024-P1-Q2 (L3)</t>
        </is>
      </c>
      <c r="P59" s="2" t="inlineStr">
        <is>
          <t>Medium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Para SCQ</t>
        </is>
      </c>
      <c r="E60" s="3" t="inlineStr">
        <is>
          <t>Probability</t>
        </is>
      </c>
      <c r="F60" s="2" t="n">
        <v>3</v>
      </c>
      <c r="G60" s="4" t="n">
        <v>2</v>
      </c>
      <c r="H60" s="4" t="inlineStr">
        <is>
          <t>Easier than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Each element has 4 placements (disjoint), 3 when union is S</t>
        </is>
      </c>
      <c r="N60" s="3" t="inlineStr">
        <is>
          <t>One familiar membership-vector count, short; near routine counting anchor 2021-P2-Q1 (L2).</t>
        </is>
      </c>
      <c r="O60" s="3" t="inlineStr">
        <is>
          <t>2021-P2-Q1 (L2)</t>
        </is>
      </c>
      <c r="P60" s="2" t="inlineStr">
        <is>
          <t>High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Para SCQ</t>
        </is>
      </c>
      <c r="E61" s="3" t="inlineStr">
        <is>
          <t>Probability</t>
        </is>
      </c>
      <c r="F61" s="2" t="n">
        <v>3</v>
      </c>
      <c r="G61" s="7" t="n">
        <v>3</v>
      </c>
      <c r="H61" s="7" t="inlineStr">
        <is>
          <t>Average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Common element fixed, others have 7 patterns; B of size 1 means others avoid B (4 patterns)</t>
        </is>
      </c>
      <c r="N61" s="3" t="inlineStr">
        <is>
          <t>Two-stage conditional counting with an interpretation trap on 'B exactly 1 element'; slightly above routine paragraph counting 2021-P2-Q1 (L2), near 2024-P1-Q2 (L3).</t>
        </is>
      </c>
      <c r="O61" s="3" t="inlineStr">
        <is>
          <t>2024-P1-Q2 (L3)</t>
        </is>
      </c>
      <c r="P61" s="2" t="inlineStr">
        <is>
          <t>Medium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Para SCQ</t>
        </is>
      </c>
      <c r="E62" s="3" t="inlineStr">
        <is>
          <t>Probability</t>
        </is>
      </c>
      <c r="F62" s="2" t="n">
        <v>3</v>
      </c>
      <c r="G62" s="4" t="n">
        <v>2</v>
      </c>
      <c r="H62" s="4" t="inlineStr">
        <is>
          <t>Easier than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7 patterns per element; A=B leaves 3 patterns</t>
        </is>
      </c>
      <c r="N62" s="3" t="inlineStr">
        <is>
          <t>Same method as Q59 once established, one short pattern count; routine like 2021-P2-Q1 (L2).</t>
        </is>
      </c>
      <c r="O62" s="3" t="inlineStr">
        <is>
          <t>2021-P2-Q1 (L2)</t>
        </is>
      </c>
      <c r="P62" s="2" t="inlineStr">
        <is>
          <t>Medium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Numerical</t>
        </is>
      </c>
      <c r="E63" s="3" t="inlineStr">
        <is>
          <t>Complex Number</t>
        </is>
      </c>
      <c r="F63" s="2" t="n">
        <v>4</v>
      </c>
      <c r="G63" s="6" t="n">
        <v>1</v>
      </c>
      <c r="H63" s="6" t="inlineStr">
        <is>
          <t>JEE Main level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Read each arg equation as a ray from a vertex, giving a unit square</t>
        </is>
      </c>
      <c r="N63" s="3" t="inlineStr">
        <is>
          <t>One familiar move (rays form a unit square); no computation; compare 2025-P1-Q7 (L1).</t>
        </is>
      </c>
      <c r="O63" s="3" t="inlineStr">
        <is>
          <t>2025-P1-Q7 (L1)</t>
        </is>
      </c>
      <c r="P63" s="2" t="inlineStr">
        <is>
          <t>High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Numerical</t>
        </is>
      </c>
      <c r="E64" s="3" t="inlineStr">
        <is>
          <t>Complex Number</t>
        </is>
      </c>
      <c r="F64" s="2" t="n">
        <v>4</v>
      </c>
      <c r="G64" s="7" t="n">
        <v>3</v>
      </c>
      <c r="H64" s="7" t="inlineStr">
        <is>
          <t>Average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Purely imaginary sum gives Re z2 = -Re z1; solve 12x^4-4x^2-1=0 (or shift to midpoint)</t>
        </is>
      </c>
      <c r="N64" s="3" t="inlineStr">
        <is>
          <t>Algebraic chain of three stages (product from sum and sum of squares, real/imag split, biquadratic) with a clean trick; like 2023-P1-Q17 (L3).</t>
        </is>
      </c>
      <c r="O64" s="3" t="inlineStr">
        <is>
          <t>2023-P1-Q17 (L3)</t>
        </is>
      </c>
      <c r="P64" s="2" t="inlineStr">
        <is>
          <t>Medium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Numerical</t>
        </is>
      </c>
      <c r="E65" s="3" t="inlineStr">
        <is>
          <t>Complex Number</t>
        </is>
      </c>
      <c r="F65" s="2" t="n">
        <v>4</v>
      </c>
      <c r="G65" s="4" t="n">
        <v>2</v>
      </c>
      <c r="H65" s="4" t="inlineStr">
        <is>
          <t>Easier than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|z|^2/z = conj z turns the expression into 24 |conj(2z1+3z2+4z3)|</t>
        </is>
      </c>
      <c r="N65" s="3" t="inlineStr">
        <is>
          <t>Section formula then the standard z conj z trick, familiar to prepared students; routine chain, nearest 2025-P2-Q13 style complex numerics but easier; 2023-P1-Q11 (L3) is harder.</t>
        </is>
      </c>
      <c r="O65" s="3" t="inlineStr">
        <is>
          <t>2023-P1-Q11 (L3)</t>
        </is>
      </c>
      <c r="P65" s="2" t="inlineStr">
        <is>
          <t>Medium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Numerical</t>
        </is>
      </c>
      <c r="E66" s="3" t="inlineStr">
        <is>
          <t>Permutation &amp; Combination</t>
        </is>
      </c>
      <c r="F66" s="2" t="n">
        <v>4</v>
      </c>
      <c r="G66" s="7" t="n">
        <v>3</v>
      </c>
      <c r="H66" s="7" t="inlineStr">
        <is>
          <t>Average Advanced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Simon's factoring (n-2010)(m-2010)=2010*2009, rule out negative pair, count divisors</t>
        </is>
      </c>
      <c r="N66" s="3" t="inlineStr">
        <is>
          <t>Familiar SFFT trick but large numbers, factorisation and sign argument with no options; below 2026-P2-Q6 (L4) factoring question.</t>
        </is>
      </c>
      <c r="O66" s="3" t="inlineStr">
        <is>
          <t>2026-P2-Q6 (L4)</t>
        </is>
      </c>
      <c r="P66" s="2" t="inlineStr">
        <is>
          <t>Medium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Numerical</t>
        </is>
      </c>
      <c r="E67" s="3" t="inlineStr">
        <is>
          <t>Permutation &amp; Combination</t>
        </is>
      </c>
      <c r="F67" s="2" t="n">
        <v>4</v>
      </c>
      <c r="G67" s="4" t="n">
        <v>2</v>
      </c>
      <c r="H67" s="4" t="inlineStr">
        <is>
          <t>Easier than Advanced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Hand = multiset of 4 values from 13 (stars and bars or 4-case count)</t>
        </is>
      </c>
      <c r="N67" s="3" t="inlineStr">
        <is>
          <t>Short casework or one stars-and-bars formula; routine counting; nearest 2021-P2-Q1 (L2).</t>
        </is>
      </c>
      <c r="O67" s="3" t="inlineStr">
        <is>
          <t>2021-P2-Q1 (L2)</t>
        </is>
      </c>
      <c r="P67" s="2" t="inlineStr">
        <is>
          <t>High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Numerical</t>
        </is>
      </c>
      <c r="E68" s="3" t="inlineStr">
        <is>
          <t>Sequence &amp; Progression</t>
        </is>
      </c>
      <c r="F68" s="2" t="n">
        <v>4</v>
      </c>
      <c r="G68" s="7" t="n">
        <v>3</v>
      </c>
      <c r="H68" s="7" t="inlineStr">
        <is>
          <t>Average Advanced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r^2+r-1=r(r+1)-1 splits the term as T_{r+1}-T_r with T_r=(r-1)! r!</t>
        </is>
      </c>
      <c r="N68" s="3" t="inlineStr">
        <is>
          <t>Telescoping with factorials where the split must be found; easier than 2025-P2-Q15 (L4) because the structure is hinted by the right side 9!10!-1.</t>
        </is>
      </c>
      <c r="O68" s="3" t="inlineStr">
        <is>
          <t>2025-P2-Q15 (L4)</t>
        </is>
      </c>
      <c r="P68" s="2" t="inlineStr">
        <is>
          <t>Medium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Numerical</t>
        </is>
      </c>
      <c r="E69" s="3" t="inlineStr">
        <is>
          <t>Probability</t>
        </is>
      </c>
      <c r="F69" s="2" t="n">
        <v>4</v>
      </c>
      <c r="G69" s="4" t="n">
        <v>2</v>
      </c>
      <c r="H69" s="4" t="inlineStr">
        <is>
          <t>Easier than Advanced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Counting ordered triples of faces with product at most 6, then summing</t>
        </is>
      </c>
      <c r="N69" s="3" t="inlineStr">
        <is>
          <t>Six small cases of routine casework (25 triples) with no options to check; no insight needed, but a numerical format leaves a slip risk. Chained routine steps, so 2 not 1.</t>
        </is>
      </c>
      <c r="O69" s="3" t="inlineStr">
        <is>
          <t>2021-P2-Q1 (L2)</t>
        </is>
      </c>
      <c r="P69" s="2" t="inlineStr">
        <is>
          <t>Medium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Numerical</t>
        </is>
      </c>
      <c r="E70" s="3" t="inlineStr">
        <is>
          <t>Statistics</t>
        </is>
      </c>
      <c r="F70" s="2" t="n">
        <v>4</v>
      </c>
      <c r="G70" s="6" t="n">
        <v>1</v>
      </c>
      <c r="H70" s="6" t="inlineStr">
        <is>
          <t>JEE Main level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Shift of two observations by one class width changes the sum by 20</t>
        </is>
      </c>
      <c r="N70" s="3" t="inlineStr">
        <is>
          <t>One familiar move (sum changes by class-mark difference); the variance is a distractor. Easier than the nearest anchor, which needs two unknowns recovered.</t>
        </is>
      </c>
      <c r="O70" s="3" t="inlineStr">
        <is>
          <t>2026-P2-Q12 (L2)</t>
        </is>
      </c>
      <c r="P70" s="2" t="inlineStr">
        <is>
          <t>Medium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Numerical</t>
        </is>
      </c>
      <c r="E71" s="3" t="inlineStr">
        <is>
          <t>Sequence &amp; Series / Statistics</t>
        </is>
      </c>
      <c r="F71" s="2" t="n">
        <v>4</v>
      </c>
      <c r="G71" s="7" t="n">
        <v>3</v>
      </c>
      <c r="H71" s="7" t="inlineStr">
        <is>
          <t>Average Advanced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Expand the square and sum the arithmetico-geometric cross term exactly enough to floor</t>
        </is>
      </c>
      <c r="N71" s="3" t="inlineStr">
        <is>
          <t>Two chapters; the cross term needs the arithmetico-geometric sum, and the sign of the ratio is a trap. Numerical answer, long exact arithmetic, but each stage is routine. Level 3 beside 2026-P2-Q11.</t>
        </is>
      </c>
      <c r="O71" s="3" t="inlineStr">
        <is>
          <t>2026-P2-Q11 (L3)</t>
        </is>
      </c>
      <c r="P71" s="2" t="inlineStr">
        <is>
          <t>Medium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Numerical</t>
        </is>
      </c>
      <c r="E72" s="3" t="inlineStr">
        <is>
          <t>Complex Number</t>
        </is>
      </c>
      <c r="F72" s="2" t="n">
        <v>4</v>
      </c>
      <c r="G72" s="7" t="n">
        <v>3</v>
      </c>
      <c r="H72" s="7" t="inlineStr">
        <is>
          <t>Average Advanced</t>
        </is>
      </c>
      <c r="I72" s="5" t="n">
        <v>0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Real coefficients give a conjugate pair, fixing which root is real and a=4</t>
        </is>
      </c>
      <c r="N72" s="3" t="inlineStr">
        <is>
          <t>Conjugate-root idea plus identifying the real root and a factorisation; the stem as printed is inconsistent (|a+b+c| vs |P(1)|). Two linked ideas, numerical: Level 3, level with 2023-P1-Q11.</t>
        </is>
      </c>
      <c r="O72" s="3" t="inlineStr">
        <is>
          <t>2023-P1-Q11 (L3)</t>
        </is>
      </c>
      <c r="P72" s="2" t="inlineStr">
        <is>
          <t>Medium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Numerical</t>
        </is>
      </c>
      <c r="E73" s="3" t="inlineStr">
        <is>
          <t>Complex Number</t>
        </is>
      </c>
      <c r="F73" s="2" t="n">
        <v>4</v>
      </c>
      <c r="G73" s="7" t="n">
        <v>3</v>
      </c>
      <c r="H73" s="7" t="inlineStr">
        <is>
          <t>Average Advanced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Rays (not lines): tangency needs foot of perpendicular on the ray; both signs of alpha</t>
        </is>
      </c>
      <c r="N73" s="3" t="inlineStr">
        <is>
          <t>Argument curves are rays, so tangency must be checked on the ray, and the symmetric second value is easy to miss; two ideas, numerical, no options. Same band as 2021-P1-Q16.</t>
        </is>
      </c>
      <c r="O73" s="3" t="inlineStr">
        <is>
          <t>2021-P1-Q16 (L3)</t>
        </is>
      </c>
      <c r="P73" s="2" t="inlineStr">
        <is>
          <t>Medium</t>
        </is>
      </c>
    </row>
    <row r="74">
      <c r="A74" s="2" t="n">
        <v>73</v>
      </c>
      <c r="B74" s="2" t="inlineStr"/>
      <c r="C74" s="2" t="inlineStr">
        <is>
          <t>Q73</t>
        </is>
      </c>
      <c r="D74" s="2" t="inlineStr">
        <is>
          <t>Numerical</t>
        </is>
      </c>
      <c r="E74" s="3" t="inlineStr">
        <is>
          <t>Complex Number</t>
        </is>
      </c>
      <c r="F74" s="2" t="n">
        <v>4</v>
      </c>
      <c r="G74" s="4" t="n">
        <v>2</v>
      </c>
      <c r="H74" s="4" t="inlineStr">
        <is>
          <t>Easier than Advanced</t>
        </is>
      </c>
      <c r="I74" s="5" t="n">
        <v>0</v>
      </c>
      <c r="J74" s="5" t="n">
        <v>0</v>
      </c>
      <c r="K74" s="5">
        <f>MIN(5,MAX(G74+I74,J74))</f>
        <v/>
      </c>
      <c r="L74" s="5">
        <f>F74*K74</f>
        <v/>
      </c>
      <c r="M74" s="3" t="inlineStr">
        <is>
          <t>Translate modulus conditions to parabola and circle, then tangents meeting the axis</t>
        </is>
      </c>
      <c r="N74" s="3" t="inlineStr">
        <is>
          <t>Routine chain: loci to conics, intersection, two tangents, one area; no insight needed. Same band as 2026-P2-Q2 (parabola tangent chain, L2).</t>
        </is>
      </c>
      <c r="O74" s="3" t="inlineStr">
        <is>
          <t>2026-P2-Q2 (L2)</t>
        </is>
      </c>
      <c r="P74" s="2" t="inlineStr">
        <is>
          <t>Medium</t>
        </is>
      </c>
    </row>
    <row r="75">
      <c r="A75" s="2" t="n">
        <v>74</v>
      </c>
      <c r="B75" s="2" t="inlineStr"/>
      <c r="C75" s="2" t="inlineStr">
        <is>
          <t>Q74</t>
        </is>
      </c>
      <c r="D75" s="2" t="inlineStr">
        <is>
          <t>Numerical</t>
        </is>
      </c>
      <c r="E75" s="3" t="inlineStr">
        <is>
          <t>Probability / Matrices</t>
        </is>
      </c>
      <c r="F75" s="2" t="n">
        <v>4</v>
      </c>
      <c r="G75" s="7" t="n">
        <v>3</v>
      </c>
      <c r="H75" s="7" t="inlineStr">
        <is>
          <t>Average Advanced</t>
        </is>
      </c>
      <c r="I75" s="5" t="n">
        <v>0</v>
      </c>
      <c r="J75" s="5" t="n">
        <v>0</v>
      </c>
      <c r="K75" s="5">
        <f>MIN(5,MAX(G75+I75,J75))</f>
        <v/>
      </c>
      <c r="L75" s="5">
        <f>F75*K75</f>
        <v/>
      </c>
      <c r="M75" s="3" t="inlineStr">
        <is>
          <t>Symmetry for P(W&gt;L); adj A=-A means trace 0, then count a^2+bc=1</t>
        </is>
      </c>
      <c r="N75" s="3" t="inlineStr">
        <is>
          <t>Two chapters, three stages (multinomial tie count, matrix condition, count), each routine; numerical, no options and slip risk. Printed key is wrong, adding confusion. Level 3, with 2026-P2-Q11.</t>
        </is>
      </c>
      <c r="O75" s="3" t="inlineStr">
        <is>
          <t>2026-P2-Q11 (L3)</t>
        </is>
      </c>
      <c r="P75" s="2" t="inlineStr">
        <is>
          <t>Medium</t>
        </is>
      </c>
    </row>
    <row r="76">
      <c r="A76" s="2" t="n">
        <v>75</v>
      </c>
      <c r="B76" s="2" t="inlineStr"/>
      <c r="C76" s="2" t="inlineStr">
        <is>
          <t>Q75</t>
        </is>
      </c>
      <c r="D76" s="2" t="inlineStr">
        <is>
          <t>Numerical</t>
        </is>
      </c>
      <c r="E76" s="3" t="inlineStr">
        <is>
          <t>Permutations &amp; Combinations</t>
        </is>
      </c>
      <c r="F76" s="2" t="n">
        <v>4</v>
      </c>
      <c r="G76" s="4" t="n">
        <v>2</v>
      </c>
      <c r="H76" s="4" t="inlineStr">
        <is>
          <t>Easier than Advanced</t>
        </is>
      </c>
      <c r="I76" s="5" t="n">
        <v>0</v>
      </c>
      <c r="J76" s="5" t="n">
        <v>0</v>
      </c>
      <c r="K76" s="5">
        <f>MIN(5,MAX(G76+I76,J76))</f>
        <v/>
      </c>
      <c r="L76" s="5">
        <f>F76*K76</f>
        <v/>
      </c>
      <c r="M76" s="3" t="inlineStr">
        <is>
          <t>Cyclicity of unit digits mod 4, then pairing residue classes</t>
        </is>
      </c>
      <c r="N76" s="3" t="inlineStr">
        <is>
          <t>One familiar idea (cyclicity) plus a short residue-class pairing count; routine, no insight. Numerical format only nudges, so 2.</t>
        </is>
      </c>
      <c r="O76" s="3" t="inlineStr">
        <is>
          <t>2021-P2-Q1 (L2)</t>
        </is>
      </c>
      <c r="P76" s="2" t="inlineStr">
        <is>
          <t>Medium</t>
        </is>
      </c>
    </row>
    <row r="77">
      <c r="A77" s="2" t="n">
        <v>76</v>
      </c>
      <c r="B77" s="2" t="inlineStr"/>
      <c r="C77" s="2" t="inlineStr">
        <is>
          <t>Q76</t>
        </is>
      </c>
      <c r="D77" s="2" t="inlineStr">
        <is>
          <t>Numerical</t>
        </is>
      </c>
      <c r="E77" s="3" t="inlineStr">
        <is>
          <t>Complex Number</t>
        </is>
      </c>
      <c r="F77" s="2" t="n">
        <v>4</v>
      </c>
      <c r="G77" s="4" t="n">
        <v>2</v>
      </c>
      <c r="H77" s="4" t="inlineStr">
        <is>
          <t>Easier than Advanced</t>
        </is>
      </c>
      <c r="I77" s="5" t="n">
        <v>0</v>
      </c>
      <c r="J77" s="5" t="n">
        <v>0</v>
      </c>
      <c r="K77" s="5">
        <f>MIN(5,MAX(G77+I77,J77))</f>
        <v/>
      </c>
      <c r="L77" s="5">
        <f>F77*K77</f>
        <v/>
      </c>
      <c r="M77" s="3" t="inlineStr">
        <is>
          <t>Rewrite sinθ+i cosθ in cis form and use De Moivre; n ≡ 1 (mod 4)</t>
        </is>
      </c>
      <c r="N77" s="3" t="inlineStr">
        <is>
          <t>Short, standard De Moivre rewriting with one congruence step; no insight beyond the usual shift by pi/2. Slightly above the single-formula level 1 anchor.</t>
        </is>
      </c>
      <c r="O77" s="3" t="inlineStr">
        <is>
          <t>2025-P1-Q7 (L1)</t>
        </is>
      </c>
      <c r="P77" s="2" t="inlineStr">
        <is>
          <t>Medium</t>
        </is>
      </c>
    </row>
    <row r="78">
      <c r="A78" s="2" t="n">
        <v>77</v>
      </c>
      <c r="B78" s="2" t="inlineStr"/>
      <c r="C78" s="2" t="inlineStr">
        <is>
          <t>Q77</t>
        </is>
      </c>
      <c r="D78" s="2" t="inlineStr">
        <is>
          <t>Numerical</t>
        </is>
      </c>
      <c r="E78" s="3" t="inlineStr">
        <is>
          <t>Complex Number</t>
        </is>
      </c>
      <c r="F78" s="2" t="n">
        <v>4</v>
      </c>
      <c r="G78" s="4" t="n">
        <v>2</v>
      </c>
      <c r="H78" s="4" t="inlineStr">
        <is>
          <t>Easier than Advanced</t>
        </is>
      </c>
      <c r="I78" s="5" t="n">
        <v>0</v>
      </c>
      <c r="J78" s="5" t="n">
        <v>0</v>
      </c>
      <c r="K78" s="5">
        <f>MIN(5,MAX(G78+I78,J78))</f>
        <v/>
      </c>
      <c r="L78" s="5">
        <f>F78*K78</f>
        <v/>
      </c>
      <c r="M78" s="3" t="inlineStr">
        <is>
          <t>Apollonius circle, then cyclic parallelogram is a rectangle with max area 2r^2</t>
        </is>
      </c>
      <c r="N78" s="3" t="inlineStr">
        <is>
          <t>Standard Apollonius locus (L1 anchor) plus one extra move (inscribed parallelogram, maximise via diagonals); short chain, no heavy computation.</t>
        </is>
      </c>
      <c r="O78" s="3" t="inlineStr">
        <is>
          <t>2025-P1-Q7 (L1)</t>
        </is>
      </c>
      <c r="P78" s="2" t="inlineStr">
        <is>
          <t>Medium</t>
        </is>
      </c>
    </row>
    <row r="79">
      <c r="A79" s="2" t="n">
        <v>78</v>
      </c>
      <c r="B79" s="2" t="inlineStr"/>
      <c r="C79" s="2" t="inlineStr">
        <is>
          <t>Q78</t>
        </is>
      </c>
      <c r="D79" s="2" t="inlineStr">
        <is>
          <t>Numerical</t>
        </is>
      </c>
      <c r="E79" s="3" t="inlineStr">
        <is>
          <t>Probability / Inverse Trigonometric Functions</t>
        </is>
      </c>
      <c r="F79" s="2" t="n">
        <v>4</v>
      </c>
      <c r="G79" s="7" t="n">
        <v>3</v>
      </c>
      <c r="H79" s="7" t="inlineStr">
        <is>
          <t>Average Advanced</t>
        </is>
      </c>
      <c r="I79" s="5" t="n">
        <v>0</v>
      </c>
      <c r="J79" s="5" t="n">
        <v>0</v>
      </c>
      <c r="K79" s="5">
        <f>MIN(5,MAX(G79+I79,J79))</f>
        <v/>
      </c>
      <c r="L79" s="5">
        <f>F79*K79</f>
        <v/>
      </c>
      <c r="M79" s="3" t="inlineStr">
        <is>
          <t>Two-state chain gives 4/9 so m=4; then tan^-1 difference formula gives x^4=4</t>
        </is>
      </c>
      <c r="N79" s="3" t="inlineStr">
        <is>
          <t>Two chapters linked through m (the problem is only solvable if m is derived); dependent-trial casework, then a standard identity. Chain of routine stages, numerical: Level 3 like 2023-P2-Q3 (ITF) and 2023-P2-Q2 (dependent tosses).</t>
        </is>
      </c>
      <c r="O79" s="3" t="inlineStr">
        <is>
          <t>2023-P2-Q2 (L3)</t>
        </is>
      </c>
      <c r="P79" s="2" t="inlineStr">
        <is>
          <t>Medium</t>
        </is>
      </c>
    </row>
    <row r="80">
      <c r="A80" s="2" t="n">
        <v>79</v>
      </c>
      <c r="B80" s="2" t="inlineStr"/>
      <c r="C80" s="2" t="inlineStr">
        <is>
          <t>Q79</t>
        </is>
      </c>
      <c r="D80" s="2" t="inlineStr">
        <is>
          <t>Numerical</t>
        </is>
      </c>
      <c r="E80" s="3" t="inlineStr">
        <is>
          <t>Complex Number</t>
        </is>
      </c>
      <c r="F80" s="2" t="n">
        <v>4</v>
      </c>
      <c r="G80" s="6" t="n">
        <v>1</v>
      </c>
      <c r="H80" s="6" t="inlineStr">
        <is>
          <t>JEE Main level</t>
        </is>
      </c>
      <c r="I80" s="5" t="n">
        <v>0</v>
      </c>
      <c r="J80" s="5" t="n">
        <v>0</v>
      </c>
      <c r="K80" s="5">
        <f>MIN(5,MAX(G80+I80,J80))</f>
        <v/>
      </c>
      <c r="L80" s="5">
        <f>F80*K80</f>
        <v/>
      </c>
      <c r="M80" s="3" t="inlineStr">
        <is>
          <t>Probability = angle fraction because the annulus is rotation-symmetric</t>
        </is>
      </c>
      <c r="N80" s="3" t="inlineStr">
        <is>
          <t>One familiar move (area ratio of an annular sector); no casework or chain. Comparable to the other one-move numericals at Level 1.</t>
        </is>
      </c>
      <c r="O80" s="3" t="inlineStr">
        <is>
          <t>2021-P2-Q17 (L1)</t>
        </is>
      </c>
      <c r="P80" s="2" t="inlineStr">
        <is>
          <t>High</t>
        </is>
      </c>
    </row>
    <row r="81">
      <c r="A81" s="2" t="n">
        <v>80</v>
      </c>
      <c r="B81" s="2" t="inlineStr"/>
      <c r="C81" s="2" t="inlineStr">
        <is>
          <t>Q80</t>
        </is>
      </c>
      <c r="D81" s="2" t="inlineStr">
        <is>
          <t>Numerical</t>
        </is>
      </c>
      <c r="E81" s="3" t="inlineStr">
        <is>
          <t>Permutation &amp; Combination</t>
        </is>
      </c>
      <c r="F81" s="2" t="n">
        <v>4</v>
      </c>
      <c r="G81" s="7" t="n">
        <v>3</v>
      </c>
      <c r="H81" s="7" t="inlineStr">
        <is>
          <t>Average Advanced</t>
        </is>
      </c>
      <c r="I81" s="5" t="n">
        <v>0</v>
      </c>
      <c r="J81" s="5" t="n">
        <v>0</v>
      </c>
      <c r="K81" s="5">
        <f>MIN(5,MAX(G81+I81,J81))</f>
        <v/>
      </c>
      <c r="L81" s="5">
        <f>F81*K81</f>
        <v/>
      </c>
      <c r="M81" s="3" t="inlineStr">
        <is>
          <t>Glue the block, then notice ABBCABBC is double-counted (overlap correction)</t>
        </is>
      </c>
      <c r="N81" s="3" t="inlineStr">
        <is>
          <t>Single block-gluing idea is familiar, but the double-count correction is a precision trap with no options; moderately above routine, below the heavy casework of 2023-P2-Q10.</t>
        </is>
      </c>
      <c r="O81" s="3" t="inlineStr">
        <is>
          <t>2023-P2-Q10 (L4)</t>
        </is>
      </c>
      <c r="P81" s="2" t="inlineStr">
        <is>
          <t>Medium</t>
        </is>
      </c>
    </row>
    <row r="82">
      <c r="A82" s="2" t="n">
        <v>81</v>
      </c>
      <c r="B82" s="2" t="inlineStr"/>
      <c r="C82" s="2" t="inlineStr">
        <is>
          <t>Q81</t>
        </is>
      </c>
      <c r="D82" s="2" t="inlineStr">
        <is>
          <t>Numerical</t>
        </is>
      </c>
      <c r="E82" s="3" t="inlineStr">
        <is>
          <t>Binomial Theorem</t>
        </is>
      </c>
      <c r="F82" s="2" t="n">
        <v>4</v>
      </c>
      <c r="G82" s="4" t="n">
        <v>2</v>
      </c>
      <c r="H82" s="4" t="inlineStr">
        <is>
          <t>Easier than Advanced</t>
        </is>
      </c>
      <c r="I82" s="5" t="n">
        <v>0</v>
      </c>
      <c r="J82" s="5" t="n">
        <v>0</v>
      </c>
      <c r="K82" s="5">
        <f>MIN(5,MAX(G82+I82,J82))</f>
        <v/>
      </c>
      <c r="L82" s="5">
        <f>F82*K82</f>
        <v/>
      </c>
      <c r="M82" s="3" t="inlineStr">
        <is>
          <t>Binomial lower bound 2 plus the bound $&lt;e&lt;3$ for the upper side</t>
        </is>
      </c>
      <c r="N82" s="3" t="inlineStr">
        <is>
          <t>Routine chain of two standard bounds on $(1+1/n)^n$; no insight beyond a known fact; answer-type numerical. Level 2 (more than a one-move question).</t>
        </is>
      </c>
      <c r="O82" s="3" t="inlineStr">
        <is>
          <t>2023-P1-Q13 (L1)</t>
        </is>
      </c>
      <c r="P82" s="2" t="inlineStr">
        <is>
          <t>Medium</t>
        </is>
      </c>
    </row>
    <row r="83">
      <c r="A83" s="2" t="n">
        <v>82</v>
      </c>
      <c r="B83" s="2" t="inlineStr"/>
      <c r="C83" s="2" t="inlineStr">
        <is>
          <t>Q82</t>
        </is>
      </c>
      <c r="D83" s="2" t="inlineStr">
        <is>
          <t>Numerical</t>
        </is>
      </c>
      <c r="E83" s="3" t="inlineStr">
        <is>
          <t>Probability</t>
        </is>
      </c>
      <c r="F83" s="2" t="n">
        <v>4</v>
      </c>
      <c r="G83" s="6" t="n">
        <v>1</v>
      </c>
      <c r="H83" s="6" t="inlineStr">
        <is>
          <t>JEE Main level</t>
        </is>
      </c>
      <c r="I83" s="5" t="n">
        <v>0</v>
      </c>
      <c r="J83" s="5" t="n">
        <v>0</v>
      </c>
      <c r="K83" s="5">
        <f>MIN(5,MAX(G83+I83,J83))</f>
        <v/>
      </c>
      <c r="L83" s="5">
        <f>F83*K83</f>
        <v/>
      </c>
      <c r="M83" s="3" t="inlineStr">
        <is>
          <t>Split by number of fours (or use the difference of two counts)</t>
        </is>
      </c>
      <c r="N83" s="3" t="inlineStr">
        <is>
          <t>A standard single approach with a short sum; one familiar move. Level 1.</t>
        </is>
      </c>
      <c r="O83" s="3" t="inlineStr">
        <is>
          <t>2021-P1-Q5 (L2)</t>
        </is>
      </c>
      <c r="P83" s="2" t="inlineStr">
        <is>
          <t>High</t>
        </is>
      </c>
    </row>
    <row r="84">
      <c r="A84" s="2" t="n">
        <v>83</v>
      </c>
      <c r="B84" s="2" t="inlineStr"/>
      <c r="C84" s="2" t="inlineStr">
        <is>
          <t>Q83</t>
        </is>
      </c>
      <c r="D84" s="2" t="inlineStr">
        <is>
          <t>Numerical</t>
        </is>
      </c>
      <c r="E84" s="3" t="inlineStr">
        <is>
          <t>Probability</t>
        </is>
      </c>
      <c r="F84" s="2" t="n">
        <v>4</v>
      </c>
      <c r="G84" s="4" t="n">
        <v>2</v>
      </c>
      <c r="H84" s="4" t="inlineStr">
        <is>
          <t>Easier than Advanced</t>
        </is>
      </c>
      <c r="I84" s="5" t="n">
        <v>0</v>
      </c>
      <c r="J84" s="5" t="n">
        <v>0</v>
      </c>
      <c r="K84" s="5">
        <f>MIN(5,MAX(G84+I84,J84))</f>
        <v/>
      </c>
      <c r="L84" s="5">
        <f>F84*K84</f>
        <v/>
      </c>
      <c r="M84" s="3" t="inlineStr">
        <is>
          <t>Negative-binomial setup: 4 reds in 12 draws, then red</t>
        </is>
      </c>
      <c r="N84" s="3" t="inlineStr">
        <is>
          <t>Standard Bernoulli-trial setup chained with factoring of the result; no options to check. Level 2.</t>
        </is>
      </c>
      <c r="O84" s="3" t="inlineStr">
        <is>
          <t>2021-P1-Q5 (L2)</t>
        </is>
      </c>
      <c r="P84" s="2" t="inlineStr">
        <is>
          <t>Medium</t>
        </is>
      </c>
    </row>
    <row r="85">
      <c r="A85" s="2" t="n">
        <v>84</v>
      </c>
      <c r="B85" s="2" t="inlineStr"/>
      <c r="C85" s="2" t="inlineStr">
        <is>
          <t>Q84</t>
        </is>
      </c>
      <c r="D85" s="2" t="inlineStr">
        <is>
          <t>Numerical</t>
        </is>
      </c>
      <c r="E85" s="3" t="inlineStr">
        <is>
          <t>Probability</t>
        </is>
      </c>
      <c r="F85" s="2" t="n">
        <v>4</v>
      </c>
      <c r="G85" s="7" t="n">
        <v>3</v>
      </c>
      <c r="H85" s="7" t="inlineStr">
        <is>
          <t>Average Advanced</t>
        </is>
      </c>
      <c r="I85" s="5" t="n">
        <v>0</v>
      </c>
      <c r="J85" s="5" t="n">
        <v>0</v>
      </c>
      <c r="K85" s="5">
        <f>MIN(5,MAX(G85+I85,J85))</f>
        <v/>
      </c>
      <c r="L85" s="5">
        <f>F85*K85</f>
        <v/>
      </c>
      <c r="M85" s="3" t="inlineStr">
        <is>
          <t>Treat each error as independent with its own number of surviving checks</t>
        </is>
      </c>
      <c r="N85" s="3" t="inlineStr">
        <is>
          <t>The modelling step (independence per error, different exposure times) is not routine, but the arithmetic is short; two ideas linked. Level 3.</t>
        </is>
      </c>
      <c r="O85" s="3" t="inlineStr">
        <is>
          <t>2023-P2-Q2 (L3)</t>
        </is>
      </c>
      <c r="P85" s="2" t="inlineStr">
        <is>
          <t>Medium</t>
        </is>
      </c>
    </row>
    <row r="86">
      <c r="A86" s="2" t="n">
        <v>85</v>
      </c>
      <c r="B86" s="2" t="inlineStr"/>
      <c r="C86" s="2" t="inlineStr">
        <is>
          <t>Q85</t>
        </is>
      </c>
      <c r="D86" s="2" t="inlineStr">
        <is>
          <t>Numerical</t>
        </is>
      </c>
      <c r="E86" s="3" t="inlineStr">
        <is>
          <t>Statistics</t>
        </is>
      </c>
      <c r="F86" s="2" t="n">
        <v>4</v>
      </c>
      <c r="G86" s="4" t="n">
        <v>2</v>
      </c>
      <c r="H86" s="4" t="inlineStr">
        <is>
          <t>Easier than Advanced</t>
        </is>
      </c>
      <c r="I86" s="5" t="n">
        <v>0</v>
      </c>
      <c r="J86" s="5" t="n">
        <v>0</v>
      </c>
      <c r="K86" s="5">
        <f>MIN(5,MAX(G86+I86,J86))</f>
        <v/>
      </c>
      <c r="L86" s="5">
        <f>F86*K86</f>
        <v/>
      </c>
      <c r="M86" s="3" t="inlineStr">
        <is>
          <t>Combined-variance formula with the mean-shift terms $d_i^2$</t>
        </is>
      </c>
      <c r="N86" s="3" t="inlineStr">
        <is>
          <t>Standard multi-group variance formula, then arithmetic and reduction check; several routine steps, no insight. Level 2.</t>
        </is>
      </c>
      <c r="O86" s="3" t="inlineStr">
        <is>
          <t>2026-P2-Q12 (L2)</t>
        </is>
      </c>
      <c r="P86" s="2" t="inlineStr">
        <is>
          <t>High</t>
        </is>
      </c>
    </row>
    <row r="87">
      <c r="A87" s="2" t="n">
        <v>86</v>
      </c>
      <c r="B87" s="2" t="inlineStr"/>
      <c r="C87" s="2" t="inlineStr">
        <is>
          <t>Q86</t>
        </is>
      </c>
      <c r="D87" s="2" t="inlineStr">
        <is>
          <t>Numerical</t>
        </is>
      </c>
      <c r="E87" s="3" t="inlineStr">
        <is>
          <t>Statistics</t>
        </is>
      </c>
      <c r="F87" s="2" t="n">
        <v>4</v>
      </c>
      <c r="G87" s="4" t="n">
        <v>2</v>
      </c>
      <c r="H87" s="4" t="inlineStr">
        <is>
          <t>Easier than Advanced</t>
        </is>
      </c>
      <c r="I87" s="5" t="n">
        <v>0</v>
      </c>
      <c r="J87" s="5" t="n">
        <v>0</v>
      </c>
      <c r="K87" s="5">
        <f>MIN(5,MAX(G87+I87,J87))</f>
        <v/>
      </c>
      <c r="L87" s="5">
        <f>F87*K87</f>
        <v/>
      </c>
      <c r="M87" s="3" t="inlineStr">
        <is>
          <t>Shift identity $\sum(x_i-c)^2=\sum(x_i-\bar x)^2+n(\bar x-c)^2$, then reject the equal case</t>
        </is>
      </c>
      <c r="N87" s="3" t="inlineStr">
        <is>
          <t>Routine chain; one nuance (distinctness excludes a sign). No heavy computation. Level 2, same as 2026-P2-Q12.</t>
        </is>
      </c>
      <c r="O87" s="3" t="inlineStr">
        <is>
          <t>2026-P2-Q12 (L2)</t>
        </is>
      </c>
      <c r="P87" s="2" t="inlineStr">
        <is>
          <t>High</t>
        </is>
      </c>
    </row>
    <row r="88">
      <c r="A88" s="2" t="n">
        <v>87</v>
      </c>
      <c r="B88" s="2" t="inlineStr"/>
      <c r="C88" s="2" t="inlineStr">
        <is>
          <t>Q87</t>
        </is>
      </c>
      <c r="D88" s="2" t="inlineStr">
        <is>
          <t>Numerical</t>
        </is>
      </c>
      <c r="E88" s="3" t="inlineStr">
        <is>
          <t>Binomial Theorem</t>
        </is>
      </c>
      <c r="F88" s="2" t="n">
        <v>4</v>
      </c>
      <c r="G88" s="8" t="n">
        <v>4</v>
      </c>
      <c r="H88" s="8" t="inlineStr">
        <is>
          <t>Slightly difficult</t>
        </is>
      </c>
      <c r="I88" s="5" t="n">
        <v>0</v>
      </c>
      <c r="J88" s="5" t="n">
        <v>0</v>
      </c>
      <c r="K88" s="5">
        <f>MIN(5,MAX(G88+I88,J88))</f>
        <v/>
      </c>
      <c r="L88" s="5">
        <f>F88*K88</f>
        <v/>
      </c>
      <c r="M88" s="3" t="inlineStr">
        <is>
          <t>Recognise the alternating even-index series as the real part of $(1+i\tan\theta)^n$ with $\tan15^\circ$</t>
        </is>
      </c>
      <c r="N88" s="3" t="inlineStr">
        <is>
          <t>Unfamiliar-looking series; the key idea (De Moivre plus binomial, divide by $\cos^n$, choose $15^\circ$) is not a routine coaching pattern, though execution is short. Numerical, no options. Level 4.</t>
        </is>
      </c>
      <c r="O88" s="3" t="inlineStr">
        <is>
          <t>2026-P2-Q5 (L4)</t>
        </is>
      </c>
      <c r="P88" s="2" t="inlineStr">
        <is>
          <t>Medium</t>
        </is>
      </c>
    </row>
    <row r="89">
      <c r="A89" s="2" t="n">
        <v>88</v>
      </c>
      <c r="B89" s="2" t="inlineStr"/>
      <c r="C89" s="2" t="inlineStr">
        <is>
          <t>Q88</t>
        </is>
      </c>
      <c r="D89" s="2" t="inlineStr">
        <is>
          <t>Numerical</t>
        </is>
      </c>
      <c r="E89" s="3" t="inlineStr">
        <is>
          <t>Probability</t>
        </is>
      </c>
      <c r="F89" s="2" t="n">
        <v>4</v>
      </c>
      <c r="G89" s="7" t="n">
        <v>3</v>
      </c>
      <c r="H89" s="7" t="inlineStr">
        <is>
          <t>Average Advanced</t>
        </is>
      </c>
      <c r="I89" s="5" t="n">
        <v>0</v>
      </c>
      <c r="J89" s="5" t="n">
        <v>0</v>
      </c>
      <c r="K89" s="5">
        <f>MIN(5,MAX(G89+I89,J89))</f>
        <v/>
      </c>
      <c r="L89" s="5">
        <f>F89*K89</f>
        <v/>
      </c>
      <c r="M89" s="3" t="inlineStr">
        <is>
          <t>Inclusion-exclusion on 'some player undefeated' and 'some player winless', counting $A\cap B$ with the shared game</t>
        </is>
      </c>
      <c r="N89" s="3" t="inlineStr">
        <is>
          <t>Needs a careful inclusion-exclusion with a shared game in the intersection; one slip changes the answer and there are no options. Two linked ideas. Level 3.</t>
        </is>
      </c>
      <c r="O89" s="3" t="inlineStr">
        <is>
          <t>2023-P2-Q2 (L3)</t>
        </is>
      </c>
      <c r="P89" s="2" t="inlineStr">
        <is>
          <t>Medium</t>
        </is>
      </c>
    </row>
    <row r="90">
      <c r="A90" s="2" t="n">
        <v>89</v>
      </c>
      <c r="B90" s="2" t="inlineStr"/>
      <c r="C90" s="2" t="inlineStr">
        <is>
          <t>Q89</t>
        </is>
      </c>
      <c r="D90" s="2" t="inlineStr">
        <is>
          <t>Numerical</t>
        </is>
      </c>
      <c r="E90" s="3" t="inlineStr">
        <is>
          <t>Probability</t>
        </is>
      </c>
      <c r="F90" s="2" t="n">
        <v>4</v>
      </c>
      <c r="G90" s="4" t="n">
        <v>2</v>
      </c>
      <c r="H90" s="4" t="inlineStr">
        <is>
          <t>Easier than Advanced</t>
        </is>
      </c>
      <c r="I90" s="5" t="n">
        <v>0</v>
      </c>
      <c r="J90" s="5" t="n">
        <v>0</v>
      </c>
      <c r="K90" s="5">
        <f>MIN(5,MAX(G90+I90,J90))</f>
        <v/>
      </c>
      <c r="L90" s="5">
        <f>F90*K90</f>
        <v/>
      </c>
      <c r="M90" s="3" t="inlineStr">
        <is>
          <t>Decode the game: player $k$ fails with probability $\frac{6-k}{6}$, multiply</t>
        </is>
      </c>
      <c r="N90" s="3" t="inlineStr">
        <is>
          <t>One interpretive step then a short product; routine multiplication theorem. Level 2.</t>
        </is>
      </c>
      <c r="O90" s="3" t="inlineStr">
        <is>
          <t>2021-P1-Q5 (L2)</t>
        </is>
      </c>
      <c r="P90" s="2" t="inlineStr">
        <is>
          <t>High</t>
        </is>
      </c>
    </row>
    <row r="91">
      <c r="A91" s="2" t="n">
        <v>90</v>
      </c>
      <c r="B91" s="2" t="inlineStr"/>
      <c r="C91" s="2" t="inlineStr">
        <is>
          <t>Q90</t>
        </is>
      </c>
      <c r="D91" s="2" t="inlineStr">
        <is>
          <t>Numerical</t>
        </is>
      </c>
      <c r="E91" s="3" t="inlineStr">
        <is>
          <t>Binomial Theorem</t>
        </is>
      </c>
      <c r="F91" s="2" t="n">
        <v>4</v>
      </c>
      <c r="G91" s="4" t="n">
        <v>2</v>
      </c>
      <c r="H91" s="4" t="inlineStr">
        <is>
          <t>Easier than Advanced</t>
        </is>
      </c>
      <c r="I91" s="5" t="n">
        <v>0</v>
      </c>
      <c r="J91" s="5" t="n">
        <v>0</v>
      </c>
      <c r="K91" s="5">
        <f>MIN(5,MAX(G91+I91,J91))</f>
        <v/>
      </c>
      <c r="L91" s="5">
        <f>F91*K91</f>
        <v/>
      </c>
      <c r="M91" s="3" t="inlineStr">
        <is>
          <t>Reduce to $N^2+N+2=2^N$ and find the unique integer root</t>
        </is>
      </c>
      <c r="N91" s="3" t="inlineStr">
        <is>
          <t>Short reduction and a trial/graph check; single idea with small execution. Level 2.</t>
        </is>
      </c>
      <c r="O91" s="3" t="inlineStr">
        <is>
          <t>2021-P1-Q5 (L2)</t>
        </is>
      </c>
      <c r="P91" s="2" t="inlineStr">
        <is>
          <t>High</t>
        </is>
      </c>
    </row>
    <row r="92">
      <c r="A92" s="2" t="n">
        <v>91</v>
      </c>
      <c r="B92" s="2" t="inlineStr"/>
      <c r="C92" s="2" t="inlineStr">
        <is>
          <t>Q91</t>
        </is>
      </c>
      <c r="D92" s="2" t="inlineStr">
        <is>
          <t>INT</t>
        </is>
      </c>
      <c r="E92" s="3" t="inlineStr">
        <is>
          <t>Probability</t>
        </is>
      </c>
      <c r="F92" s="2" t="n">
        <v>4</v>
      </c>
      <c r="G92" s="4" t="n">
        <v>2</v>
      </c>
      <c r="H92" s="4" t="inlineStr">
        <is>
          <t>Easier than Advanced</t>
        </is>
      </c>
      <c r="I92" s="5" t="n">
        <v>0</v>
      </c>
      <c r="J92" s="5" t="n">
        <v>0</v>
      </c>
      <c r="K92" s="5">
        <f>MIN(5,MAX(G92+I92,J92))</f>
        <v/>
      </c>
      <c r="L92" s="5">
        <f>F92*K92</f>
        <v/>
      </c>
      <c r="M92" s="3" t="inlineStr">
        <is>
          <t>Counting the 5 admissible head/tail sequences with the shared third flip, then 4^3 = 1 mod 7</t>
        </is>
      </c>
      <c r="N92" s="3" t="inlineStr">
        <is>
          <t>Short enumeration (5 sequences) plus an easy remainder; two routine stages with no hidden idea and small precision risk. Between 2021-P2-Q17 (L1, single counting move) and 2024-P2-Q9 (L3, set-up needed).</t>
        </is>
      </c>
      <c r="O92" s="3" t="inlineStr">
        <is>
          <t>2021-P2-Q17 (L1)</t>
        </is>
      </c>
      <c r="P92" s="2" t="inlineStr">
        <is>
          <t>Medium</t>
        </is>
      </c>
    </row>
    <row r="93">
      <c r="A93" s="2" t="n">
        <v>92</v>
      </c>
      <c r="B93" s="2" t="inlineStr"/>
      <c r="C93" s="2" t="inlineStr">
        <is>
          <t>Q92</t>
        </is>
      </c>
      <c r="D93" s="2" t="inlineStr">
        <is>
          <t>INT</t>
        </is>
      </c>
      <c r="E93" s="3" t="inlineStr">
        <is>
          <t>Permutation &amp; Combination</t>
        </is>
      </c>
      <c r="F93" s="2" t="n">
        <v>4</v>
      </c>
      <c r="G93" s="7" t="n">
        <v>3</v>
      </c>
      <c r="H93" s="7" t="inlineStr">
        <is>
          <t>Average Advanced</t>
        </is>
      </c>
      <c r="I93" s="5" t="n">
        <v>0</v>
      </c>
      <c r="J93" s="5" t="n">
        <v>0</v>
      </c>
      <c r="K93" s="5">
        <f>MIN(5,MAX(G93+I93,J93))</f>
        <v/>
      </c>
      <c r="L93" s="5">
        <f>F93*K93</f>
        <v/>
      </c>
      <c r="M93" s="3" t="inlineStr">
        <is>
          <t>Reduce to the 3 admissible alpha/beta patterns, then distribute 6 distinct letters into 6 gaps</t>
        </is>
      </c>
      <c r="N93" s="3" t="inlineStr">
        <is>
          <t>Needs the pattern-then-gaps decomposition and stars-and-bars on a non-obvious structure; answer is a single digit with no options, so a miscounted pattern is fatal. Similar in demand to 2026-P1-Q11 (L3).</t>
        </is>
      </c>
      <c r="O93" s="3" t="inlineStr">
        <is>
          <t>2026-P1-Q11 (L3)</t>
        </is>
      </c>
      <c r="P93" s="2" t="inlineStr">
        <is>
          <t>Medium</t>
        </is>
      </c>
    </row>
    <row r="94">
      <c r="A94" s="2" t="n">
        <v>93</v>
      </c>
      <c r="B94" s="2" t="inlineStr"/>
      <c r="C94" s="2" t="inlineStr">
        <is>
          <t>Q93</t>
        </is>
      </c>
      <c r="D94" s="2" t="inlineStr">
        <is>
          <t>INT</t>
        </is>
      </c>
      <c r="E94" s="3" t="inlineStr">
        <is>
          <t>Complex Number</t>
        </is>
      </c>
      <c r="F94" s="2" t="n">
        <v>4</v>
      </c>
      <c r="G94" s="6" t="n">
        <v>1</v>
      </c>
      <c r="H94" s="6" t="inlineStr">
        <is>
          <t>JEE Main level</t>
        </is>
      </c>
      <c r="I94" s="5" t="n">
        <v>0</v>
      </c>
      <c r="J94" s="5" t="n">
        <v>0</v>
      </c>
      <c r="K94" s="5">
        <f>MIN(5,MAX(G94+I94,J94))</f>
        <v/>
      </c>
      <c r="L94" s="5">
        <f>F94*K94</f>
        <v/>
      </c>
      <c r="M94" s="3" t="inlineStr">
        <is>
          <t>Each modulus equation is a perpendicular bisector; intersect the two lines</t>
        </is>
      </c>
      <c r="N94" s="3" t="inlineStr">
        <is>
          <t>One familiar move (equidistance = perpendicular bisector) applied twice, then solve two linear equations; no insight or casework. Like 2025-P1-Q7 (L1).</t>
        </is>
      </c>
      <c r="O94" s="3" t="inlineStr">
        <is>
          <t>2025-P1-Q7 (L1)</t>
        </is>
      </c>
      <c r="P94" s="2" t="inlineStr">
        <is>
          <t>High</t>
        </is>
      </c>
    </row>
    <row r="95">
      <c r="A95" s="2" t="n">
        <v>94</v>
      </c>
      <c r="B95" s="2" t="inlineStr"/>
      <c r="C95" s="2" t="inlineStr">
        <is>
          <t>Q94</t>
        </is>
      </c>
      <c r="D95" s="2" t="inlineStr">
        <is>
          <t>INT</t>
        </is>
      </c>
      <c r="E95" s="3" t="inlineStr">
        <is>
          <t>Complex Number</t>
        </is>
      </c>
      <c r="F95" s="2" t="n">
        <v>4</v>
      </c>
      <c r="G95" s="4" t="n">
        <v>2</v>
      </c>
      <c r="H95" s="4" t="inlineStr">
        <is>
          <t>Easier than Advanced</t>
        </is>
      </c>
      <c r="I95" s="5" t="n">
        <v>0</v>
      </c>
      <c r="J95" s="5" t="n">
        <v>0</v>
      </c>
      <c r="K95" s="5">
        <f>MIN(5,MAX(G95+I95,J95))</f>
        <v/>
      </c>
      <c r="L95" s="5">
        <f>F95*K95</f>
        <v/>
      </c>
      <c r="M95" s="3" t="inlineStr">
        <is>
          <t>Read numerator and denominator as median vectors; the angle between medians of an equilateral triangle is 120 degrees</t>
        </is>
      </c>
      <c r="N95" s="3" t="inlineStr">
        <is>
          <t>One geometric recognition (medians, centroid) after rewriting; short but the idea of reading the ratio as median vectors is only moderately common, so Level 2 not 1. Compare 2025-P2-Q13 (L3, longer) and 2025-P1-Q7 (L1).</t>
        </is>
      </c>
      <c r="O95" s="3" t="inlineStr">
        <is>
          <t>2025-P1-Q7 (L1)</t>
        </is>
      </c>
      <c r="P95" s="2" t="inlineStr">
        <is>
          <t>Medium</t>
        </is>
      </c>
    </row>
    <row r="96">
      <c r="A96" s="2" t="n">
        <v>95</v>
      </c>
      <c r="B96" s="2" t="inlineStr"/>
      <c r="C96" s="2" t="inlineStr">
        <is>
          <t>Q95</t>
        </is>
      </c>
      <c r="D96" s="2" t="inlineStr">
        <is>
          <t>INT</t>
        </is>
      </c>
      <c r="E96" s="3" t="inlineStr">
        <is>
          <t>Complex Number</t>
        </is>
      </c>
      <c r="F96" s="2" t="n">
        <v>4</v>
      </c>
      <c r="G96" s="6" t="n">
        <v>1</v>
      </c>
      <c r="H96" s="6" t="inlineStr">
        <is>
          <t>JEE Main level</t>
        </is>
      </c>
      <c r="I96" s="5" t="n">
        <v>0</v>
      </c>
      <c r="J96" s="5" t="n">
        <v>0</v>
      </c>
      <c r="K96" s="5">
        <f>MIN(5,MAX(G96+I96,J96))</f>
        <v/>
      </c>
      <c r="L96" s="5">
        <f>F96*K96</f>
        <v/>
      </c>
      <c r="M96" s="3" t="inlineStr">
        <is>
          <t>Recognise the roots as non-identity 7th roots of unity and use power-sum values</t>
        </is>
      </c>
      <c r="N96" s="3" t="inlineStr">
        <is>
          <t>One standard move (multiply by z-1; roots of unity power sums) applied to three easy sums; no counting or casework. Like 2024-P2-Q3 / 2026-P2-Q4 (one familiar trick, L1).</t>
        </is>
      </c>
      <c r="O96" s="3" t="inlineStr">
        <is>
          <t>2026-P2-Q4 (L1)</t>
        </is>
      </c>
      <c r="P96" s="2" t="inlineStr">
        <is>
          <t>High</t>
        </is>
      </c>
    </row>
    <row r="97">
      <c r="A97" s="2" t="n">
        <v>96</v>
      </c>
      <c r="B97" s="2" t="inlineStr"/>
      <c r="C97" s="2" t="inlineStr">
        <is>
          <t>Q96</t>
        </is>
      </c>
      <c r="D97" s="2" t="inlineStr">
        <is>
          <t>INT</t>
        </is>
      </c>
      <c r="E97" s="3" t="inlineStr">
        <is>
          <t>Complex Number</t>
        </is>
      </c>
      <c r="F97" s="2" t="n">
        <v>4</v>
      </c>
      <c r="G97" s="7" t="n">
        <v>3</v>
      </c>
      <c r="H97" s="7" t="inlineStr">
        <is>
          <t>Average Advanced</t>
        </is>
      </c>
      <c r="I97" s="5" t="n">
        <v>0</v>
      </c>
      <c r="J97" s="5" t="n">
        <v>0</v>
      </c>
      <c r="K97" s="5">
        <f>MIN(5,MAX(G97+I97,J97))</f>
        <v/>
      </c>
      <c r="L97" s="5">
        <f>F97*K97</f>
        <v/>
      </c>
      <c r="M97" s="3" t="inlineStr">
        <is>
          <t>Lines through O; cosine rule with the length condition, then AM-GM on OA/OB + OB/OA</t>
        </is>
      </c>
      <c r="N97" s="3" t="inlineStr">
        <is>
          <t>Several stages (decode lines, cosine rule, bound by AM-GM) but each is routine; the stem is also garbled, adding reading risk. Compare 2021-P1-Q16 (L3, complex-plane geometry).</t>
        </is>
      </c>
      <c r="O97" s="3" t="inlineStr">
        <is>
          <t>2021-P1-Q16 (L3)</t>
        </is>
      </c>
      <c r="P97" s="2" t="inlineStr">
        <is>
          <t>Low</t>
        </is>
      </c>
    </row>
    <row r="98">
      <c r="A98" s="2" t="n">
        <v>97</v>
      </c>
      <c r="B98" s="2" t="inlineStr"/>
      <c r="C98" s="2" t="inlineStr">
        <is>
          <t>Q97</t>
        </is>
      </c>
      <c r="D98" s="2" t="inlineStr">
        <is>
          <t>Numerical</t>
        </is>
      </c>
      <c r="E98" s="3" t="inlineStr">
        <is>
          <t>Complex Number / Theory of Equations</t>
        </is>
      </c>
      <c r="F98" s="2" t="n">
        <v>4</v>
      </c>
      <c r="G98" s="7" t="n">
        <v>3</v>
      </c>
      <c r="H98" s="7" t="inlineStr">
        <is>
          <t>Average Advanced</t>
        </is>
      </c>
      <c r="I98" s="5" t="n">
        <v>0</v>
      </c>
      <c r="J98" s="5" t="n">
        <v>0</v>
      </c>
      <c r="K98" s="5">
        <f>MIN(5,MAX(G98+I98,J98))</f>
        <v/>
      </c>
      <c r="L98" s="5">
        <f>F98*K98</f>
        <v/>
      </c>
      <c r="M98" s="3" t="inlineStr">
        <is>
          <t>Eliminate z to get P(t)=t(t^2+2004)^2-1 up to a constant, then notice P(-1)&lt;0 when taking the floor</t>
        </is>
      </c>
      <c r="N98" s="3" t="inlineStr">
        <is>
          <t>Elimination of z by separating odd and even parts is a moderately known trick, followed by a sign-sensitive floor with no options. Three stages, medium precision risk. Similar to 2023-P1-Q11 (L3).</t>
        </is>
      </c>
      <c r="O98" s="3" t="inlineStr">
        <is>
          <t>2023-P1-Q11 (L3)</t>
        </is>
      </c>
      <c r="P98" s="2" t="inlineStr">
        <is>
          <t>Medium</t>
        </is>
      </c>
    </row>
    <row r="99">
      <c r="A99" s="2" t="n">
        <v>98</v>
      </c>
      <c r="B99" s="2" t="inlineStr"/>
      <c r="C99" s="2" t="inlineStr">
        <is>
          <t>Q98</t>
        </is>
      </c>
      <c r="D99" s="2" t="inlineStr">
        <is>
          <t>INT</t>
        </is>
      </c>
      <c r="E99" s="3" t="inlineStr">
        <is>
          <t>Complex Number</t>
        </is>
      </c>
      <c r="F99" s="2" t="n">
        <v>4</v>
      </c>
      <c r="G99" s="4" t="n">
        <v>2</v>
      </c>
      <c r="H99" s="4" t="inlineStr">
        <is>
          <t>Easier than Advanced</t>
        </is>
      </c>
      <c r="I99" s="5" t="n">
        <v>0</v>
      </c>
      <c r="J99" s="5" t="n">
        <v>0</v>
      </c>
      <c r="K99" s="5">
        <f>MIN(5,MAX(G99+I99,J99))</f>
        <v/>
      </c>
      <c r="L99" s="5">
        <f>F99*K99</f>
        <v/>
      </c>
      <c r="M99" s="3" t="inlineStr">
        <is>
          <t>Use conj z = 1/z to get the second symmetric function, then solve the cubic</t>
        </is>
      </c>
      <c r="N99" s="3" t="inlineStr">
        <is>
          <t>The conjugate-reciprocal trick on unimodular numbers is a familiar move; then a cubic that factorises and an ordering; short routine chain, no casework. Compare 2023-P1-Q11 (L3) as the upper bound; this is lighter.</t>
        </is>
      </c>
      <c r="O99" s="3" t="inlineStr">
        <is>
          <t>2023-P1-Q11 (L3)</t>
        </is>
      </c>
      <c r="P99" s="2" t="inlineStr">
        <is>
          <t>Medium</t>
        </is>
      </c>
    </row>
    <row r="100">
      <c r="A100" s="2" t="n">
        <v>99</v>
      </c>
      <c r="B100" s="2" t="inlineStr"/>
      <c r="C100" s="2" t="inlineStr">
        <is>
          <t>Q99</t>
        </is>
      </c>
      <c r="D100" s="2" t="inlineStr">
        <is>
          <t>INT</t>
        </is>
      </c>
      <c r="E100" s="3" t="inlineStr">
        <is>
          <t>Complex Number</t>
        </is>
      </c>
      <c r="F100" s="2" t="n">
        <v>4</v>
      </c>
      <c r="G100" s="4" t="n">
        <v>2</v>
      </c>
      <c r="H100" s="4" t="inlineStr">
        <is>
          <t>Easier than Advanced</t>
        </is>
      </c>
      <c r="I100" s="5" t="n">
        <v>0</v>
      </c>
      <c r="J100" s="5" t="n">
        <v>0</v>
      </c>
      <c r="K100" s="5">
        <f>MIN(5,MAX(G100+I100,J100))</f>
        <v/>
      </c>
      <c r="L100" s="5">
        <f>F100*K100</f>
        <v/>
      </c>
      <c r="M100" s="3" t="inlineStr">
        <is>
          <t>Roots-of-unity filter keeps exponents divisible by 7</t>
        </is>
      </c>
      <c r="N100" s="3" t="inlineStr">
        <is>
          <t>A single standard filter applied to a polynomial in generic notation, then reading off the surviving exponents; heavier notation than L1 but no insight beyond the trick. Level 2 as a short routine chain.</t>
        </is>
      </c>
      <c r="O100" s="3" t="inlineStr">
        <is>
          <t>2024-P2-Q3 (L1)</t>
        </is>
      </c>
      <c r="P100" s="2" t="inlineStr">
        <is>
          <t>Medium</t>
        </is>
      </c>
    </row>
    <row r="101">
      <c r="A101" s="2" t="n">
        <v>100</v>
      </c>
      <c r="B101" s="2" t="inlineStr"/>
      <c r="C101" s="2" t="inlineStr">
        <is>
          <t>Q100</t>
        </is>
      </c>
      <c r="D101" s="2" t="inlineStr">
        <is>
          <t>INT</t>
        </is>
      </c>
      <c r="E101" s="3" t="inlineStr">
        <is>
          <t>Probability</t>
        </is>
      </c>
      <c r="F101" s="2" t="n">
        <v>4</v>
      </c>
      <c r="G101" s="7" t="n">
        <v>3</v>
      </c>
      <c r="H101" s="7" t="inlineStr">
        <is>
          <t>Average Advanced</t>
        </is>
      </c>
      <c r="I101" s="5" t="n">
        <v>0</v>
      </c>
      <c r="J101" s="5" t="n">
        <v>0</v>
      </c>
      <c r="K101" s="5">
        <f>MIN(5,MAX(G101+I101,J101))</f>
        <v/>
      </c>
      <c r="L101" s="5">
        <f>F101*K101</f>
        <v/>
      </c>
      <c r="M101" s="3" t="inlineStr">
        <is>
          <t>Total probability over the number of aces removed (or symmetry: the drawn pair is a uniform random pair)</t>
        </is>
      </c>
      <c r="N101" s="3" t="inlineStr">
        <is>
          <t>Without the symmetry insight it is a long, factorial-heavy conditional calculation with Pascal collapsing, high slip risk with no options; with it the problem is two lines. Level 3 by the anchor 2025-P2-Q11 / 2023-P2-Q10 (conditional probability, careful counting).</t>
        </is>
      </c>
      <c r="O101" s="3" t="inlineStr">
        <is>
          <t>2025-P2-Q11 (L3)</t>
        </is>
      </c>
      <c r="P101" s="2" t="inlineStr">
        <is>
          <t>Medium</t>
        </is>
      </c>
    </row>
    <row r="102">
      <c r="A102" s="2" t="n">
        <v>101</v>
      </c>
      <c r="B102" s="2" t="inlineStr"/>
      <c r="C102" s="2" t="inlineStr">
        <is>
          <t>Q101</t>
        </is>
      </c>
      <c r="D102" s="2" t="inlineStr">
        <is>
          <t>SCQ</t>
        </is>
      </c>
      <c r="E102" s="3" t="inlineStr">
        <is>
          <t>Permutation &amp; Combination</t>
        </is>
      </c>
      <c r="F102" s="2" t="n">
        <v>4</v>
      </c>
      <c r="G102" s="4" t="n">
        <v>2</v>
      </c>
      <c r="H102" s="4" t="inlineStr">
        <is>
          <t>Easier than Advanced</t>
        </is>
      </c>
      <c r="I102" s="5" t="n">
        <v>0</v>
      </c>
      <c r="J102" s="5" t="n">
        <v>0</v>
      </c>
      <c r="K102" s="5">
        <f>MIN(5,MAX(G102+I102,J102))</f>
        <v/>
      </c>
      <c r="L102" s="5">
        <f>F102*K102</f>
        <v/>
      </c>
      <c r="M102" s="3" t="inlineStr">
        <is>
          <t>Large means |S| &gt; n/2; count by complement symmetry (n even: remove middle size; n odd: half).</t>
        </is>
      </c>
      <c r="N102" s="3" t="inlineStr">
        <is>
          <t>Two short counts (sum of binomials) compared; one familiar symmetry trick, applied twice; options missing in PDF so answer is just x and y. Nearest in demand to 2021-P2-Q17 (L1) but two separate counts give L2.</t>
        </is>
      </c>
      <c r="O102" s="3" t="inlineStr">
        <is>
          <t>2021-P2-Q17 (L1)</t>
        </is>
      </c>
      <c r="P102" s="2" t="inlineStr">
        <is>
          <t>Medium</t>
        </is>
      </c>
    </row>
    <row r="103">
      <c r="A103" s="2" t="n">
        <v>102</v>
      </c>
      <c r="B103" s="2" t="inlineStr"/>
      <c r="C103" s="2" t="inlineStr">
        <is>
          <t>Q102</t>
        </is>
      </c>
      <c r="D103" s="2" t="inlineStr">
        <is>
          <t>Numerical</t>
        </is>
      </c>
      <c r="E103" s="3" t="inlineStr">
        <is>
          <t>Circle / Probability</t>
        </is>
      </c>
      <c r="F103" s="2" t="n">
        <v>4</v>
      </c>
      <c r="G103" s="7" t="n">
        <v>3</v>
      </c>
      <c r="H103" s="7" t="inlineStr">
        <is>
          <t>Average Advanced</t>
        </is>
      </c>
      <c r="I103" s="5" t="n">
        <v>0</v>
      </c>
      <c r="J103" s="5" t="n">
        <v>0</v>
      </c>
      <c r="K103" s="5">
        <f>MIN(5,MAX(G103+I103,J103))</f>
        <v/>
      </c>
      <c r="L103" s="5">
        <f>F103*K103</f>
        <v/>
      </c>
      <c r="M103" s="3" t="inlineStr">
        <is>
          <t>Two common tangents -&gt; intersecting circles gives k^2&lt;16, lambda=7; then Bayes with the urns.</t>
        </is>
      </c>
      <c r="N103" s="3" t="inlineStr">
        <is>
          <t>Two linked stages from different chapters (circle condition then Bayes), both standard; numerical answer, no options. Close to 2025-P2-Q11 (Bayes, L3).</t>
        </is>
      </c>
      <c r="O103" s="3" t="inlineStr">
        <is>
          <t>2025-P2-Q11 (L3)</t>
        </is>
      </c>
      <c r="P103" s="2" t="inlineStr">
        <is>
          <t>Medium</t>
        </is>
      </c>
    </row>
    <row r="104">
      <c r="A104" s="2" t="n">
        <v>103</v>
      </c>
      <c r="B104" s="2" t="inlineStr"/>
      <c r="C104" s="2" t="inlineStr">
        <is>
          <t>Q103</t>
        </is>
      </c>
      <c r="D104" s="2" t="inlineStr">
        <is>
          <t>Q Stem</t>
        </is>
      </c>
      <c r="E104" s="3" t="inlineStr">
        <is>
          <t>Function / Permutation &amp; Combination</t>
        </is>
      </c>
      <c r="F104" s="2" t="n">
        <v>4</v>
      </c>
      <c r="G104" s="8" t="n">
        <v>4</v>
      </c>
      <c r="H104" s="8" t="inlineStr">
        <is>
          <t>Slightly difficult</t>
        </is>
      </c>
      <c r="I104" s="5" t="n">
        <v>0</v>
      </c>
      <c r="J104" s="5" t="n">
        <v>0</v>
      </c>
      <c r="K104" s="5">
        <f>MIN(5,MAX(G104+I104,J104))</f>
        <v/>
      </c>
      <c r="L104" s="5">
        <f>F104*K104</f>
        <v/>
      </c>
      <c r="M104" s="3" t="inlineStr">
        <is>
          <t>Idempotent =&gt; range elements are fixed points; then count functions by range size and sum.</t>
        </is>
      </c>
      <c r="N104" s="3" t="inlineStr">
        <is>
          <t>Idea (fixed points of an idempotent map) is outside the usual coaching pattern, and part (b) needs a clean general count and a 6-term sum with no options. Two parts, numerical. Nearest anchor 2023-P1-Q1 (function counting, L3), pushed up one by F1/F2 and Q-stem tendency.</t>
        </is>
      </c>
      <c r="O104" s="3" t="inlineStr">
        <is>
          <t>2023-P1-Q1 (L3)</t>
        </is>
      </c>
      <c r="P104" s="2" t="inlineStr">
        <is>
          <t>Medium</t>
        </is>
      </c>
    </row>
    <row r="105">
      <c r="A105" s="2" t="n">
        <v>104</v>
      </c>
      <c r="B105" s="2" t="inlineStr"/>
      <c r="C105" s="2" t="inlineStr">
        <is>
          <t>Q104</t>
        </is>
      </c>
      <c r="D105" s="2" t="inlineStr">
        <is>
          <t>INT</t>
        </is>
      </c>
      <c r="E105" s="3" t="inlineStr">
        <is>
          <t>Complex Number / Area Under Curve</t>
        </is>
      </c>
      <c r="F105" s="2" t="n">
        <v>4</v>
      </c>
      <c r="G105" s="7" t="n">
        <v>3</v>
      </c>
      <c r="H105" s="7" t="inlineStr">
        <is>
          <t>Average Advanced</t>
        </is>
      </c>
      <c r="I105" s="5" t="n">
        <v>0</v>
      </c>
      <c r="J105" s="5" t="n">
        <v>0</v>
      </c>
      <c r="K105" s="5">
        <f>MIN(5,MAX(G105+I105,J105))</f>
        <v/>
      </c>
      <c r="L105" s="5">
        <f>F105*K105</f>
        <v/>
      </c>
      <c r="M105" s="3" t="inlineStr">
        <is>
          <t>Conjugate-pair matching of roots of a real cubic fixes w; k=2 from the given point.</t>
        </is>
      </c>
      <c r="N105" s="3" t="inlineStr">
        <is>
          <t>The curve is given, so k is one line; the main work is the case analysis of conjugate pairs and Vieta, a standard but multi-stage chain across two chapters, integer answer. Nearest 2023-P1-Q17 (complex, L3).</t>
        </is>
      </c>
      <c r="O105" s="3" t="inlineStr">
        <is>
          <t>2023-P1-Q17 (L3)</t>
        </is>
      </c>
      <c r="P105" s="2" t="inlineStr">
        <is>
          <t>Medium</t>
        </is>
      </c>
    </row>
    <row r="106">
      <c r="A106" s="2" t="n">
        <v>105</v>
      </c>
      <c r="B106" s="2" t="inlineStr"/>
      <c r="C106" s="2" t="inlineStr">
        <is>
          <t>Q105</t>
        </is>
      </c>
      <c r="D106" s="2" t="inlineStr">
        <is>
          <t>Numerical</t>
        </is>
      </c>
      <c r="E106" s="3" t="inlineStr">
        <is>
          <t>Permutation &amp; Combination</t>
        </is>
      </c>
      <c r="F106" s="2" t="n">
        <v>4</v>
      </c>
      <c r="G106" s="7" t="n">
        <v>3</v>
      </c>
      <c r="H106" s="7" t="inlineStr">
        <is>
          <t>Average Advanced</t>
        </is>
      </c>
      <c r="I106" s="5" t="n">
        <v>0</v>
      </c>
      <c r="J106" s="5" t="n">
        <v>0</v>
      </c>
      <c r="K106" s="5">
        <f>MIN(5,MAX(G106+I106,J106))</f>
        <v/>
      </c>
      <c r="L106" s="5">
        <f>F106*K106</f>
        <v/>
      </c>
      <c r="M106" s="3" t="inlineStr">
        <is>
          <t>Divisors divisible by 3 are excluded; classify 5^b7^c mod 3 by parity of b.</t>
        </is>
      </c>
      <c r="N106" s="3" t="inlineStr">
        <is>
          <t>Needs the modular classification idea (5 = -1, 7 = 1 mod 3) plus careful listing; numerical with no options and the boundary issue about 1. Two linked ideas, short execution. Nearest 2026-P1-Q11 (counting, L3).</t>
        </is>
      </c>
      <c r="O106" s="3" t="inlineStr">
        <is>
          <t>2026-P1-Q11 (L3)</t>
        </is>
      </c>
      <c r="P106" s="2" t="inlineStr">
        <is>
          <t>Medium</t>
        </is>
      </c>
    </row>
    <row r="107">
      <c r="A107" s="2" t="n">
        <v>106</v>
      </c>
      <c r="B107" s="2" t="inlineStr"/>
      <c r="C107" s="2" t="inlineStr">
        <is>
          <t>Q106</t>
        </is>
      </c>
      <c r="D107" s="2" t="inlineStr">
        <is>
          <t>MTC SCQ</t>
        </is>
      </c>
      <c r="E107" s="3" t="inlineStr">
        <is>
          <t>Solution of Triangle / Binomial / Sequence</t>
        </is>
      </c>
      <c r="F107" s="2" t="n">
        <v>3</v>
      </c>
      <c r="G107" s="4" t="n">
        <v>2</v>
      </c>
      <c r="H107" s="4" t="inlineStr">
        <is>
          <t>Easier than Advanced</t>
        </is>
      </c>
      <c r="I107" s="5" t="n">
        <v>0</v>
      </c>
      <c r="J107" s="5" t="n">
        <v>0</v>
      </c>
      <c r="K107" s="5">
        <f>MIN(5,MAX(G107+I107,J107))</f>
        <v/>
      </c>
      <c r="L107" s="5">
        <f>F107*K107</f>
        <v/>
      </c>
      <c r="M107" s="3" t="inlineStr">
        <is>
          <t>Reduce abc=(b+c-a)(c+a-b)(a+b-c) to R=2r (equilateral); incircle tangent length r cot(theta/2) in (c); two cases D=0 or A=-5D in (d).</t>
        </is>
      </c>
      <c r="N107" s="3" t="inlineStr">
        <is>
          <t>Four short standard parts from three chapters; (b) and (c) are known results, (d) has a mild two-case check and multiple matches; elimination possible. Nearest 2025-P1-Q14 (short-part matching, L2).</t>
        </is>
      </c>
      <c r="O107" s="3" t="inlineStr">
        <is>
          <t>2025-P1-Q14 (L2)</t>
        </is>
      </c>
      <c r="P107" s="2" t="inlineStr">
        <is>
          <t>Medium</t>
        </is>
      </c>
    </row>
    <row r="108">
      <c r="A108" s="2" t="n">
        <v>107</v>
      </c>
      <c r="B108" s="2" t="inlineStr"/>
      <c r="C108" s="2" t="inlineStr">
        <is>
          <t>Q107</t>
        </is>
      </c>
      <c r="D108" s="2" t="inlineStr">
        <is>
          <t>MTC SCQ</t>
        </is>
      </c>
      <c r="E108" s="3" t="inlineStr">
        <is>
          <t>Probability / Vector 3D</t>
        </is>
      </c>
      <c r="F108" s="2" t="n">
        <v>3</v>
      </c>
      <c r="G108" s="4" t="n">
        <v>2</v>
      </c>
      <c r="H108" s="4" t="inlineStr">
        <is>
          <t>Easier than Advanced</t>
        </is>
      </c>
      <c r="I108" s="5" t="n">
        <v>0</v>
      </c>
      <c r="J108" s="5" t="n">
        <v>0</v>
      </c>
      <c r="K108" s="5">
        <f>MIN(5,MAX(G108+I108,J108))</f>
        <v/>
      </c>
      <c r="L108" s="5">
        <f>F108*K108</f>
        <v/>
      </c>
      <c r="M108" s="3" t="inlineStr">
        <is>
          <t>Two tests suffice iff first two machines are the same kind; weighted die sum 4 = (1,3),(3,1).</t>
        </is>
      </c>
      <c r="N108" s="3" t="inlineStr">
        <is>
          <t>Four very short items; (a) and (b) are direct probability counts, (c) and (d) are definitional (and (c) is flawed in the source). Elimination via options makes it easy. Nearest 2025-P1-Q15 (short parts, L1) and 2025-P1-Q14 (L2); placed at 2 because of the two probability counts.</t>
        </is>
      </c>
      <c r="O108" s="3" t="inlineStr">
        <is>
          <t>2025-P1-Q14 (L2)</t>
        </is>
      </c>
      <c r="P108" s="2" t="inlineStr">
        <is>
          <t>Medium</t>
        </is>
      </c>
    </row>
    <row r="109">
      <c r="A109" s="2" t="n">
        <v>108</v>
      </c>
      <c r="B109" s="2" t="inlineStr"/>
      <c r="C109" s="2" t="inlineStr">
        <is>
          <t>Q108</t>
        </is>
      </c>
      <c r="D109" s="2" t="inlineStr">
        <is>
          <t>MTC SCQ</t>
        </is>
      </c>
      <c r="E109" s="3" t="inlineStr">
        <is>
          <t>Binomial Theorem</t>
        </is>
      </c>
      <c r="F109" s="2" t="n">
        <v>3</v>
      </c>
      <c r="G109" s="4" t="n">
        <v>2</v>
      </c>
      <c r="H109" s="4" t="inlineStr">
        <is>
          <t>Easier than Advanced</t>
        </is>
      </c>
      <c r="I109" s="5" t="n">
        <v>0</v>
      </c>
      <c r="J109" s="5" t="n">
        <v>0</v>
      </c>
      <c r="K109" s="5">
        <f>MIN(5,MAX(G109+I109,J109))</f>
        <v/>
      </c>
      <c r="L109" s="5">
        <f>F109*K109</f>
        <v/>
      </c>
      <c r="M109" s="3" t="inlineStr">
        <is>
          <t>(b) geometric sum collapses to 1-x^n so sum of coefficients is 0; (d) 3^4 = 80+1.</t>
        </is>
      </c>
      <c r="N109" s="3" t="inlineStr">
        <is>
          <t>Four short standard binomial/powers-of-i items; each is a known pattern; (c) in the source has a hidden trap that the printed key ignores, but options let a student pick D from (a),(b),(d). Nearest 2023-P1-Q13 (binomial, L1) and 2025-P1-Q14 (L2).</t>
        </is>
      </c>
      <c r="O109" s="3" t="inlineStr">
        <is>
          <t>2025-P1-Q14 (L2)</t>
        </is>
      </c>
      <c r="P109" s="2" t="inlineStr">
        <is>
          <t>Medium</t>
        </is>
      </c>
    </row>
    <row r="110">
      <c r="A110" s="2" t="n">
        <v>109</v>
      </c>
      <c r="B110" s="2" t="inlineStr"/>
      <c r="C110" s="2" t="inlineStr">
        <is>
          <t>Q109</t>
        </is>
      </c>
      <c r="D110" s="2" t="inlineStr">
        <is>
          <t>MTC SCQ</t>
        </is>
      </c>
      <c r="E110" s="3" t="inlineStr">
        <is>
          <t>Permutation &amp; Combination</t>
        </is>
      </c>
      <c r="F110" s="2" t="n">
        <v>3</v>
      </c>
      <c r="G110" s="4" t="n">
        <v>2</v>
      </c>
      <c r="H110" s="4" t="inlineStr">
        <is>
          <t>Easier than Advanced</t>
        </is>
      </c>
      <c r="I110" s="5" t="n">
        <v>0</v>
      </c>
      <c r="J110" s="5" t="n">
        <v>0</v>
      </c>
      <c r="K110" s="5">
        <f>MIN(5,MAX(G110+I110,J110))</f>
        <v/>
      </c>
      <c r="L110" s="5">
        <f>F110*K110</f>
        <v/>
      </c>
      <c r="M110" s="3" t="inlineStr">
        <is>
          <t>Classify the four cases: onto maps (150), compositions (6), set partitions (25), integer partitions (2).</t>
        </is>
      </c>
      <c r="N110" s="3" t="inlineStr">
        <is>
          <t>Four standard textbook distribution counts, each a known formula; no insight needed, elimination via options. Nearest 2026-P1-Q11 (L3, bounded distributions) is harder; this is routine, so L2.</t>
        </is>
      </c>
      <c r="O110" s="3" t="inlineStr">
        <is>
          <t>2026-P1-Q11 (L3)</t>
        </is>
      </c>
      <c r="P110" s="2" t="inlineStr">
        <is>
          <t>High</t>
        </is>
      </c>
    </row>
    <row r="112">
      <c r="A112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B1 Assignment Algebra 02.pdf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COUNTIF(Evaluation!$G$2:$G$110,A5)</f>
        <v/>
      </c>
      <c r="D5" s="11">
        <f>SUMIF(Evaluation!$G$2:$G$110,A5,Evaluation!$F$2:$F$110)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COUNTIF(Evaluation!$G$2:$G$110,A6)</f>
        <v/>
      </c>
      <c r="D6" s="13">
        <f>SUMIF(Evaluation!$G$2:$G$110,A6,Evaluation!$F$2:$F$110)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COUNTIF(Evaluation!$G$2:$G$110,A7)</f>
        <v/>
      </c>
      <c r="D7" s="15">
        <f>SUMIF(Evaluation!$G$2:$G$110,A7,Evaluation!$F$2:$F$110)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COUNTIF(Evaluation!$G$2:$G$110,A8)</f>
        <v/>
      </c>
      <c r="D8" s="17">
        <f>SUMIF(Evaluation!$G$2:$G$110,A8,Evaluation!$F$2:$F$110)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COUNTIF(Evaluation!$G$2:$G$110,A9)</f>
        <v/>
      </c>
      <c r="D9" s="19">
        <f>SUMIF(Evaluation!$G$2:$G$110,A9,Evaluation!$F$2:$F$110)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COUNTIF(Evaluation!$G$2:$G$110,A10)</f>
        <v/>
      </c>
      <c r="D10" s="21">
        <f>SUMIF(Evaluation!$G$2:$G$110,A10,Evaluation!$F$2:$F$110)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SUM(Evaluation!$L$2:$L$110)/SUM(Evaluation!$F$2:$F$110)</f>
        <v/>
      </c>
      <c r="C14" s="24">
        <f>SUMPRODUCT(Evaluation!$F$2:$F$110,Evaluation!$G$2:$G$110)/SUM(Evaluation!$F$2:$F$110)</f>
        <v/>
      </c>
      <c r="D14" s="23">
        <f>SUM(Evaluation!$F$2:$F$110)</f>
        <v/>
      </c>
      <c r="E14" s="24">
        <f>AVERAGE(Evaluation!$G$2:$G$110)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2026-10-07T16:21:24Z</dcterms:created>
  <dcterms:modified xmlns:dcterms="http://purl.org/dc/terms/" xmlns:xsi="http://www.w3.org/2001/XMLSchema-instance" xsi:type="dcterms:W3CDTF">2026-10-07T16:21:24Z</dcterms:modified>
</cp:coreProperties>
</file>