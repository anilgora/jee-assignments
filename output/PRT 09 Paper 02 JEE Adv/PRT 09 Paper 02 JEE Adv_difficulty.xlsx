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Differential Equation (polar orthogonal trajectories)</t>
        </is>
      </c>
      <c r="F2" s="2" t="n">
        <v>4</v>
      </c>
      <c r="G2" s="4" t="n">
        <v>3</v>
      </c>
      <c r="H2" s="4" t="inlineStr">
        <is>
          <t>Average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Convert to polar form and replace dr/dθ by -r²dθ/dr to get the orthogonal family.</t>
        </is>
      </c>
      <c r="N2" s="3" t="inlineStr">
        <is>
          <t>Polar-coordinate orthogonal trajectories are less drilled than Cartesian ones; the chain (polar ODE, orthogonal replacement, integration, evaluate at θ=π/4) is routine afterwards, with options.</t>
        </is>
      </c>
      <c r="O2" s="3" t="inlineStr">
        <is>
          <t>2025-P2-Q9 (L3, DE with initial condition) + 2026-P2-Q3 (L2)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Indefinite Integration; Parabola</t>
        </is>
      </c>
      <c r="F3" s="2" t="n">
        <v>4</v>
      </c>
      <c r="G3" s="4" t="n">
        <v>3</v>
      </c>
      <c r="H3" s="4" t="inlineStr">
        <is>
          <t>Average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Divide by x^15 to expose u=1+x^-2+x^-5, then chord of contact from a point on the directrix.</t>
        </is>
      </c>
      <c r="N3" s="3" t="inlineStr">
        <is>
          <t>Hidden substitution unlocks the integral, then a two-step tangent-chord computation; options help.</t>
        </is>
      </c>
      <c r="O3" s="3" t="inlineStr">
        <is>
          <t>2026-P2-Q2 (L3) + 2023-P2-Q1 (L3)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Differential Equation; Application of Derivatives; Definite Integration</t>
        </is>
      </c>
      <c r="F4" s="2" t="n">
        <v>4</v>
      </c>
      <c r="G4" s="4" t="n">
        <v>3</v>
      </c>
      <c r="H4" s="4" t="inlineStr">
        <is>
          <t>Average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Distance condition becomes a homogeneous DE whose solution is the circle x²+(y-1)²=1; x-intercept of tangent gives an integrand with a hidden antiderivative.</t>
        </is>
      </c>
      <c r="N4" s="3" t="inlineStr">
        <is>
          <t>Four stages (distance equation, homogeneous DE, tangent intercept, integral by spotting the derivative) but each is standard.</t>
        </is>
      </c>
      <c r="O4" s="3" t="inlineStr">
        <is>
          <t>2025-P2-Q9 (L4) + 2026-P2-Q4 (L3)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Differential Equation</t>
        </is>
      </c>
      <c r="F5" s="2" t="n">
        <v>4</v>
      </c>
      <c r="G5" s="4" t="n">
        <v>3</v>
      </c>
      <c r="H5" s="4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Group terms as d(xy)+d(x²ye^x)=x²e^x dx, or the integrating factor x(1+xe^x).</t>
        </is>
      </c>
      <c r="N5" s="3" t="inlineStr">
        <is>
          <t>The integrating factor is not obvious from the equation; recognising the exact differential is the one non-routine step.</t>
        </is>
      </c>
      <c r="O5" s="3" t="inlineStr">
        <is>
          <t>2024-P1-Q1 (L3)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MCQ</t>
        </is>
      </c>
      <c r="E6" s="3" t="inlineStr">
        <is>
          <t>Parabola; Application of Derivatives</t>
        </is>
      </c>
      <c r="F6" s="2" t="n">
        <v>4</v>
      </c>
      <c r="G6" s="6" t="n">
        <v>4</v>
      </c>
      <c r="H6" s="6" t="inlineStr">
        <is>
          <t>Slightly difficult</t>
        </is>
      </c>
      <c r="I6" s="5" t="n">
        <v>0</v>
      </c>
      <c r="J6" s="5" t="n">
        <v>2.5</v>
      </c>
      <c r="K6" s="5">
        <f>MIN(5,MAX(G6+I6,J6))</f>
        <v/>
      </c>
      <c r="L6" s="5">
        <f>F6*K6</f>
        <v/>
      </c>
      <c r="M6" s="3" t="inlineStr">
        <is>
          <t>Normals m³+(2-α)m+β=0 give Σm=0 and the discriminant region; each statement then reduces to a calculus inequality in α.</t>
        </is>
      </c>
      <c r="N6" s="3" t="inlineStr">
        <is>
          <t>Four statements, each a separate inequality needing monotonicity of a cubic in α (A, C, D) or a direct check (B); long and precise with no way to guess.</t>
        </is>
      </c>
      <c r="O6" s="3" t="inlineStr">
        <is>
          <t>2024-P2-Q7 (L4) + 2023-P1-Q2 (L4)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MCQ</t>
        </is>
      </c>
      <c r="E7" s="3" t="inlineStr">
        <is>
          <t>Continuity &amp; Differentiability; Area Under Curve; Definite Integration</t>
        </is>
      </c>
      <c r="F7" s="2" t="n">
        <v>4</v>
      </c>
      <c r="G7" s="4" t="n">
        <v>3</v>
      </c>
      <c r="H7" s="4" t="inlineStr">
        <is>
          <t>Average Advanced</t>
        </is>
      </c>
      <c r="I7" s="5" t="n">
        <v>0</v>
      </c>
      <c r="J7" s="5" t="n">
        <v>2.5</v>
      </c>
      <c r="K7" s="5">
        <f>MIN(5,MAX(G7+I7,J7))</f>
        <v/>
      </c>
      <c r="L7" s="5">
        <f>F7*K7</f>
        <v/>
      </c>
      <c r="M7" s="3" t="inlineStr">
        <is>
          <t>Reduce the limit to a piecewise function; separate signed integral from the area and note the region in (D).</t>
        </is>
      </c>
      <c r="N7" s="3" t="inlineStr">
        <is>
          <t>Four routine checks, but signed integral vs total area vs region between y=f and y=1 invites slips.</t>
        </is>
      </c>
      <c r="O7" s="3" t="inlineStr">
        <is>
          <t>2023-P2-Q6 (L4) + 2021-P2-Q3 (L2)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MCQ</t>
        </is>
      </c>
      <c r="E8" s="3" t="inlineStr">
        <is>
          <t>Definite Integration</t>
        </is>
      </c>
      <c r="F8" s="2" t="n">
        <v>4</v>
      </c>
      <c r="G8" s="7" t="n">
        <v>2</v>
      </c>
      <c r="H8" s="7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Odd function, king property a+b-x, and the 2a-x property.</t>
        </is>
      </c>
      <c r="N8" s="3" t="inlineStr">
        <is>
          <t>Three standard integral properties applied once each.</t>
        </is>
      </c>
      <c r="O8" s="3" t="inlineStr">
        <is>
          <t>2026-P2-Q4 (L3 listed, simpler here) and 2021-P2-Q11 (L2)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MCQ</t>
        </is>
      </c>
      <c r="E9" s="3" t="inlineStr">
        <is>
          <t>Differentiation; Definite Integration (Leibniz rule)</t>
        </is>
      </c>
      <c r="F9" s="2" t="n">
        <v>4</v>
      </c>
      <c r="G9" s="4" t="n">
        <v>3</v>
      </c>
      <c r="H9" s="4" t="inlineStr">
        <is>
          <t>Average Advanced</t>
        </is>
      </c>
      <c r="I9" s="5" t="n">
        <v>0</v>
      </c>
      <c r="J9" s="5" t="n">
        <v>2.5</v>
      </c>
      <c r="K9" s="5">
        <f>MIN(5,MAX(G9+I9,J9))</f>
        <v/>
      </c>
      <c r="L9" s="5">
        <f>F9*K9</f>
        <v/>
      </c>
      <c r="M9" s="3" t="inlineStr">
        <is>
          <t>Treat x as parameter: d/dv = (1/(dv/dx)) d/dx, applied three times.</t>
        </is>
      </c>
      <c r="N9" s="3" t="inlineStr">
        <is>
          <t>Repeated parametric differentiation with exponentials is careful but mechanical; option (D) needs 1-v = e^{-x²}.</t>
        </is>
      </c>
      <c r="O9" s="3" t="inlineStr">
        <is>
          <t>2026-P2-Q8 (L4, easier) / 2023-P2-Q6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Para SCQ</t>
        </is>
      </c>
      <c r="E10" s="3" t="inlineStr">
        <is>
          <t>Parabola</t>
        </is>
      </c>
      <c r="F10" s="2" t="n">
        <v>3</v>
      </c>
      <c r="G10" s="7" t="n">
        <v>2</v>
      </c>
      <c r="H10" s="7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Focal chord length 4a csc²θ gives θ=30°, then t1t2=-1 and area of the tangent triangle.</t>
        </is>
      </c>
      <c r="N10" s="3" t="inlineStr">
        <is>
          <t>Standard parametric focal-chord chain; no insight beyond the length formula.</t>
        </is>
      </c>
      <c r="O10" s="3" t="inlineStr">
        <is>
          <t>2026-P2-Q2 (L3 SCQ, more steps) / 2021-P2-Q8 (L2 stem)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Para SCQ</t>
        </is>
      </c>
      <c r="E11" s="3" t="inlineStr">
        <is>
          <t>Parabola; Circle</t>
        </is>
      </c>
      <c r="F11" s="2" t="n">
        <v>3</v>
      </c>
      <c r="G11" s="4" t="n">
        <v>3</v>
      </c>
      <c r="H11" s="4" t="inlineStr">
        <is>
          <t>Average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Tangents at the ends of a focal chord are perpendicular, so PQ is the diameter of the circumcircle.</t>
        </is>
      </c>
      <c r="N11" s="3" t="inlineStr">
        <is>
          <t>Needs that property to avoid a general circumcentre calculation, then an intercept; depends on the previous part.</t>
        </is>
      </c>
      <c r="O11" s="3" t="inlineStr">
        <is>
          <t>2026-P1-Q2 (L3, right angle gives circumradius)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INT</t>
        </is>
      </c>
      <c r="E12" s="3" t="inlineStr">
        <is>
          <t>Differential Equation</t>
        </is>
      </c>
      <c r="F12" s="2" t="n">
        <v>4</v>
      </c>
      <c r="G12" s="4" t="n">
        <v>3</v>
      </c>
      <c r="H12" s="4" t="inlineStr">
        <is>
          <t>Average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(e^{(x+y)/2}+e^{-(x+y)/2})² = (e^u+1)²/e^u with u=x+y separates the variables.</t>
        </is>
      </c>
      <c r="N12" s="3" t="inlineStr">
        <is>
          <t>Spotting the substitution and the clean integral of e^u/(e^u+1)²; the rest is evaluation.</t>
        </is>
      </c>
      <c r="O12" s="3" t="inlineStr">
        <is>
          <t>2025-P2-Q9 (L4) / 2025-P1-Q13 (L4); lower since the route is short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INT</t>
        </is>
      </c>
      <c r="E13" s="3" t="inlineStr">
        <is>
          <t>Ellipse; Definite Integration</t>
        </is>
      </c>
      <c r="F13" s="2" t="n">
        <v>4</v>
      </c>
      <c r="G13" s="7" t="n">
        <v>2</v>
      </c>
      <c r="H13" s="7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Chord length for slope 1 gives L² = (16/9)(3-c²).</t>
        </is>
      </c>
      <c r="N13" s="3" t="inlineStr">
        <is>
          <t>Routine chain: intersect, chord length, polynomial integral.</t>
        </is>
      </c>
      <c r="O13" s="3" t="inlineStr">
        <is>
          <t>2021-P2-Q18 (L4) simpler; 2026-P2-Q17 (L2)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INT</t>
        </is>
      </c>
      <c r="E14" s="3" t="inlineStr">
        <is>
          <t>Area Under Curve</t>
        </is>
      </c>
      <c r="F14" s="2" t="n">
        <v>4</v>
      </c>
      <c r="G14" s="8" t="n">
        <v>1</v>
      </c>
      <c r="H14" s="8" t="inlineStr">
        <is>
          <t>JEE Main level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Symmetry about the y-axis halves the region.</t>
        </is>
      </c>
      <c r="N14" s="3" t="inlineStr">
        <is>
          <t>One familiar move: area between a parabola and a modulus line.</t>
        </is>
      </c>
      <c r="O14" s="3" t="inlineStr">
        <is>
          <t>2024-P2-Q2 (L3 SCQ) lower here, symmetric and short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INT</t>
        </is>
      </c>
      <c r="E15" s="3" t="inlineStr">
        <is>
          <t>Application of Derivatives (inequalities)</t>
        </is>
      </c>
      <c r="F15" s="2" t="n">
        <v>4</v>
      </c>
      <c r="G15" s="6" t="n">
        <v>4</v>
      </c>
      <c r="H15" s="6" t="inlineStr">
        <is>
          <t>Slightly difficult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Show f'(0)=0 and test the sign of f'' near 0; the cubic P(x) decides k≥2.</t>
        </is>
      </c>
      <c r="N15" s="3" t="inlineStr">
        <is>
          <t>Parametric inequality 'for all x' needing two differentiations, a sufficiency and a necessity argument.</t>
        </is>
      </c>
      <c r="O15" s="3" t="inlineStr">
        <is>
          <t>2025-P1-Q11 (L4) / 2023-P2-Q8 (L4)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Integral Equation; Differential Equation; Area Under Curve</t>
        </is>
      </c>
      <c r="F16" s="2" t="n">
        <v>4</v>
      </c>
      <c r="G16" s="4" t="n">
        <v>3</v>
      </c>
      <c r="H16" s="4" t="inlineStr">
        <is>
          <t>Average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With g=∫f/√(1-t²), the equation becomes g g' = x³/2, so g = x²/2 and f = x√(1-x²).</t>
        </is>
      </c>
      <c r="N16" s="3" t="inlineStr">
        <is>
          <t>One clean idea (g g' form) then max and two areas.</t>
        </is>
      </c>
      <c r="O16" s="3" t="inlineStr">
        <is>
          <t>2023-P2-Q1 (L3)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Definite Integration (limit of a sum)</t>
        </is>
      </c>
      <c r="F17" s="2" t="n">
        <v>4</v>
      </c>
      <c r="G17" s="7" t="n">
        <v>2</v>
      </c>
      <c r="H17" s="7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Limit gives ∫0^8 of a period-1/2 function, so it is 16∫0^{1/2}.</t>
        </is>
      </c>
      <c r="N17" s="3" t="inlineStr">
        <is>
          <t>Standard Riemann sum with periodicity and Walli's integrals.</t>
        </is>
      </c>
      <c r="O17" s="3" t="inlineStr">
        <is>
          <t>2025-P1-Q11 (L4) heavier; 2024-P2-Q16 (L3)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Numerical</t>
        </is>
      </c>
      <c r="E18" s="3" t="inlineStr">
        <is>
          <t>Indefinite Integration</t>
        </is>
      </c>
      <c r="F18" s="2" t="n">
        <v>4</v>
      </c>
      <c r="G18" s="7" t="n">
        <v>2</v>
      </c>
      <c r="H18" s="7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Half-angle form gives e^x(h+h') and ∫(u+xu') pattern.</t>
        </is>
      </c>
      <c r="N18" s="3" t="inlineStr">
        <is>
          <t>Two standard forms after half-angle rewriting.</t>
        </is>
      </c>
      <c r="O18" s="3" t="inlineStr">
        <is>
          <t>2026-P2-Q4 (L3) harder idea; routine here</t>
        </is>
      </c>
      <c r="P18" s="2" t="inlineStr">
        <is>
          <t>High</t>
        </is>
      </c>
    </row>
    <row r="20">
      <c r="A20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PRT 09 Paper 02 JEE Adv.pdf   |   Evaluated on: 2026-10-23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COUNTIF(Evaluation!$G$2:$G$18,A5)</f>
        <v/>
      </c>
      <c r="D5" s="11">
        <f>SUMIF(Evaluation!$G$2:$G$18,A5,Evaluation!$F$2:$F$18)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COUNTIF(Evaluation!$G$2:$G$18,A6)</f>
        <v/>
      </c>
      <c r="D6" s="13">
        <f>SUMIF(Evaluation!$G$2:$G$18,A6,Evaluation!$F$2:$F$18)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COUNTIF(Evaluation!$G$2:$G$18,A7)</f>
        <v/>
      </c>
      <c r="D7" s="15">
        <f>SUMIF(Evaluation!$G$2:$G$18,A7,Evaluation!$F$2:$F$18)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COUNTIF(Evaluation!$G$2:$G$18,A8)</f>
        <v/>
      </c>
      <c r="D8" s="17">
        <f>SUMIF(Evaluation!$G$2:$G$18,A8,Evaluation!$F$2:$F$18)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COUNTIF(Evaluation!$G$2:$G$18,A9)</f>
        <v/>
      </c>
      <c r="D9" s="19">
        <f>SUMIF(Evaluation!$G$2:$G$18,A9,Evaluation!$F$2:$F$18)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COUNTIF(Evaluation!$G$2:$G$18,A10)</f>
        <v/>
      </c>
      <c r="D10" s="21">
        <f>SUMIF(Evaluation!$G$2:$G$18,A10,Evaluation!$F$2:$F$18)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SUM(Evaluation!$L$2:$L$18)/SUM(Evaluation!$F$2:$F$18)</f>
        <v/>
      </c>
      <c r="C14" s="24">
        <f>SUMPRODUCT(Evaluation!$F$2:$F$18,Evaluation!$G$2:$G$18)/SUM(Evaluation!$F$2:$F$18)</f>
        <v/>
      </c>
      <c r="D14" s="23">
        <f>SUM(Evaluation!$F$2:$F$18)</f>
        <v/>
      </c>
      <c r="E14" s="24">
        <f>AVERAGE(Evaluation!$G$2:$G$18)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2026-10-23T17:28:28Z</dcterms:created>
  <dcterms:modified xmlns:dcterms="http://purl.org/dc/terms/" xmlns:xsi="http://www.w3.org/2001/XMLSchema-instance" xsi:type="dcterms:W3CDTF">2026-10-23T17:28:28Z</dcterms:modified>
</cp:coreProperties>
</file>