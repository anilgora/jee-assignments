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8" borderId="1" pivotButton="0" quotePrefix="0" xfId="0"/>
    <xf numFmtId="9" fontId="2" fillId="8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Complex Number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Real quadratic has non-real roots only if discriminant &lt; 0, so a &lt; 3/4.</t>
        </is>
      </c>
      <c r="N2" s="3" t="inlineStr">
        <is>
          <t>One familiar move (discriminant), applied once; option check is immediate. Same single-step level as 2025-P1-Q7 (L1).</t>
        </is>
      </c>
      <c r="O2" s="3" t="inlineStr">
        <is>
          <t>2025-P1-Q7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MCQ</t>
        </is>
      </c>
      <c r="E3" s="3" t="inlineStr">
        <is>
          <t>Complex Number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Only 30-degree multiples on the unit circle; Re z &gt; 1/2 and &lt; -1/2 select the arcs.</t>
        </is>
      </c>
      <c r="N3" s="3" t="inlineStr">
        <is>
          <t>Routine chain: identify 12th roots of unity, filter two half-planes, list angles; no insight beyond reading Re z = cos t. Strict-inequality trap on cos 60 deg keeps it above 1.</t>
        </is>
      </c>
      <c r="O3" s="3" t="inlineStr">
        <is>
          <t>2026-P2-Q3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MCQ</t>
        </is>
      </c>
      <c r="E4" s="3" t="inlineStr">
        <is>
          <t>Complex Number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2.5</v>
      </c>
      <c r="K4" s="5">
        <f>MIN(5,MAX(G4+I4,J4))</f>
        <v/>
      </c>
      <c r="L4" s="5">
        <f>F4*K4</f>
        <v/>
      </c>
      <c r="M4" s="3" t="inlineStr">
        <is>
          <t>p_ij = w^i w^j so P^2 entries factor with sum of w^(2k), zero iff 3 | n.</t>
        </is>
      </c>
      <c r="N4" s="3" t="inlineStr">
        <is>
          <t>Routine multi-step: expand matrix product, GP/roots-of-unity sum, check n mod 3 for four options. Two concepts (matrices, cube roots of unity) so the 2.5 floor applies.</t>
        </is>
      </c>
      <c r="O4" s="3" t="inlineStr">
        <is>
          <t>2026-P1-Q3 (L1) / 2023-P2-Q9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Para SCQ</t>
        </is>
      </c>
      <c r="E5" s="3" t="inlineStr">
        <is>
          <t>Complex Number</t>
        </is>
      </c>
      <c r="F5" s="2" t="n">
        <v>3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Decode Im[(z-1+sqrt3 i)/(1-sqrt3 i)] &gt; 0 as a half-plane through the origin; area is a 150-degree sector.</t>
        </is>
      </c>
      <c r="N5" s="3" t="inlineStr">
        <is>
          <t>Two ideas linked: translate the Im condition into a half-plane (line through origin at -60 deg) and combine with a disc and Re z &gt; 0 to read off a sector. Paragraph-based items sit high on this scale.</t>
        </is>
      </c>
      <c r="O5" s="3" t="inlineStr">
        <is>
          <t>2021-P1-Q16 (L3) / 2021-P1-Q4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Para SCQ</t>
        </is>
      </c>
      <c r="E6" s="3" t="inlineStr">
        <is>
          <t>Complex Number</t>
        </is>
      </c>
      <c r="F6" s="2" t="n">
        <v>3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Nearest point of S to (1,-3) is the foot of the perpendicular on the boundary line, if inside the disc.</t>
        </is>
      </c>
      <c r="N6" s="3" t="inlineStr">
        <is>
          <t>Needs the region from Q4 plus a point-to-region distance with a check that the foot lies in the closure; the geometry is routine but the 'is the foot inside' decision is a real step. Same family as 2025-P1-Q7 geometry plus extra stage.</t>
        </is>
      </c>
      <c r="O6" s="3" t="inlineStr">
        <is>
          <t>2021-P1-Q16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Complex Number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Square both circle conditions and eliminate alpha*conj(z0)+conj(alpha)*z0.</t>
        </is>
      </c>
      <c r="N7" s="3" t="inlineStr">
        <is>
          <t>Long modulus algebra with the inversion 1/conj(alpha) and elimination of a cross term; slips are likely though no unfamiliar idea. Heavier than 2025-P1-Q7 (L1) and about 2021-P1-Q4 (L3).</t>
        </is>
      </c>
      <c r="O7" s="3" t="inlineStr">
        <is>
          <t>2021-P1-Q4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MTC SCQ</t>
        </is>
      </c>
      <c r="E8" s="3" t="inlineStr">
        <is>
          <t>Complex Number</t>
        </is>
      </c>
      <c r="F8" s="2" t="n">
        <v>3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z_k are 10th roots of unity: pair z_k with z_(10-k); evaluate cyclotomic factorisation at 1.</t>
        </is>
      </c>
      <c r="N8" s="3" t="inlineStr">
        <is>
          <t>Four short standard roots-of-unity facts; elimination across the codes is possible. Routine, no insight.</t>
        </is>
      </c>
      <c r="O8" s="3" t="inlineStr">
        <is>
          <t>2026-P1-Q13 (L3) lower; 2021-P2-Q17 (L1)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MTC SCQ</t>
        </is>
      </c>
      <c r="E9" s="3" t="inlineStr">
        <is>
          <t>Complex Number</t>
        </is>
      </c>
      <c r="F9" s="2" t="n">
        <v>3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(C): the three bases are a, a*w, a*w^2; (D): casework on harmonic mean with AP.</t>
        </is>
      </c>
      <c r="N9" s="3" t="inlineStr">
        <is>
          <t>Four unrelated mini-problems (projection, differentiability, cube roots, HM-AP) with multi-entry matching: more work than an ordinary MTC, the (C) trick and (D) two-case solution need care.</t>
        </is>
      </c>
      <c r="O9" s="3" t="inlineStr">
        <is>
          <t>2026-P1-Q16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INT</t>
        </is>
      </c>
      <c r="E10" s="3" t="inlineStr">
        <is>
          <t>Complex Number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Consecutive alpha_k differ by the same rotation so every chord is equal; ratio of counts 12/3.</t>
        </is>
      </c>
      <c r="N10" s="3" t="inlineStr">
        <is>
          <t>One observation (equal chords) then counting terms; very short, but the format is integer with no options.</t>
        </is>
      </c>
      <c r="O10" s="3" t="inlineStr">
        <is>
          <t>2026-P2-Q12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INT</t>
        </is>
      </c>
      <c r="E11" s="3" t="inlineStr">
        <is>
          <t>Complex Number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Off-diagonal zero forces r odd; diagonal gives 1 + w^s + w^(2r) = 0; check cases.</t>
        </is>
      </c>
      <c r="N11" s="3" t="inlineStr">
        <is>
          <t>Matrix squaring with powers of w, then a casework decision on (r,s); precision needed, integer answer with no options. Cayley-Hamilton shortcut is not obvious.</t>
        </is>
      </c>
      <c r="O11" s="3" t="inlineStr">
        <is>
          <t>2026-P1-Q8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MCQ</t>
        </is>
      </c>
      <c r="E12" s="3" t="inlineStr">
        <is>
          <t>Complex Number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Rationalise to get x,y in t; x^2+y^2 = x/a eliminates t; check four statements.</t>
        </is>
      </c>
      <c r="N12" s="3" t="inlineStr">
        <is>
          <t>Standard locus elimination; each option short. One concept (locus of 1/(a+ibt)).</t>
        </is>
      </c>
      <c r="O12" s="3" t="inlineStr">
        <is>
          <t>2024-P2-Q3 (L1) / 2026-P2-Q8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MCQ</t>
        </is>
      </c>
      <c r="E13" s="3" t="inlineStr">
        <is>
          <t>Complex Number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Im(az+b)/(z+1) = (a-b)y/|z+1|^2, so |z+1| = 1.</t>
        </is>
      </c>
      <c r="N13" s="3" t="inlineStr">
        <is>
          <t>Routine algebra giving a circle, then two options by form; the Mobius decomposition shortens it but is not required.</t>
        </is>
      </c>
      <c r="O13" s="3" t="inlineStr">
        <is>
          <t>2026-P2-Q8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MCQ</t>
        </is>
      </c>
      <c r="E14" s="3" t="inlineStr">
        <is>
          <t>Complex Number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2.5</v>
      </c>
      <c r="K14" s="5">
        <f>MIN(5,MAX(G14+I14,J14))</f>
        <v/>
      </c>
      <c r="L14" s="5">
        <f>F14*K14</f>
        <v/>
      </c>
      <c r="M14" s="3" t="inlineStr">
        <is>
          <t>Principal argument jumps at the negative real axis; negative-real cross-ratio is a circle.</t>
        </is>
      </c>
      <c r="N14" s="3" t="inlineStr">
        <is>
          <t>Four statements each needing a genuine check (branch cut continuity, arg of quotient mod 2 pi, cross-ratio locus) across two concepts; counterexample-style reasoning. Like 2026-P1-Q7 (L3).</t>
        </is>
      </c>
      <c r="O14" s="3" t="inlineStr">
        <is>
          <t>2026-P1-Q7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MCQ</t>
        </is>
      </c>
      <c r="E15" s="3" t="inlineStr">
        <is>
          <t>Complex Number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2.5</v>
      </c>
      <c r="K15" s="5">
        <f>MIN(5,MAX(G15+I15,J15))</f>
        <v/>
      </c>
      <c r="L15" s="5">
        <f>F15*K15</f>
        <v/>
      </c>
      <c r="M15" s="3" t="inlineStr">
        <is>
          <t>Treat sz + t zbar + r = 0 and its conjugate as a linear system with determinant |s|^2-|t|^2.</t>
        </is>
      </c>
      <c r="N15" s="3" t="inlineStr">
        <is>
          <t>Four statements on solution count, with an example needed to refute (B) and the line-circle bound for (C). Two concepts (solution structure, line meets circle).</t>
        </is>
      </c>
      <c r="O15" s="3" t="inlineStr">
        <is>
          <t>2026-P1-Q7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Complex Number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Maximising 1/|z-1| over the exterior of a circle: nearest point on the ray from the centre through 1.</t>
        </is>
      </c>
      <c r="N16" s="3" t="inlineStr">
        <is>
          <t>Two stages: spot that 1 lies inside the circle so the nearest point is on the circle along the line of centres, then evaluate a conjugate expression. Single-correct, options help.</t>
        </is>
      </c>
      <c r="O16" s="3" t="inlineStr">
        <is>
          <t>2025-P2-Q13 (L4) lower; 2021-P1-Q4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Complex Number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|a+bw+cw^2|^2 = half the sum of squared differences; distinct integers give 1,1,2.</t>
        </is>
      </c>
      <c r="N17" s="3" t="inlineStr">
        <is>
          <t>Known identity then a one-line minimisation; numerical answer but short.</t>
        </is>
      </c>
      <c r="O17" s="3" t="inlineStr">
        <is>
          <t>2023-P2-Q9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MCQ</t>
        </is>
      </c>
      <c r="E18" s="3" t="inlineStr">
        <is>
          <t>Complex Number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Complete the square: |w^2 + 3/4| = 1 bounds |w| between 1/2 and sqrt7/2.</t>
        </is>
      </c>
      <c r="N18" s="3" t="inlineStr">
        <is>
          <t>Four statements: ranges of |z+1/2|, |z| bound and element count; moderate, triangle inequality plus parametrisation. One concept, but each option needs a genuine check.</t>
        </is>
      </c>
      <c r="O18" s="3" t="inlineStr">
        <is>
          <t>2021-P1-Q16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Complex Number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z^2 - zbar^2 = 4i gives xy = 1; minimum distance between hyperbola branches.</t>
        </is>
      </c>
      <c r="N19" s="3" t="inlineStr">
        <is>
          <t>Two ideas: reduce to a rectangular hyperbola and know the branch-distance (or AM-GM). Numerical format.</t>
        </is>
      </c>
      <c r="O19" s="3" t="inlineStr">
        <is>
          <t>2021-P1-Q4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MCQ</t>
        </is>
      </c>
      <c r="E20" s="3" t="inlineStr">
        <is>
          <t>Complex Number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arg difference = pi/4 gives circle x^2+y^2+(a+b)x+(a-b)y+ab=0; compare coefficients.</t>
        </is>
      </c>
      <c r="N20" s="3" t="inlineStr">
        <is>
          <t>User's own rating of 2021-P1-Q16 (same question): Level 3.</t>
        </is>
      </c>
      <c r="O20" s="3" t="inlineStr">
        <is>
          <t>2021-P1-Q16 (L3, same question)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Complex Number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Each term is a chord: 2 sin(theta/2) and 2|sin theta|; bound the sums.</t>
        </is>
      </c>
      <c r="N21" s="3" t="inlineStr">
        <is>
          <t>User's own rating of 2021-P1-Q4 (same question): Level 3.</t>
        </is>
      </c>
      <c r="O21" s="3" t="inlineStr">
        <is>
          <t>2021-P1-Q4 (L3, same question)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Complex Number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Divide by z: real iff 2z+1/z real, giving |z|^2 = 1/2.</t>
        </is>
      </c>
      <c r="N22" s="3" t="inlineStr">
        <is>
          <t>Routine: one reduction and one conjugate step, numerical answer; no new idea beyond the z + c/z reality trick.</t>
        </is>
      </c>
      <c r="O22" s="3" t="inlineStr">
        <is>
          <t>2026-P2-Q12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Complex Number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Collect: z^2 = -i zbar; split into real and imaginary parts and count.</t>
        </is>
      </c>
      <c r="N23" s="3" t="inlineStr">
        <is>
          <t>Routine casework of two cases giving four points; number-of-roots needs care but the algebra is short.</t>
        </is>
      </c>
      <c r="O23" s="3" t="inlineStr">
        <is>
          <t>2026-P2-Q3 (L2)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MCQ</t>
        </is>
      </c>
      <c r="E24" s="3" t="inlineStr">
        <is>
          <t>Complex Number</t>
        </is>
      </c>
      <c r="F24" s="2" t="n">
        <v>4</v>
      </c>
      <c r="G24" s="8" t="n">
        <v>4</v>
      </c>
      <c r="H24" s="8" t="inlineStr">
        <is>
          <t>Slightly difficult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Integer real and imaginary parts force r^4 + 1/r^4 to be an integer.</t>
        </is>
      </c>
      <c r="N24" s="3" t="inlineStr">
        <is>
          <t>Non-routine key idea (modulus squared of an integer-parts number) plus testing four unusual radicals; multi-option judgement. No exact anchor; rated at the level of idea-availability items such as 2026-P2-Q6 (L4).</t>
        </is>
      </c>
      <c r="O24" s="3" t="inlineStr">
        <is>
          <t>2026-P2-Q6 (L4)</t>
        </is>
      </c>
      <c r="P24" s="2" t="inlineStr">
        <is>
          <t>Low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INT</t>
        </is>
      </c>
      <c r="E25" s="3" t="inlineStr">
        <is>
          <t>Complex Number</t>
        </is>
      </c>
      <c r="F25" s="2" t="n">
        <v>4</v>
      </c>
      <c r="G25" s="7" t="n">
        <v>3</v>
      </c>
      <c r="H25" s="7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Factor 281; force the imaginary part to zero.</t>
        </is>
      </c>
      <c r="N25" s="3" t="inlineStr">
        <is>
          <t>User's own rating of 2023-P1-Q11 (same question): Level 3.</t>
        </is>
      </c>
      <c r="O25" s="3" t="inlineStr">
        <is>
          <t>2023-P1-Q11 (L3, same question)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MTC SCQ</t>
        </is>
      </c>
      <c r="E26" s="3" t="inlineStr">
        <is>
          <t>Complex Number</t>
        </is>
      </c>
      <c r="F26" s="2" t="n">
        <v>3</v>
      </c>
      <c r="G26" s="7" t="n">
        <v>3</v>
      </c>
      <c r="H26" s="7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Subtract the conjugate equation to get Re z = 1, then |z| = 2.</t>
        </is>
      </c>
      <c r="N26" s="3" t="inlineStr">
        <is>
          <t>User's own rating of 2023-P1-Q17 (same question): Level 3.</t>
        </is>
      </c>
      <c r="O26" s="3" t="inlineStr">
        <is>
          <t>2023-P1-Q17 (L3, same question)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Complex Number</t>
        </is>
      </c>
      <c r="F27" s="2" t="n">
        <v>4</v>
      </c>
      <c r="G27" s="9" t="n">
        <v>5</v>
      </c>
      <c r="H27" s="9" t="inlineStr">
        <is>
          <t>Very difficult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Vertices are roots of z^8 = 2^8, so the product is |z^8 - 2^8| &lt;= 2^9.</t>
        </is>
      </c>
      <c r="N27" s="3" t="inlineStr">
        <is>
          <t>User's own rating of 2023-P2-Q11 (same question): Level 5.</t>
        </is>
      </c>
      <c r="O27" s="3" t="inlineStr">
        <is>
          <t>2023-P2-Q11 (L5, same question)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MCQ</t>
        </is>
      </c>
      <c r="E28" s="3" t="inlineStr">
        <is>
          <t>Complex Number</t>
        </is>
      </c>
      <c r="F28" s="2" t="n">
        <v>4</v>
      </c>
      <c r="G28" s="7" t="n">
        <v>3</v>
      </c>
      <c r="H28" s="7" t="inlineStr">
        <is>
          <t>Average Advanced</t>
        </is>
      </c>
      <c r="I28" s="5" t="n">
        <v>0</v>
      </c>
      <c r="J28" s="5" t="n">
        <v>2.5</v>
      </c>
      <c r="K28" s="5">
        <f>MIN(5,MAX(G28+I28,J28))</f>
        <v/>
      </c>
      <c r="L28" s="5">
        <f>F28*K28</f>
        <v/>
      </c>
      <c r="M28" s="3" t="inlineStr">
        <is>
          <t>e^{i pi (a + b sqrt2)} integer iff a + b sqrt2 integer iff b = 0; limits of powers of 1 +- sqrt2.</t>
        </is>
      </c>
      <c r="N28" s="3" t="inlineStr">
        <is>
          <t>User's own rating of 2024-P1-Q5 (same question): Level 3.</t>
        </is>
      </c>
      <c r="O28" s="3" t="inlineStr">
        <is>
          <t>2024-P1-Q5 (L3, same question)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MCQ</t>
        </is>
      </c>
      <c r="E29" s="3" t="inlineStr">
        <is>
          <t>Complex Number</t>
        </is>
      </c>
      <c r="F29" s="2" t="n">
        <v>4</v>
      </c>
      <c r="G29" s="4" t="n">
        <v>1</v>
      </c>
      <c r="H29" s="4" t="inlineStr">
        <is>
          <t>JEE Main level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Square the Apollonius condition and complete the squares.</t>
        </is>
      </c>
      <c r="N29" s="3" t="inlineStr">
        <is>
          <t>User's own rating of 2025-P1-Q7 (same question): Level 1.</t>
        </is>
      </c>
      <c r="O29" s="3" t="inlineStr">
        <is>
          <t>2025-P1-Q7 (L1, same question)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Complex Number</t>
        </is>
      </c>
      <c r="F30" s="2" t="n">
        <v>4</v>
      </c>
      <c r="G30" s="8" t="n">
        <v>4</v>
      </c>
      <c r="H30" s="8" t="inlineStr">
        <is>
          <t>Slightly difficult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Geometric series with ratio -w and w^2025 = 1 gives 2 w^2.</t>
        </is>
      </c>
      <c r="N30" s="3" t="inlineStr">
        <is>
          <t>User's own rating of 2025-P2-Q13 (same question): Level 4.</t>
        </is>
      </c>
      <c r="O30" s="3" t="inlineStr">
        <is>
          <t>2025-P2-Q13 (L4, same question)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MCQ</t>
        </is>
      </c>
      <c r="E31" s="3" t="inlineStr">
        <is>
          <t>Complex Number</t>
        </is>
      </c>
      <c r="F31" s="2" t="n">
        <v>4</v>
      </c>
      <c r="G31" s="9" t="n">
        <v>5</v>
      </c>
      <c r="H31" s="9" t="inlineStr">
        <is>
          <t>Very difficult</t>
        </is>
      </c>
      <c r="I31" s="5" t="n">
        <v>0</v>
      </c>
      <c r="J31" s="5" t="n">
        <v>2.5</v>
      </c>
      <c r="K31" s="5">
        <f>MIN(5,MAX(G31+I31,J31))</f>
        <v/>
      </c>
      <c r="L31" s="5">
        <f>F31*K31</f>
        <v/>
      </c>
      <c r="M31" s="3" t="inlineStr">
        <is>
          <t>ST acts as the Mobius map -1/(z+1): fixed point w, order of the matrix is 6, upper half-plane preserved.</t>
        </is>
      </c>
      <c r="N31" s="3" t="inlineStr">
        <is>
          <t>User's own rating of 2026-P2-Q9 (same question): Level 5.</t>
        </is>
      </c>
      <c r="O31" s="3" t="inlineStr">
        <is>
          <t>2026-P2-Q9 (L5, same question)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MTC SCQ</t>
        </is>
      </c>
      <c r="E32" s="3" t="inlineStr">
        <is>
          <t>Quadratic Equation</t>
        </is>
      </c>
      <c r="F32" s="2" t="n">
        <v>3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1/(a+1) = -a for roots of x^2+x+1; reduce exponents mod 3.</t>
        </is>
      </c>
      <c r="N32" s="3" t="inlineStr">
        <is>
          <t>User's own rating of 2026-P1-Q13 (same question): Level 3.</t>
        </is>
      </c>
      <c r="O32" s="3" t="inlineStr">
        <is>
          <t>2026-P1-Q13 (L3, same question)</t>
        </is>
      </c>
      <c r="P32" s="2" t="inlineStr">
        <is>
          <t>High</t>
        </is>
      </c>
    </row>
    <row r="34">
      <c r="A34" s="10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1" t="inlineStr">
        <is>
          <t>Difficulty summary</t>
        </is>
      </c>
    </row>
    <row r="2">
      <c r="A2" s="10" t="inlineStr">
        <is>
          <t>Source: papers/SHEET Complex Number_FCopy JA.pdf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2" t="n">
        <v>0</v>
      </c>
      <c r="B5" s="12" t="inlineStr">
        <is>
          <t>Easier than JEE Main</t>
        </is>
      </c>
      <c r="C5" s="12">
        <f>COUNTIF(Evaluation!$G$2:$G$32,A5)</f>
        <v/>
      </c>
      <c r="D5" s="12">
        <f>SUMIF(Evaluation!$G$2:$G$32,A5,Evaluation!$F$2:$F$32)</f>
        <v/>
      </c>
      <c r="E5" s="13">
        <f>IF(SUM($D$5:$D$10)=0,0,D5/SUM($D$5:$D$10))</f>
        <v/>
      </c>
    </row>
    <row r="6">
      <c r="A6" s="14" t="n">
        <v>1</v>
      </c>
      <c r="B6" s="14" t="inlineStr">
        <is>
          <t>JEE Main level</t>
        </is>
      </c>
      <c r="C6" s="14">
        <f>COUNTIF(Evaluation!$G$2:$G$32,A6)</f>
        <v/>
      </c>
      <c r="D6" s="14">
        <f>SUMIF(Evaluation!$G$2:$G$32,A6,Evaluation!$F$2:$F$32)</f>
        <v/>
      </c>
      <c r="E6" s="15">
        <f>IF(SUM($D$5:$D$10)=0,0,D6/SUM($D$5:$D$10))</f>
        <v/>
      </c>
    </row>
    <row r="7">
      <c r="A7" s="16" t="n">
        <v>2</v>
      </c>
      <c r="B7" s="16" t="inlineStr">
        <is>
          <t>Easier than Advanced</t>
        </is>
      </c>
      <c r="C7" s="16">
        <f>COUNTIF(Evaluation!$G$2:$G$32,A7)</f>
        <v/>
      </c>
      <c r="D7" s="16">
        <f>SUMIF(Evaluation!$G$2:$G$32,A7,Evaluation!$F$2:$F$32)</f>
        <v/>
      </c>
      <c r="E7" s="17">
        <f>IF(SUM($D$5:$D$10)=0,0,D7/SUM($D$5:$D$10))</f>
        <v/>
      </c>
    </row>
    <row r="8">
      <c r="A8" s="18" t="n">
        <v>3</v>
      </c>
      <c r="B8" s="18" t="inlineStr">
        <is>
          <t>Average Advanced</t>
        </is>
      </c>
      <c r="C8" s="18">
        <f>COUNTIF(Evaluation!$G$2:$G$32,A8)</f>
        <v/>
      </c>
      <c r="D8" s="18">
        <f>SUMIF(Evaluation!$G$2:$G$32,A8,Evaluation!$F$2:$F$32)</f>
        <v/>
      </c>
      <c r="E8" s="19">
        <f>IF(SUM($D$5:$D$10)=0,0,D8/SUM($D$5:$D$10))</f>
        <v/>
      </c>
    </row>
    <row r="9">
      <c r="A9" s="20" t="n">
        <v>4</v>
      </c>
      <c r="B9" s="20" t="inlineStr">
        <is>
          <t>Slightly difficult</t>
        </is>
      </c>
      <c r="C9" s="20">
        <f>COUNTIF(Evaluation!$G$2:$G$32,A9)</f>
        <v/>
      </c>
      <c r="D9" s="20">
        <f>SUMIF(Evaluation!$G$2:$G$32,A9,Evaluation!$F$2:$F$32)</f>
        <v/>
      </c>
      <c r="E9" s="21">
        <f>IF(SUM($D$5:$D$10)=0,0,D9/SUM($D$5:$D$10))</f>
        <v/>
      </c>
    </row>
    <row r="10">
      <c r="A10" s="22" t="n">
        <v>5</v>
      </c>
      <c r="B10" s="22" t="inlineStr">
        <is>
          <t>Very difficult</t>
        </is>
      </c>
      <c r="C10" s="22">
        <f>COUNTIF(Evaluation!$G$2:$G$32,A10)</f>
        <v/>
      </c>
      <c r="D10" s="22">
        <f>SUMIF(Evaluation!$G$2:$G$32,A10,Evaluation!$F$2:$F$32)</f>
        <v/>
      </c>
      <c r="E10" s="23">
        <f>IF(SUM($D$5:$D$10)=0,0,D10/SUM($D$5:$D$10))</f>
        <v/>
      </c>
    </row>
    <row r="11">
      <c r="A11" s="24" t="inlineStr">
        <is>
          <t>Total</t>
        </is>
      </c>
      <c r="C11" s="24">
        <f>SUM(C5:C10)</f>
        <v/>
      </c>
      <c r="D11" s="24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4" t="inlineStr">
        <is>
          <t>Overall</t>
        </is>
      </c>
      <c r="B14" s="25">
        <f>SUM(Evaluation!$L$2:$L$32)/SUM(Evaluation!$F$2:$F$32)</f>
        <v/>
      </c>
      <c r="C14" s="25">
        <f>SUMPRODUCT(Evaluation!$F$2:$F$32,Evaluation!$G$2:$G$32)/SUM(Evaluation!$F$2:$F$32)</f>
        <v/>
      </c>
      <c r="D14" s="24">
        <f>SUM(Evaluation!$F$2:$F$32)</f>
        <v/>
      </c>
      <c r="E14" s="25">
        <f>AVERAGE(Evaluation!$G$2:$G$32)</f>
        <v/>
      </c>
    </row>
    <row r="16">
      <c r="A16" s="10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1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6" t="n">
        <v>2021</v>
      </c>
      <c r="B4" s="27" t="n">
        <v>2.758333333333333</v>
      </c>
      <c r="C4" s="27" t="n">
        <v>2.894736842105263</v>
      </c>
      <c r="D4" s="26" t="n">
        <v>16</v>
      </c>
      <c r="E4" s="26" t="n">
        <v>34</v>
      </c>
      <c r="F4" s="26" t="n">
        <v>1</v>
      </c>
    </row>
    <row r="5">
      <c r="A5" s="26" t="n">
        <v>2023</v>
      </c>
      <c r="B5" s="27" t="n">
        <v>3.191666666666667</v>
      </c>
      <c r="C5" s="27" t="n">
        <v>3.147058823529412</v>
      </c>
      <c r="D5" s="26" t="n">
        <v>13</v>
      </c>
      <c r="E5" s="26" t="n">
        <v>47</v>
      </c>
      <c r="F5" s="26" t="n">
        <v>5</v>
      </c>
    </row>
    <row r="6">
      <c r="A6" s="26" t="n">
        <v>2024</v>
      </c>
      <c r="B6" s="27" t="n">
        <v>2.591666666666667</v>
      </c>
      <c r="C6" s="27" t="n">
        <v>2.558823529411764</v>
      </c>
      <c r="D6" s="26" t="n">
        <v>28</v>
      </c>
      <c r="E6" s="26" t="n">
        <v>40</v>
      </c>
      <c r="F6" s="26" t="n">
        <v>1</v>
      </c>
    </row>
    <row r="7">
      <c r="A7" s="26" t="n">
        <v>2025</v>
      </c>
      <c r="B7" s="27" t="n">
        <v>3.208333333333333</v>
      </c>
      <c r="C7" s="27" t="n">
        <v>3.1875</v>
      </c>
      <c r="D7" s="26" t="n">
        <v>8</v>
      </c>
      <c r="E7" s="26" t="n">
        <v>65</v>
      </c>
      <c r="F7" s="26" t="n">
        <v>1</v>
      </c>
    </row>
    <row r="8">
      <c r="A8" s="26" t="n">
        <v>2026</v>
      </c>
      <c r="B8" s="27" t="n">
        <v>3.025</v>
      </c>
      <c r="C8" s="27" t="n">
        <v>2.941176470588236</v>
      </c>
      <c r="D8" s="26" t="n">
        <v>6</v>
      </c>
      <c r="E8" s="26" t="n">
        <v>38</v>
      </c>
      <c r="F8" s="26" t="n">
        <v>2</v>
      </c>
    </row>
    <row r="9">
      <c r="A9" s="24" t="inlineStr">
        <is>
          <t>This paper</t>
        </is>
      </c>
      <c r="B9" s="25">
        <f>Summary!B14</f>
        <v/>
      </c>
      <c r="C9" s="25">
        <f>Summary!E14</f>
        <v/>
      </c>
      <c r="D9" s="24">
        <f>Summary!D5+Summary!D6</f>
        <v/>
      </c>
      <c r="E9" s="24">
        <f>Summary!D9+Summary!D10</f>
        <v/>
      </c>
      <c r="F9" s="24">
        <f>Summary!C10</f>
        <v/>
      </c>
    </row>
    <row r="11">
      <c r="A11" s="10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2026-10-13T17:11:11Z</dcterms:created>
  <dcterms:modified xmlns:dcterms="http://purl.org/dc/terms/" xmlns:xsi="http://www.w3.org/2001/XMLSchema-instance" xsi:type="dcterms:W3CDTF">2026-10-13T17:11:11Z</dcterms:modified>
</cp:coreProperties>
</file>