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E8F0D8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Permutation &amp; Combination</t>
        </is>
      </c>
      <c r="F2" s="2" t="n">
        <v>4</v>
      </c>
      <c r="G2" s="4" t="n">
        <v>1</v>
      </c>
      <c r="H2" s="4" t="inlineStr">
        <is>
          <t>JEE Main level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Split into 4-digit numbers starting with 7 or 8 and all 5-digit numbers.</t>
        </is>
      </c>
      <c r="N2" s="3" t="inlineStr">
        <is>
          <t>Two direct cases of digit counting with no repetition; one familiar move (fix the leading digit). Options available.</t>
        </is>
      </c>
      <c r="O2" s="3" t="inlineStr">
        <is>
          <t>2021-P2-Q1 (L2)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Permutation &amp; Combination</t>
        </is>
      </c>
      <c r="F3" s="2" t="n">
        <v>4</v>
      </c>
      <c r="G3" s="4" t="n">
        <v>1</v>
      </c>
      <c r="H3" s="4" t="inlineStr">
        <is>
          <t>JEE Main level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Thousands digit must be 5, 7 or 9.</t>
        </is>
      </c>
      <c r="N3" s="3" t="inlineStr">
        <is>
          <t>One decision (leading digit at least 5) then a plain arrangement count.</t>
        </is>
      </c>
      <c r="O3" s="3" t="inlineStr">
        <is>
          <t>2021-P2-Q1 (L2)</t>
        </is>
      </c>
      <c r="P3" s="2" t="inlineStr">
        <is>
          <t>High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Permutation &amp; Combination</t>
        </is>
      </c>
      <c r="F4" s="2" t="n">
        <v>4</v>
      </c>
      <c r="G4" s="4" t="n">
        <v>1</v>
      </c>
      <c r="H4" s="4" t="inlineStr">
        <is>
          <t>JEE Main level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Count the words that start with each smaller prefix, then add 1.</t>
        </is>
      </c>
      <c r="N4" s="3" t="inlineStr">
        <is>
          <t>Standard dictionary-rank procedure with distinct letters; routine but several steps.</t>
        </is>
      </c>
      <c r="O4" s="3" t="inlineStr">
        <is>
          <t>2021-P2-Q1 (L2)</t>
        </is>
      </c>
      <c r="P4" s="2" t="inlineStr">
        <is>
          <t>High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Numerical</t>
        </is>
      </c>
      <c r="E5" s="3" t="inlineStr">
        <is>
          <t>Permutation &amp; Combination</t>
        </is>
      </c>
      <c r="F5" s="2" t="n">
        <v>4</v>
      </c>
      <c r="G5" s="4" t="n">
        <v>1</v>
      </c>
      <c r="H5" s="4" t="inlineStr">
        <is>
          <t>JEE Main level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Write both permutations with factorials and cancel to a quadratic.</t>
        </is>
      </c>
      <c r="N5" s="3" t="inlineStr">
        <is>
          <t>Single formula ${}^nP_r=\frac{n!}{(n-r)!}$ then simplification; no counting idea needed.</t>
        </is>
      </c>
      <c r="O5" s="3" t="inlineStr">
        <is>
          <t>2021-P2-Q1 (L2)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Numerical</t>
        </is>
      </c>
      <c r="E6" s="3" t="inlineStr">
        <is>
          <t>Permutation &amp; Combination</t>
        </is>
      </c>
      <c r="F6" s="2" t="n">
        <v>4</v>
      </c>
      <c r="G6" s="4" t="n">
        <v>1</v>
      </c>
      <c r="H6" s="4" t="inlineStr">
        <is>
          <t>JEE Main level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Even digits fill the four even places; odd digits fill the five odd places.</t>
        </is>
      </c>
      <c r="N6" s="3" t="inlineStr">
        <is>
          <t>Two independent multiset arrangements multiplied; familiar pattern.</t>
        </is>
      </c>
      <c r="O6" s="3" t="inlineStr">
        <is>
          <t>2021-P2-Q1 (L2)</t>
        </is>
      </c>
      <c r="P6" s="2" t="inlineStr">
        <is>
          <t>High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Numerical</t>
        </is>
      </c>
      <c r="E7" s="3" t="inlineStr">
        <is>
          <t>Permutation &amp; Combination</t>
        </is>
      </c>
      <c r="F7" s="2" t="n">
        <v>4</v>
      </c>
      <c r="G7" s="4" t="n">
        <v>1</v>
      </c>
      <c r="H7" s="4" t="inlineStr">
        <is>
          <t>JEE Main level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Split by the number of language courses chosen: 2, 1 or 0.</t>
        </is>
      </c>
      <c r="N7" s="3" t="inlineStr">
        <is>
          <t>Case split on at most two language courses; each case a product of two binomials.</t>
        </is>
      </c>
      <c r="O7" s="3" t="inlineStr">
        <is>
          <t>2021-P2-Q1 (L2)</t>
        </is>
      </c>
      <c r="P7" s="2" t="inlineStr">
        <is>
          <t>High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Numerical</t>
        </is>
      </c>
      <c r="E8" s="3" t="inlineStr">
        <is>
          <t>Permutation &amp; Combination</t>
        </is>
      </c>
      <c r="F8" s="2" t="n">
        <v>4</v>
      </c>
      <c r="G8" s="6" t="n">
        <v>2</v>
      </c>
      <c r="H8" s="6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Group 1..25 by remainder mod 5 and pair remainders summing to 0 mod 5.</t>
        </is>
      </c>
      <c r="N8" s="3" t="inlineStr">
        <is>
          <t>Needs the residue-class idea and care with the equal-remainder pair; ordered/unordered subtlety.</t>
        </is>
      </c>
      <c r="O8" s="3" t="inlineStr">
        <is>
          <t>2021-P2-Q1 (L2)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Numerical</t>
        </is>
      </c>
      <c r="E9" s="3" t="inlineStr">
        <is>
          <t>Permutation &amp; Combination</t>
        </is>
      </c>
      <c r="F9" s="2" t="n">
        <v>4</v>
      </c>
      <c r="G9" s="6" t="n">
        <v>2</v>
      </c>
      <c r="H9" s="6" t="inlineStr">
        <is>
          <t>Easier than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List the admissible (red, white, orange) counts adding to 5.</t>
        </is>
      </c>
      <c r="N9" s="3" t="inlineStr">
        <is>
          <t>Enumerate three compositions and multiply binomials; precision risk moderate.</t>
        </is>
      </c>
      <c r="O9" s="3" t="inlineStr">
        <is>
          <t>2021-P2-Q1 (L2)</t>
        </is>
      </c>
      <c r="P9" s="2" t="inlineStr">
        <is>
          <t>High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Numerical</t>
        </is>
      </c>
      <c r="E10" s="3" t="inlineStr">
        <is>
          <t>Permutation &amp; Combination</t>
        </is>
      </c>
      <c r="F10" s="2" t="n">
        <v>4</v>
      </c>
      <c r="G10" s="6" t="n">
        <v>2</v>
      </c>
      <c r="H10" s="6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Count numbers above 35337 prefix by prefix, remembering every larger digit option at each place.</t>
        </is>
      </c>
      <c r="N10" s="3" t="inlineStr">
        <is>
          <t>Rank counting with repetition; easy to omit a branch (the PDF does).</t>
        </is>
      </c>
      <c r="O10" s="3" t="inlineStr">
        <is>
          <t>2025-P1-Q10 (L5)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Numerical</t>
        </is>
      </c>
      <c r="E11" s="3" t="inlineStr">
        <is>
          <t>Permutation &amp; Combination</t>
        </is>
      </c>
      <c r="F11" s="2" t="n">
        <v>4</v>
      </c>
      <c r="G11" s="6" t="n">
        <v>2</v>
      </c>
      <c r="H11" s="6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Strictly increasing digit strings from 1..9 correspond to 6-subsets; count by prefix.</t>
        </is>
      </c>
      <c r="N11" s="3" t="inlineStr">
        <is>
          <t>Recognise subsets, then prefix counting with binomials; two stages.</t>
        </is>
      </c>
      <c r="O11" s="3" t="inlineStr">
        <is>
          <t>2021-P2-Q1 (L2)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Numerical</t>
        </is>
      </c>
      <c r="E12" s="3" t="inlineStr">
        <is>
          <t>Permutation &amp; Combination</t>
        </is>
      </c>
      <c r="F12" s="2" t="n">
        <v>4</v>
      </c>
      <c r="G12" s="6" t="n">
        <v>2</v>
      </c>
      <c r="H12" s="6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Last digit 5 and digit sum a multiple of 3; list the multisets for the first three digits.</t>
        </is>
      </c>
      <c r="N12" s="3" t="inlineStr">
        <is>
          <t>Combines two divisibility rules and requires an organised case list; slips are easy.</t>
        </is>
      </c>
      <c r="O12" s="3" t="inlineStr">
        <is>
          <t>2025-P1-Q10 (L5)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Numerical</t>
        </is>
      </c>
      <c r="E13" s="3" t="inlineStr">
        <is>
          <t>Permutation &amp; Combination</t>
        </is>
      </c>
      <c r="F13" s="2" t="n">
        <v>4</v>
      </c>
      <c r="G13" s="4" t="n">
        <v>1</v>
      </c>
      <c r="H13" s="4" t="inlineStr">
        <is>
          <t>JEE Main level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Fix the last digit as 1, 3 or 5 and arrange the remaining six.</t>
        </is>
      </c>
      <c r="N13" s="3" t="inlineStr">
        <is>
          <t>Three direct cases of multiset arrangement.</t>
        </is>
      </c>
      <c r="O13" s="3" t="inlineStr">
        <is>
          <t>2021-P2-Q1 (L2)</t>
        </is>
      </c>
      <c r="P13" s="2" t="inlineStr">
        <is>
          <t>High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Numerical</t>
        </is>
      </c>
      <c r="E14" s="3" t="inlineStr">
        <is>
          <t>Permutation &amp; Combination</t>
        </is>
      </c>
      <c r="F14" s="2" t="n">
        <v>4</v>
      </c>
      <c r="G14" s="6" t="n">
        <v>2</v>
      </c>
      <c r="H14" s="6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Count numbers smaller than 42923 prefix by prefix (leading digit cannot be 0).</t>
        </is>
      </c>
      <c r="N14" s="3" t="inlineStr">
        <is>
          <t>Prefix counting with six digit options at each place and a zero restriction on the first place.</t>
        </is>
      </c>
      <c r="O14" s="3" t="inlineStr">
        <is>
          <t>2025-P1-Q10 (L5)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Numerical</t>
        </is>
      </c>
      <c r="E15" s="3" t="inlineStr">
        <is>
          <t>Permutation &amp; Combination</t>
        </is>
      </c>
      <c r="F15" s="2" t="n">
        <v>4</v>
      </c>
      <c r="G15" s="6" t="n">
        <v>2</v>
      </c>
      <c r="H15" s="6" t="inlineStr">
        <is>
          <t>Easier than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Glue the vowels into one block, arrange block and consonants, then arrange inside the block.</t>
        </is>
      </c>
      <c r="N15" s="3" t="inlineStr">
        <is>
          <t>Block method with two repeated-letter factors; precision on the multiplicities.</t>
        </is>
      </c>
      <c r="O15" s="3" t="inlineStr">
        <is>
          <t>2021-P2-Q1 (L2)</t>
        </is>
      </c>
      <c r="P15" s="2" t="inlineStr">
        <is>
          <t>High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Numerical</t>
        </is>
      </c>
      <c r="E16" s="3" t="inlineStr">
        <is>
          <t>Permutation &amp; Combination</t>
        </is>
      </c>
      <c r="F16" s="2" t="n">
        <v>4</v>
      </c>
      <c r="G16" s="4" t="n">
        <v>1</v>
      </c>
      <c r="H16" s="4" t="inlineStr">
        <is>
          <t>JEE Main level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Shift the variables to non-negative and apply stars and bars.</t>
        </is>
      </c>
      <c r="N16" s="3" t="inlineStr">
        <is>
          <t>One standard technique (substitution then ${}^{n+r-1}C_{r-1}$).</t>
        </is>
      </c>
      <c r="O16" s="3" t="inlineStr">
        <is>
          <t>2026-P1-Q11 (L3)</t>
        </is>
      </c>
      <c r="P16" s="2" t="inlineStr">
        <is>
          <t>High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Numerical</t>
        </is>
      </c>
      <c r="E17" s="3" t="inlineStr">
        <is>
          <t>Permutation &amp; Combination</t>
        </is>
      </c>
      <c r="F17" s="2" t="n">
        <v>4</v>
      </c>
      <c r="G17" s="4" t="n">
        <v>1</v>
      </c>
      <c r="H17" s="4" t="inlineStr">
        <is>
          <t>JEE Main level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Last digit is forced to be 4; the digit-sum condition fixes the last free digit.</t>
        </is>
      </c>
      <c r="N17" s="3" t="inlineStr">
        <is>
          <t>One observation (only 4 is even) then a product count with a mod-3 closure.</t>
        </is>
      </c>
      <c r="O17" s="3" t="inlineStr">
        <is>
          <t>2021-P2-Q1 (L2)</t>
        </is>
      </c>
      <c r="P17" s="2" t="inlineStr">
        <is>
          <t>High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SCQ</t>
        </is>
      </c>
      <c r="E18" s="3" t="inlineStr">
        <is>
          <t>Permutation &amp; Combination</t>
        </is>
      </c>
      <c r="F18" s="2" t="n">
        <v>4</v>
      </c>
      <c r="G18" s="4" t="n">
        <v>1</v>
      </c>
      <c r="H18" s="4" t="inlineStr">
        <is>
          <t>JEE Main level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Expand both binomials and cancel to a linear equation in $n$.</t>
        </is>
      </c>
      <c r="N18" s="3" t="inlineStr">
        <is>
          <t>One formula use and a linear equation.</t>
        </is>
      </c>
      <c r="O18" s="3" t="inlineStr">
        <is>
          <t>2021-P2-Q1 (L2)</t>
        </is>
      </c>
      <c r="P18" s="2" t="inlineStr">
        <is>
          <t>High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SCQ</t>
        </is>
      </c>
      <c r="E19" s="3" t="inlineStr">
        <is>
          <t>Permutation &amp; Combination</t>
        </is>
      </c>
      <c r="F19" s="2" t="n">
        <v>4</v>
      </c>
      <c r="G19" s="4" t="n">
        <v>1</v>
      </c>
      <c r="H19" s="4" t="inlineStr">
        <is>
          <t>JEE Main level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For each letter count the unused smaller letters times the factorial of the places left.</t>
        </is>
      </c>
      <c r="N19" s="3" t="inlineStr">
        <is>
          <t>Standard rank-of-word procedure with six distinct letters.</t>
        </is>
      </c>
      <c r="O19" s="3" t="inlineStr">
        <is>
          <t>2021-P2-Q1 (L2)</t>
        </is>
      </c>
      <c r="P19" s="2" t="inlineStr">
        <is>
          <t>High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SCQ</t>
        </is>
      </c>
      <c r="E20" s="3" t="inlineStr">
        <is>
          <t>Permutation &amp; Combination</t>
        </is>
      </c>
      <c r="F20" s="2" t="n">
        <v>4</v>
      </c>
      <c r="G20" s="6" t="n">
        <v>2</v>
      </c>
      <c r="H20" s="6" t="inlineStr">
        <is>
          <t>Easier than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Seat the boys round the table first; the seven gaps then hold the five girls.</t>
        </is>
      </c>
      <c r="N20" s="3" t="inlineStr">
        <is>
          <t>Circular permutation plus gap method; standard but needs both ideas.</t>
        </is>
      </c>
      <c r="O20" s="3" t="inlineStr">
        <is>
          <t>2021-P2-Q1 (L2)</t>
        </is>
      </c>
      <c r="P20" s="2" t="inlineStr">
        <is>
          <t>High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SCQ</t>
        </is>
      </c>
      <c r="E21" s="3" t="inlineStr">
        <is>
          <t>Permutation &amp; Combination</t>
        </is>
      </c>
      <c r="F21" s="2" t="n">
        <v>4</v>
      </c>
      <c r="G21" s="6" t="n">
        <v>2</v>
      </c>
      <c r="H21" s="6" t="inlineStr">
        <is>
          <t>Easier than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Glue the five vowels into a block and arrange block plus seven consonants.</t>
        </is>
      </c>
      <c r="N21" s="3" t="inlineStr">
        <is>
          <t>Block method with repeated letters in both groups.</t>
        </is>
      </c>
      <c r="O21" s="3" t="inlineStr">
        <is>
          <t>2021-P2-Q1 (L2)</t>
        </is>
      </c>
      <c r="P21" s="2" t="inlineStr">
        <is>
          <t>High</t>
        </is>
      </c>
    </row>
    <row r="22">
      <c r="A22" s="2" t="n">
        <v>21</v>
      </c>
      <c r="B22" s="2" t="inlineStr"/>
      <c r="C22" s="2" t="inlineStr">
        <is>
          <t>Q21</t>
        </is>
      </c>
      <c r="D22" s="2" t="inlineStr">
        <is>
          <t>SCQ</t>
        </is>
      </c>
      <c r="E22" s="3" t="inlineStr">
        <is>
          <t>Permutation &amp; Combination</t>
        </is>
      </c>
      <c r="F22" s="2" t="n">
        <v>4</v>
      </c>
      <c r="G22" s="6" t="n">
        <v>2</v>
      </c>
      <c r="H22" s="6" t="inlineStr">
        <is>
          <t>Easier than Advanced</t>
        </is>
      </c>
      <c r="I22" s="5" t="n">
        <v>0</v>
      </c>
      <c r="J22" s="5" t="n">
        <v>0</v>
      </c>
      <c r="K22" s="5">
        <f>MIN(5,MAX(G22+I22,J22))</f>
        <v/>
      </c>
      <c r="L22" s="5">
        <f>F22*K22</f>
        <v/>
      </c>
      <c r="M22" s="3" t="inlineStr">
        <is>
          <t>Total arrangements minus those with C and S glued, then divide by 6!.</t>
        </is>
      </c>
      <c r="N22" s="3" t="inlineStr">
        <is>
          <t>Complement with a repeated-letter multiset and a final simplification to k.</t>
        </is>
      </c>
      <c r="O22" s="3" t="inlineStr">
        <is>
          <t>2021-P2-Q1 (L2)</t>
        </is>
      </c>
      <c r="P22" s="2" t="inlineStr">
        <is>
          <t>High</t>
        </is>
      </c>
    </row>
    <row r="23">
      <c r="A23" s="2" t="n">
        <v>22</v>
      </c>
      <c r="B23" s="2" t="inlineStr"/>
      <c r="C23" s="2" t="inlineStr">
        <is>
          <t>Q22</t>
        </is>
      </c>
      <c r="D23" s="2" t="inlineStr">
        <is>
          <t>SCQ</t>
        </is>
      </c>
      <c r="E23" s="3" t="inlineStr">
        <is>
          <t>Permutation &amp; Combination</t>
        </is>
      </c>
      <c r="F23" s="2" t="n">
        <v>4</v>
      </c>
      <c r="G23" s="6" t="n">
        <v>2</v>
      </c>
      <c r="H23" s="6" t="inlineStr">
        <is>
          <t>Easier than Advanced</t>
        </is>
      </c>
      <c r="I23" s="5" t="n">
        <v>0</v>
      </c>
      <c r="J23" s="5" t="n">
        <v>0</v>
      </c>
      <c r="K23" s="5">
        <f>MIN(5,MAX(G23+I23,J23))</f>
        <v/>
      </c>
      <c r="L23" s="5">
        <f>F23*K23</f>
        <v/>
      </c>
      <c r="M23" s="3" t="inlineStr">
        <is>
          <t>Only the size pattern (3,3,2) is possible; choose which car takes 2 persons.</t>
        </is>
      </c>
      <c r="N23" s="3" t="inlineStr">
        <is>
          <t>Identify the single size pattern, then multinomial with a choice of car.</t>
        </is>
      </c>
      <c r="O23" s="3" t="inlineStr">
        <is>
          <t>2024-P1-Q11 (L4)</t>
        </is>
      </c>
      <c r="P23" s="2" t="inlineStr">
        <is>
          <t>High</t>
        </is>
      </c>
    </row>
    <row r="24">
      <c r="A24" s="2" t="n">
        <v>23</v>
      </c>
      <c r="B24" s="2" t="inlineStr"/>
      <c r="C24" s="2" t="inlineStr">
        <is>
          <t>Q23</t>
        </is>
      </c>
      <c r="D24" s="2" t="inlineStr">
        <is>
          <t>SCQ</t>
        </is>
      </c>
      <c r="E24" s="3" t="inlineStr">
        <is>
          <t>Permutation &amp; Combination</t>
        </is>
      </c>
      <c r="F24" s="2" t="n">
        <v>4</v>
      </c>
      <c r="G24" s="6" t="n">
        <v>2</v>
      </c>
      <c r="H24" s="6" t="inlineStr">
        <is>
          <t>Easier than Advanced</t>
        </is>
      </c>
      <c r="I24" s="5" t="n">
        <v>0</v>
      </c>
      <c r="J24" s="5" t="n">
        <v>0</v>
      </c>
      <c r="K24" s="5">
        <f>MIN(5,MAX(G24+I24,J24))</f>
        <v/>
      </c>
      <c r="L24" s="5">
        <f>F24*K24</f>
        <v/>
      </c>
      <c r="M24" s="3" t="inlineStr">
        <is>
          <t>Total solutions minus those with two equal values minus the all-equal one.</t>
        </is>
      </c>
      <c r="N24" s="3" t="inlineStr">
        <is>
          <t>Stars and bars with an exclusion of equal coordinates; careful count of the equal cases.</t>
        </is>
      </c>
      <c r="O24" s="3" t="inlineStr">
        <is>
          <t>2026-P1-Q11 (L3)</t>
        </is>
      </c>
      <c r="P24" s="2" t="inlineStr">
        <is>
          <t>High</t>
        </is>
      </c>
    </row>
    <row r="25">
      <c r="A25" s="2" t="n">
        <v>24</v>
      </c>
      <c r="B25" s="2" t="inlineStr"/>
      <c r="C25" s="2" t="inlineStr">
        <is>
          <t>Q24</t>
        </is>
      </c>
      <c r="D25" s="2" t="inlineStr">
        <is>
          <t>SCQ</t>
        </is>
      </c>
      <c r="E25" s="3" t="inlineStr">
        <is>
          <t>Permutation &amp; Combination</t>
        </is>
      </c>
      <c r="F25" s="2" t="n">
        <v>4</v>
      </c>
      <c r="G25" s="4" t="n">
        <v>1</v>
      </c>
      <c r="H25" s="4" t="inlineStr">
        <is>
          <t>JEE Main level</t>
        </is>
      </c>
      <c r="I25" s="5" t="n">
        <v>0</v>
      </c>
      <c r="J25" s="5" t="n">
        <v>0</v>
      </c>
      <c r="K25" s="5">
        <f>MIN(5,MAX(G25+I25,J25))</f>
        <v/>
      </c>
      <c r="L25" s="5">
        <f>F25*K25</f>
        <v/>
      </c>
      <c r="M25" s="3" t="inlineStr">
        <is>
          <t>Count the smaller unused letters at each place times the factorial of the places left.</t>
        </is>
      </c>
      <c r="N25" s="3" t="inlineStr">
        <is>
          <t>Standard rank procedure with five distinct letters.</t>
        </is>
      </c>
      <c r="O25" s="3" t="inlineStr">
        <is>
          <t>2021-P2-Q1 (L2)</t>
        </is>
      </c>
      <c r="P25" s="2" t="inlineStr">
        <is>
          <t>High</t>
        </is>
      </c>
    </row>
    <row r="26">
      <c r="A26" s="2" t="n">
        <v>25</v>
      </c>
      <c r="B26" s="2" t="inlineStr"/>
      <c r="C26" s="2" t="inlineStr">
        <is>
          <t>Q25</t>
        </is>
      </c>
      <c r="D26" s="2" t="inlineStr">
        <is>
          <t>SCQ</t>
        </is>
      </c>
      <c r="E26" s="3" t="inlineStr">
        <is>
          <t>Permutation &amp; Combination</t>
        </is>
      </c>
      <c r="F26" s="2" t="n">
        <v>4</v>
      </c>
      <c r="G26" s="6" t="n">
        <v>2</v>
      </c>
      <c r="H26" s="6" t="inlineStr">
        <is>
          <t>Easier than Advanced</t>
        </is>
      </c>
      <c r="I26" s="5" t="n">
        <v>0</v>
      </c>
      <c r="J26" s="5" t="n">
        <v>0</v>
      </c>
      <c r="K26" s="5">
        <f>MIN(5,MAX(G26+I26,J26))</f>
        <v/>
      </c>
      <c r="L26" s="5">
        <f>F26*K26</f>
        <v/>
      </c>
      <c r="M26" s="3" t="inlineStr">
        <is>
          <t>Split by last digit $0$ or $5$ and count the allowed leading digits.</t>
        </is>
      </c>
      <c r="N26" s="3" t="inlineStr">
        <is>
          <t>Two cases coupled through the shared digit 5; routine but needs care.</t>
        </is>
      </c>
      <c r="O26" s="3" t="inlineStr">
        <is>
          <t>2021-P2-Q1 (L2)</t>
        </is>
      </c>
      <c r="P26" s="2" t="inlineStr">
        <is>
          <t>High</t>
        </is>
      </c>
    </row>
    <row r="27">
      <c r="A27" s="2" t="n">
        <v>26</v>
      </c>
      <c r="B27" s="2" t="inlineStr"/>
      <c r="C27" s="2" t="inlineStr">
        <is>
          <t>Q26</t>
        </is>
      </c>
      <c r="D27" s="2" t="inlineStr">
        <is>
          <t>SCQ</t>
        </is>
      </c>
      <c r="E27" s="3" t="inlineStr">
        <is>
          <t>Permutation &amp; Combination</t>
        </is>
      </c>
      <c r="F27" s="2" t="n">
        <v>4</v>
      </c>
      <c r="G27" s="4" t="n">
        <v>1</v>
      </c>
      <c r="H27" s="4" t="inlineStr">
        <is>
          <t>JEE Main level</t>
        </is>
      </c>
      <c r="I27" s="5" t="n">
        <v>0</v>
      </c>
      <c r="J27" s="5" t="n">
        <v>0</v>
      </c>
      <c r="K27" s="5">
        <f>MIN(5,MAX(G27+I27,J27))</f>
        <v/>
      </c>
      <c r="L27" s="5">
        <f>F27*K27</f>
        <v/>
      </c>
      <c r="M27" s="3" t="inlineStr">
        <is>
          <t>Alphabetical order ADMNOY; count smaller prefixes block by block.</t>
        </is>
      </c>
      <c r="N27" s="3" t="inlineStr">
        <is>
          <t>Standard rank procedure, six distinct letters.</t>
        </is>
      </c>
      <c r="O27" s="3" t="inlineStr">
        <is>
          <t>2021-P2-Q1 (L2)</t>
        </is>
      </c>
      <c r="P27" s="2" t="inlineStr">
        <is>
          <t>High</t>
        </is>
      </c>
    </row>
    <row r="28">
      <c r="A28" s="2" t="n">
        <v>27</v>
      </c>
      <c r="B28" s="2" t="inlineStr"/>
      <c r="C28" s="2" t="inlineStr">
        <is>
          <t>Q27</t>
        </is>
      </c>
      <c r="D28" s="2" t="inlineStr">
        <is>
          <t>SCQ</t>
        </is>
      </c>
      <c r="E28" s="3" t="inlineStr">
        <is>
          <t>Permutation &amp; Combination</t>
        </is>
      </c>
      <c r="F28" s="2" t="n">
        <v>4</v>
      </c>
      <c r="G28" s="6" t="n">
        <v>2</v>
      </c>
      <c r="H28" s="6" t="inlineStr">
        <is>
          <t>Easier than Advanced</t>
        </is>
      </c>
      <c r="I28" s="5" t="n">
        <v>0</v>
      </c>
      <c r="J28" s="5" t="n">
        <v>0</v>
      </c>
      <c r="K28" s="5">
        <f>MIN(5,MAX(G28+I28,J28))</f>
        <v/>
      </c>
      <c r="L28" s="5">
        <f>F28*K28</f>
        <v/>
      </c>
      <c r="M28" s="3" t="inlineStr">
        <is>
          <t>List the digit multisets whose sum is a multiple of 3 and count their arrangements.</t>
        </is>
      </c>
      <c r="N28" s="3" t="inlineStr">
        <is>
          <t>Systematic enumeration of sums; omissions are likely but numbers are small.</t>
        </is>
      </c>
      <c r="O28" s="3" t="inlineStr">
        <is>
          <t>2025-P1-Q10 (L5)</t>
        </is>
      </c>
      <c r="P28" s="2" t="inlineStr">
        <is>
          <t>Medium</t>
        </is>
      </c>
    </row>
    <row r="29">
      <c r="A29" s="2" t="n">
        <v>28</v>
      </c>
      <c r="B29" s="2" t="inlineStr"/>
      <c r="C29" s="2" t="inlineStr">
        <is>
          <t>Q28</t>
        </is>
      </c>
      <c r="D29" s="2" t="inlineStr">
        <is>
          <t>Numerical</t>
        </is>
      </c>
      <c r="E29" s="3" t="inlineStr">
        <is>
          <t>Permutation &amp; Combination</t>
        </is>
      </c>
      <c r="F29" s="2" t="n">
        <v>4</v>
      </c>
      <c r="G29" s="4" t="n">
        <v>1</v>
      </c>
      <c r="H29" s="4" t="inlineStr">
        <is>
          <t>JEE Main level</t>
        </is>
      </c>
      <c r="I29" s="5" t="n">
        <v>0</v>
      </c>
      <c r="J29" s="5" t="n">
        <v>0</v>
      </c>
      <c r="K29" s="5">
        <f>MIN(5,MAX(G29+I29,J29))</f>
        <v/>
      </c>
      <c r="L29" s="5">
        <f>F29*K29</f>
        <v/>
      </c>
      <c r="M29" s="3" t="inlineStr">
        <is>
          <t>Give each child one orange first, then distribute the remaining 17 freely.</t>
        </is>
      </c>
      <c r="N29" s="3" t="inlineStr">
        <is>
          <t>Direct stars-and-bars with one shift.</t>
        </is>
      </c>
      <c r="O29" s="3" t="inlineStr">
        <is>
          <t>2026-P1-Q11 (L3)</t>
        </is>
      </c>
      <c r="P29" s="2" t="inlineStr">
        <is>
          <t>High</t>
        </is>
      </c>
    </row>
    <row r="30">
      <c r="A30" s="2" t="n">
        <v>29</v>
      </c>
      <c r="B30" s="2" t="inlineStr"/>
      <c r="C30" s="2" t="inlineStr">
        <is>
          <t>Q29</t>
        </is>
      </c>
      <c r="D30" s="2" t="inlineStr">
        <is>
          <t>Numerical</t>
        </is>
      </c>
      <c r="E30" s="3" t="inlineStr">
        <is>
          <t>Permutation &amp; Combination</t>
        </is>
      </c>
      <c r="F30" s="2" t="n">
        <v>4</v>
      </c>
      <c r="G30" s="4" t="n">
        <v>1</v>
      </c>
      <c r="H30" s="4" t="inlineStr">
        <is>
          <t>JEE Main level</t>
        </is>
      </c>
      <c r="I30" s="5" t="n">
        <v>0</v>
      </c>
      <c r="J30" s="5" t="n">
        <v>0</v>
      </c>
      <c r="K30" s="5">
        <f>MIN(5,MAX(G30+I30,J30))</f>
        <v/>
      </c>
      <c r="L30" s="5">
        <f>F30*K30</f>
        <v/>
      </c>
      <c r="M30" s="3" t="inlineStr">
        <is>
          <t>Choose the two vowels and two consonants from the distinct letters, then arrange all four.</t>
        </is>
      </c>
      <c r="N30" s="3" t="inlineStr">
        <is>
          <t>Select then arrange; one familiar move.</t>
        </is>
      </c>
      <c r="O30" s="3" t="inlineStr">
        <is>
          <t>2021-P2-Q1 (L2)</t>
        </is>
      </c>
      <c r="P30" s="2" t="inlineStr">
        <is>
          <t>Medium</t>
        </is>
      </c>
    </row>
    <row r="31">
      <c r="A31" s="2" t="n">
        <v>30</v>
      </c>
      <c r="B31" s="2" t="inlineStr"/>
      <c r="C31" s="2" t="inlineStr">
        <is>
          <t>Q30</t>
        </is>
      </c>
      <c r="D31" s="2" t="inlineStr">
        <is>
          <t>Numerical</t>
        </is>
      </c>
      <c r="E31" s="3" t="inlineStr">
        <is>
          <t>Permutation &amp; Combination</t>
        </is>
      </c>
      <c r="F31" s="2" t="n">
        <v>4</v>
      </c>
      <c r="G31" s="4" t="n">
        <v>1</v>
      </c>
      <c r="H31" s="4" t="inlineStr">
        <is>
          <t>JEE Main level</t>
        </is>
      </c>
      <c r="I31" s="5" t="n">
        <v>0</v>
      </c>
      <c r="J31" s="5" t="n">
        <v>0</v>
      </c>
      <c r="K31" s="5">
        <f>MIN(5,MAX(G31+I31,J31))</f>
        <v/>
      </c>
      <c r="L31" s="5">
        <f>F31*K31</f>
        <v/>
      </c>
      <c r="M31" s="3" t="inlineStr">
        <is>
          <t>Apply Legendre's formula for the prime 3.</t>
        </is>
      </c>
      <c r="N31" s="3" t="inlineStr">
        <is>
          <t>Single formula (Legendre) applied once.</t>
        </is>
      </c>
      <c r="O31" s="3" t="inlineStr">
        <is>
          <t>2021-P2-Q1 (L2)</t>
        </is>
      </c>
      <c r="P31" s="2" t="inlineStr">
        <is>
          <t>High</t>
        </is>
      </c>
    </row>
    <row r="32">
      <c r="A32" s="2" t="n">
        <v>31</v>
      </c>
      <c r="B32" s="2" t="inlineStr"/>
      <c r="C32" s="2" t="inlineStr">
        <is>
          <t>Q31</t>
        </is>
      </c>
      <c r="D32" s="2" t="inlineStr">
        <is>
          <t>Numerical</t>
        </is>
      </c>
      <c r="E32" s="3" t="inlineStr">
        <is>
          <t>Permutation &amp; Combination</t>
        </is>
      </c>
      <c r="F32" s="2" t="n">
        <v>4</v>
      </c>
      <c r="G32" s="6" t="n">
        <v>2</v>
      </c>
      <c r="H32" s="6" t="inlineStr">
        <is>
          <t>Easier than Advanced</t>
        </is>
      </c>
      <c r="I32" s="5" t="n">
        <v>0</v>
      </c>
      <c r="J32" s="5" t="n">
        <v>0</v>
      </c>
      <c r="K32" s="5">
        <f>MIN(5,MAX(G32+I32,J32))</f>
        <v/>
      </c>
      <c r="L32" s="5">
        <f>F32*K32</f>
        <v/>
      </c>
      <c r="M32" s="3" t="inlineStr">
        <is>
          <t>Count matches for $n$ couples: two men, two non-wives, and two pairings.</t>
        </is>
      </c>
      <c r="N32" s="3" t="inlineStr">
        <is>
          <t>Needs a model of a mixed-doubles match and an equation solved by recognising $5\cdot6\cdot7\cdot8$.</t>
        </is>
      </c>
      <c r="O32" s="3" t="inlineStr">
        <is>
          <t>2024-P1-Q11 (L4)</t>
        </is>
      </c>
      <c r="P32" s="2" t="inlineStr">
        <is>
          <t>Medium</t>
        </is>
      </c>
    </row>
    <row r="33">
      <c r="A33" s="2" t="n">
        <v>32</v>
      </c>
      <c r="B33" s="2" t="inlineStr"/>
      <c r="C33" s="2" t="inlineStr">
        <is>
          <t>Q32</t>
        </is>
      </c>
      <c r="D33" s="2" t="inlineStr">
        <is>
          <t>Numerical</t>
        </is>
      </c>
      <c r="E33" s="3" t="inlineStr">
        <is>
          <t>Permutation &amp; Combination</t>
        </is>
      </c>
      <c r="F33" s="2" t="n">
        <v>4</v>
      </c>
      <c r="G33" s="6" t="n">
        <v>2</v>
      </c>
      <c r="H33" s="6" t="inlineStr">
        <is>
          <t>Easier than Advanced</t>
        </is>
      </c>
      <c r="I33" s="5" t="n">
        <v>0</v>
      </c>
      <c r="J33" s="5" t="n">
        <v>0</v>
      </c>
      <c r="K33" s="5">
        <f>MIN(5,MAX(G33+I33,J33))</f>
        <v/>
      </c>
      <c r="L33" s="5">
        <f>F33*K33</f>
        <v/>
      </c>
      <c r="M33" s="3" t="inlineStr">
        <is>
          <t>Use inclusion-exclusion; the two strings share no digit, so both can occur together.</t>
        </is>
      </c>
      <c r="N33" s="3" t="inlineStr">
        <is>
          <t>Inclusion-exclusion with glued blocks; the intersection term is easy to forget.</t>
        </is>
      </c>
      <c r="O33" s="3" t="inlineStr">
        <is>
          <t>2021-P2-Q1 (L2)</t>
        </is>
      </c>
      <c r="P33" s="2" t="inlineStr">
        <is>
          <t>High</t>
        </is>
      </c>
    </row>
    <row r="34">
      <c r="A34" s="2" t="n">
        <v>33</v>
      </c>
      <c r="B34" s="2" t="inlineStr"/>
      <c r="C34" s="2" t="inlineStr">
        <is>
          <t>Q33</t>
        </is>
      </c>
      <c r="D34" s="2" t="inlineStr">
        <is>
          <t>Numerical</t>
        </is>
      </c>
      <c r="E34" s="3" t="inlineStr">
        <is>
          <t>Permutation &amp; Combination</t>
        </is>
      </c>
      <c r="F34" s="2" t="n">
        <v>4</v>
      </c>
      <c r="G34" s="6" t="n">
        <v>2</v>
      </c>
      <c r="H34" s="6" t="inlineStr">
        <is>
          <t>Easier than Advanced</t>
        </is>
      </c>
      <c r="I34" s="5" t="n">
        <v>0</v>
      </c>
      <c r="J34" s="5" t="n">
        <v>0</v>
      </c>
      <c r="K34" s="5">
        <f>MIN(5,MAX(G34+I34,J34))</f>
        <v/>
      </c>
      <c r="L34" s="5">
        <f>F34*K34</f>
        <v/>
      </c>
      <c r="M34" s="3" t="inlineStr">
        <is>
          <t>Find each digit's total contribution per place; the same column sum applies to all four places.</t>
        </is>
      </c>
      <c r="N34" s="3" t="inlineStr">
        <is>
          <t>Standard place-value sum with a repeated digit; arithmetic precision.</t>
        </is>
      </c>
      <c r="O34" s="3" t="inlineStr">
        <is>
          <t>2021-P2-Q1 (L2)</t>
        </is>
      </c>
      <c r="P34" s="2" t="inlineStr">
        <is>
          <t>High</t>
        </is>
      </c>
    </row>
    <row r="35">
      <c r="A35" s="2" t="n">
        <v>34</v>
      </c>
      <c r="B35" s="2" t="inlineStr"/>
      <c r="C35" s="2" t="inlineStr">
        <is>
          <t>Q34</t>
        </is>
      </c>
      <c r="D35" s="2" t="inlineStr">
        <is>
          <t>Numerical</t>
        </is>
      </c>
      <c r="E35" s="3" t="inlineStr">
        <is>
          <t>Permutation &amp; Combination</t>
        </is>
      </c>
      <c r="F35" s="2" t="n">
        <v>4</v>
      </c>
      <c r="G35" s="4" t="n">
        <v>1</v>
      </c>
      <c r="H35" s="4" t="inlineStr">
        <is>
          <t>JEE Main level</t>
        </is>
      </c>
      <c r="I35" s="5" t="n">
        <v>0</v>
      </c>
      <c r="J35" s="5" t="n">
        <v>0</v>
      </c>
      <c r="K35" s="5">
        <f>MIN(5,MAX(G35+I35,J35))</f>
        <v/>
      </c>
      <c r="L35" s="5">
        <f>F35*K35</f>
        <v/>
      </c>
      <c r="M35" s="3" t="inlineStr">
        <is>
          <t>Apply the derangement formula $D_n=n!\sum(-1)^k/k!$.</t>
        </is>
      </c>
      <c r="N35" s="3" t="inlineStr">
        <is>
          <t>One standard formula applied once.</t>
        </is>
      </c>
      <c r="O35" s="3" t="inlineStr">
        <is>
          <t>2021-P2-Q1 (L2)</t>
        </is>
      </c>
      <c r="P35" s="2" t="inlineStr">
        <is>
          <t>High</t>
        </is>
      </c>
    </row>
    <row r="36">
      <c r="A36" s="2" t="n">
        <v>35</v>
      </c>
      <c r="B36" s="2" t="inlineStr"/>
      <c r="C36" s="2" t="inlineStr">
        <is>
          <t>Q35</t>
        </is>
      </c>
      <c r="D36" s="2" t="inlineStr">
        <is>
          <t>Numerical</t>
        </is>
      </c>
      <c r="E36" s="3" t="inlineStr">
        <is>
          <t>Permutation &amp; Combination</t>
        </is>
      </c>
      <c r="F36" s="2" t="n">
        <v>4</v>
      </c>
      <c r="G36" s="7" t="n">
        <v>4</v>
      </c>
      <c r="H36" s="7" t="inlineStr">
        <is>
          <t>Slightly difficult</t>
        </is>
      </c>
      <c r="I36" s="5" t="n">
        <v>0</v>
      </c>
      <c r="J36" s="5" t="n">
        <v>0</v>
      </c>
      <c r="K36" s="5">
        <f>MIN(5,MAX(G36+I36,J36))</f>
        <v/>
      </c>
      <c r="L36" s="5">
        <f>F36*K36</f>
        <v/>
      </c>
      <c r="M36" s="3" t="inlineStr">
        <is>
          <t>A.P. triples can only be abc or cba; count 'at least once' by inclusion-exclusion over overlapping occurrences, not by gluing one block.</t>
        </is>
      </c>
      <c r="N36" s="3" t="inlineStr">
        <is>
          <t>Overlapping occurrences of two patterns with exact multiplicity; the obvious block method over-counts, and there is no option to check against.</t>
        </is>
      </c>
      <c r="O36" s="3" t="inlineStr">
        <is>
          <t>2024-P1-Q11 (L4)</t>
        </is>
      </c>
      <c r="P36" s="2" t="inlineStr">
        <is>
          <t>Medium</t>
        </is>
      </c>
    </row>
    <row r="37">
      <c r="A37" s="2" t="n">
        <v>36</v>
      </c>
      <c r="B37" s="2" t="inlineStr"/>
      <c r="C37" s="2" t="inlineStr">
        <is>
          <t>Q36</t>
        </is>
      </c>
      <c r="D37" s="2" t="inlineStr">
        <is>
          <t>Numerical</t>
        </is>
      </c>
      <c r="E37" s="3" t="inlineStr">
        <is>
          <t>Permutation &amp; Combination</t>
        </is>
      </c>
      <c r="F37" s="2" t="n">
        <v>4</v>
      </c>
      <c r="G37" s="6" t="n">
        <v>2</v>
      </c>
      <c r="H37" s="6" t="inlineStr">
        <is>
          <t>Easier than Advanced</t>
        </is>
      </c>
      <c r="I37" s="5" t="n">
        <v>0</v>
      </c>
      <c r="J37" s="5" t="n">
        <v>0</v>
      </c>
      <c r="K37" s="5">
        <f>MIN(5,MAX(G37+I37,J37))</f>
        <v/>
      </c>
      <c r="L37" s="5">
        <f>F37*K37</f>
        <v/>
      </c>
      <c r="M37" s="3" t="inlineStr">
        <is>
          <t>Shift to $y_i=x_i-1\in\{0,..,3\}$ with sum $5$ and remove the solutions with some $y_i\ge4$.</t>
        </is>
      </c>
      <c r="N37" s="3" t="inlineStr">
        <is>
          <t>Bounded stars and bars through a generating function; one correction term.</t>
        </is>
      </c>
      <c r="O37" s="3" t="inlineStr">
        <is>
          <t>2026-P1-Q11 (L3)</t>
        </is>
      </c>
      <c r="P37" s="2" t="inlineStr">
        <is>
          <t>High</t>
        </is>
      </c>
    </row>
    <row r="38">
      <c r="A38" s="2" t="n">
        <v>37</v>
      </c>
      <c r="B38" s="2" t="inlineStr"/>
      <c r="C38" s="2" t="inlineStr">
        <is>
          <t>Q37</t>
        </is>
      </c>
      <c r="D38" s="2" t="inlineStr">
        <is>
          <t>Numerical</t>
        </is>
      </c>
      <c r="E38" s="3" t="inlineStr">
        <is>
          <t>Permutation &amp; Combination</t>
        </is>
      </c>
      <c r="F38" s="2" t="n">
        <v>4</v>
      </c>
      <c r="G38" s="6" t="n">
        <v>2</v>
      </c>
      <c r="H38" s="6" t="inlineStr">
        <is>
          <t>Easier than Advanced</t>
        </is>
      </c>
      <c r="I38" s="5" t="n">
        <v>0</v>
      </c>
      <c r="J38" s="5" t="n">
        <v>0</v>
      </c>
      <c r="K38" s="5">
        <f>MIN(5,MAX(G38+I38,J38))</f>
        <v/>
      </c>
      <c r="L38" s="5">
        <f>F38*K38</f>
        <v/>
      </c>
      <c r="M38" s="3" t="inlineStr">
        <is>
          <t>Unit digit $2$ or $4$; then count pairs of first two digits by their residue sum mod $3$.</t>
        </is>
      </c>
      <c r="N38" s="3" t="inlineStr">
        <is>
          <t>Two divisibility rules with residue bookkeeping; small numbers.</t>
        </is>
      </c>
      <c r="O38" s="3" t="inlineStr">
        <is>
          <t>2021-P2-Q1 (L2)</t>
        </is>
      </c>
      <c r="P38" s="2" t="inlineStr">
        <is>
          <t>High</t>
        </is>
      </c>
    </row>
    <row r="39">
      <c r="A39" s="2" t="n">
        <v>38</v>
      </c>
      <c r="B39" s="2" t="inlineStr"/>
      <c r="C39" s="2" t="inlineStr">
        <is>
          <t>Q38</t>
        </is>
      </c>
      <c r="D39" s="2" t="inlineStr">
        <is>
          <t>Numerical</t>
        </is>
      </c>
      <c r="E39" s="3" t="inlineStr">
        <is>
          <t>Permutation &amp; Combination</t>
        </is>
      </c>
      <c r="F39" s="2" t="n">
        <v>4</v>
      </c>
      <c r="G39" s="8" t="n">
        <v>3</v>
      </c>
      <c r="H39" s="8" t="inlineStr">
        <is>
          <t>Average Advanced</t>
        </is>
      </c>
      <c r="I39" s="5" t="n">
        <v>0</v>
      </c>
      <c r="J39" s="5" t="n">
        <v>0</v>
      </c>
      <c r="K39" s="5">
        <f>MIN(5,MAX(G39+I39,J39))</f>
        <v/>
      </c>
      <c r="L39" s="5">
        <f>F39*K39</f>
        <v/>
      </c>
      <c r="M39" s="3" t="inlineStr">
        <is>
          <t>Fix the common pair sum $s$; the digit $7$ must lie in one of the two pairs.</t>
        </is>
      </c>
      <c r="N39" s="3" t="inlineStr">
        <is>
          <t>Casework on the common sum with distinctness and the 'greatest digit is 7' condition; precision matters and no options.</t>
        </is>
      </c>
      <c r="O39" s="3" t="inlineStr">
        <is>
          <t>2025-P1-Q10 (L5)</t>
        </is>
      </c>
      <c r="P39" s="2" t="inlineStr">
        <is>
          <t>Medium</t>
        </is>
      </c>
    </row>
    <row r="40">
      <c r="A40" s="2" t="n">
        <v>39</v>
      </c>
      <c r="B40" s="2" t="inlineStr"/>
      <c r="C40" s="2" t="inlineStr">
        <is>
          <t>Q39</t>
        </is>
      </c>
      <c r="D40" s="2" t="inlineStr">
        <is>
          <t>SCQ</t>
        </is>
      </c>
      <c r="E40" s="3" t="inlineStr">
        <is>
          <t>Permutation &amp; Combination</t>
        </is>
      </c>
      <c r="F40" s="2" t="n">
        <v>4</v>
      </c>
      <c r="G40" s="8" t="n">
        <v>3</v>
      </c>
      <c r="H40" s="8" t="inlineStr">
        <is>
          <t>Average Advanced</t>
        </is>
      </c>
      <c r="I40" s="5" t="n">
        <v>0</v>
      </c>
      <c r="J40" s="5" t="n">
        <v>0</v>
      </c>
      <c r="K40" s="5">
        <f>MIN(5,MAX(G40+I40,J40))</f>
        <v/>
      </c>
      <c r="L40" s="5">
        <f>F40*K40</f>
        <v/>
      </c>
      <c r="M40" s="3" t="inlineStr">
        <is>
          <t>Recognise $\frac{24!}{(4!)^6\,6!}$ and $\frac{120!}{(5!)^{24}\,24!}$ as counts of divisions into groups.</t>
        </is>
      </c>
      <c r="N40" s="3" t="inlineStr">
        <is>
          <t>The quotient has to be recognised as a grouping count; unfamiliar way to test integrality.</t>
        </is>
      </c>
      <c r="O40" s="3" t="inlineStr">
        <is>
          <t>2021-P2-Q1 (L2)</t>
        </is>
      </c>
      <c r="P40" s="2" t="inlineStr">
        <is>
          <t>Medium</t>
        </is>
      </c>
    </row>
    <row r="41">
      <c r="A41" s="2" t="n">
        <v>40</v>
      </c>
      <c r="B41" s="2" t="inlineStr"/>
      <c r="C41" s="2" t="inlineStr">
        <is>
          <t>Q40</t>
        </is>
      </c>
      <c r="D41" s="2" t="inlineStr">
        <is>
          <t>SCQ</t>
        </is>
      </c>
      <c r="E41" s="3" t="inlineStr">
        <is>
          <t>Permutation &amp; Combination</t>
        </is>
      </c>
      <c r="F41" s="2" t="n">
        <v>4</v>
      </c>
      <c r="G41" s="6" t="n">
        <v>2</v>
      </c>
      <c r="H41" s="6" t="inlineStr">
        <is>
          <t>Easier than Advanced</t>
        </is>
      </c>
      <c r="I41" s="5" t="n">
        <v>0</v>
      </c>
      <c r="J41" s="5" t="n">
        <v>0</v>
      </c>
      <c r="K41" s="5">
        <f>MIN(5,MAX(G41+I41,J41))</f>
        <v/>
      </c>
      <c r="L41" s="5">
        <f>F41*K41</f>
        <v/>
      </c>
      <c r="M41" s="3" t="inlineStr">
        <is>
          <t>Identical books into identical shelves means partitions of $8$ into at most $4$ parts.</t>
        </is>
      </c>
      <c r="N41" s="3" t="inlineStr">
        <is>
          <t>Recognise partitions of an integer and list them without a miss.</t>
        </is>
      </c>
      <c r="O41" s="3" t="inlineStr">
        <is>
          <t>2026-P1-Q11 (L3)</t>
        </is>
      </c>
      <c r="P41" s="2" t="inlineStr">
        <is>
          <t>High</t>
        </is>
      </c>
    </row>
    <row r="42">
      <c r="A42" s="2" t="n">
        <v>41</v>
      </c>
      <c r="B42" s="2" t="inlineStr"/>
      <c r="C42" s="2" t="inlineStr">
        <is>
          <t>Q41</t>
        </is>
      </c>
      <c r="D42" s="2" t="inlineStr">
        <is>
          <t>SCQ</t>
        </is>
      </c>
      <c r="E42" s="3" t="inlineStr">
        <is>
          <t>Permutation &amp; Combination</t>
        </is>
      </c>
      <c r="F42" s="2" t="n">
        <v>4</v>
      </c>
      <c r="G42" s="4" t="n">
        <v>1</v>
      </c>
      <c r="H42" s="4" t="inlineStr">
        <is>
          <t>JEE Main level</t>
        </is>
      </c>
      <c r="I42" s="5" t="n">
        <v>0</v>
      </c>
      <c r="J42" s="5" t="n">
        <v>0</v>
      </c>
      <c r="K42" s="5">
        <f>MIN(5,MAX(G42+I42,J42))</f>
        <v/>
      </c>
      <c r="L42" s="5">
        <f>F42*K42</f>
        <v/>
      </c>
      <c r="M42" s="3" t="inlineStr">
        <is>
          <t>Give each child $2$ apples first, then distribute the remaining $15$ freely.</t>
        </is>
      </c>
      <c r="N42" s="3" t="inlineStr">
        <is>
          <t>One shift then stars and bars.</t>
        </is>
      </c>
      <c r="O42" s="3" t="inlineStr">
        <is>
          <t>2026-P1-Q11 (L3)</t>
        </is>
      </c>
      <c r="P42" s="2" t="inlineStr">
        <is>
          <t>High</t>
        </is>
      </c>
    </row>
    <row r="43">
      <c r="A43" s="2" t="n">
        <v>42</v>
      </c>
      <c r="B43" s="2" t="inlineStr"/>
      <c r="C43" s="2" t="inlineStr">
        <is>
          <t>Q42</t>
        </is>
      </c>
      <c r="D43" s="2" t="inlineStr">
        <is>
          <t>SCQ</t>
        </is>
      </c>
      <c r="E43" s="3" t="inlineStr">
        <is>
          <t>Permutation &amp; Combination</t>
        </is>
      </c>
      <c r="F43" s="2" t="n">
        <v>4</v>
      </c>
      <c r="G43" s="4" t="n">
        <v>1</v>
      </c>
      <c r="H43" s="4" t="inlineStr">
        <is>
          <t>JEE Main level</t>
        </is>
      </c>
      <c r="I43" s="5" t="n">
        <v>0</v>
      </c>
      <c r="J43" s="5" t="n">
        <v>0</v>
      </c>
      <c r="K43" s="5">
        <f>MIN(5,MAX(G43+I43,J43))</f>
        <v/>
      </c>
      <c r="L43" s="5">
        <f>F43*K43</f>
        <v/>
      </c>
      <c r="M43" s="3" t="inlineStr">
        <is>
          <t>Use Pascal's rule twice to collapse the sum to ${}^8C_{m+2}$ and compare with ${}^8C_3$.</t>
        </is>
      </c>
      <c r="N43" s="3" t="inlineStr">
        <is>
          <t>Pascal's identity twice plus a ratio of permutations; routine algebra and evaluation.</t>
        </is>
      </c>
      <c r="O43" s="3" t="inlineStr">
        <is>
          <t>2021-P2-Q1 (L2)</t>
        </is>
      </c>
      <c r="P43" s="2" t="inlineStr">
        <is>
          <t>High</t>
        </is>
      </c>
    </row>
    <row r="44">
      <c r="A44" s="2" t="n">
        <v>43</v>
      </c>
      <c r="B44" s="2" t="inlineStr"/>
      <c r="C44" s="2" t="inlineStr">
        <is>
          <t>Q43</t>
        </is>
      </c>
      <c r="D44" s="2" t="inlineStr">
        <is>
          <t>SCQ</t>
        </is>
      </c>
      <c r="E44" s="3" t="inlineStr">
        <is>
          <t>Permutation &amp; Combination</t>
        </is>
      </c>
      <c r="F44" s="2" t="n">
        <v>4</v>
      </c>
      <c r="G44" s="6" t="n">
        <v>2</v>
      </c>
      <c r="H44" s="6" t="inlineStr">
        <is>
          <t>Easier than Advanced</t>
        </is>
      </c>
      <c r="I44" s="5" t="n">
        <v>0</v>
      </c>
      <c r="J44" s="5" t="n">
        <v>0</v>
      </c>
      <c r="K44" s="5">
        <f>MIN(5,MAX(G44+I44,J44))</f>
        <v/>
      </c>
      <c r="L44" s="5">
        <f>F44*K44</f>
        <v/>
      </c>
      <c r="M44" s="3" t="inlineStr">
        <is>
          <t>Count partitions of $5$ people into at most $4$ groups by their size pattern.</t>
        </is>
      </c>
      <c r="N44" s="3" t="inlineStr">
        <is>
          <t>Needs the size-pattern enumeration with identical offices; several patterns each with its own multinomial.</t>
        </is>
      </c>
      <c r="O44" s="3" t="inlineStr">
        <is>
          <t>2024-P1-Q11 (L4)</t>
        </is>
      </c>
      <c r="P44" s="2" t="inlineStr">
        <is>
          <t>High</t>
        </is>
      </c>
    </row>
    <row r="45">
      <c r="A45" s="2" t="n">
        <v>44</v>
      </c>
      <c r="B45" s="2" t="inlineStr"/>
      <c r="C45" s="2" t="inlineStr">
        <is>
          <t>Q44</t>
        </is>
      </c>
      <c r="D45" s="2" t="inlineStr">
        <is>
          <t>Numerical</t>
        </is>
      </c>
      <c r="E45" s="3" t="inlineStr">
        <is>
          <t>Permutation &amp; Combination</t>
        </is>
      </c>
      <c r="F45" s="2" t="n">
        <v>4</v>
      </c>
      <c r="G45" s="6" t="n">
        <v>2</v>
      </c>
      <c r="H45" s="6" t="inlineStr">
        <is>
          <t>Easier than Advanced</t>
        </is>
      </c>
      <c r="I45" s="5" t="n">
        <v>0</v>
      </c>
      <c r="J45" s="5" t="n">
        <v>0</v>
      </c>
      <c r="K45" s="5">
        <f>MIN(5,MAX(G45+I45,J45))</f>
        <v/>
      </c>
      <c r="L45" s="5">
        <f>F45*K45</f>
        <v/>
      </c>
      <c r="M45" s="3" t="inlineStr">
        <is>
          <t>Alphabetical order $E,G,N,T,T,W,Y$; count blocks of smaller prefixes with the repeated $T$ in mind.</t>
        </is>
      </c>
      <c r="N45" s="3" t="inlineStr">
        <is>
          <t>Dictionary rank with a repeated letter; block sizes need the $2!$ corrections.</t>
        </is>
      </c>
      <c r="O45" s="3" t="inlineStr">
        <is>
          <t>2021-P2-Q1 (L2)</t>
        </is>
      </c>
      <c r="P45" s="2" t="inlineStr">
        <is>
          <t>High</t>
        </is>
      </c>
    </row>
    <row r="46">
      <c r="A46" s="2" t="n">
        <v>45</v>
      </c>
      <c r="B46" s="2" t="inlineStr"/>
      <c r="C46" s="2" t="inlineStr">
        <is>
          <t>Q45</t>
        </is>
      </c>
      <c r="D46" s="2" t="inlineStr">
        <is>
          <t>Numerical</t>
        </is>
      </c>
      <c r="E46" s="3" t="inlineStr">
        <is>
          <t>Permutation &amp; Combination</t>
        </is>
      </c>
      <c r="F46" s="2" t="n">
        <v>4</v>
      </c>
      <c r="G46" s="8" t="n">
        <v>3</v>
      </c>
      <c r="H46" s="8" t="inlineStr">
        <is>
          <t>Average Advanced</t>
        </is>
      </c>
      <c r="I46" s="5" t="n">
        <v>0</v>
      </c>
      <c r="J46" s="5" t="n">
        <v>0</v>
      </c>
      <c r="K46" s="5">
        <f>MIN(5,MAX(G46+I46,J46))</f>
        <v/>
      </c>
      <c r="L46" s="5">
        <f>F46*K46</f>
        <v/>
      </c>
      <c r="M46" s="3" t="inlineStr">
        <is>
          <t>After taking 4 from each section, the remaining 3 questions follow patterns $(1,1,1)$, $(3,0,0)$, $(2,1,0)$ (respecting section sizes).</t>
        </is>
      </c>
      <c r="N46" s="3" t="inlineStr">
        <is>
          <t>Five-pattern casework with a different binomial product each time; precision risk and no options.</t>
        </is>
      </c>
      <c r="O46" s="3" t="inlineStr">
        <is>
          <t>2024-P1-Q11 (L4)</t>
        </is>
      </c>
      <c r="P46" s="2" t="inlineStr">
        <is>
          <t>Medium</t>
        </is>
      </c>
    </row>
    <row r="47">
      <c r="A47" s="2" t="n">
        <v>46</v>
      </c>
      <c r="B47" s="2" t="inlineStr"/>
      <c r="C47" s="2" t="inlineStr">
        <is>
          <t>Q46</t>
        </is>
      </c>
      <c r="D47" s="2" t="inlineStr">
        <is>
          <t>Numerical</t>
        </is>
      </c>
      <c r="E47" s="3" t="inlineStr">
        <is>
          <t>Permutation &amp; Combination</t>
        </is>
      </c>
      <c r="F47" s="2" t="n">
        <v>4</v>
      </c>
      <c r="G47" s="8" t="n">
        <v>3</v>
      </c>
      <c r="H47" s="8" t="inlineStr">
        <is>
          <t>Average Advanced</t>
        </is>
      </c>
      <c r="I47" s="5" t="n">
        <v>0</v>
      </c>
      <c r="J47" s="5" t="n">
        <v>0</v>
      </c>
      <c r="K47" s="5">
        <f>MIN(5,MAX(G47+I47,J47))</f>
        <v/>
      </c>
      <c r="L47" s="5">
        <f>F47*K47</f>
        <v/>
      </c>
      <c r="M47" s="3" t="inlineStr">
        <is>
          <t>Classify the 4-letter selections by repetition type: all different, one pair, two pairs, a triple.</t>
        </is>
      </c>
      <c r="N47" s="3" t="inlineStr">
        <is>
          <t>Four selection types with repeated letters ($I$ thrice, $T$ twice); precision risk.</t>
        </is>
      </c>
      <c r="O47" s="3" t="inlineStr">
        <is>
          <t>2025-P1-Q10 (L5)</t>
        </is>
      </c>
      <c r="P47" s="2" t="inlineStr">
        <is>
          <t>High</t>
        </is>
      </c>
    </row>
    <row r="48">
      <c r="A48" s="2" t="n">
        <v>47</v>
      </c>
      <c r="B48" s="2" t="inlineStr"/>
      <c r="C48" s="2" t="inlineStr">
        <is>
          <t>Q47</t>
        </is>
      </c>
      <c r="D48" s="2" t="inlineStr">
        <is>
          <t>Numerical</t>
        </is>
      </c>
      <c r="E48" s="3" t="inlineStr">
        <is>
          <t>Permutation &amp; Combination</t>
        </is>
      </c>
      <c r="F48" s="2" t="n">
        <v>4</v>
      </c>
      <c r="G48" s="6" t="n">
        <v>2</v>
      </c>
      <c r="H48" s="6" t="inlineStr">
        <is>
          <t>Easier than Advanced</t>
        </is>
      </c>
      <c r="I48" s="5" t="n">
        <v>0</v>
      </c>
      <c r="J48" s="5" t="n">
        <v>0</v>
      </c>
      <c r="K48" s="5">
        <f>MIN(5,MAX(G48+I48,J48))</f>
        <v/>
      </c>
      <c r="L48" s="5">
        <f>F48*K48</f>
        <v/>
      </c>
      <c r="M48" s="3" t="inlineStr">
        <is>
          <t>Fix $z$; the pairs $(x,y)$ number $\lfloor\frac{42-3z}{2}\rfloor+1$, then sum over $z$.</t>
        </is>
      </c>
      <c r="N48" s="3" t="inlineStr">
        <is>
          <t>Sum of an arithmetic-like series from fixing one variable; arithmetic precision needed.</t>
        </is>
      </c>
      <c r="O48" s="3" t="inlineStr">
        <is>
          <t>2026-P1-Q11 (L3)</t>
        </is>
      </c>
      <c r="P48" s="2" t="inlineStr">
        <is>
          <t>High</t>
        </is>
      </c>
    </row>
    <row r="49">
      <c r="A49" s="2" t="n">
        <v>48</v>
      </c>
      <c r="B49" s="2" t="inlineStr"/>
      <c r="C49" s="2" t="inlineStr">
        <is>
          <t>Q48</t>
        </is>
      </c>
      <c r="D49" s="2" t="inlineStr">
        <is>
          <t>Numerical</t>
        </is>
      </c>
      <c r="E49" s="3" t="inlineStr">
        <is>
          <t>Permutation &amp; Combination</t>
        </is>
      </c>
      <c r="F49" s="2" t="n">
        <v>4</v>
      </c>
      <c r="G49" s="6" t="n">
        <v>2</v>
      </c>
      <c r="H49" s="6" t="inlineStr">
        <is>
          <t>Easier than Advanced</t>
        </is>
      </c>
      <c r="I49" s="5" t="n">
        <v>0</v>
      </c>
      <c r="J49" s="5" t="n">
        <v>0</v>
      </c>
      <c r="K49" s="5">
        <f>MIN(5,MAX(G49+I49,J49))</f>
        <v/>
      </c>
      <c r="L49" s="5">
        <f>F49*K49</f>
        <v/>
      </c>
      <c r="M49" s="3" t="inlineStr">
        <is>
          <t>Parallel pairs give no point and concurrent pairs give only one point $P$; only odd-even pairs give distinct points.</t>
        </is>
      </c>
      <c r="N49" s="3" t="inlineStr">
        <is>
          <t>Careful bookkeeping of which pairs meet and where; short once the idea is seen.</t>
        </is>
      </c>
      <c r="O49" s="3" t="inlineStr">
        <is>
          <t>2021-P2-Q1 (L2)</t>
        </is>
      </c>
      <c r="P49" s="2" t="inlineStr">
        <is>
          <t>High</t>
        </is>
      </c>
    </row>
    <row r="50">
      <c r="A50" s="2" t="n">
        <v>49</v>
      </c>
      <c r="B50" s="2" t="inlineStr"/>
      <c r="C50" s="2" t="inlineStr">
        <is>
          <t>Q49</t>
        </is>
      </c>
      <c r="D50" s="2" t="inlineStr">
        <is>
          <t>SCQ</t>
        </is>
      </c>
      <c r="E50" s="3" t="inlineStr">
        <is>
          <t>Permutation &amp; Combination</t>
        </is>
      </c>
      <c r="F50" s="2" t="n">
        <v>4</v>
      </c>
      <c r="G50" s="4" t="n">
        <v>1</v>
      </c>
      <c r="H50" s="4" t="inlineStr">
        <is>
          <t>JEE Main level</t>
        </is>
      </c>
      <c r="I50" s="5" t="n">
        <v>0</v>
      </c>
      <c r="J50" s="5" t="n">
        <v>0</v>
      </c>
      <c r="K50" s="5">
        <f>MIN(5,MAX(G50+I50,J50))</f>
        <v/>
      </c>
      <c r="L50" s="5">
        <f>F50*K50</f>
        <v/>
      </c>
      <c r="M50" s="3" t="inlineStr">
        <is>
          <t>All triples minus the collinear triples on each side.</t>
        </is>
      </c>
      <c r="N50" s="3" t="inlineStr">
        <is>
          <t>One standard subtraction of collinear triples.</t>
        </is>
      </c>
      <c r="O50" s="3" t="inlineStr">
        <is>
          <t>2021-P2-Q1 (L2)</t>
        </is>
      </c>
      <c r="P50" s="2" t="inlineStr">
        <is>
          <t>High</t>
        </is>
      </c>
    </row>
    <row r="51">
      <c r="A51" s="2" t="n">
        <v>50</v>
      </c>
      <c r="B51" s="2" t="inlineStr"/>
      <c r="C51" s="2" t="inlineStr">
        <is>
          <t>Q50</t>
        </is>
      </c>
      <c r="D51" s="2" t="inlineStr">
        <is>
          <t>SCQ</t>
        </is>
      </c>
      <c r="E51" s="3" t="inlineStr">
        <is>
          <t>Permutation &amp; Combination</t>
        </is>
      </c>
      <c r="F51" s="2" t="n">
        <v>4</v>
      </c>
      <c r="G51" s="6" t="n">
        <v>2</v>
      </c>
      <c r="H51" s="6" t="inlineStr">
        <is>
          <t>Easier than Advanced</t>
        </is>
      </c>
      <c r="I51" s="5" t="n">
        <v>0</v>
      </c>
      <c r="J51" s="5" t="n">
        <v>0</v>
      </c>
      <c r="K51" s="5">
        <f>MIN(5,MAX(G51+I51,J51))</f>
        <v/>
      </c>
      <c r="L51" s="5">
        <f>F51*K51</f>
        <v/>
      </c>
      <c r="M51" s="3" t="inlineStr">
        <is>
          <t>Alphabetical order $B,B,H,J,O$; blocks $B\ldots,H\ldots,J\ldots$ use up $48$ words.</t>
        </is>
      </c>
      <c r="N51" s="3" t="inlineStr">
        <is>
          <t>Block counting with a repeated letter, then reading the 2nd word of the last block.</t>
        </is>
      </c>
      <c r="O51" s="3" t="inlineStr">
        <is>
          <t>2021-P2-Q1 (L2)</t>
        </is>
      </c>
      <c r="P51" s="2" t="inlineStr">
        <is>
          <t>High</t>
        </is>
      </c>
    </row>
    <row r="52">
      <c r="A52" s="2" t="n">
        <v>51</v>
      </c>
      <c r="B52" s="2" t="inlineStr"/>
      <c r="C52" s="2" t="inlineStr">
        <is>
          <t>Q51</t>
        </is>
      </c>
      <c r="D52" s="2" t="inlineStr">
        <is>
          <t>SCQ</t>
        </is>
      </c>
      <c r="E52" s="3" t="inlineStr">
        <is>
          <t>Permutation &amp; Combination</t>
        </is>
      </c>
      <c r="F52" s="2" t="n">
        <v>4</v>
      </c>
      <c r="G52" s="6" t="n">
        <v>2</v>
      </c>
      <c r="H52" s="6" t="inlineStr">
        <is>
          <t>Easier than Advanced</t>
        </is>
      </c>
      <c r="I52" s="5" t="n">
        <v>0</v>
      </c>
      <c r="J52" s="5" t="n">
        <v>0</v>
      </c>
      <c r="K52" s="5">
        <f>MIN(5,MAX(G52+I52,J52))</f>
        <v/>
      </c>
      <c r="L52" s="5">
        <f>F52*K52</f>
        <v/>
      </c>
      <c r="M52" s="3" t="inlineStr">
        <is>
          <t>$S$ has $9$ elements; split into three labelled sets of $3$ each: $\frac{9!}{3!3!3!}$.</t>
        </is>
      </c>
      <c r="N52" s="3" t="inlineStr">
        <is>
          <t>Count of ordered partitions; main risk is dividing by $3!$ when the sets are named.</t>
        </is>
      </c>
      <c r="O52" s="3" t="inlineStr">
        <is>
          <t>2024-P1-Q11 (L4)</t>
        </is>
      </c>
      <c r="P52" s="2" t="inlineStr">
        <is>
          <t>High</t>
        </is>
      </c>
    </row>
    <row r="53">
      <c r="A53" s="2" t="n">
        <v>52</v>
      </c>
      <c r="B53" s="2" t="inlineStr"/>
      <c r="C53" s="2" t="inlineStr">
        <is>
          <t>Q52</t>
        </is>
      </c>
      <c r="D53" s="2" t="inlineStr">
        <is>
          <t>SCQ</t>
        </is>
      </c>
      <c r="E53" s="3" t="inlineStr">
        <is>
          <t>Permutation &amp; Combination</t>
        </is>
      </c>
      <c r="F53" s="2" t="n">
        <v>4</v>
      </c>
      <c r="G53" s="8" t="n">
        <v>3</v>
      </c>
      <c r="H53" s="8" t="inlineStr">
        <is>
          <t>Average Advanced</t>
        </is>
      </c>
      <c r="I53" s="5" t="n">
        <v>0</v>
      </c>
      <c r="J53" s="5" t="n">
        <v>0</v>
      </c>
      <c r="K53" s="5">
        <f>MIN(5,MAX(G53+I53,J53))</f>
        <v/>
      </c>
      <c r="L53" s="5">
        <f>F53*K53</f>
        <v/>
      </c>
      <c r="M53" s="3" t="inlineStr">
        <is>
          <t>No two chosen vertices may be adjacent; the first-vertex count $8\times6=48$ counts each triangle three times.</t>
        </is>
      </c>
      <c r="N53" s="3" t="inlineStr">
        <is>
          <t>A slip is easy (overcounting by $3$), the PDF itself ends on $48$; no direct formula familiar to most students.</t>
        </is>
      </c>
      <c r="O53" s="3" t="inlineStr">
        <is>
          <t>2026-P1-Q11 (L3)</t>
        </is>
      </c>
      <c r="P53" s="2" t="inlineStr">
        <is>
          <t>Medium</t>
        </is>
      </c>
    </row>
    <row r="54">
      <c r="A54" s="2" t="n">
        <v>53</v>
      </c>
      <c r="B54" s="2" t="inlineStr"/>
      <c r="C54" s="2" t="inlineStr">
        <is>
          <t>Q53</t>
        </is>
      </c>
      <c r="D54" s="2" t="inlineStr">
        <is>
          <t>SCQ</t>
        </is>
      </c>
      <c r="E54" s="3" t="inlineStr">
        <is>
          <t>Permutation &amp; Combination</t>
        </is>
      </c>
      <c r="F54" s="2" t="n">
        <v>4</v>
      </c>
      <c r="G54" s="6" t="n">
        <v>2</v>
      </c>
      <c r="H54" s="6" t="inlineStr">
        <is>
          <t>Easier than Advanced</t>
        </is>
      </c>
      <c r="I54" s="5" t="n">
        <v>0</v>
      </c>
      <c r="J54" s="5" t="n">
        <v>0</v>
      </c>
      <c r="K54" s="5">
        <f>MIN(5,MAX(G54+I54,J54))</f>
        <v/>
      </c>
      <c r="L54" s="5">
        <f>F54*K54</f>
        <v/>
      </c>
      <c r="M54" s="3" t="inlineStr">
        <is>
          <t>Alphabetical order $A,G,N,P,R,U$; subtract block sizes ($120,120,24,24,24$) then list the last three words.</t>
        </is>
      </c>
      <c r="N54" s="3" t="inlineStr">
        <is>
          <t>Block subtraction then reading off three consecutive words; routine with distinct letters.</t>
        </is>
      </c>
      <c r="O54" s="3" t="inlineStr">
        <is>
          <t>2021-P2-Q1 (L2)</t>
        </is>
      </c>
      <c r="P54" s="2" t="inlineStr">
        <is>
          <t>High</t>
        </is>
      </c>
    </row>
    <row r="55">
      <c r="A55" s="2" t="n">
        <v>54</v>
      </c>
      <c r="B55" s="2" t="inlineStr"/>
      <c r="C55" s="2" t="inlineStr">
        <is>
          <t>Q54</t>
        </is>
      </c>
      <c r="D55" s="2" t="inlineStr">
        <is>
          <t>SCQ</t>
        </is>
      </c>
      <c r="E55" s="3" t="inlineStr">
        <is>
          <t>Permutation &amp; Combination</t>
        </is>
      </c>
      <c r="F55" s="2" t="n">
        <v>4</v>
      </c>
      <c r="G55" s="8" t="n">
        <v>3</v>
      </c>
      <c r="H55" s="8" t="inlineStr">
        <is>
          <t>Average Advanced</t>
        </is>
      </c>
      <c r="I55" s="5" t="n">
        <v>0</v>
      </c>
      <c r="J55" s="5" t="n">
        <v>0</v>
      </c>
      <c r="K55" s="5">
        <f>MIN(5,MAX(G55+I55,J55))</f>
        <v/>
      </c>
      <c r="L55" s="5">
        <f>F55*K55</f>
        <v/>
      </c>
      <c r="M55" s="3" t="inlineStr">
        <is>
          <t>Letters $M,A,T$ appear twice, the other five once; split by the repetition pattern (11111, 2111, 221).</t>
        </is>
      </c>
      <c r="N55" s="3" t="inlineStr">
        <is>
          <t>Selection (not arrangement) from a multiset with three kinds of repetition pattern; easy to miss a pattern.</t>
        </is>
      </c>
      <c r="O55" s="3" t="inlineStr">
        <is>
          <t>2025-P1-Q10 (L5)</t>
        </is>
      </c>
      <c r="P55" s="2" t="inlineStr">
        <is>
          <t>High</t>
        </is>
      </c>
    </row>
    <row r="56">
      <c r="A56" s="2" t="n">
        <v>55</v>
      </c>
      <c r="B56" s="2" t="inlineStr"/>
      <c r="C56" s="2" t="inlineStr">
        <is>
          <t>Q55</t>
        </is>
      </c>
      <c r="D56" s="2" t="inlineStr">
        <is>
          <t>Numerical</t>
        </is>
      </c>
      <c r="E56" s="3" t="inlineStr">
        <is>
          <t>Permutation &amp; Combination</t>
        </is>
      </c>
      <c r="F56" s="2" t="n">
        <v>4</v>
      </c>
      <c r="G56" s="6" t="n">
        <v>2</v>
      </c>
      <c r="H56" s="6" t="inlineStr">
        <is>
          <t>Easier than Advanced</t>
        </is>
      </c>
      <c r="I56" s="5" t="n">
        <v>0</v>
      </c>
      <c r="J56" s="5" t="n">
        <v>0</v>
      </c>
      <c r="K56" s="5">
        <f>MIN(5,MAX(G56+I56,J56))</f>
        <v/>
      </c>
      <c r="L56" s="5">
        <f>F56*K56</f>
        <v/>
      </c>
      <c r="M56" s="3" t="inlineStr">
        <is>
          <t>Let group A give $a$ men (and $4-a$ women); then group B must give $4-a$ men and $a$ women.</t>
        </is>
      </c>
      <c r="N56" s="3" t="inlineStr">
        <is>
          <t>Five cases with products of four binomials each; arithmetic precision.</t>
        </is>
      </c>
      <c r="O56" s="3" t="inlineStr">
        <is>
          <t>2021-P2-Q1 (L2)</t>
        </is>
      </c>
      <c r="P56" s="2" t="inlineStr">
        <is>
          <t>High</t>
        </is>
      </c>
    </row>
    <row r="57">
      <c r="A57" s="2" t="n">
        <v>56</v>
      </c>
      <c r="B57" s="2" t="inlineStr"/>
      <c r="C57" s="2" t="inlineStr">
        <is>
          <t>Q56</t>
        </is>
      </c>
      <c r="D57" s="2" t="inlineStr">
        <is>
          <t>Numerical</t>
        </is>
      </c>
      <c r="E57" s="3" t="inlineStr">
        <is>
          <t>Permutation &amp; Combination</t>
        </is>
      </c>
      <c r="F57" s="2" t="n">
        <v>4</v>
      </c>
      <c r="G57" s="6" t="n">
        <v>2</v>
      </c>
      <c r="H57" s="6" t="inlineStr">
        <is>
          <t>Easier than Advanced</t>
        </is>
      </c>
      <c r="I57" s="5" t="n">
        <v>0</v>
      </c>
      <c r="J57" s="5" t="n">
        <v>0</v>
      </c>
      <c r="K57" s="5">
        <f>MIN(5,MAX(G57+I57,J57))</f>
        <v/>
      </c>
      <c r="L57" s="5">
        <f>F57*K57</f>
        <v/>
      </c>
      <c r="M57" s="3" t="inlineStr">
        <is>
          <t>Count solutions of $x_1+..+x_4=16$ with $1\le x_i\le6$ by generating function / inclusion-exclusion.</t>
        </is>
      </c>
      <c r="N57" s="3" t="inlineStr">
        <is>
          <t>Bounded stars and bars with two correction terms; numeric precision.</t>
        </is>
      </c>
      <c r="O57" s="3" t="inlineStr">
        <is>
          <t>2026-P1-Q11 (L3)</t>
        </is>
      </c>
      <c r="P57" s="2" t="inlineStr">
        <is>
          <t>High</t>
        </is>
      </c>
    </row>
    <row r="58">
      <c r="A58" s="2" t="n">
        <v>57</v>
      </c>
      <c r="B58" s="2" t="inlineStr"/>
      <c r="C58" s="2" t="inlineStr">
        <is>
          <t>Q57</t>
        </is>
      </c>
      <c r="D58" s="2" t="inlineStr">
        <is>
          <t>Numerical</t>
        </is>
      </c>
      <c r="E58" s="3" t="inlineStr">
        <is>
          <t>Permutation &amp; Combination</t>
        </is>
      </c>
      <c r="F58" s="2" t="n">
        <v>4</v>
      </c>
      <c r="G58" s="6" t="n">
        <v>2</v>
      </c>
      <c r="H58" s="6" t="inlineStr">
        <is>
          <t>Easier than Advanced</t>
        </is>
      </c>
      <c r="I58" s="5" t="n">
        <v>0</v>
      </c>
      <c r="J58" s="5" t="n">
        <v>0</v>
      </c>
      <c r="K58" s="5">
        <f>MIN(5,MAX(G58+I58,J58))</f>
        <v/>
      </c>
      <c r="L58" s="5">
        <f>F58*K58</f>
        <v/>
      </c>
      <c r="M58" s="3" t="inlineStr">
        <is>
          <t>Count all $3$-digit numbers ($60$) and subtract those whose digit sum is a multiple of $3$.</t>
        </is>
      </c>
      <c r="N58" s="3" t="inlineStr">
        <is>
          <t>Complement with a small enumeration of triples; the triple list must be complete.</t>
        </is>
      </c>
      <c r="O58" s="3" t="inlineStr">
        <is>
          <t>2021-P2-Q1 (L2)</t>
        </is>
      </c>
      <c r="P58" s="2" t="inlineStr">
        <is>
          <t>High</t>
        </is>
      </c>
    </row>
    <row r="59">
      <c r="A59" s="2" t="n">
        <v>58</v>
      </c>
      <c r="B59" s="2" t="inlineStr"/>
      <c r="C59" s="2" t="inlineStr">
        <is>
          <t>Q58</t>
        </is>
      </c>
      <c r="D59" s="2" t="inlineStr">
        <is>
          <t>Numerical</t>
        </is>
      </c>
      <c r="E59" s="3" t="inlineStr">
        <is>
          <t>Permutation &amp; Combination</t>
        </is>
      </c>
      <c r="F59" s="2" t="n">
        <v>4</v>
      </c>
      <c r="G59" s="8" t="n">
        <v>3</v>
      </c>
      <c r="H59" s="8" t="inlineStr">
        <is>
          <t>Average Advanced</t>
        </is>
      </c>
      <c r="I59" s="5" t="n">
        <v>0</v>
      </c>
      <c r="J59" s="5" t="n">
        <v>0</v>
      </c>
      <c r="K59" s="5">
        <f>MIN(5,MAX(G59+I59,J59))</f>
        <v/>
      </c>
      <c r="L59" s="5">
        <f>F59*K59</f>
        <v/>
      </c>
      <c r="M59" s="3" t="inlineStr">
        <is>
          <t>Split by repetition pattern of the digits (all different, two alike) or use bounded stars and bars.</t>
        </is>
      </c>
      <c r="N59" s="3" t="inlineStr">
        <is>
          <t>Precise casework with a zero-leading restriction; no options; a miscount is easy.</t>
        </is>
      </c>
      <c r="O59" s="3" t="inlineStr">
        <is>
          <t>2025-P1-Q10 (L5)</t>
        </is>
      </c>
      <c r="P59" s="2" t="inlineStr">
        <is>
          <t>High</t>
        </is>
      </c>
    </row>
    <row r="61">
      <c r="A61" s="9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10" t="inlineStr">
        <is>
          <t>Difficulty summary</t>
        </is>
      </c>
    </row>
    <row r="2">
      <c r="A2" s="9" t="inlineStr">
        <is>
          <t>Source: SHEET_P_&amp;_C_FCopy_JM.pdf   |   Evaluated on: 2026-10-14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1" t="n">
        <v>0</v>
      </c>
      <c r="B5" s="11" t="inlineStr">
        <is>
          <t>Easier than JEE Main</t>
        </is>
      </c>
      <c r="C5" s="11">
        <f>COUNTIF(Evaluation!$G$2:$G$59,A5)</f>
        <v/>
      </c>
      <c r="D5" s="11">
        <f>SUMIF(Evaluation!$G$2:$G$59,A5,Evaluation!$F$2:$F$59)</f>
        <v/>
      </c>
      <c r="E5" s="12">
        <f>IF(SUM($D$5:$D$10)=0,0,D5/SUM($D$5:$D$10))</f>
        <v/>
      </c>
    </row>
    <row r="6">
      <c r="A6" s="13" t="n">
        <v>1</v>
      </c>
      <c r="B6" s="13" t="inlineStr">
        <is>
          <t>JEE Main level</t>
        </is>
      </c>
      <c r="C6" s="13">
        <f>COUNTIF(Evaluation!$G$2:$G$59,A6)</f>
        <v/>
      </c>
      <c r="D6" s="13">
        <f>SUMIF(Evaluation!$G$2:$G$59,A6,Evaluation!$F$2:$F$59)</f>
        <v/>
      </c>
      <c r="E6" s="14">
        <f>IF(SUM($D$5:$D$10)=0,0,D6/SUM($D$5:$D$10))</f>
        <v/>
      </c>
    </row>
    <row r="7">
      <c r="A7" s="15" t="n">
        <v>2</v>
      </c>
      <c r="B7" s="15" t="inlineStr">
        <is>
          <t>Easier than Advanced</t>
        </is>
      </c>
      <c r="C7" s="15">
        <f>COUNTIF(Evaluation!$G$2:$G$59,A7)</f>
        <v/>
      </c>
      <c r="D7" s="15">
        <f>SUMIF(Evaluation!$G$2:$G$59,A7,Evaluation!$F$2:$F$59)</f>
        <v/>
      </c>
      <c r="E7" s="16">
        <f>IF(SUM($D$5:$D$10)=0,0,D7/SUM($D$5:$D$10))</f>
        <v/>
      </c>
    </row>
    <row r="8">
      <c r="A8" s="17" t="n">
        <v>3</v>
      </c>
      <c r="B8" s="17" t="inlineStr">
        <is>
          <t>Average Advanced</t>
        </is>
      </c>
      <c r="C8" s="17">
        <f>COUNTIF(Evaluation!$G$2:$G$59,A8)</f>
        <v/>
      </c>
      <c r="D8" s="17">
        <f>SUMIF(Evaluation!$G$2:$G$59,A8,Evaluation!$F$2:$F$59)</f>
        <v/>
      </c>
      <c r="E8" s="18">
        <f>IF(SUM($D$5:$D$10)=0,0,D8/SUM($D$5:$D$10))</f>
        <v/>
      </c>
    </row>
    <row r="9">
      <c r="A9" s="19" t="n">
        <v>4</v>
      </c>
      <c r="B9" s="19" t="inlineStr">
        <is>
          <t>Slightly difficult</t>
        </is>
      </c>
      <c r="C9" s="19">
        <f>COUNTIF(Evaluation!$G$2:$G$59,A9)</f>
        <v/>
      </c>
      <c r="D9" s="19">
        <f>SUMIF(Evaluation!$G$2:$G$59,A9,Evaluation!$F$2:$F$59)</f>
        <v/>
      </c>
      <c r="E9" s="20">
        <f>IF(SUM($D$5:$D$10)=0,0,D9/SUM($D$5:$D$10))</f>
        <v/>
      </c>
    </row>
    <row r="10">
      <c r="A10" s="21" t="n">
        <v>5</v>
      </c>
      <c r="B10" s="21" t="inlineStr">
        <is>
          <t>Very difficult</t>
        </is>
      </c>
      <c r="C10" s="21">
        <f>COUNTIF(Evaluation!$G$2:$G$59,A10)</f>
        <v/>
      </c>
      <c r="D10" s="21">
        <f>SUMIF(Evaluation!$G$2:$G$59,A10,Evaluation!$F$2:$F$59)</f>
        <v/>
      </c>
      <c r="E10" s="22">
        <f>IF(SUM($D$5:$D$10)=0,0,D10/SUM($D$5:$D$10))</f>
        <v/>
      </c>
    </row>
    <row r="11">
      <c r="A11" s="23" t="inlineStr">
        <is>
          <t>Total</t>
        </is>
      </c>
      <c r="C11" s="23">
        <f>SUM(C5:C10)</f>
        <v/>
      </c>
      <c r="D11" s="23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3" t="inlineStr">
        <is>
          <t>Overall</t>
        </is>
      </c>
      <c r="B14" s="24">
        <f>SUM(Evaluation!$L$2:$L$59)/SUM(Evaluation!$F$2:$F$59)</f>
        <v/>
      </c>
      <c r="C14" s="24">
        <f>SUMPRODUCT(Evaluation!$F$2:$F$59,Evaluation!$G$2:$G$59)/SUM(Evaluation!$F$2:$F$59)</f>
        <v/>
      </c>
      <c r="D14" s="23">
        <f>SUM(Evaluation!$F$2:$F$59)</f>
        <v/>
      </c>
      <c r="E14" s="24">
        <f>AVERAGE(Evaluation!$G$2:$G$59)</f>
        <v/>
      </c>
    </row>
    <row r="16">
      <c r="A16" s="9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10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5" t="n">
        <v>2021</v>
      </c>
      <c r="B4" s="26" t="n">
        <v>2.758333333333333</v>
      </c>
      <c r="C4" s="26" t="n">
        <v>2.894736842105263</v>
      </c>
      <c r="D4" s="25" t="n">
        <v>16</v>
      </c>
      <c r="E4" s="25" t="n">
        <v>34</v>
      </c>
      <c r="F4" s="25" t="n">
        <v>1</v>
      </c>
    </row>
    <row r="5">
      <c r="A5" s="25" t="n">
        <v>2023</v>
      </c>
      <c r="B5" s="26" t="n">
        <v>3.191666666666667</v>
      </c>
      <c r="C5" s="26" t="n">
        <v>3.147058823529412</v>
      </c>
      <c r="D5" s="25" t="n">
        <v>13</v>
      </c>
      <c r="E5" s="25" t="n">
        <v>47</v>
      </c>
      <c r="F5" s="25" t="n">
        <v>5</v>
      </c>
    </row>
    <row r="6">
      <c r="A6" s="25" t="n">
        <v>2024</v>
      </c>
      <c r="B6" s="26" t="n">
        <v>2.591666666666667</v>
      </c>
      <c r="C6" s="26" t="n">
        <v>2.558823529411764</v>
      </c>
      <c r="D6" s="25" t="n">
        <v>28</v>
      </c>
      <c r="E6" s="25" t="n">
        <v>40</v>
      </c>
      <c r="F6" s="25" t="n">
        <v>1</v>
      </c>
    </row>
    <row r="7">
      <c r="A7" s="25" t="n">
        <v>2025</v>
      </c>
      <c r="B7" s="26" t="n">
        <v>3.208333333333333</v>
      </c>
      <c r="C7" s="26" t="n">
        <v>3.1875</v>
      </c>
      <c r="D7" s="25" t="n">
        <v>8</v>
      </c>
      <c r="E7" s="25" t="n">
        <v>65</v>
      </c>
      <c r="F7" s="25" t="n">
        <v>1</v>
      </c>
    </row>
    <row r="8">
      <c r="A8" s="25" t="n">
        <v>2026</v>
      </c>
      <c r="B8" s="26" t="n">
        <v>3.025</v>
      </c>
      <c r="C8" s="26" t="n">
        <v>2.941176470588236</v>
      </c>
      <c r="D8" s="25" t="n">
        <v>6</v>
      </c>
      <c r="E8" s="25" t="n">
        <v>38</v>
      </c>
      <c r="F8" s="25" t="n">
        <v>2</v>
      </c>
    </row>
    <row r="9">
      <c r="A9" s="23" t="inlineStr">
        <is>
          <t>This paper</t>
        </is>
      </c>
      <c r="B9" s="24">
        <f>Summary!B14</f>
        <v/>
      </c>
      <c r="C9" s="24">
        <f>Summary!E14</f>
        <v/>
      </c>
      <c r="D9" s="23">
        <f>Summary!D5+Summary!D6</f>
        <v/>
      </c>
      <c r="E9" s="23">
        <f>Summary!D9+Summary!D10</f>
        <v/>
      </c>
      <c r="F9" s="23">
        <f>Summary!C10</f>
        <v/>
      </c>
    </row>
    <row r="11">
      <c r="A11" s="9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2026-10-14T22:15:00Z</dcterms:created>
  <dcterms:modified xmlns:dcterms="http://purl.org/dc/terms/" xmlns:xsi="http://www.w3.org/2001/XMLSchema-instance" xsi:type="dcterms:W3CDTF">2026-10-14T22:15:00Z</dcterms:modified>
</cp:coreProperties>
</file>