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Conic Sections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Slope-form tangent plus a discriminant condition for the second parabola.</t>
        </is>
      </c>
      <c r="N2" s="3" t="inlineStr">
        <is>
          <t>A routine chain: tangent form, discriminant, distance. No unfamiliar idea.</t>
        </is>
      </c>
      <c r="O2" s="3" t="inlineStr">
        <is>
          <t>2026-P2-Q2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Conic Sections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Right angle at $(0,3)$ puts the circumcentre at the midpoint of the hypotenuse.</t>
        </is>
      </c>
      <c r="N3" s="3" t="inlineStr">
        <is>
          <t>Several routine stages (tangent, vertices, midpoint, elimination) but nothing non-standard.</t>
        </is>
      </c>
      <c r="O3" s="3" t="inlineStr">
        <is>
          <t>2026-P2-Q2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Conic Sections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The nearest point is where the line to $Q$ is the normal, giving a cubic with one real root.</t>
        </is>
      </c>
      <c r="N4" s="3" t="inlineStr">
        <is>
          <t>Normal condition plus a shifted-parabola directrix; routine.</t>
        </is>
      </c>
      <c r="O4" s="3" t="inlineStr">
        <is>
          <t>2023-P1-Q7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Conic Sections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Matching the slope-form parabola tangent with the circle's tangent condition gives $m=\pm1$.</t>
        </is>
      </c>
      <c r="N5" s="3" t="inlineStr">
        <is>
          <t>Two standard tangent conditions chained; routine.</t>
        </is>
      </c>
      <c r="O5" s="3" t="inlineStr">
        <is>
          <t>2023-P1-Q2 (L3)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Conic Sections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G.P. makes $ax^2+2bx+c$ a perfect square, fixing the common point.</t>
        </is>
      </c>
      <c r="N6" s="3" t="inlineStr">
        <is>
          <t>Perfect-square observation then an algebraic substitution; routine.</t>
        </is>
      </c>
      <c r="O6" s="3" t="inlineStr">
        <is>
          <t>2026-P1-Q3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Conic Sections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Tangent at the common point via $T=0$, then circumradius from the triangle's vertices.</t>
        </is>
      </c>
      <c r="N7" s="3" t="inlineStr">
        <is>
          <t>Standard chain, with some computation; no unfamiliar idea.</t>
        </is>
      </c>
      <c r="O7" s="3" t="inlineStr">
        <is>
          <t>2026-P1-Q2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Conic Sections</t>
        </is>
      </c>
      <c r="F8" s="2" t="n">
        <v>4</v>
      </c>
      <c r="G8" s="6" t="n">
        <v>3</v>
      </c>
      <c r="H8" s="6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The tangent cuts the axis at $(-b,0)$, so the area collapses to $bc=16$.</t>
        </is>
      </c>
      <c r="N8" s="3" t="inlineStr">
        <is>
          <t>Needs the subtangent fact, then a short integer-solutions check; some precision risk.</t>
        </is>
      </c>
      <c r="O8" s="3" t="inlineStr">
        <is>
          <t>2023-P1-Q7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Conic Sections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Translate the axes; a focal chord of slope $-1$ has length $\frac{4a}{\sin^2 135^\circ}$.</t>
        </is>
      </c>
      <c r="N9" s="3" t="inlineStr">
        <is>
          <t>One standard formula after a completing-the-square step.</t>
        </is>
      </c>
      <c r="O9" s="3" t="inlineStr">
        <is>
          <t>2026-P2-Q2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Conic Sections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Parallel tangents touch at the ends of a diameter, so the area is a cross product.</t>
        </is>
      </c>
      <c r="N10" s="3" t="inlineStr">
        <is>
          <t>Several standard pieces linked together; determinant is straightforward.</t>
        </is>
      </c>
      <c r="O10" s="3" t="inlineStr">
        <is>
          <t>2024-P1-Q4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Conic Sections</t>
        </is>
      </c>
      <c r="F11" s="2" t="n">
        <v>4</v>
      </c>
      <c r="G11" s="6" t="n">
        <v>3</v>
      </c>
      <c r="H11" s="6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Cauchy-Schwarz (or $\tan^2\theta=\frac b2$) minimises $4\sec^2\theta+b^2\operatorname{cosec}^2\theta$, giving a neat closed form.</t>
        </is>
      </c>
      <c r="N11" s="3" t="inlineStr">
        <is>
          <t>Needs the normal's distance expression and a minimisation trick; two linked ideas.</t>
        </is>
      </c>
      <c r="O11" s="3" t="inlineStr">
        <is>
          <t>2024-P2-Q12 (L4)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Conic Sections</t>
        </is>
      </c>
      <c r="F12" s="2" t="n">
        <v>4</v>
      </c>
      <c r="G12" s="6" t="n">
        <v>3</v>
      </c>
      <c r="H12" s="6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The $y$-intercept condition of the tangent gives $\sin\theta=\frac12$ at once.</t>
        </is>
      </c>
      <c r="N12" s="3" t="inlineStr">
        <is>
          <t>Standard ellipse set-up then a tangent through a given point; routine chain.</t>
        </is>
      </c>
      <c r="O12" s="3" t="inlineStr">
        <is>
          <t>2024-P1-Q4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Conic Sections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The chord equation $T=S_1$ plus tangency to $y^2=24x$ ($c=a/m$) gives $y^2=-3x$.</t>
        </is>
      </c>
      <c r="N13" s="3" t="inlineStr">
        <is>
          <t>One chain of three standard tools; the final identification is short.</t>
        </is>
      </c>
      <c r="O13" s="3" t="inlineStr">
        <is>
          <t>2023-P1-Q7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Conic Sections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Nearest point $\Rightarrow$ tangent parallel to the line.</t>
        </is>
      </c>
      <c r="N14" s="3" t="inlineStr">
        <is>
          <t>One familiar idea (parallel tangent) plus a branch choice; routine.</t>
        </is>
      </c>
      <c r="O14" s="3" t="inlineStr">
        <is>
          <t>2026-P2-Q2 (L2)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Conic Sections</t>
        </is>
      </c>
      <c r="F15" s="2" t="n">
        <v>4</v>
      </c>
      <c r="G15" s="7" t="n">
        <v>1</v>
      </c>
      <c r="H15" s="7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$2ae$ is the focal distance, so $a=1$ and $e=\sqrt2$ gives $b=1$.</t>
        </is>
      </c>
      <c r="N15" s="3" t="inlineStr">
        <is>
          <t>A single standard computation once $a$ is found; no decision.</t>
        </is>
      </c>
      <c r="O15" s="3" t="inlineStr">
        <is>
          <t>2026-P1-Q3 (L1)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Conic Sections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Parallel normal $\Rightarrow$ $-2\sin\theta=-\sqrt2$, which fixes the point at once.</t>
        </is>
      </c>
      <c r="N16" s="3" t="inlineStr">
        <is>
          <t>Normal-form hyperbola work with some computation; no real obstacle.</t>
        </is>
      </c>
      <c r="O16" s="3" t="inlineStr">
        <is>
          <t>2024-P2-Q12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Conic Sections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Eliminate $x$ so the centroid condition becomes a sum of ordinates.</t>
        </is>
      </c>
      <c r="N17" s="3" t="inlineStr">
        <is>
          <t>Vieta on a chord, then routine arithmetic.</t>
        </is>
      </c>
      <c r="O17" s="3" t="inlineStr">
        <is>
          <t>2026-P2-Q2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Conic Sections</t>
        </is>
      </c>
      <c r="F18" s="2" t="n">
        <v>4</v>
      </c>
      <c r="G18" s="6" t="n">
        <v>3</v>
      </c>
      <c r="H18" s="6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Rebuild the triangle from its mid-points, then the incentre is $(r,r)$ in the right-angle corner.</t>
        </is>
      </c>
      <c r="N18" s="3" t="inlineStr">
        <is>
          <t>Three stages (triangle, incentre, parabola/focus) with surd arithmetic.</t>
        </is>
      </c>
      <c r="O18" s="3" t="inlineStr">
        <is>
          <t>2024-P1-Q4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Conic Sections</t>
        </is>
      </c>
      <c r="F19" s="2" t="n">
        <v>4</v>
      </c>
      <c r="G19" s="6" t="n">
        <v>3</v>
      </c>
      <c r="H19" s="6" t="inlineStr">
        <is>
          <t>Average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A focal chord of given length gives $t=3$; then $M$ and the perpendicular line.</t>
        </is>
      </c>
      <c r="N19" s="3" t="inlineStr">
        <is>
          <t>Parametric focal chord, section formula, then verifying four options.</t>
        </is>
      </c>
      <c r="O19" s="3" t="inlineStr">
        <is>
          <t>2023-P1-Q7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Conic Sections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Keep only the intersection that also satisfies $2x-3y=8$.</t>
        </is>
      </c>
      <c r="N20" s="3" t="inlineStr">
        <is>
          <t>A short chain of standard steps; one filtering choice.</t>
        </is>
      </c>
      <c r="O20" s="3" t="inlineStr">
        <is>
          <t>2026-P2-Q2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Conic Sections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The intersection of tangents at parameters $t_1,t_2$ is $(at_1t_2,a(t_1+t_2))$.</t>
        </is>
      </c>
      <c r="N21" s="3" t="inlineStr">
        <is>
          <t>Standard parametric result with a ratio substitution.</t>
        </is>
      </c>
      <c r="O21" s="3" t="inlineStr">
        <is>
          <t>2026-P2-Q2 (L2)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Conic Sections</t>
        </is>
      </c>
      <c r="F22" s="2" t="n">
        <v>4</v>
      </c>
      <c r="G22" s="6" t="n">
        <v>3</v>
      </c>
      <c r="H22" s="6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The tangent segment $PQ$ equals the tangent length from $P$ to the circle, $\sqrt{CP^2-r^2}$.</t>
        </is>
      </c>
      <c r="N22" s="3" t="inlineStr">
        <is>
          <t>Common tangent through a distance condition, then a short geometric finish.</t>
        </is>
      </c>
      <c r="O22" s="3" t="inlineStr">
        <is>
          <t>2023-P1-Q2 (L3)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Conic Sections</t>
        </is>
      </c>
      <c r="F23" s="2" t="n">
        <v>4</v>
      </c>
      <c r="G23" s="4" t="n">
        <v>2</v>
      </c>
      <c r="H23" s="4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Inclusion-exclusion fixes $\alpha,\beta$; then divide by the right-hand side.</t>
        </is>
      </c>
      <c r="N23" s="3" t="inlineStr">
        <is>
          <t>Two short routine stages from different chapters (sets, ellipse).</t>
        </is>
      </c>
      <c r="O23" s="3" t="inlineStr">
        <is>
          <t>2026-P1-Q3 (L1)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Conic Sections</t>
        </is>
      </c>
      <c r="F24" s="2" t="n">
        <v>4</v>
      </c>
      <c r="G24" s="4" t="n">
        <v>2</v>
      </c>
      <c r="H24" s="4" t="inlineStr">
        <is>
          <t>Easier than Advanced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Substituting the line into the circle gives $y=0$ (the point $A$) or $y=\frac95$.</t>
        </is>
      </c>
      <c r="N24" s="3" t="inlineStr">
        <is>
          <t>Straightforward line-circle intersection; two chapters involved but each step is routine.</t>
        </is>
      </c>
      <c r="O24" s="3" t="inlineStr">
        <is>
          <t>2026-P1-Q3 (L1)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Conic Sections</t>
        </is>
      </c>
      <c r="F25" s="2" t="n">
        <v>4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Equating $c^2=19m^2+15$ with $16(1+m^2)$ gives $m=\pm\frac1{\sqrt3}$.</t>
        </is>
      </c>
      <c r="N25" s="3" t="inlineStr">
        <is>
          <t>Standard tangent conditions equated; read the angle with the correct axis.</t>
        </is>
      </c>
      <c r="O25" s="3" t="inlineStr">
        <is>
          <t>2026-P1-Q3 (L1)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SCQ</t>
        </is>
      </c>
      <c r="E26" s="3" t="inlineStr">
        <is>
          <t>Conic Sections</t>
        </is>
      </c>
      <c r="F26" s="2" t="n">
        <v>4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The intercept-form chord has distance $\frac{1}{\sqrt{k+k^2}}$ from the origin, so the sum is $\sum(k+k^2)$.</t>
        </is>
      </c>
      <c r="N26" s="3" t="inlineStr">
        <is>
          <t>Intercept form, distance, then standard sums; routine.</t>
        </is>
      </c>
      <c r="O26" s="3" t="inlineStr">
        <is>
          <t>2026-P1-Q3 (L1)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SCQ</t>
        </is>
      </c>
      <c r="E27" s="3" t="inlineStr">
        <is>
          <t>Conic Sections</t>
        </is>
      </c>
      <c r="F27" s="2" t="n">
        <v>4</v>
      </c>
      <c r="G27" s="6" t="n">
        <v>3</v>
      </c>
      <c r="H27" s="6" t="inlineStr">
        <is>
          <t>Average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The nearest point makes the line to $(2,0)$ a normal, fixing $\cos\theta=\frac49$.</t>
        </is>
      </c>
      <c r="N27" s="3" t="inlineStr">
        <is>
          <t>Normal condition through a given point, then arithmetic; one idea (nearest point).</t>
        </is>
      </c>
      <c r="O27" s="3" t="inlineStr">
        <is>
          <t>2026-P1-Q2 (L2)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SCQ</t>
        </is>
      </c>
      <c r="E28" s="3" t="inlineStr">
        <is>
          <t>Conic Sections</t>
        </is>
      </c>
      <c r="F28" s="2" t="n">
        <v>4</v>
      </c>
      <c r="G28" s="4" t="n">
        <v>2</v>
      </c>
      <c r="H28" s="4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Central chords: $PQ=2\,OP$, and perpendicular radii satisfy $\frac1{r_1^2}+\frac1{r_2^2}=\frac1{a^2}+\frac1{b^2}$.</t>
        </is>
      </c>
      <c r="N28" s="3" t="inlineStr">
        <is>
          <t>The PDF route is a chain of routine steps; the constant-sum result is a known but less common identity.</t>
        </is>
      </c>
      <c r="O28" s="3" t="inlineStr">
        <is>
          <t>2026-P1-Q2 (L2)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SCQ</t>
        </is>
      </c>
      <c r="E29" s="3" t="inlineStr">
        <is>
          <t>Conic Sections</t>
        </is>
      </c>
      <c r="F29" s="2" t="n">
        <v>4</v>
      </c>
      <c r="G29" s="6" t="n">
        <v>3</v>
      </c>
      <c r="H29" s="6" t="inlineStr">
        <is>
          <t>Average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The line $x=2\sqrt5$ is the chord of contact of $(\alpha,\beta)$ (pole-polar) on the circle with diameter $AB$.</t>
        </is>
      </c>
      <c r="N29" s="3" t="inlineStr">
        <is>
          <t>Long chain of standard steps (tangent, normal, circle, chord, two tangents) with surds.</t>
        </is>
      </c>
      <c r="O29" s="3" t="inlineStr">
        <is>
          <t>2026-P1-Q2 (L2)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Numerical</t>
        </is>
      </c>
      <c r="E30" s="3" t="inlineStr">
        <is>
          <t>Conic Sections</t>
        </is>
      </c>
      <c r="F30" s="2" t="n">
        <v>4</v>
      </c>
      <c r="G30" s="6" t="n">
        <v>3</v>
      </c>
      <c r="H30" s="6" t="inlineStr">
        <is>
          <t>Average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The angle at the focus gives $\frac{b}{ae}=\frac1{\sqrt3}$, i.e. $a^2=4b^2$.</t>
        </is>
      </c>
      <c r="N30" s="3" t="inlineStr">
        <is>
          <t>Two relations to set up and solve; routine.</t>
        </is>
      </c>
      <c r="O30" s="3" t="inlineStr">
        <is>
          <t>2026-P1-Q2 (L2)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Numerical</t>
        </is>
      </c>
      <c r="E31" s="3" t="inlineStr">
        <is>
          <t>Conic Sections</t>
        </is>
      </c>
      <c r="F31" s="2" t="n">
        <v>4</v>
      </c>
      <c r="G31" s="6" t="n">
        <v>3</v>
      </c>
      <c r="H31" s="6" t="inlineStr">
        <is>
          <t>Average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Orthogonal intersection forces the conics to be confocal, so $ae=1$.</t>
        </is>
      </c>
      <c r="N31" s="3" t="inlineStr">
        <is>
          <t>The confocal-orthogonality theorem is the key idea; once known, a short computation.</t>
        </is>
      </c>
      <c r="O31" s="3" t="inlineStr">
        <is>
          <t>2026-P2-Q13 (L3)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Numerical</t>
        </is>
      </c>
      <c r="E32" s="3" t="inlineStr">
        <is>
          <t>Conic Sections</t>
        </is>
      </c>
      <c r="F32" s="2" t="n">
        <v>4</v>
      </c>
      <c r="G32" s="6" t="n">
        <v>3</v>
      </c>
      <c r="H32" s="6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For even $n$, $n+1$ is odd, so $e$ is rational only when $n+1$ is a perfect square.</t>
        </is>
      </c>
      <c r="N32" s="3" t="inlineStr">
        <is>
          <t>Needs the lowest-terms/square insight and a short search; some precision risk.</t>
        </is>
      </c>
      <c r="O32" s="3" t="inlineStr">
        <is>
          <t>2026-P2-Q13 (L3)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Numerical</t>
        </is>
      </c>
      <c r="E33" s="3" t="inlineStr">
        <is>
          <t>Conic Sections</t>
        </is>
      </c>
      <c r="F33" s="2" t="n">
        <v>4</v>
      </c>
      <c r="G33" s="4" t="n">
        <v>2</v>
      </c>
      <c r="H33" s="4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Perpendicularity fixes $\alpha=6$; then the normal at $(5,8)$ is $2x+5y=50$.</t>
        </is>
      </c>
      <c r="N33" s="3" t="inlineStr">
        <is>
          <t>Standard chain of conic-line formulas; no unfamiliar idea.</t>
        </is>
      </c>
      <c r="O33" s="3" t="inlineStr">
        <is>
          <t>2026-P1-Q2 (L2)</t>
        </is>
      </c>
      <c r="P33" s="2" t="inlineStr">
        <is>
          <t>High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Numerical</t>
        </is>
      </c>
      <c r="E34" s="3" t="inlineStr">
        <is>
          <t>Conic Sections</t>
        </is>
      </c>
      <c r="F34" s="2" t="n">
        <v>4</v>
      </c>
      <c r="G34" s="6" t="n">
        <v>3</v>
      </c>
      <c r="H34" s="6" t="inlineStr">
        <is>
          <t>Average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Slopes from $P$ are $1,-\frac34$; keep the tangents of slopes $1,\frac34$ with positive $x$-intercepts.</t>
        </is>
      </c>
      <c r="N34" s="3" t="inlineStr">
        <is>
          <t>Needs careful bookkeeping of signs of intercepts across four tangents; one slip changes the answer.</t>
        </is>
      </c>
      <c r="O34" s="3" t="inlineStr">
        <is>
          <t>2026-P2-Q13 (L3)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Numerical</t>
        </is>
      </c>
      <c r="E35" s="3" t="inlineStr">
        <is>
          <t>Conic Sections</t>
        </is>
      </c>
      <c r="F35" s="2" t="n">
        <v>4</v>
      </c>
      <c r="G35" s="4" t="n">
        <v>2</v>
      </c>
      <c r="H35" s="4" t="inlineStr">
        <is>
          <t>Easier than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A tangent perpendicular to $2x+3y=6$ has slope $\frac32$, giving $c=\pm\frac43$.</t>
        </is>
      </c>
      <c r="N35" s="3" t="inlineStr">
        <is>
          <t>Routine slope-form tangent with intercept arithmetic.</t>
        </is>
      </c>
      <c r="O35" s="3" t="inlineStr">
        <is>
          <t>2026-P1-Q2 (L2)</t>
        </is>
      </c>
      <c r="P35" s="2" t="inlineStr">
        <is>
          <t>High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SCQ</t>
        </is>
      </c>
      <c r="E36" s="3" t="inlineStr">
        <is>
          <t>Conic Sections</t>
        </is>
      </c>
      <c r="F36" s="2" t="n">
        <v>4</v>
      </c>
      <c r="G36" s="4" t="n">
        <v>2</v>
      </c>
      <c r="H36" s="4" t="inlineStr">
        <is>
          <t>Easier than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The centre $(2,8)$ lies on a normal $y=mx-2m-m^3$ with $m^3=-8$.</t>
        </is>
      </c>
      <c r="N36" s="3" t="inlineStr">
        <is>
          <t>Normal cubic that collapses to $m^3=-8$; short, standard.</t>
        </is>
      </c>
      <c r="O36" s="3" t="inlineStr">
        <is>
          <t>2023-P1-Q7 (L2)</t>
        </is>
      </c>
      <c r="P36" s="2" t="inlineStr">
        <is>
          <t>High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Numerical</t>
        </is>
      </c>
      <c r="E37" s="3" t="inlineStr">
        <is>
          <t>Conic Sections</t>
        </is>
      </c>
      <c r="F37" s="2" t="n">
        <v>4</v>
      </c>
      <c r="G37" s="4" t="n">
        <v>2</v>
      </c>
      <c r="H37" s="4" t="inlineStr">
        <is>
          <t>Easier than Advanced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$T=S_1$ gives the chord; then $(\alpha-28)(\beta-8)=\frac{(\alpha-28)^2}4$.</t>
        </is>
      </c>
      <c r="N37" s="3" t="inlineStr">
        <is>
          <t>Standard chord equation then solving two parabolas; routine.</t>
        </is>
      </c>
      <c r="O37" s="3" t="inlineStr">
        <is>
          <t>2026-P2-Q2 (L2)</t>
        </is>
      </c>
      <c r="P37" s="2" t="inlineStr">
        <is>
          <t>High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Numerical</t>
        </is>
      </c>
      <c r="E38" s="3" t="inlineStr">
        <is>
          <t>Conic Sections</t>
        </is>
      </c>
      <c r="F38" s="2" t="n">
        <v>4</v>
      </c>
      <c r="G38" s="6" t="n">
        <v>3</v>
      </c>
      <c r="H38" s="6" t="inlineStr">
        <is>
          <t>Average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Distance condition gives centres $(0,9)$ and $(0,-3)$; the area is $\frac12\cdot12\cdot\sqrt2$.</t>
        </is>
      </c>
      <c r="N38" s="3" t="inlineStr">
        <is>
          <t>Several short stages (intersection, line, circles, area); no unfamiliar idea.</t>
        </is>
      </c>
      <c r="O38" s="3" t="inlineStr">
        <is>
          <t>2026-P1-Q2 (L2)</t>
        </is>
      </c>
      <c r="P38" s="2" t="inlineStr">
        <is>
          <t>Medium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SCQ</t>
        </is>
      </c>
      <c r="E39" s="3" t="inlineStr">
        <is>
          <t>Conic Sections</t>
        </is>
      </c>
      <c r="F39" s="2" t="n">
        <v>4</v>
      </c>
      <c r="G39" s="6" t="n">
        <v>3</v>
      </c>
      <c r="H39" s="6" t="inlineStr">
        <is>
          <t>Average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$T=S_1$ gives $8x+5y=10$; the chord length is $|x_1-x_2|\sqrt{1+m^2}$.</t>
        </is>
      </c>
      <c r="N39" s="3" t="inlineStr">
        <is>
          <t>Routine but long: chord equation, quadratic, length with surds.</t>
        </is>
      </c>
      <c r="O39" s="3" t="inlineStr">
        <is>
          <t>2026-P1-Q2 (L2)</t>
        </is>
      </c>
      <c r="P39" s="2" t="inlineStr">
        <is>
          <t>High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SCQ</t>
        </is>
      </c>
      <c r="E40" s="3" t="inlineStr">
        <is>
          <t>Conic Sections</t>
        </is>
      </c>
      <c r="F40" s="2" t="n">
        <v>4</v>
      </c>
      <c r="G40" s="7" t="n">
        <v>1</v>
      </c>
      <c r="H40" s="7" t="inlineStr">
        <is>
          <t>JEE Main level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$b=\frac{ae}2$ turns $b^2=a^2(1-e^2)$ into $1-e^2=\frac{e^2}4$.</t>
        </is>
      </c>
      <c r="N40" s="3" t="inlineStr">
        <is>
          <t>One standard relation; no decision.</t>
        </is>
      </c>
      <c r="O40" s="3" t="inlineStr">
        <is>
          <t>2026-P1-Q3 (L1)</t>
        </is>
      </c>
      <c r="P40" s="2" t="inlineStr">
        <is>
          <t>High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SCQ</t>
        </is>
      </c>
      <c r="E41" s="3" t="inlineStr">
        <is>
          <t>Conic Sections</t>
        </is>
      </c>
      <c r="F41" s="2" t="n">
        <v>4</v>
      </c>
      <c r="G41" s="4" t="n">
        <v>2</v>
      </c>
      <c r="H41" s="4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The focus is directly below $P$, so $ae=3$; together with $\frac ae=\frac{25}3$ this gives $a=5$.</t>
        </is>
      </c>
      <c r="N41" s="3" t="inlineStr">
        <is>
          <t>Section formula plus focus-directrix algebra; routine.</t>
        </is>
      </c>
      <c r="O41" s="3" t="inlineStr">
        <is>
          <t>2026-P1-Q3 (L1)</t>
        </is>
      </c>
      <c r="P41" s="2" t="inlineStr">
        <is>
          <t>High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SCQ</t>
        </is>
      </c>
      <c r="E42" s="3" t="inlineStr">
        <is>
          <t>Conic Sections</t>
        </is>
      </c>
      <c r="F42" s="2" t="n">
        <v>4</v>
      </c>
      <c r="G42" s="6" t="n">
        <v>3</v>
      </c>
      <c r="H42" s="6" t="inlineStr">
        <is>
          <t>Average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The vertex is the midpoint of the foot of the axis on the directrix and the focus.</t>
        </is>
      </c>
      <c r="N42" s="3" t="inlineStr">
        <is>
          <t>Parabola geometry in a tilted frame, then an ellipse condition; two linked ideas.</t>
        </is>
      </c>
      <c r="O42" s="3" t="inlineStr">
        <is>
          <t>2023-P1-Q7 (L2)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SCQ</t>
        </is>
      </c>
      <c r="E43" s="3" t="inlineStr">
        <is>
          <t>Conic Sections</t>
        </is>
      </c>
      <c r="F43" s="2" t="n">
        <v>4</v>
      </c>
      <c r="G43" s="4" t="n">
        <v>2</v>
      </c>
      <c r="H43" s="4" t="inlineStr">
        <is>
          <t>Easier than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The ordinate of $R$ is $\frac{18}7\sin\theta$ while its abscissa is $3\cos\theta$.</t>
        </is>
      </c>
      <c r="N43" s="3" t="inlineStr">
        <is>
          <t>Parametric locus then eccentricity; routine.</t>
        </is>
      </c>
      <c r="O43" s="3" t="inlineStr">
        <is>
          <t>2026-P1-Q2 (L2)</t>
        </is>
      </c>
      <c r="P43" s="2" t="inlineStr">
        <is>
          <t>High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Numerical</t>
        </is>
      </c>
      <c r="E44" s="3" t="inlineStr">
        <is>
          <t>Conic Sections</t>
        </is>
      </c>
      <c r="F44" s="2" t="n">
        <v>4</v>
      </c>
      <c r="G44" s="4" t="n">
        <v>2</v>
      </c>
      <c r="H44" s="4" t="inlineStr">
        <is>
          <t>Easier than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Substitute $y^2=3x^2$ in both conics; reject the root that makes them coincide.</t>
        </is>
      </c>
      <c r="N44" s="3" t="inlineStr">
        <is>
          <t>Short substitution; one rejection check.</t>
        </is>
      </c>
      <c r="O44" s="3" t="inlineStr">
        <is>
          <t>2026-P1-Q2 (L2)</t>
        </is>
      </c>
      <c r="P44" s="2" t="inlineStr">
        <is>
          <t>High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SCQ</t>
        </is>
      </c>
      <c r="E45" s="3" t="inlineStr">
        <is>
          <t>Conic Sections</t>
        </is>
      </c>
      <c r="F45" s="2" t="n">
        <v>4</v>
      </c>
      <c r="G45" s="4" t="n">
        <v>2</v>
      </c>
      <c r="H45" s="4" t="inlineStr">
        <is>
          <t>Easier than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The foci $(\pm5,0)$ on the ellipse are its vertices, so $a=5$.</t>
        </is>
      </c>
      <c r="N45" s="3" t="inlineStr">
        <is>
          <t>Standard sequence of eccentricity computations; no unfamiliar idea.</t>
        </is>
      </c>
      <c r="O45" s="3" t="inlineStr">
        <is>
          <t>2026-P1-Q3 (L1)</t>
        </is>
      </c>
      <c r="P45" s="2" t="inlineStr">
        <is>
          <t>High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SCQ</t>
        </is>
      </c>
      <c r="E46" s="3" t="inlineStr">
        <is>
          <t>Conic Sections</t>
        </is>
      </c>
      <c r="F46" s="2" t="n">
        <v>4</v>
      </c>
      <c r="G46" s="4" t="n">
        <v>2</v>
      </c>
      <c r="H46" s="4" t="inlineStr">
        <is>
          <t>Easier than Advanced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The base is $2ae=2\sqrt{13}$, so the ordinate of $P$ is $2$.</t>
        </is>
      </c>
      <c r="N46" s="3" t="inlineStr">
        <is>
          <t>Routine: focal triangle area gives the ordinate, then the hyperbola equation.</t>
        </is>
      </c>
      <c r="O46" s="3" t="inlineStr">
        <is>
          <t>2026-P1-Q3 (L1)</t>
        </is>
      </c>
      <c r="P46" s="2" t="inlineStr">
        <is>
          <t>High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SCQ</t>
        </is>
      </c>
      <c r="E47" s="3" t="inlineStr">
        <is>
          <t>Conic Sections</t>
        </is>
      </c>
      <c r="F47" s="2" t="n">
        <v>4</v>
      </c>
      <c r="G47" s="6" t="n">
        <v>3</v>
      </c>
      <c r="H47" s="6" t="inlineStr">
        <is>
          <t>Average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The transverse axis is along $y$: $Be_H=4$ and the directrices are $y=\pm\frac B{e_H}$.</t>
        </is>
      </c>
      <c r="N47" s="3" t="inlineStr">
        <is>
          <t>Orientation (conjugate axis along $x$) plus the focus-directrix property; one slip in orientation derails it.</t>
        </is>
      </c>
      <c r="O47" s="3" t="inlineStr">
        <is>
          <t>2026-P2-Q13 (L3)</t>
        </is>
      </c>
      <c r="P47" s="2" t="inlineStr">
        <is>
          <t>Medium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SCQ</t>
        </is>
      </c>
      <c r="E48" s="3" t="inlineStr">
        <is>
          <t>Conic Sections</t>
        </is>
      </c>
      <c r="F48" s="2" t="n">
        <v>4</v>
      </c>
      <c r="G48" s="7" t="n">
        <v>1</v>
      </c>
      <c r="H48" s="7" t="inlineStr">
        <is>
          <t>JEE Main level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The ellipse gives $\frac{b^2}{a^2}=\frac12$, which is all the hyperbola's $e^2=1+\frac{b^2}{a^2}$ needs.</t>
        </is>
      </c>
      <c r="N48" s="3" t="inlineStr">
        <is>
          <t>A single standard step once $\frac{b^2}{a^2}$ is read off.</t>
        </is>
      </c>
      <c r="O48" s="3" t="inlineStr">
        <is>
          <t>2026-P1-Q3 (L1)</t>
        </is>
      </c>
      <c r="P48" s="2" t="inlineStr">
        <is>
          <t>High</t>
        </is>
      </c>
    </row>
    <row r="49">
      <c r="A49" s="2" t="n">
        <v>48</v>
      </c>
      <c r="B49" s="2" t="inlineStr"/>
      <c r="C49" s="2" t="inlineStr">
        <is>
          <t>Q48</t>
        </is>
      </c>
      <c r="D49" s="2" t="inlineStr">
        <is>
          <t>SCQ</t>
        </is>
      </c>
      <c r="E49" s="3" t="inlineStr">
        <is>
          <t>Conic Sections</t>
        </is>
      </c>
      <c r="F49" s="2" t="n">
        <v>4</v>
      </c>
      <c r="G49" s="4" t="n">
        <v>2</v>
      </c>
      <c r="H49" s="4" t="inlineStr">
        <is>
          <t>Easier than Advanced</t>
        </is>
      </c>
      <c r="I49" s="5" t="n">
        <v>0</v>
      </c>
      <c r="J49" s="5" t="n">
        <v>0</v>
      </c>
      <c r="K49" s="5">
        <f>MIN(5,MAX(G49+I49,J49))</f>
        <v/>
      </c>
      <c r="L49" s="5">
        <f>F49*K49</f>
        <v/>
      </c>
      <c r="M49" s="3" t="inlineStr">
        <is>
          <t>Identify the ellipse's major axis (along $y$) and the hyperbola's $e^2=1+\sin^2\theta$.</t>
        </is>
      </c>
      <c r="N49" s="3" t="inlineStr">
        <is>
          <t>Routine once the major axis is identified.</t>
        </is>
      </c>
      <c r="O49" s="3" t="inlineStr">
        <is>
          <t>2026-P1-Q3 (L1)</t>
        </is>
      </c>
      <c r="P49" s="2" t="inlineStr">
        <is>
          <t>High</t>
        </is>
      </c>
    </row>
    <row r="50">
      <c r="A50" s="2" t="n">
        <v>49</v>
      </c>
      <c r="B50" s="2" t="inlineStr"/>
      <c r="C50" s="2" t="inlineStr">
        <is>
          <t>Q49</t>
        </is>
      </c>
      <c r="D50" s="2" t="inlineStr">
        <is>
          <t>Numerical</t>
        </is>
      </c>
      <c r="E50" s="3" t="inlineStr">
        <is>
          <t>Conic Sections</t>
        </is>
      </c>
      <c r="F50" s="2" t="n">
        <v>4</v>
      </c>
      <c r="G50" s="6" t="n">
        <v>3</v>
      </c>
      <c r="H50" s="6" t="inlineStr">
        <is>
          <t>Average Advanced</t>
        </is>
      </c>
      <c r="I50" s="5" t="n">
        <v>0</v>
      </c>
      <c r="J50" s="5" t="n">
        <v>0</v>
      </c>
      <c r="K50" s="5">
        <f>MIN(5,MAX(G50+I50,J50))</f>
        <v/>
      </c>
      <c r="L50" s="5">
        <f>F50*K50</f>
        <v/>
      </c>
      <c r="M50" s="3" t="inlineStr">
        <is>
          <t>The latus rectum end $\left(ae,\frac{b^2}{a}\right)$ lies on the ray at $\frac\pi6$: $\frac{e^2-1}{e}=\frac1{\sqrt3}$.</t>
        </is>
      </c>
      <c r="N50" s="3" t="inlineStr">
        <is>
          <t>Set-up with an angle, a quadratic in $e$ with surds, then a rationalised expression; some precision risk.</t>
        </is>
      </c>
      <c r="O50" s="3" t="inlineStr">
        <is>
          <t>2026-P2-Q13 (L3)</t>
        </is>
      </c>
      <c r="P50" s="2" t="inlineStr">
        <is>
          <t>Medium</t>
        </is>
      </c>
    </row>
    <row r="51">
      <c r="A51" s="2" t="n">
        <v>50</v>
      </c>
      <c r="B51" s="2" t="inlineStr"/>
      <c r="C51" s="2" t="inlineStr">
        <is>
          <t>Q50</t>
        </is>
      </c>
      <c r="D51" s="2" t="inlineStr">
        <is>
          <t>Numerical</t>
        </is>
      </c>
      <c r="E51" s="3" t="inlineStr">
        <is>
          <t>Conic Sections</t>
        </is>
      </c>
      <c r="F51" s="2" t="n">
        <v>4</v>
      </c>
      <c r="G51" s="6" t="n">
        <v>3</v>
      </c>
      <c r="H51" s="6" t="inlineStr">
        <is>
          <t>Average Advanced</t>
        </is>
      </c>
      <c r="I51" s="5" t="n">
        <v>0</v>
      </c>
      <c r="J51" s="5" t="n">
        <v>0</v>
      </c>
      <c r="K51" s="5">
        <f>MIN(5,MAX(G51+I51,J51))</f>
        <v/>
      </c>
      <c r="L51" s="5">
        <f>F51*K51</f>
        <v/>
      </c>
      <c r="M51" s="3" t="inlineStr">
        <is>
          <t>The two conditions $ae=5$ and $\frac{2b^2}a=\sqrt{50}$ give $e=\frac1{\sqrt2}$, $a=5\sqrt2$, $b=5$.</t>
        </is>
      </c>
      <c r="N51" s="3" t="inlineStr">
        <is>
          <t>A quadratic with surd coefficients and a second, unusual hyperbola; precision matters but steps are standard.</t>
        </is>
      </c>
      <c r="O51" s="3" t="inlineStr">
        <is>
          <t>2026-P2-Q13 (L3)</t>
        </is>
      </c>
      <c r="P51" s="2" t="inlineStr">
        <is>
          <t>Medium</t>
        </is>
      </c>
    </row>
    <row r="52">
      <c r="A52" s="2" t="n">
        <v>51</v>
      </c>
      <c r="B52" s="2" t="inlineStr"/>
      <c r="C52" s="2" t="inlineStr">
        <is>
          <t>Q51</t>
        </is>
      </c>
      <c r="D52" s="2" t="inlineStr">
        <is>
          <t>SCQ</t>
        </is>
      </c>
      <c r="E52" s="3" t="inlineStr">
        <is>
          <t>Conic Sections</t>
        </is>
      </c>
      <c r="F52" s="2" t="n">
        <v>4</v>
      </c>
      <c r="G52" s="7" t="n">
        <v>1</v>
      </c>
      <c r="H52" s="7" t="inlineStr">
        <is>
          <t>JEE Main level</t>
        </is>
      </c>
      <c r="I52" s="5" t="n">
        <v>0</v>
      </c>
      <c r="J52" s="5" t="n">
        <v>0</v>
      </c>
      <c r="K52" s="5">
        <f>MIN(5,MAX(G52+I52,J52))</f>
        <v/>
      </c>
      <c r="L52" s="5">
        <f>F52*K52</f>
        <v/>
      </c>
      <c r="M52" s="3" t="inlineStr">
        <is>
          <t>$T=S_1$ gives the chord at once; then test the options.</t>
        </is>
      </c>
      <c r="N52" s="3" t="inlineStr">
        <is>
          <t>A single standard formula; options check at the end.</t>
        </is>
      </c>
      <c r="O52" s="3" t="inlineStr">
        <is>
          <t>2026-P2-Q4 (L1)</t>
        </is>
      </c>
      <c r="P52" s="2" t="inlineStr">
        <is>
          <t>High</t>
        </is>
      </c>
    </row>
    <row r="53">
      <c r="A53" s="2" t="n">
        <v>52</v>
      </c>
      <c r="B53" s="2" t="inlineStr"/>
      <c r="C53" s="2" t="inlineStr">
        <is>
          <t>Q52</t>
        </is>
      </c>
      <c r="D53" s="2" t="inlineStr">
        <is>
          <t>Numerical</t>
        </is>
      </c>
      <c r="E53" s="3" t="inlineStr">
        <is>
          <t>Conic Sections</t>
        </is>
      </c>
      <c r="F53" s="2" t="n">
        <v>4</v>
      </c>
      <c r="G53" s="6" t="n">
        <v>3</v>
      </c>
      <c r="H53" s="6" t="inlineStr">
        <is>
          <t>Average Advanced</t>
        </is>
      </c>
      <c r="I53" s="5" t="n">
        <v>0</v>
      </c>
      <c r="J53" s="5" t="n">
        <v>0</v>
      </c>
      <c r="K53" s="5">
        <f>MIN(5,MAX(G53+I53,J53))</f>
        <v/>
      </c>
      <c r="L53" s="5">
        <f>F53*K53</f>
        <v/>
      </c>
      <c r="M53" s="3" t="inlineStr">
        <is>
          <t>A chord through the focus has distance $3\sin\varphi$ from the origin and length $\frac{12}{\sin^2\varphi}$.</t>
        </is>
      </c>
      <c r="N53" s="3" t="inlineStr">
        <is>
          <t>Parametric focal chord, a simplification $\left(t-\frac1t\right)^2+4=\left(t+\frac1t\right)^2$, then a distance; heavy algebra.</t>
        </is>
      </c>
      <c r="O53" s="3" t="inlineStr">
        <is>
          <t>2025-P2-Q16 (L4)</t>
        </is>
      </c>
      <c r="P53" s="2" t="inlineStr">
        <is>
          <t>Medium</t>
        </is>
      </c>
    </row>
    <row r="54">
      <c r="A54" s="2" t="n">
        <v>53</v>
      </c>
      <c r="B54" s="2" t="inlineStr"/>
      <c r="C54" s="2" t="inlineStr">
        <is>
          <t>Q53</t>
        </is>
      </c>
      <c r="D54" s="2" t="inlineStr">
        <is>
          <t>Numerical</t>
        </is>
      </c>
      <c r="E54" s="3" t="inlineStr">
        <is>
          <t>Conic Sections</t>
        </is>
      </c>
      <c r="F54" s="2" t="n">
        <v>4</v>
      </c>
      <c r="G54" s="6" t="n">
        <v>3</v>
      </c>
      <c r="H54" s="6" t="inlineStr">
        <is>
          <t>Average Advanced</t>
        </is>
      </c>
      <c r="I54" s="5" t="n">
        <v>0</v>
      </c>
      <c r="J54" s="5" t="n">
        <v>0</v>
      </c>
      <c r="K54" s="5">
        <f>MIN(5,MAX(G54+I54,J54))</f>
        <v/>
      </c>
      <c r="L54" s="5">
        <f>F54*K54</f>
        <v/>
      </c>
      <c r="M54" s="3" t="inlineStr">
        <is>
          <t>A focal chord at inclination $\varphi$ has $l=\frac{4a}{\sin^2\varphi}$ and $d=a\sin\varphi$, so $ld^2=4a^3$.</t>
        </is>
      </c>
      <c r="N54" s="3" t="inlineStr">
        <is>
          <t>Parametric algebra with a cancellation; the invariant $ld^2=4a^3$ is the real idea.</t>
        </is>
      </c>
      <c r="O54" s="3" t="inlineStr">
        <is>
          <t>2025-P2-Q16 (L4)</t>
        </is>
      </c>
      <c r="P54" s="2" t="inlineStr">
        <is>
          <t>Medium</t>
        </is>
      </c>
    </row>
    <row r="55">
      <c r="A55" s="2" t="n">
        <v>54</v>
      </c>
      <c r="B55" s="2" t="inlineStr"/>
      <c r="C55" s="2" t="inlineStr">
        <is>
          <t>Q54</t>
        </is>
      </c>
      <c r="D55" s="2" t="inlineStr">
        <is>
          <t>Numerical</t>
        </is>
      </c>
      <c r="E55" s="3" t="inlineStr">
        <is>
          <t>Conic Sections</t>
        </is>
      </c>
      <c r="F55" s="2" t="n">
        <v>4</v>
      </c>
      <c r="G55" s="4" t="n">
        <v>2</v>
      </c>
      <c r="H55" s="4" t="inlineStr">
        <is>
          <t>Easier than Advanced</t>
        </is>
      </c>
      <c r="I55" s="5" t="n">
        <v>0</v>
      </c>
      <c r="J55" s="5" t="n">
        <v>0</v>
      </c>
      <c r="K55" s="5">
        <f>MIN(5,MAX(G55+I55,J55))</f>
        <v/>
      </c>
      <c r="L55" s="5">
        <f>F55*K55</f>
        <v/>
      </c>
      <c r="M55" s="3" t="inlineStr">
        <is>
          <t>A perpendicular slope $-\frac12$ with $y=m(x-9)+\frac1m$ gives the tangent; its double root gives $P$.</t>
        </is>
      </c>
      <c r="N55" s="3" t="inlineStr">
        <is>
          <t>Short chain of standard steps.</t>
        </is>
      </c>
      <c r="O55" s="3" t="inlineStr">
        <is>
          <t>2026-P2-Q2 (L2)</t>
        </is>
      </c>
      <c r="P55" s="2" t="inlineStr">
        <is>
          <t>High</t>
        </is>
      </c>
    </row>
    <row r="56">
      <c r="A56" s="2" t="n">
        <v>55</v>
      </c>
      <c r="B56" s="2" t="inlineStr"/>
      <c r="C56" s="2" t="inlineStr">
        <is>
          <t>Q55</t>
        </is>
      </c>
      <c r="D56" s="2" t="inlineStr">
        <is>
          <t>Numerical</t>
        </is>
      </c>
      <c r="E56" s="3" t="inlineStr">
        <is>
          <t>Conic Sections</t>
        </is>
      </c>
      <c r="F56" s="2" t="n">
        <v>4</v>
      </c>
      <c r="G56" s="6" t="n">
        <v>3</v>
      </c>
      <c r="H56" s="6" t="inlineStr">
        <is>
          <t>Average Advanced</t>
        </is>
      </c>
      <c r="I56" s="5" t="n">
        <v>0</v>
      </c>
      <c r="J56" s="5" t="n">
        <v>0</v>
      </c>
      <c r="K56" s="5">
        <f>MIN(5,MAX(G56+I56,J56))</f>
        <v/>
      </c>
      <c r="L56" s="5">
        <f>F56*K56</f>
        <v/>
      </c>
      <c r="M56" s="3" t="inlineStr">
        <is>
          <t>The base of the isosceles triangle with apex at $P$ is parallel to an angle bisector of the two tangents.</t>
        </is>
      </c>
      <c r="N56" s="3" t="inlineStr">
        <is>
          <t>Two ideas linked: tangents from a point and the bisector description of the base; the second is not routine.</t>
        </is>
      </c>
      <c r="O56" s="3" t="inlineStr">
        <is>
          <t>2024-P1-Q4 (L2)</t>
        </is>
      </c>
      <c r="P56" s="2" t="inlineStr">
        <is>
          <t>Medium</t>
        </is>
      </c>
    </row>
    <row r="57">
      <c r="A57" s="2" t="n">
        <v>56</v>
      </c>
      <c r="B57" s="2" t="inlineStr"/>
      <c r="C57" s="2" t="inlineStr">
        <is>
          <t>Q56</t>
        </is>
      </c>
      <c r="D57" s="2" t="inlineStr">
        <is>
          <t>Numerical</t>
        </is>
      </c>
      <c r="E57" s="3" t="inlineStr">
        <is>
          <t>Conic Sections</t>
        </is>
      </c>
      <c r="F57" s="2" t="n">
        <v>4</v>
      </c>
      <c r="G57" s="8" t="n">
        <v>4</v>
      </c>
      <c r="H57" s="8" t="inlineStr">
        <is>
          <t>Slightly difficult</t>
        </is>
      </c>
      <c r="I57" s="5" t="n">
        <v>0</v>
      </c>
      <c r="J57" s="5" t="n">
        <v>0</v>
      </c>
      <c r="K57" s="5">
        <f>MIN(5,MAX(G57+I57,J57))</f>
        <v/>
      </c>
      <c r="L57" s="5">
        <f>F57*K57</f>
        <v/>
      </c>
      <c r="M57" s="3" t="inlineStr">
        <is>
          <t>The mid-point of a chord through $(\alpha,0)$ lies on the circle $x^2+y^2=\alpha x$ (Thales); intersect with the parabola and count.</t>
        </is>
      </c>
      <c r="N57" s="3" t="inlineStr">
        <is>
          <t>A non-routine set-up (chord bisected by a parabola) with counting of solutions and a careful interval; a slip, such as missing the $t=0$ chord, changes the answer.</t>
        </is>
      </c>
      <c r="O57" s="3" t="inlineStr">
        <is>
          <t>2026-P2-Q5 (L4)</t>
        </is>
      </c>
      <c r="P57" s="2" t="inlineStr">
        <is>
          <t>Medium</t>
        </is>
      </c>
    </row>
    <row r="58">
      <c r="A58" s="2" t="n">
        <v>57</v>
      </c>
      <c r="B58" s="2" t="inlineStr"/>
      <c r="C58" s="2" t="inlineStr">
        <is>
          <t>Q57</t>
        </is>
      </c>
      <c r="D58" s="2" t="inlineStr">
        <is>
          <t>Numerical</t>
        </is>
      </c>
      <c r="E58" s="3" t="inlineStr">
        <is>
          <t>Conic Sections</t>
        </is>
      </c>
      <c r="F58" s="2" t="n">
        <v>4</v>
      </c>
      <c r="G58" s="6" t="n">
        <v>3</v>
      </c>
      <c r="H58" s="6" t="inlineStr">
        <is>
          <t>Average Advanced</t>
        </is>
      </c>
      <c r="I58" s="5" t="n">
        <v>0</v>
      </c>
      <c r="J58" s="5" t="n">
        <v>0</v>
      </c>
      <c r="K58" s="5">
        <f>MIN(5,MAX(G58+I58,J58))</f>
        <v/>
      </c>
      <c r="L58" s="5">
        <f>F58*K58</f>
        <v/>
      </c>
      <c r="M58" s="3" t="inlineStr">
        <is>
          <t>Parametric points: $AM\cdot BN$ and $CD$ share the factors $(t_3-t_1)(t_3-t_2)$, leaving $4a$.</t>
        </is>
      </c>
      <c r="N58" s="3" t="inlineStr">
        <is>
          <t>Heavy-looking parametric algebra with a hidden cancellation; one needs the insight to see the factorisation.</t>
        </is>
      </c>
      <c r="O58" s="3" t="inlineStr">
        <is>
          <t>2025-P2-Q16 (L4)</t>
        </is>
      </c>
      <c r="P58" s="2" t="inlineStr">
        <is>
          <t>Medium</t>
        </is>
      </c>
    </row>
    <row r="59">
      <c r="A59" s="2" t="n">
        <v>58</v>
      </c>
      <c r="B59" s="2" t="inlineStr"/>
      <c r="C59" s="2" t="inlineStr">
        <is>
          <t>Q58</t>
        </is>
      </c>
      <c r="D59" s="2" t="inlineStr">
        <is>
          <t>SCQ</t>
        </is>
      </c>
      <c r="E59" s="3" t="inlineStr">
        <is>
          <t>Conic Sections</t>
        </is>
      </c>
      <c r="F59" s="2" t="n">
        <v>4</v>
      </c>
      <c r="G59" s="4" t="n">
        <v>2</v>
      </c>
      <c r="H59" s="4" t="inlineStr">
        <is>
          <t>Easier than Advanced</t>
        </is>
      </c>
      <c r="I59" s="5" t="n">
        <v>0</v>
      </c>
      <c r="J59" s="5" t="n">
        <v>0</v>
      </c>
      <c r="K59" s="5">
        <f>MIN(5,MAX(G59+I59,J59))</f>
        <v/>
      </c>
      <c r="L59" s="5">
        <f>F59*K59</f>
        <v/>
      </c>
      <c r="M59" s="3" t="inlineStr">
        <is>
          <t>The diameter-form circle on $AB$ has the same $x$ and $y$ coefficients as the given circle, which fixes $k=6$.</t>
        </is>
      </c>
      <c r="N59" s="3" t="inlineStr">
        <is>
          <t>Standard comparison of coefficients, then a standard latus rectum.</t>
        </is>
      </c>
      <c r="O59" s="3" t="inlineStr">
        <is>
          <t>2026-P1-Q3 (L1)</t>
        </is>
      </c>
      <c r="P59" s="2" t="inlineStr">
        <is>
          <t>High</t>
        </is>
      </c>
    </row>
    <row r="60">
      <c r="A60" s="2" t="n">
        <v>59</v>
      </c>
      <c r="B60" s="2" t="inlineStr"/>
      <c r="C60" s="2" t="inlineStr">
        <is>
          <t>Q59</t>
        </is>
      </c>
      <c r="D60" s="2" t="inlineStr">
        <is>
          <t>SCQ</t>
        </is>
      </c>
      <c r="E60" s="3" t="inlineStr">
        <is>
          <t>Conic Sections</t>
        </is>
      </c>
      <c r="F60" s="2" t="n">
        <v>4</v>
      </c>
      <c r="G60" s="4" t="n">
        <v>2</v>
      </c>
      <c r="H60" s="4" t="inlineStr">
        <is>
          <t>Easier than Advanced</t>
        </is>
      </c>
      <c r="I60" s="5" t="n">
        <v>0</v>
      </c>
      <c r="J60" s="5" t="n">
        <v>0</v>
      </c>
      <c r="K60" s="5">
        <f>MIN(5,MAX(G60+I60,J60))</f>
        <v/>
      </c>
      <c r="L60" s="5">
        <f>F60*K60</f>
        <v/>
      </c>
      <c r="M60" s="3" t="inlineStr">
        <is>
          <t>Slicing horizontally turns the area into $\int\left(\sqrt{18-3y^2}-y\right)dy$ over $\left[0,\frac3{\sqrt2}\right]$.</t>
        </is>
      </c>
      <c r="N60" s="3" t="inlineStr">
        <is>
          <t>A routine integral of $\sqrt{a^2-y^2}$ type; the ellipse-to-circle scaling gives a quicker route but is not needed.</t>
        </is>
      </c>
      <c r="O60" s="3" t="inlineStr">
        <is>
          <t>2026-P2-Q15 (L2)</t>
        </is>
      </c>
      <c r="P60" s="2" t="inlineStr">
        <is>
          <t>High</t>
        </is>
      </c>
    </row>
    <row r="61">
      <c r="A61" s="2" t="n">
        <v>60</v>
      </c>
      <c r="B61" s="2" t="inlineStr"/>
      <c r="C61" s="2" t="inlineStr">
        <is>
          <t>Q60</t>
        </is>
      </c>
      <c r="D61" s="2" t="inlineStr">
        <is>
          <t>SCQ</t>
        </is>
      </c>
      <c r="E61" s="3" t="inlineStr">
        <is>
          <t>Conic Sections</t>
        </is>
      </c>
      <c r="F61" s="2" t="n">
        <v>4</v>
      </c>
      <c r="G61" s="6" t="n">
        <v>3</v>
      </c>
      <c r="H61" s="6" t="inlineStr">
        <is>
          <t>Average Advanced</t>
        </is>
      </c>
      <c r="I61" s="5" t="n">
        <v>0</v>
      </c>
      <c r="J61" s="5" t="n">
        <v>0</v>
      </c>
      <c r="K61" s="5">
        <f>MIN(5,MAX(G61+I61,J61))</f>
        <v/>
      </c>
      <c r="L61" s="5">
        <f>F61*K61</f>
        <v/>
      </c>
      <c r="M61" s="3" t="inlineStr">
        <is>
          <t>The nearest point of $H$ to its centre is a vertex, so $C_1$ has radius $a$, and $C_2$ has radius $c-a$.</t>
        </is>
      </c>
      <c r="N61" s="3" t="inlineStr">
        <is>
          <t>Two circle conditions translated to $a$ and $c-a$, then a standard latus rectum; careful reading needed.</t>
        </is>
      </c>
      <c r="O61" s="3" t="inlineStr">
        <is>
          <t>2026-P2-Q13 (L3)</t>
        </is>
      </c>
      <c r="P61" s="2" t="inlineStr">
        <is>
          <t>Medium</t>
        </is>
      </c>
    </row>
    <row r="62">
      <c r="A62" s="2" t="n">
        <v>61</v>
      </c>
      <c r="B62" s="2" t="inlineStr"/>
      <c r="C62" s="2" t="inlineStr">
        <is>
          <t>Q61</t>
        </is>
      </c>
      <c r="D62" s="2" t="inlineStr">
        <is>
          <t>SCQ</t>
        </is>
      </c>
      <c r="E62" s="3" t="inlineStr">
        <is>
          <t>Conic Sections</t>
        </is>
      </c>
      <c r="F62" s="2" t="n">
        <v>4</v>
      </c>
      <c r="G62" s="6" t="n">
        <v>3</v>
      </c>
      <c r="H62" s="6" t="inlineStr">
        <is>
          <t>Average Advanced</t>
        </is>
      </c>
      <c r="I62" s="5" t="n">
        <v>0</v>
      </c>
      <c r="J62" s="5" t="n">
        <v>0</v>
      </c>
      <c r="K62" s="5">
        <f>MIN(5,MAX(G62+I62,J62))</f>
        <v/>
      </c>
      <c r="L62" s="5">
        <f>F62*K62</f>
        <v/>
      </c>
      <c r="M62" s="3" t="inlineStr">
        <is>
          <t>The $y$-axis is the transverse axis, so focal distances are $ey_1\mp b$ and their product is $e^2y_1^2-b^2$.</t>
        </is>
      </c>
      <c r="N62" s="3" t="inlineStr">
        <is>
          <t>Orientation (transverse axis along $y$) is the hidden trap; the rest is routine algebra.</t>
        </is>
      </c>
      <c r="O62" s="3" t="inlineStr">
        <is>
          <t>2026-P2-Q13 (L3)</t>
        </is>
      </c>
      <c r="P62" s="2" t="inlineStr">
        <is>
          <t>Medium</t>
        </is>
      </c>
    </row>
    <row r="63">
      <c r="A63" s="2" t="n">
        <v>62</v>
      </c>
      <c r="B63" s="2" t="inlineStr"/>
      <c r="C63" s="2" t="inlineStr">
        <is>
          <t>Q62</t>
        </is>
      </c>
      <c r="D63" s="2" t="inlineStr">
        <is>
          <t>SCQ</t>
        </is>
      </c>
      <c r="E63" s="3" t="inlineStr">
        <is>
          <t>Conic Sections</t>
        </is>
      </c>
      <c r="F63" s="2" t="n">
        <v>4</v>
      </c>
      <c r="G63" s="4" t="n">
        <v>2</v>
      </c>
      <c r="H63" s="4" t="inlineStr">
        <is>
          <t>Easier than Advanced</t>
        </is>
      </c>
      <c r="I63" s="5" t="n">
        <v>0</v>
      </c>
      <c r="J63" s="5" t="n">
        <v>0</v>
      </c>
      <c r="K63" s="5">
        <f>MIN(5,MAX(G63+I63,J63))</f>
        <v/>
      </c>
      <c r="L63" s="5">
        <f>F63*K63</f>
        <v/>
      </c>
      <c r="M63" s="3" t="inlineStr">
        <is>
          <t>The shared foci fix $c=5$; $e=2$ then gives $a=\frac52$.</t>
        </is>
      </c>
      <c r="N63" s="3" t="inlineStr">
        <is>
          <t>Two short standard computations; nothing hidden.</t>
        </is>
      </c>
      <c r="O63" s="3" t="inlineStr">
        <is>
          <t>2026-P1-Q3 (L1)</t>
        </is>
      </c>
      <c r="P63" s="2" t="inlineStr">
        <is>
          <t>High</t>
        </is>
      </c>
    </row>
    <row r="64">
      <c r="A64" s="2" t="n">
        <v>63</v>
      </c>
      <c r="B64" s="2" t="inlineStr"/>
      <c r="C64" s="2" t="inlineStr">
        <is>
          <t>Q63</t>
        </is>
      </c>
      <c r="D64" s="2" t="inlineStr">
        <is>
          <t>Numerical</t>
        </is>
      </c>
      <c r="E64" s="3" t="inlineStr">
        <is>
          <t>Conic Sections</t>
        </is>
      </c>
      <c r="F64" s="2" t="n">
        <v>4</v>
      </c>
      <c r="G64" s="6" t="n">
        <v>3</v>
      </c>
      <c r="H64" s="6" t="inlineStr">
        <is>
          <t>Average Advanced</t>
        </is>
      </c>
      <c r="I64" s="5" t="n">
        <v>0</v>
      </c>
      <c r="J64" s="5" t="n">
        <v>0</v>
      </c>
      <c r="K64" s="5">
        <f>MIN(5,MAX(G64+I64,J64))</f>
        <v/>
      </c>
      <c r="L64" s="5">
        <f>F64*K64</f>
        <v/>
      </c>
      <c r="M64" s="3" t="inlineStr">
        <is>
          <t>Latus rectum plus the tangency condition fix $a=2$, $b^2=9$; the point of contact then gives $m$.</t>
        </is>
      </c>
      <c r="N64" s="3" t="inlineStr">
        <is>
          <t>Data inconsistent as printed; the intended route (latus rectum plus tangency) is a standard chain.</t>
        </is>
      </c>
      <c r="O64" s="3" t="inlineStr">
        <is>
          <t>2026-P2-Q13 (L3)</t>
        </is>
      </c>
      <c r="P64" s="2" t="inlineStr">
        <is>
          <t>Low</t>
        </is>
      </c>
    </row>
    <row r="65">
      <c r="A65" s="2" t="n">
        <v>64</v>
      </c>
      <c r="B65" s="2" t="inlineStr"/>
      <c r="C65" s="2" t="inlineStr">
        <is>
          <t>Q64</t>
        </is>
      </c>
      <c r="D65" s="2" t="inlineStr">
        <is>
          <t>Numerical</t>
        </is>
      </c>
      <c r="E65" s="3" t="inlineStr">
        <is>
          <t>Conic Sections</t>
        </is>
      </c>
      <c r="F65" s="2" t="n">
        <v>4</v>
      </c>
      <c r="G65" s="4" t="n">
        <v>2</v>
      </c>
      <c r="H65" s="4" t="inlineStr">
        <is>
          <t>Easier than Advanced</t>
        </is>
      </c>
      <c r="I65" s="5" t="n">
        <v>0</v>
      </c>
      <c r="J65" s="5" t="n">
        <v>0</v>
      </c>
      <c r="K65" s="5">
        <f>MIN(5,MAX(G65+I65,J65))</f>
        <v/>
      </c>
      <c r="L65" s="5">
        <f>F65*K65</f>
        <v/>
      </c>
      <c r="M65" s="3" t="inlineStr">
        <is>
          <t>$S=(2\sqrt2,0)$ and $B=2A-S$; then the area is $\frac12\cdot OS\cdot|y_B|$.</t>
        </is>
      </c>
      <c r="N65" s="3" t="inlineStr">
        <is>
          <t>Direct computation in two or three steps.</t>
        </is>
      </c>
      <c r="O65" s="3" t="inlineStr">
        <is>
          <t>2026-P1-Q3 (L1)</t>
        </is>
      </c>
      <c r="P65" s="2" t="inlineStr">
        <is>
          <t>High</t>
        </is>
      </c>
    </row>
    <row r="67">
      <c r="A67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papers/SHEET CONIC SECTION_FCopy JM.pdf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COUNTIF(Evaluation!$G$2:$G$65,A5)</f>
        <v/>
      </c>
      <c r="D5" s="11">
        <f>SUMIF(Evaluation!$G$2:$G$65,A5,Evaluation!$F$2:$F$65)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COUNTIF(Evaluation!$G$2:$G$65,A6)</f>
        <v/>
      </c>
      <c r="D6" s="13">
        <f>SUMIF(Evaluation!$G$2:$G$65,A6,Evaluation!$F$2:$F$65)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COUNTIF(Evaluation!$G$2:$G$65,A7)</f>
        <v/>
      </c>
      <c r="D7" s="15">
        <f>SUMIF(Evaluation!$G$2:$G$65,A7,Evaluation!$F$2:$F$65)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COUNTIF(Evaluation!$G$2:$G$65,A8)</f>
        <v/>
      </c>
      <c r="D8" s="17">
        <f>SUMIF(Evaluation!$G$2:$G$65,A8,Evaluation!$F$2:$F$65)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COUNTIF(Evaluation!$G$2:$G$65,A9)</f>
        <v/>
      </c>
      <c r="D9" s="19">
        <f>SUMIF(Evaluation!$G$2:$G$65,A9,Evaluation!$F$2:$F$65)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COUNTIF(Evaluation!$G$2:$G$65,A10)</f>
        <v/>
      </c>
      <c r="D10" s="21">
        <f>SUMIF(Evaluation!$G$2:$G$65,A10,Evaluation!$F$2:$F$65)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SUM(Evaluation!$L$2:$L$65)/SUM(Evaluation!$F$2:$F$65)</f>
        <v/>
      </c>
      <c r="C14" s="24">
        <f>SUMPRODUCT(Evaluation!$F$2:$F$65,Evaluation!$G$2:$G$65)/SUM(Evaluation!$F$2:$F$65)</f>
        <v/>
      </c>
      <c r="D14" s="23">
        <f>SUM(Evaluation!$F$2:$F$65)</f>
        <v/>
      </c>
      <c r="E14" s="24">
        <f>AVERAGE(Evaluation!$G$2:$G$65)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2026-10-13T15:51:32Z</dcterms:created>
  <dcterms:modified xmlns:dcterms="http://purl.org/dc/terms/" xmlns:xsi="http://www.w3.org/2001/XMLSchema-instance" xsi:type="dcterms:W3CDTF">2026-10-13T15:51:32Z</dcterms:modified>
</cp:coreProperties>
</file>