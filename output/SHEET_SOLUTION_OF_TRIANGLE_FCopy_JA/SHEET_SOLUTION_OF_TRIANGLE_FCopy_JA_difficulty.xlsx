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8" borderId="1" pivotButton="0" quotePrefix="0" xfId="0"/>
    <xf numFmtId="9" fontId="2" fillId="8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Solution of Triangle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Half-angle recognition: $\frac{2\sin P-\sin2P}{2\sin P+\sin2P}=\tan^2\frac P2$, then Heron.</t>
        </is>
      </c>
      <c r="N2" s="3" t="inlineStr">
        <is>
          <t>One familiar identity plus the half-angle formula in $s$; options help.</t>
        </is>
      </c>
      <c r="O2" s="3" t="inlineStr">
        <is>
          <t>2021-P1-Q18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MCQ</t>
        </is>
      </c>
      <c r="E3" s="3" t="inlineStr">
        <is>
          <t>Solution of Triangle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Take the tangent lengths as $2k-2,2k,2k+2$ and apply the cosine rule at the largest angle.</t>
        </is>
      </c>
      <c r="N3" s="3" t="inlineStr">
        <is>
          <t>Parametrisation by tangent lengths plus a cosine-rule equation; the order (largest angle at the smallest tangent) is the place to slip; two options to confirm.</t>
        </is>
      </c>
      <c r="O3" s="3" t="inlineStr">
        <is>
          <t>2021-P1-Q18 (L2), 2021-P2-Q2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Solution of Triangle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$x^2-c^2=y$ gives $C=120^\circ$; then $r/R$.</t>
        </is>
      </c>
      <c r="N4" s="3" t="inlineStr">
        <is>
          <t>Cosine rule then one ratio formula; options guide the final form.</t>
        </is>
      </c>
      <c r="O4" s="3" t="inlineStr">
        <is>
          <t>2021-P1-Q18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MCQ</t>
        </is>
      </c>
      <c r="E5" s="3" t="inlineStr">
        <is>
          <t>Solution of Triangle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Sides $5k,6k,7k$ from the ratio; then four statements on area, $R$, half-angle product and $\sin^2\frac{X+Y}2$.</t>
        </is>
      </c>
      <c r="N5" s="3" t="inlineStr">
        <is>
          <t>Each statement needs its own formula (Heron, $abc/4\Delta$, $r/4R$, $s(s-z)/xy$); no single insight but several genuine checks.</t>
        </is>
      </c>
      <c r="O5" s="3" t="inlineStr">
        <is>
          <t>2021-P2-Q2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Solution of Triangle</t>
        </is>
      </c>
      <c r="F6" s="2" t="n">
        <v>4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A.P. sides with a right angle give $3:4:5$.</t>
        </is>
      </c>
      <c r="N6" s="3" t="inlineStr">
        <is>
          <t>One familiar move (Pythagorean triple 3-4-5).</t>
        </is>
      </c>
      <c r="O6" s="3" t="inlineStr">
        <is>
          <t>2026-P2-Q4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Solution of Triangle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Cosine rule gives $PR=10=QR$, making the triangle $30^\circ,30^\circ,120^\circ$.</t>
        </is>
      </c>
      <c r="N7" s="3" t="inlineStr">
        <is>
          <t>Four statements each needing a real check (angles, area, $r$, $R$); the isosceles observation makes them quick.</t>
        </is>
      </c>
      <c r="O7" s="3" t="inlineStr">
        <is>
          <t>2021-P2-Q2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Solution of Triangle</t>
        </is>
      </c>
      <c r="F8" s="2" t="n">
        <v>4</v>
      </c>
      <c r="G8" s="8" t="n">
        <v>4</v>
      </c>
      <c r="H8" s="8" t="inlineStr">
        <is>
          <t>Slightly difficult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$P=120^\circ$ (reject the right-angle case), then $PE$ is also a median so $O$ is the centroid; area ratio.</t>
        </is>
      </c>
      <c r="N8" s="3" t="inlineStr">
        <is>
          <t>Ambiguous sine-rule angles, median length, inradius and a centroid/area argument: long chain with a non-obvious simplification across four statements.</t>
        </is>
      </c>
      <c r="O8" s="3" t="inlineStr">
        <is>
          <t>2021-P2-Q2 (L3), 2023-P2-Q15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Solution of Triangle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Convert the half-angle tangents into $\Delta=(s-x)(s-z)$ and $\cot\frac Y2=1$.</t>
        </is>
      </c>
      <c r="N9" s="3" t="inlineStr">
        <is>
          <t>One non-trivial half-angle manipulation giving $Y=90^\circ$, then three quick statement checks.</t>
        </is>
      </c>
      <c r="O9" s="3" t="inlineStr">
        <is>
          <t>2021-P2-Q2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MCQ</t>
        </is>
      </c>
      <c r="E10" s="3" t="inlineStr">
        <is>
          <t>Solution of Triangle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2.5</v>
      </c>
      <c r="K10" s="5">
        <f>MIN(5,MAX(G10+I10,J10))</f>
        <v/>
      </c>
      <c r="L10" s="5">
        <f>F10*K10</f>
        <v/>
      </c>
      <c r="M10" s="3" t="inlineStr">
        <is>
          <t>Projection formulae for (B), A.M.-G.M. for (C), contradictory inequalities for (D).</t>
        </is>
      </c>
      <c r="N10" s="3" t="inlineStr">
        <is>
          <t>Same question as 2021-P2-Q2, rated 3 by the user; several statements, each a small genuine check.</t>
        </is>
      </c>
      <c r="O10" s="3" t="inlineStr">
        <is>
          <t>2021-P2-Q2 (L3)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Solution of Triangle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$\frac{\cot A+\cot C}{\cot B}=\frac{2b^2}{a^2+c^2-b^2}$ via sine and cosine rules.</t>
        </is>
      </c>
      <c r="N11" s="3" t="inlineStr">
        <is>
          <t>Same question as 2021-P1-Q18, rated 2 by the user: a short chain with no insight.</t>
        </is>
      </c>
      <c r="O11" s="3" t="inlineStr">
        <is>
          <t>2021-P1-Q18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MCQ</t>
        </is>
      </c>
      <c r="E12" s="3" t="inlineStr">
        <is>
          <t>Solution of Triangle</t>
        </is>
      </c>
      <c r="F12" s="2" t="n">
        <v>4</v>
      </c>
      <c r="G12" s="6" t="n">
        <v>3</v>
      </c>
      <c r="H12" s="6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Hidden isosceles triangle ($RS=QR=1$) by angle chasing, two sine rules, then bounding $\frac1{\cos40^\circ}$.</t>
        </is>
      </c>
      <c r="N12" s="3" t="inlineStr">
        <is>
          <t>Figure reading and angle chase before the trig; the bound needs comparison with $\cos30^\circ,\cos45^\circ$; several steps but standard tools.</t>
        </is>
      </c>
      <c r="O12" s="3" t="inlineStr">
        <is>
          <t>2021-P1-Q18 (L2), 2021-P2-Q2 (L3)</t>
        </is>
      </c>
      <c r="P12" s="2" t="inlineStr">
        <is>
          <t>Low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Q Stem</t>
        </is>
      </c>
      <c r="E13" s="3" t="inlineStr">
        <is>
          <t>Solution of Triangle</t>
        </is>
      </c>
      <c r="F13" s="2" t="n">
        <v>3</v>
      </c>
      <c r="G13" s="9" t="n">
        <v>5</v>
      </c>
      <c r="H13" s="9" t="inlineStr">
        <is>
          <t>Very difficult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$\sin A=\cos C$ turns the A.P. and $R=1$ data into two equations in $m,d$.</t>
        </is>
      </c>
      <c r="N13" s="3" t="inlineStr">
        <is>
          <t>Same question as 2023-P2-Q14, rated 5 by the user: heavy trig with squaring and sign care.</t>
        </is>
      </c>
      <c r="O13" s="3" t="inlineStr">
        <is>
          <t>2023-P2-Q14 (L5)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Q Stem</t>
        </is>
      </c>
      <c r="E14" s="3" t="inlineStr">
        <is>
          <t>Solution of Triangle</t>
        </is>
      </c>
      <c r="F14" s="2" t="n">
        <v>3</v>
      </c>
      <c r="G14" s="8" t="n">
        <v>4</v>
      </c>
      <c r="H14" s="8" t="inlineStr">
        <is>
          <t>Slightly difficult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Reuse $m,d$ and area from the previous part; $r=\Delta/s$.</t>
        </is>
      </c>
      <c r="N14" s="3" t="inlineStr">
        <is>
          <t>Same question as 2023-P2-Q15, rated 4 by the user (it needs the whole previous part).</t>
        </is>
      </c>
      <c r="O14" s="3" t="inlineStr">
        <is>
          <t>2023-P2-Q15 (L4)</t>
        </is>
      </c>
      <c r="P14" s="2" t="inlineStr">
        <is>
          <t>High</t>
        </is>
      </c>
    </row>
    <row r="16">
      <c r="A16" s="10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1" t="inlineStr">
        <is>
          <t>Difficulty summary</t>
        </is>
      </c>
    </row>
    <row r="2">
      <c r="A2" s="10" t="inlineStr">
        <is>
          <t>Source: SHEET_SOLUTION_OF_TRIANGLE_FCopy_JA.pdf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2" t="n">
        <v>0</v>
      </c>
      <c r="B5" s="12" t="inlineStr">
        <is>
          <t>Easier than JEE Main</t>
        </is>
      </c>
      <c r="C5" s="12">
        <f>COUNTIF(Evaluation!$G$2:$G$14,A5)</f>
        <v/>
      </c>
      <c r="D5" s="12">
        <f>SUMIF(Evaluation!$G$2:$G$14,A5,Evaluation!$F$2:$F$14)</f>
        <v/>
      </c>
      <c r="E5" s="13">
        <f>IF(SUM($D$5:$D$10)=0,0,D5/SUM($D$5:$D$10))</f>
        <v/>
      </c>
    </row>
    <row r="6">
      <c r="A6" s="14" t="n">
        <v>1</v>
      </c>
      <c r="B6" s="14" t="inlineStr">
        <is>
          <t>JEE Main level</t>
        </is>
      </c>
      <c r="C6" s="14">
        <f>COUNTIF(Evaluation!$G$2:$G$14,A6)</f>
        <v/>
      </c>
      <c r="D6" s="14">
        <f>SUMIF(Evaluation!$G$2:$G$14,A6,Evaluation!$F$2:$F$14)</f>
        <v/>
      </c>
      <c r="E6" s="15">
        <f>IF(SUM($D$5:$D$10)=0,0,D6/SUM($D$5:$D$10))</f>
        <v/>
      </c>
    </row>
    <row r="7">
      <c r="A7" s="16" t="n">
        <v>2</v>
      </c>
      <c r="B7" s="16" t="inlineStr">
        <is>
          <t>Easier than Advanced</t>
        </is>
      </c>
      <c r="C7" s="16">
        <f>COUNTIF(Evaluation!$G$2:$G$14,A7)</f>
        <v/>
      </c>
      <c r="D7" s="16">
        <f>SUMIF(Evaluation!$G$2:$G$14,A7,Evaluation!$F$2:$F$14)</f>
        <v/>
      </c>
      <c r="E7" s="17">
        <f>IF(SUM($D$5:$D$10)=0,0,D7/SUM($D$5:$D$10))</f>
        <v/>
      </c>
    </row>
    <row r="8">
      <c r="A8" s="18" t="n">
        <v>3</v>
      </c>
      <c r="B8" s="18" t="inlineStr">
        <is>
          <t>Average Advanced</t>
        </is>
      </c>
      <c r="C8" s="18">
        <f>COUNTIF(Evaluation!$G$2:$G$14,A8)</f>
        <v/>
      </c>
      <c r="D8" s="18">
        <f>SUMIF(Evaluation!$G$2:$G$14,A8,Evaluation!$F$2:$F$14)</f>
        <v/>
      </c>
      <c r="E8" s="19">
        <f>IF(SUM($D$5:$D$10)=0,0,D8/SUM($D$5:$D$10))</f>
        <v/>
      </c>
    </row>
    <row r="9">
      <c r="A9" s="20" t="n">
        <v>4</v>
      </c>
      <c r="B9" s="20" t="inlineStr">
        <is>
          <t>Slightly difficult</t>
        </is>
      </c>
      <c r="C9" s="20">
        <f>COUNTIF(Evaluation!$G$2:$G$14,A9)</f>
        <v/>
      </c>
      <c r="D9" s="20">
        <f>SUMIF(Evaluation!$G$2:$G$14,A9,Evaluation!$F$2:$F$14)</f>
        <v/>
      </c>
      <c r="E9" s="21">
        <f>IF(SUM($D$5:$D$10)=0,0,D9/SUM($D$5:$D$10))</f>
        <v/>
      </c>
    </row>
    <row r="10">
      <c r="A10" s="22" t="n">
        <v>5</v>
      </c>
      <c r="B10" s="22" t="inlineStr">
        <is>
          <t>Very difficult</t>
        </is>
      </c>
      <c r="C10" s="22">
        <f>COUNTIF(Evaluation!$G$2:$G$14,A10)</f>
        <v/>
      </c>
      <c r="D10" s="22">
        <f>SUMIF(Evaluation!$G$2:$G$14,A10,Evaluation!$F$2:$F$14)</f>
        <v/>
      </c>
      <c r="E10" s="23">
        <f>IF(SUM($D$5:$D$10)=0,0,D10/SUM($D$5:$D$10))</f>
        <v/>
      </c>
    </row>
    <row r="11">
      <c r="A11" s="24" t="inlineStr">
        <is>
          <t>Total</t>
        </is>
      </c>
      <c r="C11" s="24">
        <f>SUM(C5:C10)</f>
        <v/>
      </c>
      <c r="D11" s="24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4" t="inlineStr">
        <is>
          <t>Overall</t>
        </is>
      </c>
      <c r="B14" s="25">
        <f>SUM(Evaluation!$L$2:$L$14)/SUM(Evaluation!$F$2:$F$14)</f>
        <v/>
      </c>
      <c r="C14" s="25">
        <f>SUMPRODUCT(Evaluation!$F$2:$F$14,Evaluation!$G$2:$G$14)/SUM(Evaluation!$F$2:$F$14)</f>
        <v/>
      </c>
      <c r="D14" s="24">
        <f>SUM(Evaluation!$F$2:$F$14)</f>
        <v/>
      </c>
      <c r="E14" s="25">
        <f>AVERAGE(Evaluation!$G$2:$G$14)</f>
        <v/>
      </c>
    </row>
    <row r="16">
      <c r="A16" s="10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1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6" t="n">
        <v>2021</v>
      </c>
      <c r="B4" s="27" t="n">
        <v>2.758333333333333</v>
      </c>
      <c r="C4" s="27" t="n">
        <v>2.894736842105263</v>
      </c>
      <c r="D4" s="26" t="n">
        <v>16</v>
      </c>
      <c r="E4" s="26" t="n">
        <v>34</v>
      </c>
      <c r="F4" s="26" t="n">
        <v>1</v>
      </c>
    </row>
    <row r="5">
      <c r="A5" s="26" t="n">
        <v>2023</v>
      </c>
      <c r="B5" s="27" t="n">
        <v>3.191666666666667</v>
      </c>
      <c r="C5" s="27" t="n">
        <v>3.147058823529412</v>
      </c>
      <c r="D5" s="26" t="n">
        <v>13</v>
      </c>
      <c r="E5" s="26" t="n">
        <v>47</v>
      </c>
      <c r="F5" s="26" t="n">
        <v>5</v>
      </c>
    </row>
    <row r="6">
      <c r="A6" s="26" t="n">
        <v>2024</v>
      </c>
      <c r="B6" s="27" t="n">
        <v>2.591666666666667</v>
      </c>
      <c r="C6" s="27" t="n">
        <v>2.558823529411764</v>
      </c>
      <c r="D6" s="26" t="n">
        <v>28</v>
      </c>
      <c r="E6" s="26" t="n">
        <v>40</v>
      </c>
      <c r="F6" s="26" t="n">
        <v>1</v>
      </c>
    </row>
    <row r="7">
      <c r="A7" s="26" t="n">
        <v>2025</v>
      </c>
      <c r="B7" s="27" t="n">
        <v>3.208333333333333</v>
      </c>
      <c r="C7" s="27" t="n">
        <v>3.1875</v>
      </c>
      <c r="D7" s="26" t="n">
        <v>8</v>
      </c>
      <c r="E7" s="26" t="n">
        <v>65</v>
      </c>
      <c r="F7" s="26" t="n">
        <v>1</v>
      </c>
    </row>
    <row r="8">
      <c r="A8" s="26" t="n">
        <v>2026</v>
      </c>
      <c r="B8" s="27" t="n">
        <v>3.025</v>
      </c>
      <c r="C8" s="27" t="n">
        <v>2.941176470588236</v>
      </c>
      <c r="D8" s="26" t="n">
        <v>6</v>
      </c>
      <c r="E8" s="26" t="n">
        <v>38</v>
      </c>
      <c r="F8" s="26" t="n">
        <v>2</v>
      </c>
    </row>
    <row r="9">
      <c r="A9" s="24" t="inlineStr">
        <is>
          <t>This paper</t>
        </is>
      </c>
      <c r="B9" s="25">
        <f>Summary!B14</f>
        <v/>
      </c>
      <c r="C9" s="25">
        <f>Summary!E14</f>
        <v/>
      </c>
      <c r="D9" s="24">
        <f>Summary!D5+Summary!D6</f>
        <v/>
      </c>
      <c r="E9" s="24">
        <f>Summary!D9+Summary!D10</f>
        <v/>
      </c>
      <c r="F9" s="24">
        <f>Summary!C10</f>
        <v/>
      </c>
    </row>
    <row r="11">
      <c r="A11" s="10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2026-10-15T05:39:01Z</dcterms:created>
  <dcterms:modified xmlns:dcterms="http://purl.org/dc/terms/" xmlns:xsi="http://www.w3.org/2001/XMLSchema-instance" xsi:type="dcterms:W3CDTF">2026-10-15T05:39:01Z</dcterms:modified>
</cp:coreProperties>
</file>