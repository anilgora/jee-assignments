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Circle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Right triangle CAP gives angle 30 deg, so PAB is equilateral; centroid at distance r.</t>
        </is>
      </c>
      <c r="N2" s="3" t="inlineStr">
        <is>
          <t>Three routine stages (angle, equilateral, centroid) with one familiar geometric observation; proof format only. Comparable to 2026-P1-Q2 (L2), a short circle-geometry chain.</t>
        </is>
      </c>
      <c r="O2" s="3" t="inlineStr">
        <is>
          <t>2026-P1-Q2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Circle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Centroid is circumcentre of an equilateral triangle; write the circle.</t>
        </is>
      </c>
      <c r="N3" s="3" t="inlineStr">
        <is>
          <t>One familiar move applied once with tiny numbers.</t>
        </is>
      </c>
      <c r="O3" s="3" t="inlineStr">
        <is>
          <t>2026-P1-Q3 (L1)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Circle</t>
        </is>
      </c>
      <c r="F4" s="2" t="n">
        <v>4</v>
      </c>
      <c r="G4" s="7" t="n">
        <v>3</v>
      </c>
      <c r="H4" s="7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OA.OB = 24 (power); AM gives the midpoint circle, HM gives the polar of O.</t>
        </is>
      </c>
      <c r="N4" s="3" t="inlineStr">
        <is>
          <t>Three loci in one question; the harmonic-mean locus needs the polar/inversion idea beyond routine practice, and a slip in any part loses the question.</t>
        </is>
      </c>
      <c r="O4" s="3" t="inlineStr">
        <is>
          <t>2023-P2-Q13 (L4)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INT</t>
        </is>
      </c>
      <c r="E5" s="3" t="inlineStr">
        <is>
          <t>Circle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Director circle radius is sqrt2 times the radius, so radii form a G.P.</t>
        </is>
      </c>
      <c r="N5" s="3" t="inlineStr">
        <is>
          <t>Two routine facts chained (director circle, infinite G.P.) and a short computation.</t>
        </is>
      </c>
      <c r="O5" s="3" t="inlineStr">
        <is>
          <t>2026-P2-Q3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Circle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Radii are the diagonals; tangency gives R-r=10; with R^2+r^2=400 get Rr.</t>
        </is>
      </c>
      <c r="N6" s="3" t="inlineStr">
        <is>
          <t>Several routine steps; the only decision is internal tangency, then algebra for the product.</t>
        </is>
      </c>
      <c r="O6" s="3" t="inlineStr">
        <is>
          <t>2026-P2-Q2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Circle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Parametrise the hypotenuse ends, express the centroid, eliminate theta.</t>
        </is>
      </c>
      <c r="N7" s="3" t="inlineStr">
        <is>
          <t>Long parametric elimination with trigonometric bookkeeping and no options to check; a standard locus technique but precision risk.</t>
        </is>
      </c>
      <c r="O7" s="3" t="inlineStr">
        <is>
          <t>2021-P1-Q10 (L5, heavier)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Circle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Radical axis through the origin and tangency gives ab=0.</t>
        </is>
      </c>
      <c r="N8" s="3" t="inlineStr">
        <is>
          <t>Radical axis plus the tangency condition, then a neat factorisation; routine chain.</t>
        </is>
      </c>
      <c r="O8" s="3" t="inlineStr">
        <is>
          <t>2026-P2-Q17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Circle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Chord of the fixed circle with each member is radical axis; combination of two lines gives the point.</t>
        </is>
      </c>
      <c r="N9" s="3" t="inlineStr">
        <is>
          <t>Standard family-of-circles pattern: form the family, subtract, find the fixed point of a pencil.</t>
        </is>
      </c>
      <c r="O9" s="3" t="inlineStr">
        <is>
          <t>2026-P2-Q2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Circle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Director circle, then point-circle + lambda tangent through (1,1).</t>
        </is>
      </c>
      <c r="N10" s="3" t="inlineStr">
        <is>
          <t>Two standard recalls (director circle, family tangent at a point) and one linear equation.</t>
        </is>
      </c>
      <c r="O10" s="3" t="inlineStr">
        <is>
          <t>2026-P2-Q3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Circle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Fixed points from circle+line pencil; minimal circle has diameter AB.</t>
        </is>
      </c>
      <c r="N11" s="3" t="inlineStr">
        <is>
          <t>Pencil of circles and a minimisation; both routine.</t>
        </is>
      </c>
      <c r="O11" s="3" t="inlineStr">
        <is>
          <t>2026-P2-Q17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Circle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Orthogonality conditions are linear; subtract to get the radical axis.</t>
        </is>
      </c>
      <c r="N12" s="3" t="inlineStr">
        <is>
          <t>General proof plus numeric deduction; a known result with routine algebra.</t>
        </is>
      </c>
      <c r="O12" s="3" t="inlineStr">
        <is>
          <t>2026-P2-Q12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Circle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Centre on the bisector y=x, R=sqrt2 h/3 from the pair of lines, internal tangency fixes h.</t>
        </is>
      </c>
      <c r="N13" s="3" t="inlineStr">
        <is>
          <t>Three stages (bisector, tangency to a line pair, internal tangency) with surd-heavy algebra and no options.</t>
        </is>
      </c>
      <c r="O13" s="3" t="inlineStr">
        <is>
          <t>2021-P1-Q1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Circle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OA = 3/tan(alpha), tan 2alpha = 1/3 solved for tan alpha.</t>
        </is>
      </c>
      <c r="N14" s="3" t="inlineStr">
        <is>
          <t>Pair of lines, half-angle and a surd answer; the half-angle quadratic is a mild trap and the answer is unchecked.</t>
        </is>
      </c>
      <c r="O14" s="3" t="inlineStr">
        <is>
          <t>2026-P2-Q17 (L2, easier)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Circle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45 degree line slopes from the tangent slope, then centres along the lines.</t>
        </is>
      </c>
      <c r="N15" s="3" t="inlineStr">
        <is>
          <t>Routine slope-angle formula repeated, then points at a given distance; long but no insight.</t>
        </is>
      </c>
      <c r="O15" s="3" t="inlineStr">
        <is>
          <t>2026-P2-Q2 (L2)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Circle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Tangents x+y=(2-+sqrt2)r and trapezium area.</t>
        </is>
      </c>
      <c r="N16" s="3" t="inlineStr">
        <is>
          <t>Standard tangent-to-axes circle and an area; short routine chain.</t>
        </is>
      </c>
      <c r="O16" s="3" t="inlineStr">
        <is>
          <t>2026-P2-Q17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INT</t>
        </is>
      </c>
      <c r="E17" s="3" t="inlineStr">
        <is>
          <t>Circle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Diameter of C3 is 28 and the internal tangent is perpendicular to the line of centres.</t>
        </is>
      </c>
      <c r="N17" s="3" t="inlineStr">
        <is>
          <t>Well-known configuration; Pythagoras once the geometry is set up.</t>
        </is>
      </c>
      <c r="O17" s="3" t="inlineStr">
        <is>
          <t>2026-P2-Q3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Circle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Centres on the bisector, h = r cot(theta/2); product of roots of a quadratic in r.</t>
        </is>
      </c>
      <c r="N18" s="3" t="inlineStr">
        <is>
          <t>Needs the idea that the two circles are the two roots of one quadratic; three stages with trigonometric half-angle.</t>
        </is>
      </c>
      <c r="O18" s="3" t="inlineStr">
        <is>
          <t>2023-P2-Q13 (L4, harder)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Circle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Tangency of the slanted side to the incircle gives r = ab/(a+b).</t>
        </is>
      </c>
      <c r="N19" s="3" t="inlineStr">
        <is>
          <t>Coordinate set-up and a distance condition; a familiar result with routine algebra.</t>
        </is>
      </c>
      <c r="O19" s="3" t="inlineStr">
        <is>
          <t>2026-P2-Q17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Circle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All vertices on the big circle, so tangent lengths are equal and the triangle is equilateral.</t>
        </is>
      </c>
      <c r="N20" s="3" t="inlineStr">
        <is>
          <t>Proof needs the insight that equal tangent lengths force an equilateral triangle, then inradius = R/2.</t>
        </is>
      </c>
      <c r="O20" s="3" t="inlineStr">
        <is>
          <t>2026-P1-Q2 (L2, one step more)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Circle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Radical axis, then half-chord and a difference of squares.</t>
        </is>
      </c>
      <c r="N21" s="3" t="inlineStr">
        <is>
          <t>Routine algebra; the factorisation is the only care point.</t>
        </is>
      </c>
      <c r="O21" s="3" t="inlineStr">
        <is>
          <t>2026-P2-Q17 (L2)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Para SCQ</t>
        </is>
      </c>
      <c r="E22" s="3" t="inlineStr">
        <is>
          <t>Circle</t>
        </is>
      </c>
      <c r="F22" s="2" t="n">
        <v>3</v>
      </c>
      <c r="G22" s="6" t="n">
        <v>1</v>
      </c>
      <c r="H22" s="6" t="inlineStr">
        <is>
          <t>JEE Main level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Upper semicircle and a line crossing the diameter inside the circle.</t>
        </is>
      </c>
      <c r="N22" s="3" t="inlineStr">
        <is>
          <t>One counting observation from a simple picture.</t>
        </is>
      </c>
      <c r="O22" s="3" t="inlineStr">
        <is>
          <t>2026-P1-Q3 (L1)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Para SCQ</t>
        </is>
      </c>
      <c r="E23" s="3" t="inlineStr">
        <is>
          <t>Circle</t>
        </is>
      </c>
      <c r="F23" s="2" t="n">
        <v>3</v>
      </c>
      <c r="G23" s="4" t="n">
        <v>2</v>
      </c>
      <c r="H23" s="4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Ends of a diameter on y=1 and Thales (or expand and use the circle equation).</t>
        </is>
      </c>
      <c r="N23" s="3" t="inlineStr">
        <is>
          <t>Two short steps with a small insight (angle in a semicircle).</t>
        </is>
      </c>
      <c r="O23" s="3" t="inlineStr">
        <is>
          <t>2026-P2-Q3 (L2)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Para SCQ</t>
        </is>
      </c>
      <c r="E24" s="3" t="inlineStr">
        <is>
          <t>Circle</t>
        </is>
      </c>
      <c r="F24" s="2" t="n">
        <v>3</v>
      </c>
      <c r="G24" s="6" t="n">
        <v>1</v>
      </c>
      <c r="H24" s="6" t="inlineStr">
        <is>
          <t>JEE Main level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Director circle has radius r sqrt2, annulus area pi r^2.</t>
        </is>
      </c>
      <c r="N24" s="3" t="inlineStr">
        <is>
          <t>One standard fact applied once.</t>
        </is>
      </c>
      <c r="O24" s="3" t="inlineStr">
        <is>
          <t>2024-P2-Q3 (L1)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Para SCQ</t>
        </is>
      </c>
      <c r="E25" s="3" t="inlineStr">
        <is>
          <t>Circle</t>
        </is>
      </c>
      <c r="F25" s="2" t="n">
        <v>3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Radius CQ is at angle pi/2 - theta, so Q = C + (sin, cos).</t>
        </is>
      </c>
      <c r="N25" s="3" t="inlineStr">
        <is>
          <t>Setting up the angle from the figure; short but a sign slip is possible.</t>
        </is>
      </c>
      <c r="O25" s="3" t="inlineStr">
        <is>
          <t>2026-P2-Q2 (L2)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Para SCQ</t>
        </is>
      </c>
      <c r="E26" s="3" t="inlineStr">
        <is>
          <t>Circle</t>
        </is>
      </c>
      <c r="F26" s="2" t="n">
        <v>3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Tangent at Q is perpendicular to CQ; simplify with sin^2+cos^2=1.</t>
        </is>
      </c>
      <c r="N26" s="3" t="inlineStr">
        <is>
          <t>Routine tangent line with trigonometric simplification.</t>
        </is>
      </c>
      <c r="O26" s="3" t="inlineStr">
        <is>
          <t>2026-P2-Q2 (L2)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Para SCQ</t>
        </is>
      </c>
      <c r="E27" s="3" t="inlineStr">
        <is>
          <t>Circle</t>
        </is>
      </c>
      <c r="F27" s="2" t="n">
        <v>3</v>
      </c>
      <c r="G27" s="7" t="n">
        <v>3</v>
      </c>
      <c r="H27" s="7" t="inlineStr">
        <is>
          <t>Average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Area = kite - sector with central angle pi-theta.</t>
        </is>
      </c>
      <c r="N27" s="3" t="inlineStr">
        <is>
          <t>Needs the kite-minus-sector construction and half-angle value of cot(pi/8); precision risk.</t>
        </is>
      </c>
      <c r="O27" s="3" t="inlineStr">
        <is>
          <t>2021-P2-Q13 (L4, harder)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MTC SCQ</t>
        </is>
      </c>
      <c r="E28" s="3" t="inlineStr">
        <is>
          <t>Circle</t>
        </is>
      </c>
      <c r="F28" s="2" t="n">
        <v>3</v>
      </c>
      <c r="G28" s="7" t="n">
        <v>3</v>
      </c>
      <c r="H28" s="7" t="inlineStr">
        <is>
          <t>Average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Centre distance sqrt2(b-a) turns each condition into a quadratic in b/a.</t>
        </is>
      </c>
      <c r="N28" s="3" t="inlineStr">
        <is>
          <t>Four separate derivations including the longest-common-chord condition (C2 bisects C1); each is short but the set is long, so above 2024-P1-Q15 (L1).</t>
        </is>
      </c>
      <c r="O28" s="3" t="inlineStr">
        <is>
          <t>2024-P1-Q15 (L1, shorter)</t>
        </is>
      </c>
      <c r="P28" s="2" t="inlineStr">
        <is>
          <t>Medium</t>
        </is>
      </c>
    </row>
    <row r="30">
      <c r="A30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papers/SHEET CIRCLE LINE_FCopy C2.pdf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COUNTIF(Evaluation!$G$2:$G$28,A5)</f>
        <v/>
      </c>
      <c r="D5" s="10">
        <f>SUMIF(Evaluation!$G$2:$G$28,A5,Evaluation!$F$2:$F$28)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COUNTIF(Evaluation!$G$2:$G$28,A6)</f>
        <v/>
      </c>
      <c r="D6" s="12">
        <f>SUMIF(Evaluation!$G$2:$G$28,A6,Evaluation!$F$2:$F$28)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COUNTIF(Evaluation!$G$2:$G$28,A7)</f>
        <v/>
      </c>
      <c r="D7" s="14">
        <f>SUMIF(Evaluation!$G$2:$G$28,A7,Evaluation!$F$2:$F$28)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COUNTIF(Evaluation!$G$2:$G$28,A8)</f>
        <v/>
      </c>
      <c r="D8" s="16">
        <f>SUMIF(Evaluation!$G$2:$G$28,A8,Evaluation!$F$2:$F$28)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COUNTIF(Evaluation!$G$2:$G$28,A9)</f>
        <v/>
      </c>
      <c r="D9" s="18">
        <f>SUMIF(Evaluation!$G$2:$G$28,A9,Evaluation!$F$2:$F$28)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COUNTIF(Evaluation!$G$2:$G$28,A10)</f>
        <v/>
      </c>
      <c r="D10" s="20">
        <f>SUMIF(Evaluation!$G$2:$G$28,A10,Evaluation!$F$2:$F$28)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SUM(Evaluation!$L$2:$L$28)/SUM(Evaluation!$F$2:$F$28)</f>
        <v/>
      </c>
      <c r="C14" s="23">
        <f>SUMPRODUCT(Evaluation!$F$2:$F$28,Evaluation!$G$2:$G$28)/SUM(Evaluation!$F$2:$F$28)</f>
        <v/>
      </c>
      <c r="D14" s="22">
        <f>SUM(Evaluation!$F$2:$F$28)</f>
        <v/>
      </c>
      <c r="E14" s="23">
        <f>AVERAGE(Evaluation!$G$2:$G$28)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2026-10-13T14:18:37Z</dcterms:created>
  <dcterms:modified xmlns:dcterms="http://purl.org/dc/terms/" xmlns:xsi="http://www.w3.org/2001/XMLSchema-instance" xsi:type="dcterms:W3CDTF">2026-10-13T14:18:37Z</dcterms:modified>
</cp:coreProperties>
</file>