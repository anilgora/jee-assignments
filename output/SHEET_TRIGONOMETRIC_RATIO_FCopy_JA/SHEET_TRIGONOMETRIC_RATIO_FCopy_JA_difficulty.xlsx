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8F0D8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Trigonometric Ratio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Factorise both quadratics; sign of tan decides which root is larger.</t>
        </is>
      </c>
      <c r="N2" s="3" t="inlineStr">
        <is>
          <t>Two routine factorisations and one sign decision; short chain with a sign trap.</t>
        </is>
      </c>
      <c r="O2" s="3" t="inlineStr">
        <is>
          <t>2026-P2-Q3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Trigonometric Ratio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Cot-difference identity to telescope with step $\frac{\pi}{6}$.</t>
        </is>
      </c>
      <c r="N3" s="3" t="inlineStr">
        <is>
          <t>One standard telescoping device then evaluating $\cot\frac{5\pi}{12}$; familiar to coached students.</t>
        </is>
      </c>
      <c r="O3" s="3" t="inlineStr">
        <is>
          <t>2021-P1-Q15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MCQ</t>
        </is>
      </c>
      <c r="E4" s="3" t="inlineStr">
        <is>
          <t>Trigonometric Ratio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Half-angle tangent substitution, then the $\pm$ of the square root.</t>
        </is>
      </c>
      <c r="N4" s="3" t="inlineStr">
        <is>
          <t>Mechanical algebra after a standard substitution; the $\pm$ gives two options. Single concept so no multi-correct floor.</t>
        </is>
      </c>
      <c r="O4" s="3" t="inlineStr">
        <is>
          <t>2021-P1-Q18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Trigonometric Ratio</t>
        </is>
      </c>
      <c r="F5" s="2" t="n">
        <v>4</v>
      </c>
      <c r="G5" s="6" t="n">
        <v>4</v>
      </c>
      <c r="H5" s="6" t="inlineStr">
        <is>
          <t>Slightly difficult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Shift by $\frac14$ to reveal $\sin\pi y\,(5-2\sin^2\pi y)$, then the window of $x$.</t>
        </is>
      </c>
      <c r="N5" s="3" t="inlineStr">
        <is>
          <t>The shift is non-obvious, several identities must be chained exactly, and a numerical answer with an interval-intersection step leaves no option to check against.</t>
        </is>
      </c>
      <c r="O5" s="3" t="inlineStr">
        <is>
          <t>2026-P1-Q12 (L4)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Trigonometric Ratio</t>
        </is>
      </c>
      <c r="F6" s="2" t="n">
        <v>4</v>
      </c>
      <c r="G6" s="6" t="n">
        <v>4</v>
      </c>
      <c r="H6" s="6" t="inlineStr">
        <is>
          <t>Slightly difficult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Group terms into $\cos(\alpha-\beta)$ over double angles, then evaluate with sum/product identities.</t>
        </is>
      </c>
      <c r="N6" s="3" t="inlineStr">
        <is>
          <t>Pairing idea is not routine, a long exact chain with sign risk, and the final floor needs the value to be located between integers.</t>
        </is>
      </c>
      <c r="O6" s="3" t="inlineStr">
        <is>
          <t>2025-P2-Q15 (L4)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Trigonometric Ratio</t>
        </is>
      </c>
      <c r="F7" s="2" t="n">
        <v>4</v>
      </c>
      <c r="G7" s="7" t="n">
        <v>3</v>
      </c>
      <c r="H7" s="7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Regroup into $\cos\frac{x}{2}+\sin\frac{x}{2}$, then evaluate with quadrant signs.</t>
        </is>
      </c>
      <c r="N7" s="3" t="inlineStr">
        <is>
          <t>Compound-angle regrouping disguised by $\frac{11x}{2}$ and $6x$ plus a quadrant sign; options help verification.</t>
        </is>
      </c>
      <c r="O7" s="3" t="inlineStr">
        <is>
          <t>2024-P1-Q3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Trigonometric Ratio</t>
        </is>
      </c>
      <c r="F8" s="2" t="n">
        <v>4</v>
      </c>
      <c r="G8" s="6" t="n">
        <v>4</v>
      </c>
      <c r="H8" s="6" t="inlineStr">
        <is>
          <t>Slightly difficult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Cot-telescoping over alternate pairs and cancellation by $\cot(180^\circ-\theta)=-\cot\theta$.</t>
        </is>
      </c>
      <c r="N8" s="3" t="inlineStr">
        <is>
          <t>Standard telescoping does not close; the supplementary-angle cancellation is the unfamiliar idea and the answer is numerical.</t>
        </is>
      </c>
      <c r="O8" s="3" t="inlineStr">
        <is>
          <t>2025-P2-Q15 (L4)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Trigonometric Ratio</t>
        </is>
      </c>
      <c r="F9" s="2" t="n">
        <v>4</v>
      </c>
      <c r="G9" s="6" t="n">
        <v>4</v>
      </c>
      <c r="H9" s="6" t="inlineStr">
        <is>
          <t>Slightly difficult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$1-2\cos\theta=-\frac{\cos(3\theta/2)}{\cos(\theta/2)}$, telescoping product of five factors with reduction of $\frac{243\pi}{22}$.</t>
        </is>
      </c>
      <c r="N9" s="3" t="inlineStr">
        <is>
          <t>Triple-angle telescoping is an uncommon idea; sign bookkeeping through five factors and the final reduction can slip.</t>
        </is>
      </c>
      <c r="O9" s="3" t="inlineStr">
        <is>
          <t>2026-P1-Q12 (L4)</t>
        </is>
      </c>
      <c r="P9" s="2" t="inlineStr">
        <is>
          <t>Medium</t>
        </is>
      </c>
    </row>
    <row r="11">
      <c r="A11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SHEET_TRIGONOMETRIC_RATIO_FCopy_JA.pdf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COUNTIF(Evaluation!$G$2:$G$9,A5)</f>
        <v/>
      </c>
      <c r="D5" s="10">
        <f>SUMIF(Evaluation!$G$2:$G$9,A5,Evaluation!$F$2:$F$9)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COUNTIF(Evaluation!$G$2:$G$9,A6)</f>
        <v/>
      </c>
      <c r="D6" s="12">
        <f>SUMIF(Evaluation!$G$2:$G$9,A6,Evaluation!$F$2:$F$9)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COUNTIF(Evaluation!$G$2:$G$9,A7)</f>
        <v/>
      </c>
      <c r="D7" s="14">
        <f>SUMIF(Evaluation!$G$2:$G$9,A7,Evaluation!$F$2:$F$9)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COUNTIF(Evaluation!$G$2:$G$9,A8)</f>
        <v/>
      </c>
      <c r="D8" s="16">
        <f>SUMIF(Evaluation!$G$2:$G$9,A8,Evaluation!$F$2:$F$9)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COUNTIF(Evaluation!$G$2:$G$9,A9)</f>
        <v/>
      </c>
      <c r="D9" s="18">
        <f>SUMIF(Evaluation!$G$2:$G$9,A9,Evaluation!$F$2:$F$9)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COUNTIF(Evaluation!$G$2:$G$9,A10)</f>
        <v/>
      </c>
      <c r="D10" s="20">
        <f>SUMIF(Evaluation!$G$2:$G$9,A10,Evaluation!$F$2:$F$9)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SUM(Evaluation!$L$2:$L$9)/SUM(Evaluation!$F$2:$F$9)</f>
        <v/>
      </c>
      <c r="C14" s="23">
        <f>SUMPRODUCT(Evaluation!$F$2:$F$9,Evaluation!$G$2:$G$9)/SUM(Evaluation!$F$2:$F$9)</f>
        <v/>
      </c>
      <c r="D14" s="22">
        <f>SUM(Evaluation!$F$2:$F$9)</f>
        <v/>
      </c>
      <c r="E14" s="23">
        <f>AVERAGE(Evaluation!$G$2:$G$9)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2026-10-15T10:25:39Z</dcterms:created>
  <dcterms:modified xmlns:dcterms="http://purl.org/dc/terms/" xmlns:xsi="http://www.w3.org/2001/XMLSchema-instance" xsi:type="dcterms:W3CDTF">2026-10-15T10:25:39Z</dcterms:modified>
</cp:coreProperties>
</file>