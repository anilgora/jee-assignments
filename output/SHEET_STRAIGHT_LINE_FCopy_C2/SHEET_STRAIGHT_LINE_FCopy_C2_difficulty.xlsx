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Straight Line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G=(H+2S)/3, then split the zig-zag into two geometric series.</t>
        </is>
      </c>
      <c r="N2" s="3" t="inlineStr">
        <is>
          <t>Two routine steps (Euler line, GP sums) chained; no insight beyond a familiar series. Like 2021-P1-Q9 (L2) in demand.</t>
        </is>
      </c>
      <c r="O2" s="3" t="inlineStr">
        <is>
          <t>2021-P1-Q9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Straight Line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Perpendicular bisector is parallel to the other side's perpendicular, so B and C are reflections of A.</t>
        </is>
      </c>
      <c r="N3" s="3" t="inlineStr">
        <is>
          <t>Four stages (orthocentre, bisectors, two reflections, two medians) with an easy-to-misassign vertex; idea of reflecting A is not the first one students try.</t>
        </is>
      </c>
      <c r="O3" s="3" t="inlineStr">
        <is>
          <t>2021-P1-Q1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Straight Line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Incentre via side lengths, then the line through A and I.</t>
        </is>
      </c>
      <c r="N4" s="3" t="inlineStr">
        <is>
          <t>Standard incentre formula, three routine stages, no insight.</t>
        </is>
      </c>
      <c r="O4" s="3" t="inlineStr">
        <is>
          <t>2021-P1-Q18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Straight Line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Diagonals of a rhombus are parallel to the angle bisectors of the side directions.</t>
        </is>
      </c>
      <c r="N5" s="3" t="inlineStr">
        <is>
          <t>Needs the bisector idea for a rhombus (less drilled), then bisector pair and two cases for A.</t>
        </is>
      </c>
      <c r="O5" s="3" t="inlineStr">
        <is>
          <t>2021-P1-Q9 (L2), 2026-P2-Q2 (L2); idea availability lifts it to 3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Straight Line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Region nearer to OA is triangle OAI (incentre), area = 1/2 * 6 * r.</t>
        </is>
      </c>
      <c r="N6" s="3" t="inlineStr">
        <is>
          <t>Unfamiliar region description plus surd simplification into 9(a-sqrt b); numerical format.</t>
        </is>
      </c>
      <c r="O6" s="3" t="inlineStr">
        <is>
          <t>2021-P1-Q10 (L5) is much heavier; 2021-P1-Q9 (L2) lighter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Straight Line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Reflection of a vertex in another vertex's bisector lies on the opposite side.</t>
        </is>
      </c>
      <c r="N7" s="3" t="inlineStr">
        <is>
          <t>Needs the reflection property, then three points of intersection and three side equations; moderate chain, one non-routine idea.</t>
        </is>
      </c>
      <c r="O7" s="3" t="inlineStr">
        <is>
          <t>2021-P1-Q1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Straight Line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Signed-distance parametrisation turns HP into a linear relation in h,k.</t>
        </is>
      </c>
      <c r="N8" s="3" t="inlineStr">
        <is>
          <t>Parametric (r, theta) locus with an HP condition from two chapters; algebra is short once set up.</t>
        </is>
      </c>
      <c r="O8" s="3" t="inlineStr">
        <is>
          <t>2021-P1-Q9 (L2); chain slightly longer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Straight Line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 on BE, C on CF and AB perpendicular to CF, AC perpendicular to BE give two linear equations.</t>
        </is>
      </c>
      <c r="N9" s="3" t="inlineStr">
        <is>
          <t>Routine slope conditions then a centroid locus; no new idea.</t>
        </is>
      </c>
      <c r="O9" s="3" t="inlineStr">
        <is>
          <t>2021-P1-Q9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Straight Line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Both slopes satisfy the quadratic from the distance condition; replace m by y/x.</t>
        </is>
      </c>
      <c r="N10" s="3" t="inlineStr">
        <is>
          <t>Standard derivation of a pair of lines, short algebra.</t>
        </is>
      </c>
      <c r="O10" s="3" t="inlineStr">
        <is>
          <t>2021-P1-Q9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Straight Line</t>
        </is>
      </c>
      <c r="F11" s="2" t="n">
        <v>4</v>
      </c>
      <c r="G11" s="7" t="n">
        <v>4</v>
      </c>
      <c r="H11" s="7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Factorise the pair; notice (-5,-1) is on a side; origin on the vertex side of the third line gives the slope range.</t>
        </is>
      </c>
      <c r="N11" s="3" t="inlineStr">
        <is>
          <t>Several stages (factorisation, triangle existence, side test, endpoint analysis) and the PDF itself slipped on the final value; numerical answer with a precision risk.</t>
        </is>
      </c>
      <c r="O11" s="3" t="inlineStr">
        <is>
          <t>2023-P1-Q9 / 2026-P2-Q14 (L4) for casework with endpoints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Straight Line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Slopes from 2m^2-3m-2=0 show a right angle; then leg lengths and inradius.</t>
        </is>
      </c>
      <c r="N12" s="3" t="inlineStr">
        <is>
          <t>Three-part numerical with long but standard computation (factorisation, vertices, cot sum, area, inradius).</t>
        </is>
      </c>
      <c r="O12" s="3" t="inlineStr">
        <is>
          <t>2021-P1-Q18 (L4) for cot sums; chain similar to 2021-P1-Q10 (L5) but lighter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Straight Line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Both pairs factorise into parallel lines, giving a parallelogram.</t>
        </is>
      </c>
      <c r="N13" s="3" t="inlineStr">
        <is>
          <t>Factorise, find four vertices, area and diagonals: routine.</t>
        </is>
      </c>
      <c r="O13" s="3" t="inlineStr">
        <is>
          <t>2021-P1-Q9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Straight Line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Opposite vertex is the reflection in the origin; new lines are parallel through it.</t>
        </is>
      </c>
      <c r="N14" s="3" t="inlineStr">
        <is>
          <t>Factorise, find a vertex, reflect: three routine steps.</t>
        </is>
      </c>
      <c r="O14" s="3" t="inlineStr">
        <is>
          <t>2021-P1-Q9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Straight Line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Sum of non-negative terms equals zero; sin2t(sint+cost)=sqrt2 only at the maximum.</t>
        </is>
      </c>
      <c r="N15" s="3" t="inlineStr">
        <is>
          <t>Trick-based first part, then a bound argument; two ideas linked in a numerical multi-part.</t>
        </is>
      </c>
      <c r="O15" s="3" t="inlineStr">
        <is>
          <t>2026-P2-Q14 (L4) lighter; 2021-P1-Q9 (L2) heavier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Straight Line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Angle between the medians from slopes gives tan(theta)=1/3, equated to the expression in the legs.</t>
        </is>
      </c>
      <c r="N16" s="3" t="inlineStr">
        <is>
          <t>Needs the relation between median angle and legs plus exterior-angle trigonometry; numerical.</t>
        </is>
      </c>
      <c r="O16" s="3" t="inlineStr">
        <is>
          <t>2023-P2-Q14 (L5) is heavier; 2021-P1-Q18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Straight Line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Express both lines with the same parameter 1/(m+1) and take a ratio.</t>
        </is>
      </c>
      <c r="N17" s="3" t="inlineStr">
        <is>
          <t>Routine parametrisation and elimination.</t>
        </is>
      </c>
      <c r="O17" s="3" t="inlineStr">
        <is>
          <t>2021-P1-Q9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OP+OQ=10+2/|m|+8|m|; AM-GM.</t>
        </is>
      </c>
      <c r="N18" s="3" t="inlineStr">
        <is>
          <t>One familiar move after setting up intercepts; short.</t>
        </is>
      </c>
      <c r="O18" s="3" t="inlineStr">
        <is>
          <t>2021-P2-Q17 (L1), but three steps give L2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Para SCQ</t>
        </is>
      </c>
      <c r="E19" s="3" t="inlineStr">
        <is>
          <t>Straight Line</t>
        </is>
      </c>
      <c r="F19" s="2" t="n">
        <v>3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Area of CDFE is a quadratic in x with vertex in (0,1).</t>
        </is>
      </c>
      <c r="N19" s="3" t="inlineStr">
        <is>
          <t>Short chain: set up area, maximise quadratic; options available.</t>
        </is>
      </c>
      <c r="O19" s="3" t="inlineStr">
        <is>
          <t>2021-P1-Q9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Straight Line</t>
        </is>
      </c>
      <c r="F20" s="2" t="n">
        <v>3</v>
      </c>
      <c r="G20" s="8" t="n">
        <v>1</v>
      </c>
      <c r="H20" s="8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Expand squared distances; terms cancel.</t>
        </is>
      </c>
      <c r="N20" s="3" t="inlineStr">
        <is>
          <t>Single direct computation, no decision.</t>
        </is>
      </c>
      <c r="O20" s="3" t="inlineStr">
        <is>
          <t>2024-P2-Q1 (L0) / 2021-P2-Q17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Straight Line</t>
        </is>
      </c>
      <c r="F21" s="2" t="n">
        <v>3</v>
      </c>
      <c r="G21" s="8" t="n">
        <v>1</v>
      </c>
      <c r="H21" s="8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Smaller part is a right triangle of area 1/3, so x=2/3.</t>
        </is>
      </c>
      <c r="N21" s="3" t="inlineStr">
        <is>
          <t>One familiar move plus the distance formula.</t>
        </is>
      </c>
      <c r="O21" s="3" t="inlineStr">
        <is>
          <t>2021-P2-Q17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Straight Line</t>
        </is>
      </c>
      <c r="F22" s="2" t="n">
        <v>3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Quadrilateral = triangle minus triangle APQ; get Q by intersection.</t>
        </is>
      </c>
      <c r="N22" s="3" t="inlineStr">
        <is>
          <t>Setup of coordinates from a verbal description, an intersection point and a determinant; moderate chain, option check available.</t>
        </is>
      </c>
      <c r="O22" s="3" t="inlineStr">
        <is>
          <t>2021-P1-Q1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Straight Line</t>
        </is>
      </c>
      <c r="F23" s="2" t="n">
        <v>3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tan(theta) restricted to (0,1) and A=5-2/(1+t) is monotonic.</t>
        </is>
      </c>
      <c r="N23" s="3" t="inlineStr">
        <is>
          <t>Depends on Q21 and requires the correct range of theta (easy to forget), then a monotonic range.</t>
        </is>
      </c>
      <c r="O23" s="3" t="inlineStr">
        <is>
          <t>2021-P2-Q13 (Para, L4) heavier; 2021-P1-Q1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Straight Line</t>
        </is>
      </c>
      <c r="F24" s="2" t="n">
        <v>3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PQ=2*sqrt(1+t^2)/(1+t), monotonic on (0,1).</t>
        </is>
      </c>
      <c r="N24" s="3" t="inlineStr">
        <is>
          <t>Same setup as Q21, then a distance and a range argument with open ends.</t>
        </is>
      </c>
      <c r="O24" s="3" t="inlineStr">
        <is>
          <t>2021-P1-Q1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MTC SCQ</t>
        </is>
      </c>
      <c r="E25" s="3" t="inlineStr">
        <is>
          <t>Straight Line</t>
        </is>
      </c>
      <c r="F25" s="2" t="n">
        <v>3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Strip-width test (equal distances) and factorising the pair.</t>
        </is>
      </c>
      <c r="N25" s="3" t="inlineStr">
        <is>
          <t>Three small checks, each routine; options eliminate easily.</t>
        </is>
      </c>
      <c r="O25" s="3" t="inlineStr">
        <is>
          <t>2023-P1-Q15 (L0) lighter; 2021-P1-Q18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MTC SCQ</t>
        </is>
      </c>
      <c r="E26" s="3" t="inlineStr">
        <is>
          <t>Straight Line</t>
        </is>
      </c>
      <c r="F26" s="2" t="n">
        <v>3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Circulant determinant factorises as (a+b+c)(sum a^2 - sum ab).</t>
        </is>
      </c>
      <c r="N26" s="3" t="inlineStr">
        <is>
          <t>Known identity and case analysis; four short items.</t>
        </is>
      </c>
      <c r="O26" s="3" t="inlineStr">
        <is>
          <t>2023-P1-Q14 (L1) matching on systems; case analysis lifts to 2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MTC SCQ</t>
        </is>
      </c>
      <c r="E27" s="3" t="inlineStr">
        <is>
          <t>Straight Line</t>
        </is>
      </c>
      <c r="F27" s="2" t="n">
        <v>3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Isosceles trapezium is cyclic; ac=bd gives concyclic points; ax+-by+-c lines give a rhombus.</t>
        </is>
      </c>
      <c r="N27" s="3" t="inlineStr">
        <is>
          <t>Four independent geometric items, several non-obvious facts (cyclic criterion on axes, multiple matches).</t>
        </is>
      </c>
      <c r="O27" s="3" t="inlineStr">
        <is>
          <t>2024-P1-Q15 (L1) lighter; 2026-P1-Q16 (L4) heavier</t>
        </is>
      </c>
      <c r="P27" s="2" t="inlineStr">
        <is>
          <t>Low</t>
        </is>
      </c>
    </row>
    <row r="29">
      <c r="A29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SHEET_STRAIGHT_LINE_FCopy_C2.pdf (Exercise C-II)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COUNTIF(Evaluation!$G$2:$G$27,A5)</f>
        <v/>
      </c>
      <c r="D5" s="11">
        <f>SUMIF(Evaluation!$G$2:$G$27,A5,Evaluation!$F$2:$F$27)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COUNTIF(Evaluation!$G$2:$G$27,A6)</f>
        <v/>
      </c>
      <c r="D6" s="13">
        <f>SUMIF(Evaluation!$G$2:$G$27,A6,Evaluation!$F$2:$F$27)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COUNTIF(Evaluation!$G$2:$G$27,A7)</f>
        <v/>
      </c>
      <c r="D7" s="15">
        <f>SUMIF(Evaluation!$G$2:$G$27,A7,Evaluation!$F$2:$F$27)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COUNTIF(Evaluation!$G$2:$G$27,A8)</f>
        <v/>
      </c>
      <c r="D8" s="17">
        <f>SUMIF(Evaluation!$G$2:$G$27,A8,Evaluation!$F$2:$F$27)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COUNTIF(Evaluation!$G$2:$G$27,A9)</f>
        <v/>
      </c>
      <c r="D9" s="19">
        <f>SUMIF(Evaluation!$G$2:$G$27,A9,Evaluation!$F$2:$F$27)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COUNTIF(Evaluation!$G$2:$G$27,A10)</f>
        <v/>
      </c>
      <c r="D10" s="21">
        <f>SUMIF(Evaluation!$G$2:$G$27,A10,Evaluation!$F$2:$F$27)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SUM(Evaluation!$L$2:$L$27)/SUM(Evaluation!$F$2:$F$27)</f>
        <v/>
      </c>
      <c r="C14" s="24">
        <f>SUMPRODUCT(Evaluation!$F$2:$F$27,Evaluation!$G$2:$G$27)/SUM(Evaluation!$F$2:$F$27)</f>
        <v/>
      </c>
      <c r="D14" s="23">
        <f>SUM(Evaluation!$F$2:$F$27)</f>
        <v/>
      </c>
      <c r="E14" s="24">
        <f>AVERAGE(Evaluation!$G$2:$G$27)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2026-10-15T07:37:45Z</dcterms:created>
  <dcterms:modified xmlns:dcterms="http://purl.org/dc/terms/" xmlns:xsi="http://www.w3.org/2001/XMLSchema-instance" xsi:type="dcterms:W3CDTF">2026-10-15T07:37:45Z</dcterms:modified>
</cp:coreProperties>
</file>