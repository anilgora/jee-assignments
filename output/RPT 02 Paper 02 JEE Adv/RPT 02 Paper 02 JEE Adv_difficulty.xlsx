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Limit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Spot that g(x)-&gt;1 from the left on both sides, so only f(1-) matters.</t>
        </is>
      </c>
      <c r="N2" s="3" t="inlineStr">
        <is>
          <t>One familiar move (one-sided limit of a composite) but with a small trap about f(1)=4; same single-move demand as the 1^infinity limit.</t>
        </is>
      </c>
      <c r="O2" s="3" t="inlineStr">
        <is>
          <t>2024-P2-Q3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Function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Only cos x is even, so its coefficient is killed; then f' &gt;= 0 forces b &gt;= 1.</t>
        </is>
      </c>
      <c r="N3" s="3" t="inlineStr">
        <is>
          <t>Routine chain: oddness, factor a quadratic, derivative sign with a growth argument for b&lt;1; no hidden idea.</t>
        </is>
      </c>
      <c r="O3" s="3" t="inlineStr">
        <is>
          <t>2023-P2-Q3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Function</t>
        </is>
      </c>
      <c r="F4" s="2" t="n">
        <v>4</v>
      </c>
      <c r="G4" s="7" t="n">
        <v>3</v>
      </c>
      <c r="H4" s="7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Fundamental period 6, then count many-one as total minus injective.</t>
        </is>
      </c>
      <c r="N4" s="3" t="inlineStr">
        <is>
          <t>Two linked ideas (period of a sum of modulus trig terms; counting with order conditions and complement). Format SCQ lowers it relative to a numerical.</t>
        </is>
      </c>
      <c r="O4" s="3" t="inlineStr">
        <is>
          <t>2026-P2-Q10 (L4)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Limit</t>
        </is>
      </c>
      <c r="F5" s="2" t="n">
        <v>4</v>
      </c>
      <c r="G5" s="7" t="n">
        <v>3</v>
      </c>
      <c r="H5" s="7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g -&gt; 2 from the left; evaluate [t], sgn(sin pi t) and tan(pi t)/(t-2) at 2-.</t>
        </is>
      </c>
      <c r="N5" s="3" t="inlineStr">
        <is>
          <t>Several one-sided evaluations chained (half-angle, GIF, signum, tan periodicity); precision on the side of approach.</t>
        </is>
      </c>
      <c r="O5" s="3" t="inlineStr">
        <is>
          <t>2024-P2-Q3 (L1)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MCQ</t>
        </is>
      </c>
      <c r="E6" s="3" t="inlineStr">
        <is>
          <t>Function</t>
        </is>
      </c>
      <c r="F6" s="2" t="n">
        <v>4</v>
      </c>
      <c r="G6" s="7" t="n">
        <v>3</v>
      </c>
      <c r="H6" s="7" t="inlineStr">
        <is>
          <t>Average Advanced</t>
        </is>
      </c>
      <c r="I6" s="5" t="n">
        <v>0</v>
      </c>
      <c r="J6" s="5" t="n">
        <v>2.5</v>
      </c>
      <c r="K6" s="5">
        <f>MIN(5,MAX(G6+I6,J6))</f>
        <v/>
      </c>
      <c r="L6" s="5">
        <f>F6*K6</f>
        <v/>
      </c>
      <c r="M6" s="3" t="inlineStr">
        <is>
          <t>Range by discriminant, f decreasing so bijective, and f=f^-1 reduces to x^3+2x-1=0 by IVT.</t>
        </is>
      </c>
      <c r="N6" s="3" t="inlineStr">
        <is>
          <t>Four statements each needing a genuine check (range, bijection/inverse, number of solutions of f=f^-1 on the common domain); multi-concept (range, inverse, IVT).</t>
        </is>
      </c>
      <c r="O6" s="3" t="inlineStr">
        <is>
          <t>2026-P1-Q7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MCQ</t>
        </is>
      </c>
      <c r="E7" s="3" t="inlineStr">
        <is>
          <t>Continuity &amp; Differentiability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2.5</v>
      </c>
      <c r="K7" s="5">
        <f>MIN(5,MAX(G7+I7,J7))</f>
        <v/>
      </c>
      <c r="L7" s="5">
        <f>F7*K7</f>
        <v/>
      </c>
      <c r="M7" s="3" t="inlineStr">
        <is>
          <t>Resolve max/min into polynomials; corners at -1 and 1 always, at 0 only if b-a=2.</t>
        </is>
      </c>
      <c r="N7" s="3" t="inlineStr">
        <is>
          <t>Four statements with parameter dependence and IVT; closest to the max/min piecewise anchor 2023-P2-Q6.</t>
        </is>
      </c>
      <c r="O7" s="3" t="inlineStr">
        <is>
          <t>2023-P2-Q6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MCQ</t>
        </is>
      </c>
      <c r="E8" s="3" t="inlineStr">
        <is>
          <t>Continuity &amp; Differentiability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2.5</v>
      </c>
      <c r="K8" s="5">
        <f>MIN(5,MAX(G8+I8,J8))</f>
        <v/>
      </c>
      <c r="L8" s="5">
        <f>F8*K8</f>
        <v/>
      </c>
      <c r="M8" s="3" t="inlineStr">
        <is>
          <t>Running maximum is flat until sqrt3; check slopes at sqrt3 and 2, count roots of f=2x, IVT range check.</t>
        </is>
      </c>
      <c r="N8" s="3" t="inlineStr">
        <is>
          <t>Understanding the running-maximum function is the key; four verifiable statements, moderate computation.</t>
        </is>
      </c>
      <c r="O8" s="3" t="inlineStr">
        <is>
          <t>2023-P2-Q6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MCQ</t>
        </is>
      </c>
      <c r="E9" s="3" t="inlineStr">
        <is>
          <t>Limit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Series coefficients decide finite limit and type of discontinuity.</t>
        </is>
      </c>
      <c r="N9" s="3" t="inlineStr">
        <is>
          <t>Four statements, each a parameter-limit with series expansion and classification of discontinuity; routine but long.</t>
        </is>
      </c>
      <c r="O9" s="3" t="inlineStr">
        <is>
          <t>2026-P1-Q7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Para SCQ</t>
        </is>
      </c>
      <c r="E10" s="3" t="inlineStr">
        <is>
          <t>Continuity &amp; Differentiability</t>
        </is>
      </c>
      <c r="F10" s="2" t="n">
        <v>3</v>
      </c>
      <c r="G10" s="7" t="n">
        <v>3</v>
      </c>
      <c r="H10" s="7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Each derivative lowers the exponent by n+1; compare with the thresholds.</t>
        </is>
      </c>
      <c r="N10" s="3" t="inlineStr">
        <is>
          <t>General x^m sin(x^-n) family needs the exponent-counting idea; for n=2 and k=2 it is two thresholds.</t>
        </is>
      </c>
      <c r="O10" s="3" t="inlineStr">
        <is>
          <t>2025-P1-Q3 (L4)</t>
        </is>
      </c>
      <c r="P10" s="2" t="inlineStr">
        <is>
          <t>Low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Para SCQ</t>
        </is>
      </c>
      <c r="E11" s="3" t="inlineStr">
        <is>
          <t>Continuity &amp; Differentiability</t>
        </is>
      </c>
      <c r="F11" s="2" t="n">
        <v>3</v>
      </c>
      <c r="G11" s="8" t="n">
        <v>4</v>
      </c>
      <c r="H11" s="8" t="inlineStr">
        <is>
          <t>Slightly difficult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Convert g'' to f''' and test thresholds for k=3 and k=4 at m=7, borderline case.</t>
        </is>
      </c>
      <c r="N11" s="3" t="inlineStr">
        <is>
          <t>Same machinery as Q9 but deeper (k=3, 4) with a borderline value where one oscillates; four statements with one subtle borderline.</t>
        </is>
      </c>
      <c r="O11" s="3" t="inlineStr">
        <is>
          <t>2025-P1-Q3 (L4)</t>
        </is>
      </c>
      <c r="P11" s="2" t="inlineStr">
        <is>
          <t>Low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ITF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k^4+k^2+2 = 1+(k^2+k+1)(k^2-k+1) telescopes the arctans; tail via cot^-1.</t>
        </is>
      </c>
      <c r="N12" s="3" t="inlineStr">
        <is>
          <t>Known factorisation trick then a standard limit; numerical format (no options). Same telescoping idea as 2021-P1-Q15.</t>
        </is>
      </c>
      <c r="O12" s="3" t="inlineStr">
        <is>
          <t>2021-P1-Q15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Continuity &amp; Differentiability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Nested modulus zig-zag: five corners at 0,1,2,3,4 and area of two triangles.</t>
        </is>
      </c>
      <c r="N13" s="3" t="inlineStr">
        <is>
          <t>Routine multi-step: simplify the composition, find corners, add areas; no insight beyond care with the nested modulus.</t>
        </is>
      </c>
      <c r="O13" s="3" t="inlineStr">
        <is>
          <t>2026-P1-Q10 (L4)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Permutation &amp; Combination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Convert conditions (i), (ii), (iii) into empty Venn regions, leaving three regions to fill.</t>
        </is>
      </c>
      <c r="N14" s="3" t="inlineStr">
        <is>
          <t>Three set conditions to decode into regions with careful casework; a slip changes the count and there are no options.</t>
        </is>
      </c>
      <c r="O14" s="3" t="inlineStr">
        <is>
          <t>2021-P2-Q1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Relation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0.5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Reflexive-symmetric relations are 2^3=8 and 5 are equivalence relations.</t>
        </is>
      </c>
      <c r="N15" s="3" t="inlineStr">
        <is>
          <t>Short chain on equivalence-relation counting; the +0.5 equivalence adjustment applies, integer level kept at 2.</t>
        </is>
      </c>
      <c r="O15" s="3" t="inlineStr">
        <is>
          <t>2025-P1-Q8 (L4)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Relation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0.5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R o R^-1 is symmetric so R is symmetric, then transitive; count equivalence relations.</t>
        </is>
      </c>
      <c r="N16" s="3" t="inlineStr">
        <is>
          <t>Composition of relations is an unfamiliar element plus the equivalence-relation decoding; short once seen.</t>
        </is>
      </c>
      <c r="O16" s="3" t="inlineStr">
        <is>
          <t>2026-P1-Q9 (L5)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ITF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Add the arctans with the tan addition formula and convert sin^-1 to tan^-1.</t>
        </is>
      </c>
      <c r="N17" s="3" t="inlineStr">
        <is>
          <t>Routine ITF chain: evaluate two terms, add, subtract from pi/4, solve; no hidden idea.</t>
        </is>
      </c>
      <c r="O17" s="3" t="inlineStr">
        <is>
          <t>2023-P2-Q3 (L3)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Limit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0.5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The 1^infinity limit gives f(a)=exp((a^4-4a^2)/2); classes are the fibres of f.</t>
        </is>
      </c>
      <c r="N18" s="3" t="inlineStr">
        <is>
          <t>Standard 1^infinity limit plus reading equivalence classes from a function; short, adjustment +0.5 applies.</t>
        </is>
      </c>
      <c r="O18" s="3" t="inlineStr">
        <is>
          <t>2024-P2-Q3 (L1)</t>
        </is>
      </c>
      <c r="P18" s="2" t="inlineStr">
        <is>
          <t>Medium</t>
        </is>
      </c>
    </row>
    <row r="20">
      <c r="A20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RPT 02 Paper 02 JEE Adv.pdf   |   Evaluated on: 2026-10-24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COUNTIF(Evaluation!$G$2:$G$18,A5)</f>
        <v/>
      </c>
      <c r="D5" s="11">
        <f>SUMIF(Evaluation!$G$2:$G$18,A5,Evaluation!$F$2:$F$18)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COUNTIF(Evaluation!$G$2:$G$18,A6)</f>
        <v/>
      </c>
      <c r="D6" s="13">
        <f>SUMIF(Evaluation!$G$2:$G$18,A6,Evaluation!$F$2:$F$18)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COUNTIF(Evaluation!$G$2:$G$18,A7)</f>
        <v/>
      </c>
      <c r="D7" s="15">
        <f>SUMIF(Evaluation!$G$2:$G$18,A7,Evaluation!$F$2:$F$18)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COUNTIF(Evaluation!$G$2:$G$18,A8)</f>
        <v/>
      </c>
      <c r="D8" s="17">
        <f>SUMIF(Evaluation!$G$2:$G$18,A8,Evaluation!$F$2:$F$18)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COUNTIF(Evaluation!$G$2:$G$18,A9)</f>
        <v/>
      </c>
      <c r="D9" s="19">
        <f>SUMIF(Evaluation!$G$2:$G$18,A9,Evaluation!$F$2:$F$18)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COUNTIF(Evaluation!$G$2:$G$18,A10)</f>
        <v/>
      </c>
      <c r="D10" s="21">
        <f>SUMIF(Evaluation!$G$2:$G$18,A10,Evaluation!$F$2:$F$18)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SUM(Evaluation!$L$2:$L$18)/SUM(Evaluation!$F$2:$F$18)</f>
        <v/>
      </c>
      <c r="C14" s="24">
        <f>SUMPRODUCT(Evaluation!$F$2:$F$18,Evaluation!$G$2:$G$18)/SUM(Evaluation!$F$2:$F$18)</f>
        <v/>
      </c>
      <c r="D14" s="23">
        <f>SUM(Evaluation!$F$2:$F$18)</f>
        <v/>
      </c>
      <c r="E14" s="24">
        <f>AVERAGE(Evaluation!$G$2:$G$18)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2026-10-24T01:28:13Z</dcterms:created>
  <dcterms:modified xmlns:dcterms="http://purl.org/dc/terms/" xmlns:xsi="http://www.w3.org/2001/XMLSchema-instance" xsi:type="dcterms:W3CDTF">2026-10-24T01:28:13Z</dcterms:modified>
</cp:coreProperties>
</file>