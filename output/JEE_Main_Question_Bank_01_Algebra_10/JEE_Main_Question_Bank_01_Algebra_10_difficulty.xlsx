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Permutation &amp; Combination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Group 5 people by block sizes; divide by factorials of repeated sizes.</t>
        </is>
      </c>
      <c r="N2" s="3" t="inlineStr">
        <is>
          <t>Standard counting with a systematic case split or generating function; more steps than a direct formula, but no unfamiliar idea. Comparable to 2021-P2-Q1 (L2).</t>
        </is>
      </c>
      <c r="O2" s="3" t="inlineStr">
        <is>
          <t>2021-P2-Q1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Permutation &amp; Combination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Total stars-and-bars minus solutions with two or three equal entries.</t>
        </is>
      </c>
      <c r="N3" s="3" t="inlineStr">
        <is>
          <t>Standard counting with a systematic case split or generating function; more steps than a direct formula, but no unfamiliar idea. Comparable to 2021-P2-Q1 (L2).</t>
        </is>
      </c>
      <c r="O3" s="3" t="inlineStr">
        <is>
          <t>2021-P2-Q1 (L2)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Permutation &amp; Combination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Digit sum divisible by 3; list multisets and count arrangements.</t>
        </is>
      </c>
      <c r="N4" s="3" t="inlineStr">
        <is>
          <t>Standard counting with a systematic case split or generating function; more steps than a direct formula, but no unfamiliar idea. Comparable to 2021-P2-Q1 (L2).</t>
        </is>
      </c>
      <c r="O4" s="3" t="inlineStr">
        <is>
          <t>2021-P2-Q1 (L2)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Permutation &amp; Combination</t>
        </is>
      </c>
      <c r="F5" s="2" t="n">
        <v>4</v>
      </c>
      <c r="G5" s="6" t="n">
        <v>1</v>
      </c>
      <c r="H5" s="6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Last digit fixes parity: exactly half of the numbers have even digit sum.</t>
        </is>
      </c>
      <c r="N5" s="3" t="inlineStr">
        <is>
          <t>Direct single-idea counting (one formula or symmetry) at JEE Main level. Comparable to 2021-P2-Q17 (L1).</t>
        </is>
      </c>
      <c r="O5" s="3" t="inlineStr">
        <is>
          <t>2021-P2-Q17 (L1)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Permutation &amp; Combination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Write m=6p, n=6q; count coprime p&lt;q in 2..16.</t>
        </is>
      </c>
      <c r="N6" s="3" t="inlineStr">
        <is>
          <t>Standard counting with a systematic case split or generating function; more steps than a direct formula, but no unfamiliar idea. Comparable to 2021-P2-Q1 (L2).</t>
        </is>
      </c>
      <c r="O6" s="3" t="inlineStr">
        <is>
          <t>2021-P2-Q1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Permutation &amp; Combination</t>
        </is>
      </c>
      <c r="F7" s="2" t="n">
        <v>4</v>
      </c>
      <c r="G7" s="6" t="n">
        <v>1</v>
      </c>
      <c r="H7" s="6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Add 'all boys together' (glue) and 'no two together' (gap method).</t>
        </is>
      </c>
      <c r="N7" s="3" t="inlineStr">
        <is>
          <t>Direct single-idea counting (one formula or symmetry) at JEE Main level. Comparable to 2021-P2-Q17 (L1).</t>
        </is>
      </c>
      <c r="O7" s="3" t="inlineStr">
        <is>
          <t>2021-P2-Q17 (L1)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Permutation &amp; Combination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Pairs (x,y) with x in the subset forming y: 10 * 2^9.</t>
        </is>
      </c>
      <c r="N8" s="3" t="inlineStr">
        <is>
          <t>Standard counting with a systematic case split or generating function; more steps than a direct formula, but no unfamiliar idea. Comparable to 2021-P2-Q1 (L2).</t>
        </is>
      </c>
      <c r="O8" s="3" t="inlineStr">
        <is>
          <t>2021-P2-Q1 (L2)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Permutation &amp; Combination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Bounded digit-sum count with hundreds digit &gt;= 2 (generating function or direct).</t>
        </is>
      </c>
      <c r="N9" s="3" t="inlineStr">
        <is>
          <t>Standard counting with a systematic case split or generating function; more steps than a direct formula, but no unfamiliar idea. Comparable to 2021-P2-Q1 (L2).</t>
        </is>
      </c>
      <c r="O9" s="3" t="inlineStr">
        <is>
          <t>2021-P2-Q1 (L2)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Permutation &amp; Combination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Letter-multiplicity patterns 6, 4+2, 3+3, 2+2+2 with each letter at least twice.</t>
        </is>
      </c>
      <c r="N10" s="3" t="inlineStr">
        <is>
          <t>Standard counting with a systematic case split or generating function; more steps than a direct formula, but no unfamiliar idea. Comparable to 2021-P2-Q1 (L2).</t>
        </is>
      </c>
      <c r="O10" s="3" t="inlineStr">
        <is>
          <t>2021-P2-Q1 (L2)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Permutation &amp; Combination</t>
        </is>
      </c>
      <c r="F11" s="2" t="n">
        <v>4</v>
      </c>
      <c r="G11" s="6" t="n">
        <v>1</v>
      </c>
      <c r="H11" s="6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Split on men selected from Group A; the Group B composition is then forced.</t>
        </is>
      </c>
      <c r="N11" s="3" t="inlineStr">
        <is>
          <t>Direct single-idea counting (one formula or symmetry) at JEE Main level. Comparable to 2021-P2-Q17 (L1).</t>
        </is>
      </c>
      <c r="O11" s="3" t="inlineStr">
        <is>
          <t>2021-P2-Q17 (L1)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Permutation &amp; Combination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Four dice sum 16: shift by 1 and bounded stars and bars with inclusion-exclusion.</t>
        </is>
      </c>
      <c r="N12" s="3" t="inlineStr">
        <is>
          <t>Standard counting with a systematic case split or generating function; more steps than a direct formula, but no unfamiliar idea. Comparable to 2021-P2-Q1 (L2).</t>
        </is>
      </c>
      <c r="O12" s="3" t="inlineStr">
        <is>
          <t>2021-P2-Q1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Permutation &amp; Combination</t>
        </is>
      </c>
      <c r="F13" s="2" t="n">
        <v>4</v>
      </c>
      <c r="G13" s="6" t="n">
        <v>1</v>
      </c>
      <c r="H13" s="6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Total arrangements minus those with digit sum divisible by 3.</t>
        </is>
      </c>
      <c r="N13" s="3" t="inlineStr">
        <is>
          <t>Direct single-idea counting (one formula or symmetry) at JEE Main level. Comparable to 2021-P2-Q17 (L1).</t>
        </is>
      </c>
      <c r="O13" s="3" t="inlineStr">
        <is>
          <t>2021-P2-Q17 (L1)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Permutation &amp; Combination</t>
        </is>
      </c>
      <c r="F14" s="2" t="n">
        <v>4</v>
      </c>
      <c r="G14" s="6" t="n">
        <v>1</v>
      </c>
      <c r="H14" s="6" t="inlineStr">
        <is>
          <t>JEE Main level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Count words before it letter by letter with repeated T handled by division.</t>
        </is>
      </c>
      <c r="N14" s="3" t="inlineStr">
        <is>
          <t>Direct single-idea counting (one formula or symmetry) at JEE Main level. Comparable to 2021-P2-Q17 (L1).</t>
        </is>
      </c>
      <c r="O14" s="3" t="inlineStr">
        <is>
          <t>2021-P2-Q17 (L1)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Permutation &amp; Combination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Take 4 from each section; distribute 3 extra questions within capacities.</t>
        </is>
      </c>
      <c r="N15" s="3" t="inlineStr">
        <is>
          <t>Standard counting with a systematic case split or generating function; more steps than a direct formula, but no unfamiliar idea. Comparable to 2021-P2-Q1 (L2).</t>
        </is>
      </c>
      <c r="O15" s="3" t="inlineStr">
        <is>
          <t>2021-P2-Q1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Permutation &amp; Combination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Fix z and count (x,y) with x+2y=42-3z; sum the sequence.</t>
        </is>
      </c>
      <c r="N16" s="3" t="inlineStr">
        <is>
          <t>Standard counting with a systematic case split or generating function; more steps than a direct formula, but no unfamiliar idea. Comparable to 2021-P2-Q1 (L2).</t>
        </is>
      </c>
      <c r="O16" s="3" t="inlineStr">
        <is>
          <t>2021-P2-Q1 (L2)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Permutation &amp; Combination</t>
        </is>
      </c>
      <c r="F17" s="2" t="n">
        <v>4</v>
      </c>
      <c r="G17" s="6" t="n">
        <v>1</v>
      </c>
      <c r="H17" s="6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Parallel lines give 0 points; concurrent lines give 1 point; odd-even pairs 100.</t>
        </is>
      </c>
      <c r="N17" s="3" t="inlineStr">
        <is>
          <t>Direct single-idea counting (one formula or symmetry) at JEE Main level. Comparable to 2021-P2-Q17 (L1).</t>
        </is>
      </c>
      <c r="O17" s="3" t="inlineStr">
        <is>
          <t>2021-P2-Q17 (L1)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Permutation &amp; Combination</t>
        </is>
      </c>
      <c r="F18" s="2" t="n">
        <v>4</v>
      </c>
      <c r="G18" s="6" t="n">
        <v>1</v>
      </c>
      <c r="H18" s="6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Two of the three distinct vowels, two of four consonants, 4! arrangements.</t>
        </is>
      </c>
      <c r="N18" s="3" t="inlineStr">
        <is>
          <t>Direct single-idea counting (one formula or symmetry) at JEE Main level. Comparable to 2021-P2-Q17 (L1).</t>
        </is>
      </c>
      <c r="O18" s="3" t="inlineStr">
        <is>
          <t>2021-P2-Q17 (L1)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Permutation &amp; Combination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Two men, two women not their wives, 2 pairings: nC2*(n-2)C2*2=840.</t>
        </is>
      </c>
      <c r="N19" s="3" t="inlineStr">
        <is>
          <t>Standard counting with a systematic case split or generating function; more steps than a direct formula, but no unfamiliar idea. Comparable to 2021-P2-Q1 (L2).</t>
        </is>
      </c>
      <c r="O19" s="3" t="inlineStr">
        <is>
          <t>2021-P2-Q1 (L2)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Permutation &amp; Combination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Glue forbidden strings and use inclusion-exclusion; the strings use disjoint digits.</t>
        </is>
      </c>
      <c r="N20" s="3" t="inlineStr">
        <is>
          <t>Standard counting with a systematic case split or generating function; more steps than a direct formula, but no unfamiliar idea. Comparable to 2021-P2-Q1 (L2).</t>
        </is>
      </c>
      <c r="O20" s="3" t="inlineStr">
        <is>
          <t>2021-P2-Q1 (L2)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Probability</t>
        </is>
      </c>
      <c r="F21" s="2" t="n">
        <v>4</v>
      </c>
      <c r="G21" s="6" t="n">
        <v>1</v>
      </c>
      <c r="H21" s="6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Vowel A,E order equally likely either way, so probability 1/2.</t>
        </is>
      </c>
      <c r="N21" s="3" t="inlineStr">
        <is>
          <t>Direct single-idea counting (one formula or symmetry) at JEE Main level. Comparable to 2021-P2-Q17 (L1).</t>
        </is>
      </c>
      <c r="O21" s="3" t="inlineStr">
        <is>
          <t>2021-P2-Q17 (L1)</t>
        </is>
      </c>
      <c r="P21" s="2" t="inlineStr">
        <is>
          <t>High</t>
        </is>
      </c>
    </row>
    <row r="23">
      <c r="A23" s="7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8" t="inlineStr">
        <is>
          <t>Difficulty summary</t>
        </is>
      </c>
    </row>
    <row r="2">
      <c r="A2" s="7" t="inlineStr">
        <is>
          <t>Source: JEE_Main_Question_Bank_01_Algebra_10.pdf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9" t="n">
        <v>0</v>
      </c>
      <c r="B5" s="9" t="inlineStr">
        <is>
          <t>Easier than JEE Main</t>
        </is>
      </c>
      <c r="C5" s="9">
        <f>COUNTIF(Evaluation!$G$2:$G$21,A5)</f>
        <v/>
      </c>
      <c r="D5" s="9">
        <f>SUMIF(Evaluation!$G$2:$G$21,A5,Evaluation!$F$2:$F$21)</f>
        <v/>
      </c>
      <c r="E5" s="10">
        <f>IF(SUM($D$5:$D$10)=0,0,D5/SUM($D$5:$D$10))</f>
        <v/>
      </c>
    </row>
    <row r="6">
      <c r="A6" s="11" t="n">
        <v>1</v>
      </c>
      <c r="B6" s="11" t="inlineStr">
        <is>
          <t>JEE Main level</t>
        </is>
      </c>
      <c r="C6" s="11">
        <f>COUNTIF(Evaluation!$G$2:$G$21,A6)</f>
        <v/>
      </c>
      <c r="D6" s="11">
        <f>SUMIF(Evaluation!$G$2:$G$21,A6,Evaluation!$F$2:$F$21)</f>
        <v/>
      </c>
      <c r="E6" s="12">
        <f>IF(SUM($D$5:$D$10)=0,0,D6/SUM($D$5:$D$10))</f>
        <v/>
      </c>
    </row>
    <row r="7">
      <c r="A7" s="13" t="n">
        <v>2</v>
      </c>
      <c r="B7" s="13" t="inlineStr">
        <is>
          <t>Easier than Advanced</t>
        </is>
      </c>
      <c r="C7" s="13">
        <f>COUNTIF(Evaluation!$G$2:$G$21,A7)</f>
        <v/>
      </c>
      <c r="D7" s="13">
        <f>SUMIF(Evaluation!$G$2:$G$21,A7,Evaluation!$F$2:$F$21)</f>
        <v/>
      </c>
      <c r="E7" s="14">
        <f>IF(SUM($D$5:$D$10)=0,0,D7/SUM($D$5:$D$10))</f>
        <v/>
      </c>
    </row>
    <row r="8">
      <c r="A8" s="15" t="n">
        <v>3</v>
      </c>
      <c r="B8" s="15" t="inlineStr">
        <is>
          <t>Average Advanced</t>
        </is>
      </c>
      <c r="C8" s="15">
        <f>COUNTIF(Evaluation!$G$2:$G$21,A8)</f>
        <v/>
      </c>
      <c r="D8" s="15">
        <f>SUMIF(Evaluation!$G$2:$G$21,A8,Evaluation!$F$2:$F$21)</f>
        <v/>
      </c>
      <c r="E8" s="16">
        <f>IF(SUM($D$5:$D$10)=0,0,D8/SUM($D$5:$D$10))</f>
        <v/>
      </c>
    </row>
    <row r="9">
      <c r="A9" s="17" t="n">
        <v>4</v>
      </c>
      <c r="B9" s="17" t="inlineStr">
        <is>
          <t>Slightly difficult</t>
        </is>
      </c>
      <c r="C9" s="17">
        <f>COUNTIF(Evaluation!$G$2:$G$21,A9)</f>
        <v/>
      </c>
      <c r="D9" s="17">
        <f>SUMIF(Evaluation!$G$2:$G$21,A9,Evaluation!$F$2:$F$21)</f>
        <v/>
      </c>
      <c r="E9" s="18">
        <f>IF(SUM($D$5:$D$10)=0,0,D9/SUM($D$5:$D$10))</f>
        <v/>
      </c>
    </row>
    <row r="10">
      <c r="A10" s="19" t="n">
        <v>5</v>
      </c>
      <c r="B10" s="19" t="inlineStr">
        <is>
          <t>Very difficult</t>
        </is>
      </c>
      <c r="C10" s="19">
        <f>COUNTIF(Evaluation!$G$2:$G$21,A10)</f>
        <v/>
      </c>
      <c r="D10" s="19">
        <f>SUMIF(Evaluation!$G$2:$G$21,A10,Evaluation!$F$2:$F$21)</f>
        <v/>
      </c>
      <c r="E10" s="20">
        <f>IF(SUM($D$5:$D$10)=0,0,D10/SUM($D$5:$D$10))</f>
        <v/>
      </c>
    </row>
    <row r="11">
      <c r="A11" s="21" t="inlineStr">
        <is>
          <t>Total</t>
        </is>
      </c>
      <c r="C11" s="21">
        <f>SUM(C5:C10)</f>
        <v/>
      </c>
      <c r="D11" s="21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1" t="inlineStr">
        <is>
          <t>Overall</t>
        </is>
      </c>
      <c r="B14" s="22">
        <f>SUM(Evaluation!$L$2:$L$21)/SUM(Evaluation!$F$2:$F$21)</f>
        <v/>
      </c>
      <c r="C14" s="22">
        <f>SUMPRODUCT(Evaluation!$F$2:$F$21,Evaluation!$G$2:$G$21)/SUM(Evaluation!$F$2:$F$21)</f>
        <v/>
      </c>
      <c r="D14" s="21">
        <f>SUM(Evaluation!$F$2:$F$21)</f>
        <v/>
      </c>
      <c r="E14" s="22">
        <f>AVERAGE(Evaluation!$G$2:$G$21)</f>
        <v/>
      </c>
    </row>
    <row r="16">
      <c r="A16" s="7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8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3" t="n">
        <v>2021</v>
      </c>
      <c r="B4" s="24" t="n">
        <v>2.758333333333333</v>
      </c>
      <c r="C4" s="24" t="n">
        <v>2.894736842105263</v>
      </c>
      <c r="D4" s="23" t="n">
        <v>16</v>
      </c>
      <c r="E4" s="23" t="n">
        <v>34</v>
      </c>
      <c r="F4" s="23" t="n">
        <v>1</v>
      </c>
    </row>
    <row r="5">
      <c r="A5" s="23" t="n">
        <v>2023</v>
      </c>
      <c r="B5" s="24" t="n">
        <v>3.191666666666667</v>
      </c>
      <c r="C5" s="24" t="n">
        <v>3.147058823529412</v>
      </c>
      <c r="D5" s="23" t="n">
        <v>13</v>
      </c>
      <c r="E5" s="23" t="n">
        <v>47</v>
      </c>
      <c r="F5" s="23" t="n">
        <v>5</v>
      </c>
    </row>
    <row r="6">
      <c r="A6" s="23" t="n">
        <v>2024</v>
      </c>
      <c r="B6" s="24" t="n">
        <v>2.591666666666667</v>
      </c>
      <c r="C6" s="24" t="n">
        <v>2.558823529411764</v>
      </c>
      <c r="D6" s="23" t="n">
        <v>28</v>
      </c>
      <c r="E6" s="23" t="n">
        <v>40</v>
      </c>
      <c r="F6" s="23" t="n">
        <v>1</v>
      </c>
    </row>
    <row r="7">
      <c r="A7" s="23" t="n">
        <v>2025</v>
      </c>
      <c r="B7" s="24" t="n">
        <v>3.208333333333333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>
      <c r="A8" s="23" t="n">
        <v>2026</v>
      </c>
      <c r="B8" s="24" t="n">
        <v>3.025</v>
      </c>
      <c r="C8" s="24" t="n">
        <v>2.941176470588236</v>
      </c>
      <c r="D8" s="23" t="n">
        <v>6</v>
      </c>
      <c r="E8" s="23" t="n">
        <v>38</v>
      </c>
      <c r="F8" s="23" t="n">
        <v>2</v>
      </c>
    </row>
    <row r="9">
      <c r="A9" s="21" t="inlineStr">
        <is>
          <t>This paper</t>
        </is>
      </c>
      <c r="B9" s="22">
        <f>Summary!B14</f>
        <v/>
      </c>
      <c r="C9" s="22">
        <f>Summary!E14</f>
        <v/>
      </c>
      <c r="D9" s="21">
        <f>Summary!D5+Summary!D6</f>
        <v/>
      </c>
      <c r="E9" s="21">
        <f>Summary!D9+Summary!D10</f>
        <v/>
      </c>
      <c r="F9" s="21">
        <f>Summary!C10</f>
        <v/>
      </c>
    </row>
    <row r="11">
      <c r="A11" s="7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2026-10-05T05:35:15Z</dcterms:created>
  <dcterms:modified xmlns:dcterms="http://purl.org/dc/terms/" xmlns:xsi="http://www.w3.org/2001/XMLSchema-instance" xsi:type="dcterms:W3CDTF">2026-10-05T05:35:15Z</dcterms:modified>
</cp:coreProperties>
</file>