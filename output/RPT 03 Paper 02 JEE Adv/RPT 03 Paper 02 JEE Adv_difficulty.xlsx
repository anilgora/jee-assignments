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Differentiation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Differentiate g(f(x))=x twice to get g''=-f''/f'^3 and solve f(x)=4.</t>
        </is>
      </c>
      <c r="N2" s="3" t="inlineStr">
        <is>
          <t>Standard inverse-derivative formula chained with solving a cubic by inspection; no hidden idea, options allow a check. Same demand as a routine chain of results.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Application of Derivatives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C1 needs k&gt;2 (x^(k-2)cos(1/x)-&gt;0); then optimise V with S=36pi.</t>
        </is>
      </c>
      <c r="N3" s="3" t="inlineStr">
        <is>
          <t>Two routine stages: a known threshold for x^k sin(1/x) and a textbook open-cylinder maximisation; no insight beyond practice.</t>
        </is>
      </c>
      <c r="O3" s="3" t="inlineStr">
        <is>
          <t>2023-P2-Q9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Application of Derivatives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Inflection at f''=0, then f(a+dx)=f(a)+f'(a)dx.</t>
        </is>
      </c>
      <c r="N4" s="3" t="inlineStr">
        <is>
          <t>One familiar move (differentials at the inflection point) with trivial arithmetic.</t>
        </is>
      </c>
      <c r="O4" s="3" t="inlineStr">
        <is>
          <t>2024-P2-Q3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Functional Equation / Continuity &amp; Differentiability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The functional equation forces f=x^2+x; kinks of max/min occur where branches with different slopes cross.</t>
        </is>
      </c>
      <c r="N5" s="3" t="inlineStr">
        <is>
          <t>Two linked ideas (solve the functional equation, then analyse three-branch max and min with four options to judge); more demanding than a single max/min question.</t>
        </is>
      </c>
      <c r="O5" s="3" t="inlineStr">
        <is>
          <t>2026-P1-Q7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Continuity &amp; Differentiability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2.5</v>
      </c>
      <c r="K6" s="5">
        <f>MIN(5,MAX(G6+I6,J6))</f>
        <v/>
      </c>
      <c r="L6" s="5">
        <f>F6*K6</f>
        <v/>
      </c>
      <c r="M6" s="3" t="inlineStr">
        <is>
          <t>Implicit differentiation of y^3+y=x gives f'=1/(3y^2+1); check one-sided derivatives at 0 and sign of f''.</t>
        </is>
      </c>
      <c r="N6" s="3" t="inlineStr">
        <is>
          <t>Four statements, each routine (piecewise differentiability, implicit derivative, concavity); several concepts so the MCQ floor of 2.5 applies.</t>
        </is>
      </c>
      <c r="O6" s="3" t="inlineStr">
        <is>
          <t>2026-P1-Q7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Application of Derivatives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C1 and C2 are mirror images in y=x so d1=2*dist(C1,y=x); d2 is a quartic minimisation.</t>
        </is>
      </c>
      <c r="N7" s="3" t="inlineStr">
        <is>
          <t>Two distinct minimisation problems with a symmetry insight and four options; moderate chain length.</t>
        </is>
      </c>
      <c r="O7" s="3" t="inlineStr">
        <is>
          <t>2023-P2-Q13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Limit / Application of Derivatives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Series of ln x/(x-1) near 1 (or repeated L'Hopital) gives all four limits.</t>
        </is>
      </c>
      <c r="N8" s="3" t="inlineStr">
        <is>
          <t>Four limit statements each needing a real computation (tangent intercepts, L'Hopital twice); every option must be verified.</t>
        </is>
      </c>
      <c r="O8" s="3" t="inlineStr">
        <is>
          <t>2026-P1-Q11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Application of Derivatives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A tangent through the origin needs a(1+ln a)=1 with a unique root; also 0^0 and x^(1/x) maximum.</t>
        </is>
      </c>
      <c r="N9" s="3" t="inlineStr">
        <is>
          <t>Four statements with logarithmic differentiation, a monotonicity argument for uniqueness and a double-tangent check.</t>
        </is>
      </c>
      <c r="O9" s="3" t="inlineStr">
        <is>
          <t>2026-P1-Q7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Para SCQ</t>
        </is>
      </c>
      <c r="E10" s="3" t="inlineStr">
        <is>
          <t>Differential Equation / Monotonicity</t>
        </is>
      </c>
      <c r="F10" s="2" t="n">
        <v>3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Divide f''=-ff'^2 by f' to integrate: f'=e^(-f^2/2); then sign analysis of g' and h'.</t>
        </is>
      </c>
      <c r="N10" s="3" t="inlineStr">
        <is>
          <t>One non-routine integration trick then three short sign checks; the trick is learnable.</t>
        </is>
      </c>
      <c r="O10" s="3" t="inlineStr">
        <is>
          <t>2026-P2-Q3 (L2)</t>
        </is>
      </c>
      <c r="P10" s="2" t="inlineStr">
        <is>
          <t>Low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Para SCQ</t>
        </is>
      </c>
      <c r="E11" s="3" t="inlineStr">
        <is>
          <t>Differential Equation / Monotonicity</t>
        </is>
      </c>
      <c r="F11" s="2" t="n">
        <v>3</v>
      </c>
      <c r="G11" s="8" t="n">
        <v>4</v>
      </c>
      <c r="H11" s="8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 is odd, concave on x&gt;0 and f/x falls from 1 to 0; counting roots of f=cx needs the shape of k(x).</t>
        </is>
      </c>
      <c r="N11" s="3" t="inlineStr">
        <is>
          <t>Four statements, one needing a global IVT/roots argument with limits at infinity; heavier than Q9 on the same set-up.</t>
        </is>
      </c>
      <c r="O11" s="3" t="inlineStr">
        <is>
          <t>2021-P2-Q9 (L4)</t>
        </is>
      </c>
      <c r="P11" s="2" t="inlineStr">
        <is>
          <t>Low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INT</t>
        </is>
      </c>
      <c r="E12" s="3" t="inlineStr">
        <is>
          <t>Application of Derivatives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 is strictly increasing on [-2,-1], so a root lies inside iff f(-2)f(-1)&lt;0; endpoints excluded.</t>
        </is>
      </c>
      <c r="N12" s="3" t="inlineStr">
        <is>
          <t>Three routine steps with an endpoint trap on an integer answer.</t>
        </is>
      </c>
      <c r="O12" s="3" t="inlineStr">
        <is>
          <t>2023-P2-Q9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INT</t>
        </is>
      </c>
      <c r="E13" s="3" t="inlineStr">
        <is>
          <t>Differentiation of Determinants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Expand to y-x-y^2cos x+xy^2 sin x=0 and differentiate twice at (0,1).</t>
        </is>
      </c>
      <c r="N13" s="3" t="inlineStr">
        <is>
          <t>Long exact computation twice differentiated; one slip changes the answer and there are no options.</t>
        </is>
      </c>
      <c r="O13" s="3" t="inlineStr">
        <is>
          <t>2026-P2-Q12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INT</t>
        </is>
      </c>
      <c r="E14" s="3" t="inlineStr">
        <is>
          <t>Application of Derivatives</t>
        </is>
      </c>
      <c r="F14" s="2" t="n">
        <v>4</v>
      </c>
      <c r="G14" s="8" t="n">
        <v>4</v>
      </c>
      <c r="H14" s="8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Match slope and intercept of common tangents and count real roots of 9s^4-8s^3-18s^2+13 by monotonicity.</t>
        </is>
      </c>
      <c r="N14" s="3" t="inlineStr">
        <is>
          <t>Chain of several stages with precision risk in counting the roots of a quartic via critical values; no options.</t>
        </is>
      </c>
      <c r="O14" s="3" t="inlineStr">
        <is>
          <t>2026-P2-Q14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INT</t>
        </is>
      </c>
      <c r="E15" s="3" t="inlineStr">
        <is>
          <t>Continuity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Hermite's identity gives f=[2x]; the limit selects x+2 for |x|&lt;1 and [2x] for |x|&gt;1; check x=+-1 and jump points.</t>
        </is>
      </c>
      <c r="N15" s="3" t="inlineStr">
        <is>
          <t>Two linked ideas plus careful discontinuity counting at switch points and jumps; one slip changes the count.</t>
        </is>
      </c>
      <c r="O15" s="3" t="inlineStr">
        <is>
          <t>2026-P2-Q14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Application of Derivatives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MVT gives c=2; orthogonality means m1*m2=-1.</t>
        </is>
      </c>
      <c r="N16" s="3" t="inlineStr">
        <is>
          <t>Routine chain of three standard results; the numerical format adds no check.</t>
        </is>
      </c>
      <c r="O16" s="3" t="inlineStr">
        <is>
          <t>2024-P2-Q3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Differentiation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Use logarithmic derivatives: (x/y)dy/dx=(y'/y)/(x'/x) and the expression collapses to t.</t>
        </is>
      </c>
      <c r="N17" s="3" t="inlineStr">
        <is>
          <t>Routine logarithmic differentiation with an algebraic cancellation.</t>
        </is>
      </c>
      <c r="O17" s="3" t="inlineStr">
        <is>
          <t>2026-P2-Q3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Determinants / Differentiation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Take e^x,e^2x,e^3x out of the columns; y=2u^6 in u=e^x.</t>
        </is>
      </c>
      <c r="N18" s="3" t="inlineStr">
        <is>
          <t>Two routine steps (determinant simplification, differentiate a power) with a small idea of changing variable to u.</t>
        </is>
      </c>
      <c r="O18" s="3" t="inlineStr">
        <is>
          <t>2026-P2-Q3 (L2)</t>
        </is>
      </c>
      <c r="P18" s="2" t="inlineStr">
        <is>
          <t>High</t>
        </is>
      </c>
    </row>
    <row r="20">
      <c r="A20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RPT 03 Paper 02 JEE Adv.pdf   |   Evaluated on: 2026-10-24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COUNTIF(Evaluation!$G$2:$G$18,A5)</f>
        <v/>
      </c>
      <c r="D5" s="11">
        <f>SUMIF(Evaluation!$G$2:$G$18,A5,Evaluation!$F$2:$F$18)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COUNTIF(Evaluation!$G$2:$G$18,A6)</f>
        <v/>
      </c>
      <c r="D6" s="13">
        <f>SUMIF(Evaluation!$G$2:$G$18,A6,Evaluation!$F$2:$F$18)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COUNTIF(Evaluation!$G$2:$G$18,A7)</f>
        <v/>
      </c>
      <c r="D7" s="15">
        <f>SUMIF(Evaluation!$G$2:$G$18,A7,Evaluation!$F$2:$F$18)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COUNTIF(Evaluation!$G$2:$G$18,A8)</f>
        <v/>
      </c>
      <c r="D8" s="17">
        <f>SUMIF(Evaluation!$G$2:$G$18,A8,Evaluation!$F$2:$F$18)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COUNTIF(Evaluation!$G$2:$G$18,A9)</f>
        <v/>
      </c>
      <c r="D9" s="19">
        <f>SUMIF(Evaluation!$G$2:$G$18,A9,Evaluation!$F$2:$F$18)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COUNTIF(Evaluation!$G$2:$G$18,A10)</f>
        <v/>
      </c>
      <c r="D10" s="21">
        <f>SUMIF(Evaluation!$G$2:$G$18,A10,Evaluation!$F$2:$F$18)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SUM(Evaluation!$L$2:$L$18)/SUM(Evaluation!$F$2:$F$18)</f>
        <v/>
      </c>
      <c r="C14" s="24">
        <f>SUMPRODUCT(Evaluation!$F$2:$F$18,Evaluation!$G$2:$G$18)/SUM(Evaluation!$F$2:$F$18)</f>
        <v/>
      </c>
      <c r="D14" s="23">
        <f>SUM(Evaluation!$F$2:$F$18)</f>
        <v/>
      </c>
      <c r="E14" s="24">
        <f>AVERAGE(Evaluation!$G$2:$G$18)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2026-10-24T02:13:39Z</dcterms:created>
  <dcterms:modified xmlns:dcterms="http://purl.org/dc/terms/" xmlns:xsi="http://www.w3.org/2001/XMLSchema-instance" xsi:type="dcterms:W3CDTF">2026-10-24T02:13:39Z</dcterms:modified>
</cp:coreProperties>
</file>