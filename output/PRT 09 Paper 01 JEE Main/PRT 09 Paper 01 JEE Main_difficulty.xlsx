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Parabola; Area Under Curve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Recognise the locus as a parabola with focus (2,1); area to the line x=2.</t>
        </is>
      </c>
      <c r="N2" s="3" t="inlineStr">
        <is>
          <t>One familiar recognition (focus-directrix gives a parabola) followed by a single standard area integral; options available.</t>
        </is>
      </c>
      <c r="O2" s="3" t="inlineStr">
        <is>
          <t>2024-P2-Q2 (L3) is heavier; this is a one-move area question, L1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ITF; Differentiation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Substitute x^2=cos2θ so that the tan^{-1} argument becomes tan(π/4+θ); then use the chain rule df/dg.</t>
        </is>
      </c>
      <c r="N3" s="3" t="inlineStr">
        <is>
          <t>Two routine stages: a standard substitution to simplify the inverse trig function (with correct range check), then df/dg; options available.</t>
        </is>
      </c>
      <c r="O3" s="3" t="inlineStr">
        <is>
          <t>2026-P1-Q4 (L3) for range care; simpler chain, L2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Parabola</t>
        </is>
      </c>
      <c r="F4" s="2" t="n">
        <v>4</v>
      </c>
      <c r="G4" s="4" t="n">
        <v>1</v>
      </c>
      <c r="H4" s="4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Normal slope -t1 = 1 gives t1 = -1; the normal meets the curve again at t2 = -t1 - 2/t1 = 3.</t>
        </is>
      </c>
      <c r="N4" s="3" t="inlineStr">
        <is>
          <t>Single standard formula (normal slope and t2 = -t1 - 2/t1), applied once; options available.</t>
        </is>
      </c>
      <c r="O4" s="3" t="inlineStr">
        <is>
          <t>2021-P2-Q8 (Q Stem, L2) is a longer parabola chain; this is one move, L1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Differential Equation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Eliminate c to get dy/dx = y(x+2)/(x+1), replace dy/dx by -dx/dy and separate variables.</t>
        </is>
      </c>
      <c r="N5" s="3" t="inlineStr">
        <is>
          <t>Routine chain: eliminate the constant, invert and negate the slope, separate variables and integrate; options available.</t>
        </is>
      </c>
      <c r="O5" s="3" t="inlineStr">
        <is>
          <t>2026-P2-Q3 (L2) separable DE; same level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Differential Equation</t>
        </is>
      </c>
      <c r="F6" s="2" t="n">
        <v>4</v>
      </c>
      <c r="G6" s="7" t="n">
        <v>3</v>
      </c>
      <c r="H6" s="7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Spot x dx + y dy = r dr and x dy - y dx = r^2 dθ, reducing the DE to separable form in r and θ.</t>
        </is>
      </c>
      <c r="N6" s="3" t="inlineStr">
        <is>
          <t>The recognition that the combination calls for polar coordinates is the main step; then partial fractions in r and back-substitution. Options help confirm.</t>
        </is>
      </c>
      <c r="O6" s="3" t="inlineStr">
        <is>
          <t>2025-P2-Q9 (L2) homogeneous-type DE; this one needs the polar insight, one level up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Area Under Curve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Find the intersections case by case (x=1,2,4) and split the region where the curves swap order.</t>
        </is>
      </c>
      <c r="N7" s="3" t="inlineStr">
        <is>
          <t>Standard modulus-area routine with three sub-areas and no deeper idea; options available.</t>
        </is>
      </c>
      <c r="O7" s="3" t="inlineStr">
        <is>
          <t>2021-P1-Q2 (L3) is a multi-line region; this is routine, L2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Parabola; Hyperbola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Substitute y = x^2/(4a) into the hyperbola: touching means the quadratic in x^2 has a repeated root (D = 0).</t>
        </is>
      </c>
      <c r="N8" s="3" t="inlineStr">
        <is>
          <t>Substitute and apply a discriminant condition on a quadratic in x^2, then e = sqrt(1+b^2/a^2); options available.</t>
        </is>
      </c>
      <c r="O8" s="3" t="inlineStr">
        <is>
          <t>2026-P2-Q2 (L3 in the user's scale) is similar chain length but with a tangent-pair idea; this is L2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Hyperbola; Circle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P on the circle and on the normal through (0,2b): eliminate to get b^2/a^2 = 1/3.</t>
        </is>
      </c>
      <c r="N9" s="3" t="inlineStr">
        <is>
          <t>Two linked ideas (circle through foci, hyperbola normal) and a tidy elimination with a few algebraic steps; options help only at the end.</t>
        </is>
      </c>
      <c r="O9" s="3" t="inlineStr">
        <is>
          <t>2026-P2-Q13 (L4, Numerical) has a heavier chain; this SCQ is an easier relative, L3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Differential Equation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Multiply by x^2/x^2 and substitute t = x^3, then partial fractions.</t>
        </is>
      </c>
      <c r="N10" s="3" t="inlineStr">
        <is>
          <t>Separable DE, one substitution and a partial-fraction integral, then initial condition; routine chain; options available.</t>
        </is>
      </c>
      <c r="O10" s="3" t="inlineStr">
        <is>
          <t>2026-P2-Q3 (L3 in the user's scale) has a harder finish; this is L2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Differential Equation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Rewrite (1+2x^2)/(1+x^2) = 1 + x^2/(1+x^2) to see d(xy)/dx; or find the I.F. x*sqrt(1+x^2) directly.</t>
        </is>
      </c>
      <c r="N11" s="3" t="inlineStr">
        <is>
          <t>Linear DE whose I.F. is not obvious; recognising the d(xy) structure (or integrating P = 1/x + x/(1+x^2)) is the hurdle, then a short integral.</t>
        </is>
      </c>
      <c r="O11" s="3" t="inlineStr">
        <is>
          <t>2021-P2-Q4 (L3) linear DE; same level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Ellipse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Write the polar of P(α,6−α) as a one-parameter family of lines through the intersection of two fixed lines.</t>
        </is>
      </c>
      <c r="N12" s="3" t="inlineStr">
        <is>
          <t>Find a and b from e and latus rectum, then a family-of-lines argument; routine chain with options.</t>
        </is>
      </c>
      <c r="O12" s="3" t="inlineStr">
        <is>
          <t>2026-P2-Q17 (L2) Ellipse; same level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Differentiability; Mean Value Theorems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Apply LMVT on [0,1] (slope 3), Rolle on [1,2] (slope 0), then LMVT to f' on [c1,c2] whose length is less than 2.</t>
        </is>
      </c>
      <c r="N13" s="3" t="inlineStr">
        <is>
          <t>Chain of three theorems with a non-obvious final bound (length of interval &lt; 2); four statements with a MUST be true filter; options available.</t>
        </is>
      </c>
      <c r="O13" s="3" t="inlineStr">
        <is>
          <t>2021-P2-Q3 (L2, MCQ IVT/Rolle) but this needs the second-derivative bound, L3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Parabola; Ellipse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Match 2x - y + 1 = 0 with the chord of contact yk = 2(x+h) to get P(1/2, 1); then SS1 = T^2.</t>
        </is>
      </c>
      <c r="N14" s="3" t="inlineStr">
        <is>
          <t>Two standard formulas used in sequence (chord of contact, pair of tangents), then an arithmetic sum; options available.</t>
        </is>
      </c>
      <c r="O14" s="3" t="inlineStr">
        <is>
          <t>2026-P2-Q17 (L2): standard conic formulas chained; same level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Differential Equation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Group as (x dx + y dy) - sqrt(x^2+y^2)(x dy - y dx) = 0 and go polar: dr/r^2 = dθ.</t>
        </is>
      </c>
      <c r="N15" s="3" t="inlineStr">
        <is>
          <t>Needs the polar recognition (as in the paired question) plus careful use of the initial condition and angle; options available.</t>
        </is>
      </c>
      <c r="O15" s="3" t="inlineStr">
        <is>
          <t>2025-P2-Q9 (L2) homogeneous-type DE; this one needs a less common substitution, L3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Definite Integration; Application of Integrals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Evaluate f(3/2)=5/8 and f'(3/2)=1/2, then g'(x)=f'(x)/(1+f(x)^2).</t>
        </is>
      </c>
      <c r="N16" s="3" t="inlineStr">
        <is>
          <t>Routine chain of three standard pieces (greatest-integer integral, Leibniz twice); options available.</t>
        </is>
      </c>
      <c r="O16" s="3" t="inlineStr">
        <is>
          <t>2021-P2-Q19 (L4, INT) is breakpoint-heavy; this is lighter, L2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Differential Equation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Write (x dy - y dx)/x^2 = d(y/x) to get f = x sin(ln x), then a family C1 f + C2 f' has two constants and is linear in them.</t>
        </is>
      </c>
      <c r="N17" s="3" t="inlineStr">
        <is>
          <t>Two linked ideas: solve a homogeneous DE with an inverse-sine integral, then reason about order and degree of the family; options available.</t>
        </is>
      </c>
      <c r="O17" s="3" t="inlineStr">
        <is>
          <t>2026-P2-Q3 (L2) is a separable DE; this adds the order/degree step, L3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Continuity and Differentiability; Mean Value Theorems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Shift to g = f - 1: the sign pattern (0,+,-,+,0) forces zeros at 0, α, β, 4, so Rolle gives three zeros of f'.</t>
        </is>
      </c>
      <c r="N18" s="3" t="inlineStr">
        <is>
          <t>One non-obvious auxiliary function plus IVT and Rolle used together; minimum count needs care; options available.</t>
        </is>
      </c>
      <c r="O18" s="3" t="inlineStr">
        <is>
          <t>2021-P2-Q3 (L2, MCQ) uses the same IVT/Rolle toolkit; this needs the auxiliary shift and counting, L3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Definite Integration</t>
        </is>
      </c>
      <c r="F19" s="2" t="n">
        <v>4</v>
      </c>
      <c r="G19" s="6" t="n">
        <v>2</v>
      </c>
      <c r="H19" s="6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Period 1 reduces the integral to 60 times the integral over [0,1]; King property then gives 1/2.</t>
        </is>
      </c>
      <c r="N19" s="3" t="inlineStr">
        <is>
          <t>Two standard definite-integral tricks (periodicity, King) chained; options available.</t>
        </is>
      </c>
      <c r="O19" s="3" t="inlineStr">
        <is>
          <t>2026-P2-Q4 (king property, L1) plus periodicity; two chained tricks give L2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Ellipse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The chord of contact x x0/a^2 + y y0/b^2 = 1 touches E2 iff (x0 α/a^2)^2 + (y0 β/b^2)^2 = 1; compare with x0^2+y0^2=a^2+b^2.</t>
        </is>
      </c>
      <c r="N20" s="3" t="inlineStr">
        <is>
          <t>Three conic facts linked (director circle, chord of contact, tangency condition) followed by an identity comparison; options available.</t>
        </is>
      </c>
      <c r="O20" s="3" t="inlineStr">
        <is>
          <t>2026-P2-Q13 (L3): conic with a derived second conic; same level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Definite Integration; Differentiation</t>
        </is>
      </c>
      <c r="F21" s="2" t="n">
        <v>4</v>
      </c>
      <c r="G21" s="4" t="n">
        <v>1</v>
      </c>
      <c r="H21" s="4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g'(x) = 2x f(x^2); then f(4) = f(1+3) = f(1) from the period.</t>
        </is>
      </c>
      <c r="N21" s="3" t="inlineStr">
        <is>
          <t>One Leibniz application and one use of periodicity; options available.</t>
        </is>
      </c>
      <c r="O21" s="3" t="inlineStr">
        <is>
          <t>2024-P1-Q1 (L2) is a longer DE chain; this is a single move, L1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Differential Equation</t>
        </is>
      </c>
      <c r="F22" s="2" t="n">
        <v>4</v>
      </c>
      <c r="G22" s="7" t="n">
        <v>3</v>
      </c>
      <c r="H22" s="7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Divide by x^2(x^2+y^2): the left side is (1/2) d(ln(x^2+y^2)) and the right side is d(y/x).</t>
        </is>
      </c>
      <c r="N22" s="3" t="inlineStr">
        <is>
          <t>Needs the exact-differential regrouping (a less common move) and a clean evaluation at the end; no options.</t>
        </is>
      </c>
      <c r="O22" s="3" t="inlineStr">
        <is>
          <t>2025-P2-Q9 (L2, Numerical) homogeneous DE; this regrouping is less standard and numerical, L3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Area Under Curve</t>
        </is>
      </c>
      <c r="F23" s="2" t="n">
        <v>4</v>
      </c>
      <c r="G23" s="6" t="n">
        <v>2</v>
      </c>
      <c r="H23" s="6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Intersections at x=-1 and x=2; split at 0 and 1 where |x| and |x-1| change form.</t>
        </is>
      </c>
      <c r="N23" s="3" t="inlineStr">
        <is>
          <t>Routine modulus-area chain with three integrals; numerical answer but short.</t>
        </is>
      </c>
      <c r="O23" s="3" t="inlineStr">
        <is>
          <t>2021-P1-Q2 (L2) Area Under Curve; same level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Numerical</t>
        </is>
      </c>
      <c r="E24" s="3" t="inlineStr">
        <is>
          <t>Area Under Curve</t>
        </is>
      </c>
      <c r="F24" s="2" t="n">
        <v>4</v>
      </c>
      <c r="G24" s="6" t="n">
        <v>2</v>
      </c>
      <c r="H24" s="6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Intersections at x = ±3; area = 2∫0^3 (5 - |x^2-4|) dx, splitting at x = 2.</t>
        </is>
      </c>
      <c r="N24" s="3" t="inlineStr">
        <is>
          <t>Routine modulus-area chain with symmetry and one split at 2; numerical answer.</t>
        </is>
      </c>
      <c r="O24" s="3" t="inlineStr">
        <is>
          <t>2021-P1-Q2 (L2) Area Under Curve; same level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Application of Derivatives</t>
        </is>
      </c>
      <c r="F25" s="2" t="n">
        <v>4</v>
      </c>
      <c r="G25" s="6" t="n">
        <v>2</v>
      </c>
      <c r="H25" s="6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Maximise V(h) for fixed R to get V_max = 4πR^3/(3√3), then differentiate with respect to t.</t>
        </is>
      </c>
      <c r="N25" s="3" t="inlineStr">
        <is>
          <t>Two stages: standard max-volume optimisation, then related rates; numerical but routine.</t>
        </is>
      </c>
      <c r="O25" s="3" t="inlineStr">
        <is>
          <t>2025-P1-Q13 (L2, Numerical) chain of routine steps; same level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Differential Equation; Area Under Curve</t>
        </is>
      </c>
      <c r="F26" s="2" t="n">
        <v>4</v>
      </c>
      <c r="G26" s="6" t="n">
        <v>2</v>
      </c>
      <c r="H26" s="6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Shift the origin to (-3,2) to get a separable equation giving a parabola (y-2)^2 = 3(x+3); area from y=-1 to 5 against x=0.</t>
        </is>
      </c>
      <c r="N26" s="3" t="inlineStr">
        <is>
          <t>Standard shift-to-homogeneous DE, then a routine area integral; numerical answer.</t>
        </is>
      </c>
      <c r="O26" s="3" t="inlineStr">
        <is>
          <t>2025-P2-Q9 (L2, Numerical) DE plus evaluation; same level</t>
        </is>
      </c>
      <c r="P26" s="2" t="inlineStr">
        <is>
          <t>Medium</t>
        </is>
      </c>
    </row>
    <row r="28">
      <c r="A28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PRT 09 Paper 01 JEE Main.pdf   |   Evaluated on: 2026-10-23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COUNTIF(Evaluation!$G$2:$G$26,A5)</f>
        <v/>
      </c>
      <c r="D5" s="10">
        <f>SUMIF(Evaluation!$G$2:$G$26,A5,Evaluation!$F$2:$F$26)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COUNTIF(Evaluation!$G$2:$G$26,A6)</f>
        <v/>
      </c>
      <c r="D6" s="12">
        <f>SUMIF(Evaluation!$G$2:$G$26,A6,Evaluation!$F$2:$F$26)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COUNTIF(Evaluation!$G$2:$G$26,A7)</f>
        <v/>
      </c>
      <c r="D7" s="14">
        <f>SUMIF(Evaluation!$G$2:$G$26,A7,Evaluation!$F$2:$F$26)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COUNTIF(Evaluation!$G$2:$G$26,A8)</f>
        <v/>
      </c>
      <c r="D8" s="16">
        <f>SUMIF(Evaluation!$G$2:$G$26,A8,Evaluation!$F$2:$F$26)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COUNTIF(Evaluation!$G$2:$G$26,A9)</f>
        <v/>
      </c>
      <c r="D9" s="18">
        <f>SUMIF(Evaluation!$G$2:$G$26,A9,Evaluation!$F$2:$F$26)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COUNTIF(Evaluation!$G$2:$G$26,A10)</f>
        <v/>
      </c>
      <c r="D10" s="20">
        <f>SUMIF(Evaluation!$G$2:$G$26,A10,Evaluation!$F$2:$F$26)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SUM(Evaluation!$L$2:$L$26)/SUM(Evaluation!$F$2:$F$26)</f>
        <v/>
      </c>
      <c r="C14" s="23">
        <f>SUMPRODUCT(Evaluation!$F$2:$F$26,Evaluation!$G$2:$G$26)/SUM(Evaluation!$F$2:$F$26)</f>
        <v/>
      </c>
      <c r="D14" s="22">
        <f>SUM(Evaluation!$F$2:$F$26)</f>
        <v/>
      </c>
      <c r="E14" s="23">
        <f>AVERAGE(Evaluation!$G$2:$G$26)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2026-10-23T17:15:43Z</dcterms:created>
  <dcterms:modified xmlns:dcterms="http://purl.org/dc/terms/" xmlns:xsi="http://www.w3.org/2001/XMLSchema-instance" xsi:type="dcterms:W3CDTF">2026-10-23T17:15:43Z</dcterms:modified>
</cp:coreProperties>
</file>