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Quadratic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Vieta twice: condition in m, then cubes of m1,m2</t>
        </is>
      </c>
      <c r="N2" s="3" t="inlineStr">
        <is>
          <t>Standard symmetric-function chain, no insight needed; three routine stages.</t>
        </is>
      </c>
      <c r="O2" s="3" t="inlineStr">
        <is>
          <t>2021-P2-Q17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Quadratic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 arguments, t + 2/t substitution, domain check</t>
        </is>
      </c>
      <c r="N3" s="3" t="inlineStr">
        <is>
          <t>Routine log substitution; domain check is the only trap.</t>
        </is>
      </c>
      <c r="O3" s="3" t="inlineStr">
        <is>
          <t>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Quadratic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Clear denominator; two discriminant conditions</t>
        </is>
      </c>
      <c r="N4" s="3" t="inlineStr">
        <is>
          <t>Two standard positive-definite conditions intersected.</t>
        </is>
      </c>
      <c r="O4" s="3" t="inlineStr">
        <is>
          <t>2026-P2-Q12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Quadratic Equation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Difference of squares hides after writing x^6+x^-6 = v^2 - 2</t>
        </is>
      </c>
      <c r="N5" s="3" t="inlineStr">
        <is>
          <t>One non-obvious regrouping then a one-line AM-GM; no options.</t>
        </is>
      </c>
      <c r="O5" s="3" t="inlineStr">
        <is>
          <t>2021-P2-Q9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Quadratic Equation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Vertex position gives three cases on [0,2]</t>
        </is>
      </c>
      <c r="N6" s="3" t="inlineStr">
        <is>
          <t>Three-case analysis with candidate checks; slip-prone but familiar.</t>
        </is>
      </c>
      <c r="O6" s="3" t="inlineStr">
        <is>
          <t>2026-P1-Q7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Quadratic Equation</t>
        </is>
      </c>
      <c r="F7" s="2" t="n">
        <v>4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Reduce to x^2+(b+4)x+16=0 with x in (-6,2); exactly one root</t>
        </is>
      </c>
      <c r="N7" s="3" t="inlineStr">
        <is>
          <t>Log base change, domain, then root location with endpoint and double-root cases; numerical answer in intervals, many ways to slip.</t>
        </is>
      </c>
      <c r="O7" s="3" t="inlineStr">
        <is>
          <t>2021-P2-Q9 (L4)</t>
        </is>
      </c>
      <c r="P7" s="2" t="inlineStr">
        <is>
          <t>Low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Quadratic Equation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Divide equations / add them to get log(xyz)</t>
        </is>
      </c>
      <c r="N8" s="3" t="inlineStr">
        <is>
          <t>Routine algebra of logs with a clean structure.</t>
        </is>
      </c>
      <c r="O8" s="3" t="inlineStr">
        <is>
          <t>2026-P2-Q3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Quadratic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x(x+2)(x+4)(x+6)+16 is a perfect square</t>
        </is>
      </c>
      <c r="N9" s="3" t="inlineStr">
        <is>
          <t>Familiar identity after substitution; routine chain.</t>
        </is>
      </c>
      <c r="O9" s="3" t="inlineStr">
        <is>
          <t>2026-P2-Q3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Quadratic Equation</t>
        </is>
      </c>
      <c r="F10" s="2" t="n">
        <v>4</v>
      </c>
      <c r="G10" s="8" t="n">
        <v>1</v>
      </c>
      <c r="H10" s="8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Discriminant of the discriminant</t>
        </is>
      </c>
      <c r="N10" s="3" t="inlineStr">
        <is>
          <t>One familiar move repeated twice, short.</t>
        </is>
      </c>
      <c r="O10" s="3" t="inlineStr">
        <is>
          <t>2026-P1-Q3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Quadratic Equation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Evaluate f at alpha and beta to trap a root</t>
        </is>
      </c>
      <c r="N11" s="3" t="inlineStr">
        <is>
          <t>Needs the idea of combining the two relations; short once seen.</t>
        </is>
      </c>
      <c r="O11" s="3" t="inlineStr">
        <is>
          <t>2026-P1-Q7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Quadratic Equation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Trig value 4 then shift of roots</t>
        </is>
      </c>
      <c r="N12" s="3" t="inlineStr">
        <is>
          <t>Standard trig simplification plus a standard transformation.</t>
        </is>
      </c>
      <c r="O12" s="3" t="inlineStr">
        <is>
          <t>2026-P2-Q3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Quadratic Equation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Vieta then integer/coprime case analysis</t>
        </is>
      </c>
      <c r="N13" s="3" t="inlineStr">
        <is>
          <t>Short chain but the coprime interpretation needs care.</t>
        </is>
      </c>
      <c r="O13" s="3" t="inlineStr">
        <is>
          <t>2025-P1-Q10 (L5)</t>
        </is>
      </c>
      <c r="P13" s="2" t="inlineStr">
        <is>
          <t>Low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Quadratic Equation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Subtract the two root equations to get a+c=121</t>
        </is>
      </c>
      <c r="N14" s="3" t="inlineStr">
        <is>
          <t>Non-obvious elimination but a known pattern; no options.</t>
        </is>
      </c>
      <c r="O14" s="3" t="inlineStr">
        <is>
          <t>2026-P2-Q6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Para SCQ</t>
        </is>
      </c>
      <c r="E15" s="3" t="inlineStr">
        <is>
          <t>Quadratic Equation</t>
        </is>
      </c>
      <c r="F15" s="2" t="n">
        <v>3</v>
      </c>
      <c r="G15" s="8" t="n">
        <v>1</v>
      </c>
      <c r="H15" s="8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Sum of squares from Vieta</t>
        </is>
      </c>
      <c r="N15" s="3" t="inlineStr">
        <is>
          <t>One familiar formula.</t>
        </is>
      </c>
      <c r="O15" s="3" t="inlineStr">
        <is>
          <t>2026-P1-Q3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Para SCQ</t>
        </is>
      </c>
      <c r="E16" s="3" t="inlineStr">
        <is>
          <t>Quadratic Equation</t>
        </is>
      </c>
      <c r="F16" s="2" t="n">
        <v>3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Factorise cubic, count equal-root cases in [0,2pi]</t>
        </is>
      </c>
      <c r="N16" s="3" t="inlineStr">
        <is>
          <t>Factorisation plus counting with closed interval.</t>
        </is>
      </c>
      <c r="O16" s="3" t="inlineStr">
        <is>
          <t>2026-P2-Q3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Para SCQ</t>
        </is>
      </c>
      <c r="E17" s="3" t="inlineStr">
        <is>
          <t>Quadratic Equation</t>
        </is>
      </c>
      <c r="F17" s="2" t="n">
        <v>3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Roots are 1,cos,sin; bound the spread</t>
        </is>
      </c>
      <c r="N17" s="3" t="inlineStr">
        <is>
          <t>Short once factorised; routine.</t>
        </is>
      </c>
      <c r="O17" s="3" t="inlineStr">
        <is>
          <t>2026-P2-Q3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MTC SCQ</t>
        </is>
      </c>
      <c r="E18" s="3" t="inlineStr">
        <is>
          <t>Quadratic Equation</t>
        </is>
      </c>
      <c r="F18" s="2" t="n">
        <v>3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Four independent parts: half-angle tangent, discriminant conditions, inequality, base/domain</t>
        </is>
      </c>
      <c r="N18" s="3" t="inlineStr">
        <is>
          <t>Four statements each needing a genuine check, with choices.</t>
        </is>
      </c>
      <c r="O18" s="3" t="inlineStr">
        <is>
          <t>2026-P1-Q7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MTC SCQ</t>
        </is>
      </c>
      <c r="E19" s="3" t="inlineStr">
        <is>
          <t>Quadratic Equation</t>
        </is>
      </c>
      <c r="F19" s="2" t="n">
        <v>3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Log identities in four parts</t>
        </is>
      </c>
      <c r="N19" s="3" t="inlineStr">
        <is>
          <t>Four parts with identities; (A) and (D) are slick but one idea each.</t>
        </is>
      </c>
      <c r="O19" s="3" t="inlineStr">
        <is>
          <t>2026-P1-Q7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MTC SCQ</t>
        </is>
      </c>
      <c r="E20" s="3" t="inlineStr">
        <is>
          <t>Quadratic Equation</t>
        </is>
      </c>
      <c r="F20" s="2" t="n">
        <v>3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Common roots, root counts and domain checks in four parts</t>
        </is>
      </c>
      <c r="N20" s="3" t="inlineStr">
        <is>
          <t>Four parts with distinct techniques; common-root reasoning needs care.</t>
        </is>
      </c>
      <c r="O20" s="3" t="inlineStr">
        <is>
          <t>2026-P1-Q7 (L3)</t>
        </is>
      </c>
      <c r="P20" s="2" t="inlineStr">
        <is>
          <t>Medium</t>
        </is>
      </c>
    </row>
    <row r="22">
      <c r="A22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SHEET_QUADRATIC_EQUATION_FCopy_C2.pdf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COUNTIF(Evaluation!$G$2:$G$20,A5)</f>
        <v/>
      </c>
      <c r="D5" s="11">
        <f>SUMIF(Evaluation!$G$2:$G$20,A5,Evaluation!$F$2:$F$20)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COUNTIF(Evaluation!$G$2:$G$20,A6)</f>
        <v/>
      </c>
      <c r="D6" s="13">
        <f>SUMIF(Evaluation!$G$2:$G$20,A6,Evaluation!$F$2:$F$20)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COUNTIF(Evaluation!$G$2:$G$20,A7)</f>
        <v/>
      </c>
      <c r="D7" s="15">
        <f>SUMIF(Evaluation!$G$2:$G$20,A7,Evaluation!$F$2:$F$20)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COUNTIF(Evaluation!$G$2:$G$20,A8)</f>
        <v/>
      </c>
      <c r="D8" s="17">
        <f>SUMIF(Evaluation!$G$2:$G$20,A8,Evaluation!$F$2:$F$20)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COUNTIF(Evaluation!$G$2:$G$20,A9)</f>
        <v/>
      </c>
      <c r="D9" s="19">
        <f>SUMIF(Evaluation!$G$2:$G$20,A9,Evaluation!$F$2:$F$20)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COUNTIF(Evaluation!$G$2:$G$20,A10)</f>
        <v/>
      </c>
      <c r="D10" s="21">
        <f>SUMIF(Evaluation!$G$2:$G$20,A10,Evaluation!$F$2:$F$20)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SUM(Evaluation!$L$2:$L$20)/SUM(Evaluation!$F$2:$F$20)</f>
        <v/>
      </c>
      <c r="C14" s="24">
        <f>SUMPRODUCT(Evaluation!$F$2:$F$20,Evaluation!$G$2:$G$20)/SUM(Evaluation!$F$2:$F$20)</f>
        <v/>
      </c>
      <c r="D14" s="23">
        <f>SUM(Evaluation!$F$2:$F$20)</f>
        <v/>
      </c>
      <c r="E14" s="24">
        <f>AVERAGE(Evaluation!$G$2:$G$20)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2026-10-14T23:05:48Z</dcterms:created>
  <dcterms:modified xmlns:dcterms="http://purl.org/dc/terms/" xmlns:xsi="http://www.w3.org/2001/XMLSchema-instance" xsi:type="dcterms:W3CDTF">2026-10-14T23:05:48Z</dcterms:modified>
</cp:coreProperties>
</file>