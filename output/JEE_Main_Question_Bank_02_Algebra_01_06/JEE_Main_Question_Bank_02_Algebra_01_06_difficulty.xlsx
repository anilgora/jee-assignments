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8F0D8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Q101</t>
        </is>
      </c>
      <c r="D2" s="2" t="inlineStr">
        <is>
          <t>Numerical</t>
        </is>
      </c>
      <c r="E2" s="3" t="inlineStr">
        <is>
          <t>Sequences &amp; Series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Terms of a G.P. as sides of a triangle; greatest integer: reduce triangle inequality to r^2-r-1&lt;0, so 1&lt;r&lt;(1+sqrt5)/2</t>
        </is>
      </c>
      <c r="N2" s="3" t="inlineStr">
        <is>
          <t>Short chain: triangle inequality on the two smaller sides, one quadratic inequality, then floor of r and of -r (needs care with the negative).</t>
        </is>
      </c>
      <c r="O2" s="3" t="inlineStr">
        <is>
          <t>2026-P2-Q3 (L2)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Q102</t>
        </is>
      </c>
      <c r="D3" s="2" t="inlineStr">
        <is>
          <t>Numerical</t>
        </is>
      </c>
      <c r="E3" s="3" t="inlineStr">
        <is>
          <t>Quadratic Equations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Newton/recurrence S_{n+2}=7S_{n+1}+S_n applied three times (or alpha*beta=-1 shortcut) to collapse the ratio to S2=51</t>
        </is>
      </c>
      <c r="N3" s="3" t="inlineStr">
        <is>
          <t>Routine power-sum recurrence; the only skill is spotting that the ratio collapses; numerical format.</t>
        </is>
      </c>
      <c r="O3" s="3" t="inlineStr">
        <is>
          <t>2026-P2-Q4 (L1-2)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Q103</t>
        </is>
      </c>
      <c r="D4" s="2" t="inlineStr">
        <is>
          <t>Numerical</t>
        </is>
      </c>
      <c r="E4" s="3" t="inlineStr">
        <is>
          <t>Matrices &amp; Determinants</t>
        </is>
      </c>
      <c r="F4" s="2" t="n">
        <v>4</v>
      </c>
      <c r="G4" s="6" t="n">
        <v>3</v>
      </c>
      <c r="H4" s="6" t="inlineStr">
        <is>
          <t>Average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Symmetric/skew-symmetric counting: S2 empty (no zero in S), diagonal triples summing to 0 give 12, then inclusion-exclusion with S1 intersect S3</t>
        </is>
      </c>
      <c r="N4" s="3" t="inlineStr">
        <is>
          <t>Needs three counts (S1, S3 via diagonal triples, S1 and S3) and an inclusion-exclusion with an empty S2; many small places to slip but each idea is standard.</t>
        </is>
      </c>
      <c r="O4" s="3" t="inlineStr">
        <is>
          <t>2026-P1-Q11 (L3)</t>
        </is>
      </c>
      <c r="P4" s="2" t="inlineStr">
        <is>
          <t>Medium</t>
        </is>
      </c>
    </row>
    <row r="6">
      <c r="A6" s="7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8" t="inlineStr">
        <is>
          <t>Difficulty summary</t>
        </is>
      </c>
    </row>
    <row r="2">
      <c r="A2" s="7" t="inlineStr">
        <is>
          <t>Source: JEE_Main_Question_Bank_02_Algebra_01_06.pdf   |   Evaluated on: 2026-10-06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9" t="n">
        <v>0</v>
      </c>
      <c r="B5" s="9" t="inlineStr">
        <is>
          <t>Easier than JEE Main</t>
        </is>
      </c>
      <c r="C5" s="9">
        <f>COUNTIF(Evaluation!$G$2:$G$4,A5)</f>
        <v/>
      </c>
      <c r="D5" s="9">
        <f>SUMIF(Evaluation!$G$2:$G$4,A5,Evaluation!$F$2:$F$4)</f>
        <v/>
      </c>
      <c r="E5" s="10">
        <f>IF(SUM($D$5:$D$10)=0,0,D5/SUM($D$5:$D$10))</f>
        <v/>
      </c>
    </row>
    <row r="6">
      <c r="A6" s="11" t="n">
        <v>1</v>
      </c>
      <c r="B6" s="11" t="inlineStr">
        <is>
          <t>JEE Main level</t>
        </is>
      </c>
      <c r="C6" s="11">
        <f>COUNTIF(Evaluation!$G$2:$G$4,A6)</f>
        <v/>
      </c>
      <c r="D6" s="11">
        <f>SUMIF(Evaluation!$G$2:$G$4,A6,Evaluation!$F$2:$F$4)</f>
        <v/>
      </c>
      <c r="E6" s="12">
        <f>IF(SUM($D$5:$D$10)=0,0,D6/SUM($D$5:$D$10))</f>
        <v/>
      </c>
    </row>
    <row r="7">
      <c r="A7" s="13" t="n">
        <v>2</v>
      </c>
      <c r="B7" s="13" t="inlineStr">
        <is>
          <t>Easier than Advanced</t>
        </is>
      </c>
      <c r="C7" s="13">
        <f>COUNTIF(Evaluation!$G$2:$G$4,A7)</f>
        <v/>
      </c>
      <c r="D7" s="13">
        <f>SUMIF(Evaluation!$G$2:$G$4,A7,Evaluation!$F$2:$F$4)</f>
        <v/>
      </c>
      <c r="E7" s="14">
        <f>IF(SUM($D$5:$D$10)=0,0,D7/SUM($D$5:$D$10))</f>
        <v/>
      </c>
    </row>
    <row r="8">
      <c r="A8" s="15" t="n">
        <v>3</v>
      </c>
      <c r="B8" s="15" t="inlineStr">
        <is>
          <t>Average Advanced</t>
        </is>
      </c>
      <c r="C8" s="15">
        <f>COUNTIF(Evaluation!$G$2:$G$4,A8)</f>
        <v/>
      </c>
      <c r="D8" s="15">
        <f>SUMIF(Evaluation!$G$2:$G$4,A8,Evaluation!$F$2:$F$4)</f>
        <v/>
      </c>
      <c r="E8" s="16">
        <f>IF(SUM($D$5:$D$10)=0,0,D8/SUM($D$5:$D$10))</f>
        <v/>
      </c>
    </row>
    <row r="9">
      <c r="A9" s="17" t="n">
        <v>4</v>
      </c>
      <c r="B9" s="17" t="inlineStr">
        <is>
          <t>Slightly difficult</t>
        </is>
      </c>
      <c r="C9" s="17">
        <f>COUNTIF(Evaluation!$G$2:$G$4,A9)</f>
        <v/>
      </c>
      <c r="D9" s="17">
        <f>SUMIF(Evaluation!$G$2:$G$4,A9,Evaluation!$F$2:$F$4)</f>
        <v/>
      </c>
      <c r="E9" s="18">
        <f>IF(SUM($D$5:$D$10)=0,0,D9/SUM($D$5:$D$10))</f>
        <v/>
      </c>
    </row>
    <row r="10">
      <c r="A10" s="19" t="n">
        <v>5</v>
      </c>
      <c r="B10" s="19" t="inlineStr">
        <is>
          <t>Very difficult</t>
        </is>
      </c>
      <c r="C10" s="19">
        <f>COUNTIF(Evaluation!$G$2:$G$4,A10)</f>
        <v/>
      </c>
      <c r="D10" s="19">
        <f>SUMIF(Evaluation!$G$2:$G$4,A10,Evaluation!$F$2:$F$4)</f>
        <v/>
      </c>
      <c r="E10" s="20">
        <f>IF(SUM($D$5:$D$10)=0,0,D10/SUM($D$5:$D$10))</f>
        <v/>
      </c>
    </row>
    <row r="11">
      <c r="A11" s="21" t="inlineStr">
        <is>
          <t>Total</t>
        </is>
      </c>
      <c r="C11" s="21">
        <f>SUM(C5:C10)</f>
        <v/>
      </c>
      <c r="D11" s="21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1" t="inlineStr">
        <is>
          <t>Overall</t>
        </is>
      </c>
      <c r="B14" s="22">
        <f>SUM(Evaluation!$L$2:$L$4)/SUM(Evaluation!$F$2:$F$4)</f>
        <v/>
      </c>
      <c r="C14" s="22">
        <f>SUMPRODUCT(Evaluation!$F$2:$F$4,Evaluation!$G$2:$G$4)/SUM(Evaluation!$F$2:$F$4)</f>
        <v/>
      </c>
      <c r="D14" s="21">
        <f>SUM(Evaluation!$F$2:$F$4)</f>
        <v/>
      </c>
      <c r="E14" s="22">
        <f>AVERAGE(Evaluation!$G$2:$G$4)</f>
        <v/>
      </c>
    </row>
    <row r="16">
      <c r="A16" s="7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8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3" t="n">
        <v>2021</v>
      </c>
      <c r="B4" s="24" t="n">
        <v>2.758333333333333</v>
      </c>
      <c r="C4" s="24" t="n">
        <v>2.894736842105263</v>
      </c>
      <c r="D4" s="23" t="n">
        <v>16</v>
      </c>
      <c r="E4" s="23" t="n">
        <v>34</v>
      </c>
      <c r="F4" s="23" t="n">
        <v>1</v>
      </c>
    </row>
    <row r="5">
      <c r="A5" s="23" t="n">
        <v>2023</v>
      </c>
      <c r="B5" s="24" t="n">
        <v>3.191666666666667</v>
      </c>
      <c r="C5" s="24" t="n">
        <v>3.147058823529412</v>
      </c>
      <c r="D5" s="23" t="n">
        <v>13</v>
      </c>
      <c r="E5" s="23" t="n">
        <v>47</v>
      </c>
      <c r="F5" s="23" t="n">
        <v>5</v>
      </c>
    </row>
    <row r="6">
      <c r="A6" s="23" t="n">
        <v>2024</v>
      </c>
      <c r="B6" s="24" t="n">
        <v>2.591666666666667</v>
      </c>
      <c r="C6" s="24" t="n">
        <v>2.558823529411764</v>
      </c>
      <c r="D6" s="23" t="n">
        <v>28</v>
      </c>
      <c r="E6" s="23" t="n">
        <v>40</v>
      </c>
      <c r="F6" s="23" t="n">
        <v>1</v>
      </c>
    </row>
    <row r="7">
      <c r="A7" s="23" t="n">
        <v>2025</v>
      </c>
      <c r="B7" s="24" t="n">
        <v>3.208333333333333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>
      <c r="A8" s="23" t="n">
        <v>2026</v>
      </c>
      <c r="B8" s="24" t="n">
        <v>3.025</v>
      </c>
      <c r="C8" s="24" t="n">
        <v>2.941176470588236</v>
      </c>
      <c r="D8" s="23" t="n">
        <v>6</v>
      </c>
      <c r="E8" s="23" t="n">
        <v>38</v>
      </c>
      <c r="F8" s="23" t="n">
        <v>2</v>
      </c>
    </row>
    <row r="9">
      <c r="A9" s="21" t="inlineStr">
        <is>
          <t>This paper</t>
        </is>
      </c>
      <c r="B9" s="22">
        <f>Summary!B14</f>
        <v/>
      </c>
      <c r="C9" s="22">
        <f>Summary!E14</f>
        <v/>
      </c>
      <c r="D9" s="21">
        <f>Summary!D5+Summary!D6</f>
        <v/>
      </c>
      <c r="E9" s="21">
        <f>Summary!D9+Summary!D10</f>
        <v/>
      </c>
      <c r="F9" s="21">
        <f>Summary!C10</f>
        <v/>
      </c>
    </row>
    <row r="11">
      <c r="A11" s="7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2026-10-06T23:21:26Z</dcterms:created>
  <dcterms:modified xmlns:dcterms="http://purl.org/dc/terms/" xmlns:xsi="http://www.w3.org/2001/XMLSchema-instance" xsi:type="dcterms:W3CDTF">2026-10-06T23:21:26Z</dcterms:modified>
</cp:coreProperties>
</file>