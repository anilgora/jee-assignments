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Ellipse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Homogenise the circle with the tangent; perpendicular pair means coefficients of x^2 and y^2 sum to zero.</t>
        </is>
      </c>
      <c r="N2" s="3" t="inlineStr">
        <is>
          <t>Single standard move (pair of lines from the origin) followed by short algebra; no case work. Comparable to 2021-P2-Q8 (L2).</t>
        </is>
      </c>
      <c r="O2" s="3" t="inlineStr">
        <is>
          <t>2021-P2-Q8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Ellipse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Substitute Q(2theta) in the normal; quadratic in cos(theta); reject 7/6.</t>
        </is>
      </c>
      <c r="N3" s="3" t="inlineStr">
        <is>
          <t>One standard substitution and a quadratic; the only care is rejecting 7/6. Same demand as 2021-P2-Q8 (L2).</t>
        </is>
      </c>
      <c r="O3" s="3" t="inlineStr">
        <is>
          <t>2021-P2-Q8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Ellipse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Sum of distances PS1+PS2=r1+r2 is constant, so locus is an ellipse with foci the centres.</t>
        </is>
      </c>
      <c r="N4" s="3" t="inlineStr">
        <is>
          <t>One recognition (contact conditions give a constant focal sum) then two readings off the ellipse; no casework. Routine chain, numerical p+q.</t>
        </is>
      </c>
      <c r="O4" s="3" t="inlineStr">
        <is>
          <t>2023-P2-Q1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Ellipse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Sine rule in triangle PST (cos theta = sin alpha / sin beta), then eliminate theta via tangent slope.</t>
        </is>
      </c>
      <c r="N5" s="3" t="inlineStr">
        <is>
          <t>Two stages (sine rule on a focal triangle, then slope elimination) with trigonometric bookkeeping and a proof format; one non-obvious setup. Slightly above routine chains.</t>
        </is>
      </c>
      <c r="O5" s="3" t="inlineStr">
        <is>
          <t>2024-P1-Q4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Parabola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Slope of tangent at t is 1/t so cot(theta)=t; area of tangent triangle depends on parameter differences.</t>
        </is>
      </c>
      <c r="N6" s="3" t="inlineStr">
        <is>
          <t>Needs the tangent-triangle area formula (not a basic recall for many students) and the reading cot(theta)=t; computation is short. Same kind of demand as 2024-P2-Q7 (L4) but simpler.</t>
        </is>
      </c>
      <c r="O6" s="3" t="inlineStr">
        <is>
          <t>2024-P1-Q4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Parabola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Abscissa 4a gives t=2; second parameter of normal chord is -3; compare lengths.</t>
        </is>
      </c>
      <c r="N7" s="3" t="inlineStr">
        <is>
          <t>Standard parameter machinery with two lengths to compare; no insight needed. Same chain as 2021-P2-Q8 (L2).</t>
        </is>
      </c>
      <c r="O7" s="3" t="inlineStr">
        <is>
          <t>2021-P2-Q8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Parabola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PQ=2|t1-t2| and h=2t1t2, k=2(t1+t2): eliminate.</t>
        </is>
      </c>
      <c r="N8" s="3" t="inlineStr">
        <is>
          <t>Parameter elimination with one given length; straightforward. Equivalent difficulty to 2021-P2-Q8 (L2).</t>
        </is>
      </c>
      <c r="O8" s="3" t="inlineStr">
        <is>
          <t>2021-P2-Q8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Parabola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Perpendicular tangents give m1=-m; two quadratics in m with common root; eliminate m.</t>
        </is>
      </c>
      <c r="N9" s="3" t="inlineStr">
        <is>
          <t>Two tangent families linked by perpendicularity and an elimination with cross-multiplication; algebra is long but the route is standard. Between 2026-P2-Q2 (L3) and a plain locus (L2).</t>
        </is>
      </c>
      <c r="O9" s="3" t="inlineStr">
        <is>
          <t>2026-P2-Q2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Parabola</t>
        </is>
      </c>
      <c r="F10" s="2" t="n">
        <v>4</v>
      </c>
      <c r="G10" s="7" t="n">
        <v>4</v>
      </c>
      <c r="H10" s="7" t="inlineStr">
        <is>
          <t>Slightly difficult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CS perpendicular to AB makes t3 a root of a cubic with u=sum t; Vieta by symmetry.</t>
        </is>
      </c>
      <c r="N10" s="3" t="inlineStr">
        <is>
          <t>The key idea (each parameter is a root of the same cubic, so Vieta gives the symmetric sums) is non-routine, though the algebra is short; numerical answer with no options to check. Similar flavour to 2024-P2-Q7 (L4).</t>
        </is>
      </c>
      <c r="O10" s="3" t="inlineStr">
        <is>
          <t>2024-P2-Q7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Parabola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Chord touches y^2=2x gives 16 t1 t2=(t1+t2)^2; express through h,k.</t>
        </is>
      </c>
      <c r="N11" s="3" t="inlineStr">
        <is>
          <t>Parameter chord plus a tangency condition, then elimination; two stages with moderate algebra and a numerical answer. Comparable to 2026-P2-Q2 (L3).</t>
        </is>
      </c>
      <c r="O11" s="3" t="inlineStr">
        <is>
          <t>2026-P2-Q2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Parabola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Normal at P(t) through Q(t1) gives t^2+t1 t+2=0; discriminant &gt; 0.</t>
        </is>
      </c>
      <c r="N12" s="3" t="inlineStr">
        <is>
          <t>One standard relation and a discriminant; very short proof. Comparable to 2021-P2-Q8 (L2).</t>
        </is>
      </c>
      <c r="O12" s="3" t="inlineStr">
        <is>
          <t>2021-P2-Q8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Parabola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 is the midpoint of CQ; C = (a(2+t^2),0).</t>
        </is>
      </c>
      <c r="N13" s="3" t="inlineStr">
        <is>
          <t>Straight application of the normal equation and the midpoint condition; two linear equations in the parameter. Equivalent to 2021-P2-Q8 (L2).</t>
        </is>
      </c>
      <c r="O13" s="3" t="inlineStr">
        <is>
          <t>2021-P2-Q8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Parabola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t1t2=-c/a for chord through (c,0); multiply relations to eliminate t2,t3.</t>
        </is>
      </c>
      <c r="N14" s="3" t="inlineStr">
        <is>
          <t>Idea is one tidy relation then algebra; proof format with symbolic fixed points (c,d,e). Non-routine but short; same flavour as 2021-P2-Q6 (L4 MCQ) though simpler.</t>
        </is>
      </c>
      <c r="O14" s="3" t="inlineStr">
        <is>
          <t>2021-P2-Q8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Parabola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Normals meeting on the curve imply t1t2=2; then t1+t2 from the y-coordinate.</t>
        </is>
      </c>
      <c r="N15" s="3" t="inlineStr">
        <is>
          <t>Several standard normal formulas chained, then a numerical product; precision matters (signs of the points) with no options. Same as 2023-P1-Q7 (L3) in demand.</t>
        </is>
      </c>
      <c r="O15" s="3" t="inlineStr">
        <is>
          <t>2023-P1-Q7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Parabola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Congruent touching parabolas: vertices symmetric about the point of contact (or discriminant zero).</t>
        </is>
      </c>
      <c r="N16" s="3" t="inlineStr">
        <is>
          <t>One standard setup (equal parabolas, opposite opening) and a discriminant; the symmetry view is the elegant shortcut. Routine L3 on 'two ideas linked' scale.</t>
        </is>
      </c>
      <c r="O16" s="3" t="inlineStr">
        <is>
          <t>2026-P2-Q2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Parabola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Normal chord t1^2+t1t2=-2; circle through vertex gives cubic; eliminate t1,t2.</t>
        </is>
      </c>
      <c r="N17" s="3" t="inlineStr">
        <is>
          <t>Long elimination with a hidden symmetry (cubic with zero sum); numerically heavy symbolic work with a proof format. Similar to 2023-P1-Q7 (L3) but with more algebra.</t>
        </is>
      </c>
      <c r="O17" s="3" t="inlineStr">
        <is>
          <t>2023-P1-Q7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Parabola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Perpendiculars from the focus to the tangents meet at the focus; L passes through the focus.</t>
        </is>
      </c>
      <c r="N18" s="3" t="inlineStr">
        <is>
          <t>Finding the focus from three tangents needs the foot-of-perpendicular property (an idea outside the most routine pattern), followed by three short answers. Similar to 2021-P2-Q6 (L4) in idea but simpler.</t>
        </is>
      </c>
      <c r="O18" s="3" t="inlineStr">
        <is>
          <t>2021-P2-Q8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Parabola</t>
        </is>
      </c>
      <c r="F19" s="2" t="n">
        <v>4</v>
      </c>
      <c r="G19" s="7" t="n">
        <v>4</v>
      </c>
      <c r="H19" s="7" t="inlineStr">
        <is>
          <t>Slightly difficult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Normals meeting on curve (t1t2=2); right angles at P and Q make TR a diameter.</t>
        </is>
      </c>
      <c r="N19" s="3" t="inlineStr">
        <is>
          <t>Three linked parts: constraint t1t2=2, the fixed point, then a circumcentre via concyclicity (a non-obvious step); long careful algebra where the printed key and working go astray in part (c). Higher end of chapter-sheet questions.</t>
        </is>
      </c>
      <c r="O19" s="3" t="inlineStr">
        <is>
          <t>2023-P2-Q13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Parabola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Equal touching parabolas open oppositely; equate slopes to get contact x=3.</t>
        </is>
      </c>
      <c r="N20" s="3" t="inlineStr">
        <is>
          <t>Parameter a is found from tangency, then a three-curve region area with an irrational limit; two ideas linked and computation-heavy. Comparable to 2023-P1-Q7 (L3).</t>
        </is>
      </c>
      <c r="O20" s="3" t="inlineStr">
        <is>
          <t>2023-P1-Q7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Parabola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Normal chord condition t1^2+t1t2=-2; express h,k in terms of t1.</t>
        </is>
      </c>
      <c r="N21" s="3" t="inlineStr">
        <is>
          <t>Parametric elimination with a shifted parabola; one standard chain and a final shift back. Comparable to 2026-P2-Q2 (L3) on this scale.</t>
        </is>
      </c>
      <c r="O21" s="3" t="inlineStr">
        <is>
          <t>2026-P2-Q2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Parabola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Normal slope cubic m^3+(2-h)m+k=0 with m1m2=alpha; substitute m3=-k/alpha.</t>
        </is>
      </c>
      <c r="N22" s="3" t="inlineStr">
        <is>
          <t>Needs the slope-form cubic, then a substitution and coefficient matching; precision matters but the route is a standard trick. Same demand as 2023-P1-Q7 (L3).</t>
        </is>
      </c>
      <c r="O22" s="3" t="inlineStr">
        <is>
          <t>2023-P1-Q7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Ellipse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P is the midpoint of GQ with G=(a e^2 cos theta,0); Q is an axis-scaled image of P.</t>
        </is>
      </c>
      <c r="N23" s="3" t="inlineStr">
        <is>
          <t>Normal equation, midpoint relation and an eccentricity computation; routine algebra with no insight required. Same as 2021-P2-Q8 (L2).</t>
        </is>
      </c>
      <c r="O23" s="3" t="inlineStr">
        <is>
          <t>2021-P2-Q8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Ellipse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Normal at theta; slope 1 gives tan theta=b/a, sin 2theta=2ab/(a^2+b^2).</t>
        </is>
      </c>
      <c r="N24" s="3" t="inlineStr">
        <is>
          <t>Standard normal intercepts then a trig substitution; one routine chain. Level of 2021-P2-Q8 (L2).</t>
        </is>
      </c>
      <c r="O24" s="3" t="inlineStr">
        <is>
          <t>2021-P2-Q8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Ellipse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Pole R of chord PQ; comparing PQ with a tangent of the inner ellipse puts R on x^2+y^2=9.</t>
        </is>
      </c>
      <c r="N25" s="3" t="inlineStr">
        <is>
          <t>Chord of contact plus matching with a tangent in parametric form, then recognising the director circle; two ideas linked. Same demand as 2021-P2-Q6 style locus questions but proof format.</t>
        </is>
      </c>
      <c r="O25" s="3" t="inlineStr">
        <is>
          <t>2021-P2-Q6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Ellipse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Intercept points A,B; section formula (AP:PB=3:1) gives cos^2 theta=1/4.</t>
        </is>
      </c>
      <c r="N26" s="3" t="inlineStr">
        <is>
          <t>Direct substitution and a section formula; no insight. Level of 2021-P2-Q8 (L2).</t>
        </is>
      </c>
      <c r="O26" s="3" t="inlineStr">
        <is>
          <t>2021-P2-Q8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Ellipse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SP*S'P'=b^2 for every tangent; 10 b^2=2560.</t>
        </is>
      </c>
      <c r="N27" s="3" t="inlineStr">
        <is>
          <t>One well-known property applied once, then a one-line eccentricity; numerical answer with options absent but trivial. Level 2 on this scale.</t>
        </is>
      </c>
      <c r="O27" s="3" t="inlineStr">
        <is>
          <t>2024-P2-Q3 (L1)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Ellipse</t>
        </is>
      </c>
      <c r="F28" s="2" t="n">
        <v>4</v>
      </c>
      <c r="G28" s="7" t="n">
        <v>4</v>
      </c>
      <c r="H28" s="7" t="inlineStr">
        <is>
          <t>Slightly difficult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Tangent at corresponding rotated point; solve two linear equations for cos, sin; eliminate theta.</t>
        </is>
      </c>
      <c r="N28" s="3" t="inlineStr">
        <is>
          <t>Non-routine setup (rotation of an ellipse, corresponding points), then a Cramer elimination with careful algebra; numerical answer without options to check. Similar to 2026-P2-Q17 (L2 stem) but heavier; placed at 4.</t>
        </is>
      </c>
      <c r="O28" s="3" t="inlineStr">
        <is>
          <t>2026-P1-Q16 (L4)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Ellipse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Condition of tangency c^2=a^2m^2+b^2; parallelogram area formula.</t>
        </is>
      </c>
      <c r="N29" s="3" t="inlineStr">
        <is>
          <t>Standard tangent-slope condition then a formula for a parallelogram from four lines; routine with big numbers. The affine view makes it elegant but is not needed.</t>
        </is>
      </c>
      <c r="O29" s="3" t="inlineStr">
        <is>
          <t>2023-P1-Q2 (L4)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Ellipse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Lowest point and minor-axis ends of the shifted ellipse; fit the parabola.</t>
        </is>
      </c>
      <c r="N30" s="3" t="inlineStr">
        <is>
          <t>One reading of the ellipse and a single parameter fit; all routine. Single familiar move, numerical format: Level 2.</t>
        </is>
      </c>
      <c r="O30" s="3" t="inlineStr">
        <is>
          <t>2024-P2-Q3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Ellipse</t>
        </is>
      </c>
      <c r="F31" s="2" t="n">
        <v>4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A on the ellipse gives x+y=2a; BD=2ae and xy=ab=200 give b^2=xy/2.</t>
        </is>
      </c>
      <c r="N31" s="3" t="inlineStr">
        <is>
          <t>A short chain once the focal definition is seen applied to the rectangle's corner; several data (area of ellipse, rectangle, foci at B,D) to coordinate. Same as 2025-P1-Q7-style one-idea problems but with a numerical finish.</t>
        </is>
      </c>
      <c r="O31" s="3" t="inlineStr">
        <is>
          <t>2024-P1-Q4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Parabola</t>
        </is>
      </c>
      <c r="F32" s="2" t="n">
        <v>4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Common point P(1,2); tangents have slopes 1 and -1.</t>
        </is>
      </c>
      <c r="N32" s="3" t="inlineStr">
        <is>
          <t>Three short parts: solving the intersection, orthogonality by slopes, a parabola-chord area, and a triangle area; each routine. Comparable to 2021-P2-Q8 (L2) for each part, combined gives L3.</t>
        </is>
      </c>
      <c r="O32" s="3" t="inlineStr">
        <is>
          <t>2021-P2-Q8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Ellipse</t>
        </is>
      </c>
      <c r="F33" s="2" t="n">
        <v>4</v>
      </c>
      <c r="G33" s="7" t="n">
        <v>4</v>
      </c>
      <c r="H33" s="7" t="inlineStr">
        <is>
          <t>Slightly difficult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XY min via AM-GM and PN=OM=(a^2-b^2)/XY give a+b=36, a-b=4.</t>
        </is>
      </c>
      <c r="N33" s="3" t="inlineStr">
        <is>
          <t>Three linked parts each needing an optimisation (AM-GM, calculus, AM-GM) on top of the intercept/perpendicular formulas; chain length and algebra heavy. Similar to 2021-P1-Q10 style long computation but with options absent.</t>
        </is>
      </c>
      <c r="O33" s="3" t="inlineStr">
        <is>
          <t>2023-P1-Q2 (L4)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Ellipse</t>
        </is>
      </c>
      <c r="F34" s="2" t="n">
        <v>4</v>
      </c>
      <c r="G34" s="6" t="n">
        <v>3</v>
      </c>
      <c r="H34" s="6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Equate two tangency conditions for the common tangent; focal chord distance then simplifies using a^2e^2=a^2-b^2.</t>
        </is>
      </c>
      <c r="N34" s="3" t="inlineStr">
        <is>
          <t>Chain of tangency conditions, a focal-chord distance and a circle chord, with a clean cancellation at the end; an idea-light but symbol-heavy proof. Level of 2023-P2-Q13 (L4) minus the heavy computation.</t>
        </is>
      </c>
      <c r="O34" s="3" t="inlineStr">
        <is>
          <t>2023-P1-Q2 (L4)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Ellipse</t>
        </is>
      </c>
      <c r="F35" s="2" t="n">
        <v>4</v>
      </c>
      <c r="G35" s="8" t="n">
        <v>1</v>
      </c>
      <c r="H35" s="8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Recognise (-4,0) as a focus; reflected ray goes through the other focus.</t>
        </is>
      </c>
      <c r="N35" s="3" t="inlineStr">
        <is>
          <t>Single well-known property (reflection through the other focus) applied once, then a line through two points. Level 1.</t>
        </is>
      </c>
      <c r="O35" s="3" t="inlineStr">
        <is>
          <t>2024-P2-Q3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Ellipse</t>
        </is>
      </c>
      <c r="F36" s="2" t="n">
        <v>4</v>
      </c>
      <c r="G36" s="7" t="n">
        <v>4</v>
      </c>
      <c r="H36" s="7" t="inlineStr">
        <is>
          <t>Slightly difficult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Shift origin to P, homogenise with chord AB; perpendicular pair fixes the point.</t>
        </is>
      </c>
      <c r="N36" s="3" t="inlineStr">
        <is>
          <t>Needs the 'fixed point' technique for perpendicular chords through a point of a conic (shifting origin + homogenisation), then a short numerical finish; the PDF gives no working (grey boxes). Typical high-end coordinate geometry; Level 4 on this scale (cf. 2023-P2-Q13).</t>
        </is>
      </c>
      <c r="O36" s="3" t="inlineStr">
        <is>
          <t>2023-P2-Q13 (L4)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Ellipse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OO1+OO2=r1+r2 is constant, so the locus is an ellipse with foci O1, O2.</t>
        </is>
      </c>
      <c r="N37" s="3" t="inlineStr">
        <is>
          <t>One recognition (the focal-sum definition) applied once; no computation. Same as Q3 without numbers.</t>
        </is>
      </c>
      <c r="O37" s="3" t="inlineStr">
        <is>
          <t>2025-P1-Q7 (L1)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Ellipse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Chord joining eccentric angles; compare coefficients; square and add.</t>
        </is>
      </c>
      <c r="N38" s="3" t="inlineStr">
        <is>
          <t>One standard chord formula and a coefficient comparison; the condition is read off after one identity. Level 2.</t>
        </is>
      </c>
      <c r="O38" s="3" t="inlineStr">
        <is>
          <t>2021-P2-Q8 (L2)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Ellipse</t>
        </is>
      </c>
      <c r="F39" s="2" t="n">
        <v>4</v>
      </c>
      <c r="G39" s="6" t="n">
        <v>3</v>
      </c>
      <c r="H39" s="6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Perpendicular from S and the line CP; solve to get x=a/e.</t>
        </is>
      </c>
      <c r="N39" s="3" t="inlineStr">
        <is>
          <t>Standard line equations and a short elimination; the result is a classical focus-directrix property; the algebra collapses neatly. Level 3 as a proof of a non-obvious property.</t>
        </is>
      </c>
      <c r="O39" s="3" t="inlineStr">
        <is>
          <t>2026-P2-Q2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Numerical</t>
        </is>
      </c>
      <c r="E40" s="3" t="inlineStr">
        <is>
          <t>Hyperbola</t>
        </is>
      </c>
      <c r="F40" s="2" t="n">
        <v>4</v>
      </c>
      <c r="G40" s="6" t="n">
        <v>3</v>
      </c>
      <c r="H40" s="6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Latus rectum end (ae,b^2/a); tangent and normal intercepts (a/e and a e^3).</t>
        </is>
      </c>
      <c r="N40" s="3" t="inlineStr">
        <is>
          <t>Direct tangent/normal intercept formulas at a special point with a numerical finish; the missing hyperbola has to be recovered from the working. Same as 2023-P1-Q7 (L3) in demand.</t>
        </is>
      </c>
      <c r="O40" s="3" t="inlineStr">
        <is>
          <t>2023-P1-Q7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Hyperbola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Chord of contact of (3,2), then the two contact points and the triangle.</t>
        </is>
      </c>
      <c r="N41" s="3" t="inlineStr">
        <is>
          <t>Routine chain: C.O.C., solve with the hyperbola, tangents at two points, area. Level 2.</t>
        </is>
      </c>
      <c r="O41" s="3" t="inlineStr">
        <is>
          <t>2021-P2-Q8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Hyperbola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Slope of the normal at the latus rectum end is -1/e; equate to b/a and use b^2=a^2(e^2-1).</t>
        </is>
      </c>
      <c r="N42" s="3" t="inlineStr">
        <is>
          <t>Short chain with one non-obvious reading (normal slope at the latus-rectum end); a quadratic in e^2 completes it. Single-correct style proof: Level 2.</t>
        </is>
      </c>
      <c r="O42" s="3" t="inlineStr">
        <is>
          <t>2025-P2-Q4 (L3)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Circle</t>
        </is>
      </c>
      <c r="F43" s="2" t="n">
        <v>4</v>
      </c>
      <c r="G43" s="7" t="n">
        <v>4</v>
      </c>
      <c r="H43" s="7" t="inlineStr">
        <is>
          <t>Slightly difficult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Squaring the two tangents and adding/subtracting eliminates m.</t>
        </is>
      </c>
      <c r="N43" s="3" t="inlineStr">
        <is>
          <t>Needs the two tangents with square roots and a slick elimination (sum and difference of squares), with no options to check the value of lambda; algebra is delicate. Level 4.</t>
        </is>
      </c>
      <c r="O43" s="3" t="inlineStr">
        <is>
          <t>2021-P1-Q10 (L5)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Parabola</t>
        </is>
      </c>
      <c r="F44" s="2" t="n">
        <v>4</v>
      </c>
      <c r="G44" s="6" t="n">
        <v>3</v>
      </c>
      <c r="H44" s="6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Add the equations: parabola with focus (-3,2); focal distance = y-coordinate.</t>
        </is>
      </c>
      <c r="N44" s="3" t="inlineStr">
        <is>
          <t>Needs the pencil trick (adding conics to get a parabola) and the focus-directrix property; the arithmetic is light. Idea availability moderate: Level 3.</t>
        </is>
      </c>
      <c r="O44" s="3" t="inlineStr">
        <is>
          <t>2026-P2-Q13 (L4)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Hyperbola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ae=AE=sqrt(13) gives eccentricity ratio = A/a = 3/7; with a-A=4 solve.</t>
        </is>
      </c>
      <c r="N45" s="3" t="inlineStr">
        <is>
          <t>Routine linear solve once the common-focus relation is written; no insight. Level 2.</t>
        </is>
      </c>
      <c r="O45" s="3" t="inlineStr">
        <is>
          <t>2026-P2-Q13 (L4)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Hyperbola</t>
        </is>
      </c>
      <c r="F46" s="2" t="n">
        <v>4</v>
      </c>
      <c r="G46" s="6" t="n">
        <v>3</v>
      </c>
      <c r="H46" s="6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Perpendicular from the centre meets the curve at N; power of C w.r.t. the circle on PN.</t>
        </is>
      </c>
      <c r="N46" s="3" t="inlineStr">
        <is>
          <t>One neat construction (power of a point) after finding N; short algebra. The idea is not routine for the average student: Level 3.</t>
        </is>
      </c>
      <c r="O46" s="3" t="inlineStr">
        <is>
          <t>2025-P2-Q4 (L3)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Hyperbola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Focus-directrix gives the hyperbola; asymptotes change only the constant to make a pair of lines.</t>
        </is>
      </c>
      <c r="N47" s="3" t="inlineStr">
        <is>
          <t>Standard locus definition and a pair-of-lines condition; short algebra, no insight needed. Level 2.</t>
        </is>
      </c>
      <c r="O47" s="3" t="inlineStr">
        <is>
          <t>2025-P2-Q4 (L3)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Hyperbola</t>
        </is>
      </c>
      <c r="F48" s="2" t="n">
        <v>4</v>
      </c>
      <c r="G48" s="6" t="n">
        <v>3</v>
      </c>
      <c r="H48" s="6" t="inlineStr">
        <is>
          <t>Average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Midpoint gives t1t2=h/k; chord length condition gives (xy-c^2)(x^2+y^2)=9xy.</t>
        </is>
      </c>
      <c r="N48" s="3" t="inlineStr">
        <is>
          <t>Parametric midpoint and a length condition followed by neat simplification; moderate algebra, numerical answer. Level 3.</t>
        </is>
      </c>
      <c r="O48" s="3" t="inlineStr">
        <is>
          <t>2026-P2-Q2 (L3)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Hyperbola</t>
        </is>
      </c>
      <c r="F49" s="2" t="n">
        <v>4</v>
      </c>
      <c r="G49" s="6" t="n">
        <v>3</v>
      </c>
      <c r="H49" s="6" t="inlineStr">
        <is>
          <t>Average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Slope of chord PQ equals slope of normal; use sec^2-tan^2=1 to eliminate sec(phi).</t>
        </is>
      </c>
      <c r="N49" s="3" t="inlineStr">
        <is>
          <t>Parametric normal-chord proof with trigonometric elimination and a quadratic whose known root has to be factored out; the PDF gives no visible working. Level 3.</t>
        </is>
      </c>
      <c r="O49" s="3" t="inlineStr">
        <is>
          <t>2023-P1-Q7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Hyperbola</t>
        </is>
      </c>
      <c r="F50" s="2" t="n">
        <v>4</v>
      </c>
      <c r="G50" s="7" t="n">
        <v>4</v>
      </c>
      <c r="H50" s="7" t="inlineStr">
        <is>
          <t>Slightly difficult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Tangent segment PT from its intercept; focal perpendiculars on the normal; show 2/PT=1/p1+1/p2.</t>
        </is>
      </c>
      <c r="N50" s="3" t="inlineStr">
        <is>
          <t>Heavy symbolic verification with several formulas (tangent, normal, perpendiculars) and a hidden simplification identity, or a clever angle-bisector argument; no numerical answer to check. Level 4.</t>
        </is>
      </c>
      <c r="O50" s="3" t="inlineStr">
        <is>
          <t>2023-P2-Q13 (L4)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Hyperbola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Tangent at P, then intersection with the asymptote pair; midpoint and area by coordinates.</t>
        </is>
      </c>
      <c r="N51" s="3" t="inlineStr">
        <is>
          <t>Straight coordinate work with standard properties; no insight needed. Level 2.</t>
        </is>
      </c>
      <c r="O51" s="3" t="inlineStr">
        <is>
          <t>2025-P2-Q4 (L3)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Hyperbola</t>
        </is>
      </c>
      <c r="F52" s="2" t="n">
        <v>4</v>
      </c>
      <c r="G52" s="6" t="n">
        <v>3</v>
      </c>
      <c r="H52" s="6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Q on the asymptote from the tangent; midpoint coordinates; difference of squares gives 3/4.</t>
        </is>
      </c>
      <c r="N52" s="3" t="inlineStr">
        <is>
          <t>Parametric intersection with an asymptote and a clean difference-of-squares evaluation, with the question's missing data restored. Level 3.</t>
        </is>
      </c>
      <c r="O52" s="3" t="inlineStr">
        <is>
          <t>2025-P2-Q4 (L3)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Hyperbola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Family L1L2=c; tangency gives a double root.</t>
        </is>
      </c>
      <c r="N53" s="3" t="inlineStr">
        <is>
          <t>Short and routine: asymptote family, substitute, discriminant. Level 2.</t>
        </is>
      </c>
      <c r="O53" s="3" t="inlineStr">
        <is>
          <t>2025-P2-Q4 (L3)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Hyperbola</t>
        </is>
      </c>
      <c r="F54" s="2" t="n">
        <v>4</v>
      </c>
      <c r="G54" s="6" t="n">
        <v>3</v>
      </c>
      <c r="H54" s="6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Substitute the line through P into the asymptote pair; constant term is 1.</t>
        </is>
      </c>
      <c r="N54" s="3" t="inlineStr">
        <is>
          <t>Parametric line meeting a pair of lines, with the constant term turning into 1 because P lies on the curve; algebra is brief but the missing statement has to be restored. Level 3.</t>
        </is>
      </c>
      <c r="O54" s="3" t="inlineStr">
        <is>
          <t>2025-P2-Q4 (L3)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Parabola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PM=PS=1+t^2 and MS=2 sqrt(1+t^2); equilateral gives t^2=3.</t>
        </is>
      </c>
      <c r="N55" s="3" t="inlineStr">
        <is>
          <t>Focal-distance property then an equation in t; direct and short. Level 2.</t>
        </is>
      </c>
      <c r="O55" s="3" t="inlineStr">
        <is>
          <t>2021-P2-Q8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Parabola</t>
        </is>
      </c>
      <c r="F56" s="2" t="n">
        <v>4</v>
      </c>
      <c r="G56" s="7" t="n">
        <v>4</v>
      </c>
      <c r="H56" s="7" t="inlineStr">
        <is>
          <t>Slightly difficult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Distances of (+-1,0) from the focus equal their distances from the directrix; add and subtract.</t>
        </is>
      </c>
      <c r="N56" s="3" t="inlineStr">
        <is>
          <t>Three stages (focus-directrix with a variable directrix, elimination of theta, latus-rectum tangent quadrilateral) with a hidden constant-sum trick; numerical answer. Level 4.</t>
        </is>
      </c>
      <c r="O56" s="3" t="inlineStr">
        <is>
          <t>2023-P2-Q13 (L4)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Para SCQ</t>
        </is>
      </c>
      <c r="E57" s="3" t="inlineStr">
        <is>
          <t>Parabola</t>
        </is>
      </c>
      <c r="F57" s="2" t="n">
        <v>3</v>
      </c>
      <c r="G57" s="6" t="n">
        <v>3</v>
      </c>
      <c r="H57" s="6" t="inlineStr">
        <is>
          <t>Average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m1m2=2 gives m3=-k/2; substitute in the normal cubic.</t>
        </is>
      </c>
      <c r="N57" s="3" t="inlineStr">
        <is>
          <t>Same normal-slope cubic as Q21 with alpha=2; direct and short. Option-based, so easier than the numerical form. Level 3 for the paragraph's opening step.</t>
        </is>
      </c>
      <c r="O57" s="3" t="inlineStr">
        <is>
          <t>2026-P2-Q2 (L3)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Para SCQ</t>
        </is>
      </c>
      <c r="E58" s="3" t="inlineStr">
        <is>
          <t>Parabola</t>
        </is>
      </c>
      <c r="F58" s="2" t="n">
        <v>3</v>
      </c>
      <c r="G58" s="6" t="n">
        <v>3</v>
      </c>
      <c r="H58" s="6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Focal chord with slope 1: t1+t2=2, t1t2=-1; circle on it as diameter.</t>
        </is>
      </c>
      <c r="N58" s="3" t="inlineStr">
        <is>
          <t>One standard focal-chord relation and a circle on a diameter; routine. Level 3 only as part of the chain.</t>
        </is>
      </c>
      <c r="O58" s="3" t="inlineStr">
        <is>
          <t>2024-P1-Q15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Para SCQ</t>
        </is>
      </c>
      <c r="E59" s="3" t="inlineStr">
        <is>
          <t>Hyperbola</t>
        </is>
      </c>
      <c r="F59" s="2" t="n">
        <v>3</v>
      </c>
      <c r="G59" s="6" t="n">
        <v>3</v>
      </c>
      <c r="H59" s="6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Hyperbola from the centre (3,2); tan(alpha)=12/5; compare with tan 60 and tan 75.</t>
        </is>
      </c>
      <c r="N59" s="3" t="inlineStr">
        <is>
          <t>Needs the previous parts, then a double-angle and a comparison with known tangent values. Level 3 as the last link of the chain.</t>
        </is>
      </c>
      <c r="O59" s="3" t="inlineStr">
        <is>
          <t>2025-P2-Q4 (L3)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Para SCQ</t>
        </is>
      </c>
      <c r="E60" s="3" t="inlineStr">
        <is>
          <t>Hyperbola</t>
        </is>
      </c>
      <c r="F60" s="2" t="n">
        <v>3</v>
      </c>
      <c r="G60" s="6" t="n">
        <v>3</v>
      </c>
      <c r="H60" s="6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Bisected intercept gives dy/dx=-y/x, so xy=constant; vertices on y=x.</t>
        </is>
      </c>
      <c r="N60" s="3" t="inlineStr">
        <is>
          <t>A differential-equation set-up with an insight (bisection condition) followed by routine reading of the rectangular hyperbola. Level 3.</t>
        </is>
      </c>
      <c r="O60" s="3" t="inlineStr">
        <is>
          <t>2026-P2-Q3 (L2)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Para SCQ</t>
        </is>
      </c>
      <c r="E61" s="3" t="inlineStr">
        <is>
          <t>Hyperbola</t>
        </is>
      </c>
      <c r="F61" s="2" t="n">
        <v>3</v>
      </c>
      <c r="G61" s="4" t="n">
        <v>2</v>
      </c>
      <c r="H61" s="4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Director circle of a rectangular hyperbola is x^2+y^2=a^2-b^2=0.</t>
        </is>
      </c>
      <c r="N61" s="3" t="inlineStr">
        <is>
          <t>Single known fact (director circle radius a^2-b^2) with a=b: a one-step recognition, but unusual since the answer is 'None'. Level 2.</t>
        </is>
      </c>
      <c r="O61" s="3" t="inlineStr">
        <is>
          <t>2025-P1-Q7 (L1)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Para SCQ</t>
        </is>
      </c>
      <c r="E62" s="3" t="inlineStr">
        <is>
          <t>Hyperbola</t>
        </is>
      </c>
      <c r="F62" s="2" t="n">
        <v>3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Foci (4,4),(-4,-4) of xy=8; circle on them as diameter.</t>
        </is>
      </c>
      <c r="N62" s="3" t="inlineStr">
        <is>
          <t>Two readings of the rectangular hyperbola (foci, then circle on a diameter); routine. Level 2.</t>
        </is>
      </c>
      <c r="O62" s="3" t="inlineStr">
        <is>
          <t>2025-P1-Q7 (L1)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MTC SCQ</t>
        </is>
      </c>
      <c r="E63" s="3" t="inlineStr">
        <is>
          <t>Parabola</t>
        </is>
      </c>
      <c r="F63" s="2" t="n">
        <v>3</v>
      </c>
      <c r="G63" s="6" t="n">
        <v>3</v>
      </c>
      <c r="H63" s="6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Five standard parabola facts (axis intercepts, reciprocals of squares, right angle at vertex, radical axis); each short.</t>
        </is>
      </c>
      <c r="N63" s="3" t="inlineStr">
        <is>
          <t>Four independent sub-results, two of which (reciprocal squares, radical axis through the vertex) are less-practised ideas; matching helps elimination. Level 3.</t>
        </is>
      </c>
      <c r="O63" s="3" t="inlineStr">
        <is>
          <t>2026-P1-Q16 (L4)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MTC SCQ</t>
        </is>
      </c>
      <c r="E64" s="3" t="inlineStr">
        <is>
          <t>Parabola</t>
        </is>
      </c>
      <c r="F64" s="2" t="n">
        <v>3</v>
      </c>
      <c r="G64" s="6" t="n">
        <v>3</v>
      </c>
      <c r="H64" s="6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Each item is a short ODE or a standard property; (D) needs the +/- branch with C=-1.</t>
        </is>
      </c>
      <c r="N64" s="3" t="inlineStr">
        <is>
          <t>Four independent short differential-equation set-ups (normal, subnormal, normal length); some need a moderate idea (constant normal length gives a circle). Level 3.</t>
        </is>
      </c>
      <c r="O64" s="3" t="inlineStr">
        <is>
          <t>2026-P1-Q16 (L4)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MTC SCQ</t>
        </is>
      </c>
      <c r="E65" s="3" t="inlineStr">
        <is>
          <t>Ellipse</t>
        </is>
      </c>
      <c r="F65" s="2" t="n">
        <v>3</v>
      </c>
      <c r="G65" s="6" t="n">
        <v>3</v>
      </c>
      <c r="H65" s="6" t="inlineStr">
        <is>
          <t>Average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Four standard ellipse products: a^2-b^2, a^2, b^2 and a^2 sin^2+b^2 cos^2.</t>
        </is>
      </c>
      <c r="N65" s="3" t="inlineStr">
        <is>
          <t>Four independent standard results (each requires the right property or a careful computation); item (B) is the least known. Level 3.</t>
        </is>
      </c>
      <c r="O65" s="3" t="inlineStr">
        <is>
          <t>2026-P1-Q16 (L4)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MTC SCQ</t>
        </is>
      </c>
      <c r="E66" s="3" t="inlineStr">
        <is>
          <t>Hyperbola</t>
        </is>
      </c>
      <c r="F66" s="2" t="n">
        <v>3</v>
      </c>
      <c r="G66" s="4" t="n">
        <v>2</v>
      </c>
      <c r="H66" s="4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Each statement is a standard recognition of a conic (locus, parametric form, complex-plane definition, eccentricity range).</t>
        </is>
      </c>
      <c r="N66" s="3" t="inlineStr">
        <is>
          <t>Five short standard recognitions in matching format with some statements matching two conics; an Advanced-2009 item with direct computations. Level 2.</t>
        </is>
      </c>
      <c r="O66" s="3" t="inlineStr">
        <is>
          <t>2026-P1-Q16 (L4)</t>
        </is>
      </c>
      <c r="P66" s="2" t="inlineStr">
        <is>
          <t>Medium</t>
        </is>
      </c>
    </row>
    <row r="68">
      <c r="A6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CONIC SECTION_FCopy C2.pdf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COUNTIF(Evaluation!$G$2:$G$66,A5)</f>
        <v/>
      </c>
      <c r="D5" s="11">
        <f>SUMIF(Evaluation!$G$2:$G$66,A5,Evaluation!$F$2:$F$66)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COUNTIF(Evaluation!$G$2:$G$66,A6)</f>
        <v/>
      </c>
      <c r="D6" s="13">
        <f>SUMIF(Evaluation!$G$2:$G$66,A6,Evaluation!$F$2:$F$66)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COUNTIF(Evaluation!$G$2:$G$66,A7)</f>
        <v/>
      </c>
      <c r="D7" s="15">
        <f>SUMIF(Evaluation!$G$2:$G$66,A7,Evaluation!$F$2:$F$66)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COUNTIF(Evaluation!$G$2:$G$66,A8)</f>
        <v/>
      </c>
      <c r="D8" s="17">
        <f>SUMIF(Evaluation!$G$2:$G$66,A8,Evaluation!$F$2:$F$66)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COUNTIF(Evaluation!$G$2:$G$66,A9)</f>
        <v/>
      </c>
      <c r="D9" s="19">
        <f>SUMIF(Evaluation!$G$2:$G$66,A9,Evaluation!$F$2:$F$66)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COUNTIF(Evaluation!$G$2:$G$66,A10)</f>
        <v/>
      </c>
      <c r="D10" s="21">
        <f>SUMIF(Evaluation!$G$2:$G$66,A10,Evaluation!$F$2:$F$66)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SUM(Evaluation!$L$2:$L$66)/SUM(Evaluation!$F$2:$F$66)</f>
        <v/>
      </c>
      <c r="C14" s="24">
        <f>SUMPRODUCT(Evaluation!$F$2:$F$66,Evaluation!$G$2:$G$66)/SUM(Evaluation!$F$2:$F$66)</f>
        <v/>
      </c>
      <c r="D14" s="23">
        <f>SUM(Evaluation!$F$2:$F$66)</f>
        <v/>
      </c>
      <c r="E14" s="24">
        <f>AVERAGE(Evaluation!$G$2:$G$66)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2026-10-13T15:02:55Z</dcterms:created>
  <dcterms:modified xmlns:dcterms="http://purl.org/dc/terms/" xmlns:xsi="http://www.w3.org/2001/XMLSchema-instance" xsi:type="dcterms:W3CDTF">2026-10-13T15:02:55Z</dcterms:modified>
</cp:coreProperties>
</file>