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Q181</t>
        </is>
      </c>
      <c r="D2" s="2" t="inlineStr">
        <is>
          <t>SCQ</t>
        </is>
      </c>
      <c r="E2" s="3" t="inlineStr">
        <is>
          <t>Maxima &amp; Minima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Read the maximum property as f(1/e)&gt;f(1/pi), then raise to e*pi.</t>
        </is>
      </c>
      <c r="N2" s="3" t="inlineStr">
        <is>
          <t>Maximum-value comparison of two exponentials; tangent-line trick as alternate - level 2.</t>
        </is>
      </c>
      <c r="O2" s="3" t="inlineStr">
        <is>
          <t>2021-P1-Q12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Q182</t>
        </is>
      </c>
      <c r="D3" s="2" t="inlineStr">
        <is>
          <t>SCQ</t>
        </is>
      </c>
      <c r="E3" s="3" t="inlineStr">
        <is>
          <t>Maxima &amp; Minima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Factor f' and read the sign changes of the six intervals.</t>
        </is>
      </c>
      <c r="N3" s="3" t="inlineStr">
        <is>
          <t>Trig derivative factorisation and a six-interval sign table.</t>
        </is>
      </c>
      <c r="O3" s="3" t="inlineStr">
        <is>
          <t>2021-P1-Q12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Q183</t>
        </is>
      </c>
      <c r="D4" s="2" t="inlineStr">
        <is>
          <t>SCQ</t>
        </is>
      </c>
      <c r="E4" s="3" t="inlineStr">
        <is>
          <t>Maxima &amp; Minima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Critical points a and 2a, max first, so alpha^2=2alpha.</t>
        </is>
      </c>
      <c r="N4" s="3" t="inlineStr">
        <is>
          <t>Quick factorisation, one condition - routine.</t>
        </is>
      </c>
      <c r="O4" s="3" t="inlineStr">
        <is>
          <t>2024-P2-Q10 (L1)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Q184</t>
        </is>
      </c>
      <c r="D5" s="2" t="inlineStr">
        <is>
          <t>SCQ</t>
        </is>
      </c>
      <c r="E5" s="3" t="inlineStr">
        <is>
          <t>Maxima &amp; Minima / Application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Reduce the product to a cubic in d and find its local maximum.</t>
        </is>
      </c>
      <c r="N5" s="3" t="inlineStr">
        <is>
          <t>Routine optimisation, but the question is flawed (no global maximum).</t>
        </is>
      </c>
      <c r="O5" s="3" t="inlineStr">
        <is>
          <t>2021-P1-Q12 (L2)</t>
        </is>
      </c>
      <c r="P5" s="2" t="inlineStr">
        <is>
          <t>Low</t>
        </is>
      </c>
    </row>
    <row r="6">
      <c r="A6" s="2" t="n">
        <v>5</v>
      </c>
      <c r="B6" s="2" t="inlineStr"/>
      <c r="C6" s="2" t="inlineStr">
        <is>
          <t>Q185</t>
        </is>
      </c>
      <c r="D6" s="2" t="inlineStr">
        <is>
          <t>SCQ</t>
        </is>
      </c>
      <c r="E6" s="3" t="inlineStr">
        <is>
          <t>Maxima &amp; Minima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f' fails to exist at 0 (cusp) and vanishes at -1: test both.</t>
        </is>
      </c>
      <c r="N6" s="3" t="inlineStr">
        <is>
          <t>Cusp handling is less routine than a polynomial.</t>
        </is>
      </c>
      <c r="O6" s="3" t="inlineStr">
        <is>
          <t>2021-P1-Q12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Q186</t>
        </is>
      </c>
      <c r="D7" s="2" t="inlineStr">
        <is>
          <t>SCQ</t>
        </is>
      </c>
      <c r="E7" s="3" t="inlineStr">
        <is>
          <t>Maxima &amp; Minima / Application</t>
        </is>
      </c>
      <c r="F7" s="2" t="n">
        <v>4</v>
      </c>
      <c r="G7" s="6" t="n">
        <v>1</v>
      </c>
      <c r="H7" s="6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Area = x*y = 54x-2x^3, differentiate.</t>
        </is>
      </c>
      <c r="N7" s="3" t="inlineStr">
        <is>
          <t>Direct set-up and one derivative - routine.</t>
        </is>
      </c>
      <c r="O7" s="3" t="inlineStr">
        <is>
          <t>2024-P2-Q10 (L1)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Q187</t>
        </is>
      </c>
      <c r="D8" s="2" t="inlineStr">
        <is>
          <t>SCQ</t>
        </is>
      </c>
      <c r="E8" s="3" t="inlineStr">
        <is>
          <t>Maxima &amp; Minima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Compare f at endpoints and critical points -3,-1,2.</t>
        </is>
      </c>
      <c r="N8" s="3" t="inlineStr">
        <is>
          <t>Product-rule factorisation then several evaluations.</t>
        </is>
      </c>
      <c r="O8" s="3" t="inlineStr">
        <is>
          <t>2021-P1-Q12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Q188</t>
        </is>
      </c>
      <c r="D9" s="2" t="inlineStr">
        <is>
          <t>SCQ</t>
        </is>
      </c>
      <c r="E9" s="3" t="inlineStr">
        <is>
          <t>Maxima &amp; Minima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Factor f' = (cos x - 1)(4cos^2 x - 3), compare with the endpoint.</t>
        </is>
      </c>
      <c r="N9" s="3" t="inlineStr">
        <is>
          <t>Multiple-angle algebra plus closed-interval comparison.</t>
        </is>
      </c>
      <c r="O9" s="3" t="inlineStr">
        <is>
          <t>2021-P1-Q12 (L2)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Q189</t>
        </is>
      </c>
      <c r="D10" s="2" t="inlineStr">
        <is>
          <t>SCQ</t>
        </is>
      </c>
      <c r="E10" s="3" t="inlineStr">
        <is>
          <t>Maxima &amp; Minima</t>
        </is>
      </c>
      <c r="F10" s="2" t="n">
        <v>4</v>
      </c>
      <c r="G10" s="6" t="n">
        <v>1</v>
      </c>
      <c r="H10" s="6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Roots of f' of opposite signs iff f'(0)&lt;0.</t>
        </is>
      </c>
      <c r="N10" s="3" t="inlineStr">
        <is>
          <t>One standard condition - routine.</t>
        </is>
      </c>
      <c r="O10" s="3" t="inlineStr">
        <is>
          <t>2024-P2-Q10 (L1)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Q190</t>
        </is>
      </c>
      <c r="D11" s="2" t="inlineStr">
        <is>
          <t>SCQ</t>
        </is>
      </c>
      <c r="E11" s="3" t="inlineStr">
        <is>
          <t>Maxima &amp; Minima</t>
        </is>
      </c>
      <c r="F11" s="2" t="n">
        <v>4</v>
      </c>
      <c r="G11" s="6" t="n">
        <v>1</v>
      </c>
      <c r="H11" s="6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Subtract f' and g' to force the common root x=1.</t>
        </is>
      </c>
      <c r="N11" s="3" t="inlineStr">
        <is>
          <t>Single elimination step - routine.</t>
        </is>
      </c>
      <c r="O11" s="3" t="inlineStr">
        <is>
          <t>2024-P2-Q10 (L1)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Q191</t>
        </is>
      </c>
      <c r="D12" s="2" t="inlineStr">
        <is>
          <t>SCQ</t>
        </is>
      </c>
      <c r="E12" s="3" t="inlineStr">
        <is>
          <t>Monotonicity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Bound f' and g' on [0,3]; both increasing, compare values at 3.</t>
        </is>
      </c>
      <c r="N12" s="3" t="inlineStr">
        <is>
          <t>Four statements to check with derivative bounds.</t>
        </is>
      </c>
      <c r="O12" s="3" t="inlineStr">
        <is>
          <t>2021-P1-Q12 (L2)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Q192</t>
        </is>
      </c>
      <c r="D13" s="2" t="inlineStr">
        <is>
          <t>SCQ</t>
        </is>
      </c>
      <c r="E13" s="3" t="inlineStr">
        <is>
          <t>Maxima &amp; Minima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Split the modulus and show f decreasing.</t>
        </is>
      </c>
      <c r="N13" s="3" t="inlineStr">
        <is>
          <t>Piecewise quadratic with a kink; short.</t>
        </is>
      </c>
      <c r="O13" s="3" t="inlineStr">
        <is>
          <t>2021-P1-Q12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Q193</t>
        </is>
      </c>
      <c r="D14" s="2" t="inlineStr">
        <is>
          <t>Numerical</t>
        </is>
      </c>
      <c r="E14" s="3" t="inlineStr">
        <is>
          <t>Maxima &amp; Minima</t>
        </is>
      </c>
      <c r="F14" s="2" t="n">
        <v>4</v>
      </c>
      <c r="G14" s="6" t="n">
        <v>1</v>
      </c>
      <c r="H14" s="6" t="inlineStr">
        <is>
          <t>JEE Main level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Local max and min values of opposite sign.</t>
        </is>
      </c>
      <c r="N14" s="3" t="inlineStr">
        <is>
          <t>Standard three-roots condition - routine.</t>
        </is>
      </c>
      <c r="O14" s="3" t="inlineStr">
        <is>
          <t>2024-P2-Q10 (L1)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Q194</t>
        </is>
      </c>
      <c r="D15" s="2" t="inlineStr">
        <is>
          <t>Numerical</t>
        </is>
      </c>
      <c r="E15" s="3" t="inlineStr">
        <is>
          <t>Maxima &amp; Minima / Application</t>
        </is>
      </c>
      <c r="F15" s="2" t="n">
        <v>4</v>
      </c>
      <c r="G15" s="6" t="n">
        <v>1</v>
      </c>
      <c r="H15" s="6" t="inlineStr">
        <is>
          <t>JEE Main level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Area (24-x)2y in terms of y, differentiate.</t>
        </is>
      </c>
      <c r="N15" s="3" t="inlineStr">
        <is>
          <t>Routine optimisation.</t>
        </is>
      </c>
      <c r="O15" s="3" t="inlineStr">
        <is>
          <t>2024-P2-Q10 (L1)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Q195</t>
        </is>
      </c>
      <c r="D16" s="2" t="inlineStr">
        <is>
          <t>Numerical</t>
        </is>
      </c>
      <c r="E16" s="3" t="inlineStr">
        <is>
          <t>Maxima &amp; Minima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Local minimum at -lambda/sqrt3 and the rational inequality gives (-3,-2).</t>
        </is>
      </c>
      <c r="N16" s="3" t="inlineStr">
        <is>
          <t>Two routine parts chained.</t>
        </is>
      </c>
      <c r="O16" s="3" t="inlineStr">
        <is>
          <t>2021-P1-Q12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Q196</t>
        </is>
      </c>
      <c r="D17" s="2" t="inlineStr">
        <is>
          <t>Numerical</t>
        </is>
      </c>
      <c r="E17" s="3" t="inlineStr">
        <is>
          <t>Definite Integration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Only odd-power zeros change the sign of f'; x=3 does not.</t>
        </is>
      </c>
      <c r="N17" s="3" t="inlineStr">
        <is>
          <t>Sign scheme with multiplicities after the FTC; five critical points.</t>
        </is>
      </c>
      <c r="O17" s="3" t="inlineStr">
        <is>
          <t>2021-P1-Q12 (L2)</t>
        </is>
      </c>
      <c r="P17" s="2" t="inlineStr">
        <is>
          <t>Medium</t>
        </is>
      </c>
    </row>
    <row r="19">
      <c r="A19" s="7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8" t="inlineStr">
        <is>
          <t>Difficulty summary</t>
        </is>
      </c>
    </row>
    <row r="2">
      <c r="A2" s="7" t="inlineStr">
        <is>
          <t>Source: JEE_Main_Question_Bank_01_Differential_Calculus_10.pdf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9" t="n">
        <v>0</v>
      </c>
      <c r="B5" s="9" t="inlineStr">
        <is>
          <t>Easier than JEE Main</t>
        </is>
      </c>
      <c r="C5" s="9">
        <f>COUNTIF(Evaluation!$G$2:$G$17,A5)</f>
        <v/>
      </c>
      <c r="D5" s="9">
        <f>SUMIF(Evaluation!$G$2:$G$17,A5,Evaluation!$F$2:$F$17)</f>
        <v/>
      </c>
      <c r="E5" s="10">
        <f>IF(SUM($D$5:$D$10)=0,0,D5/SUM($D$5:$D$10))</f>
        <v/>
      </c>
    </row>
    <row r="6">
      <c r="A6" s="11" t="n">
        <v>1</v>
      </c>
      <c r="B6" s="11" t="inlineStr">
        <is>
          <t>JEE Main level</t>
        </is>
      </c>
      <c r="C6" s="11">
        <f>COUNTIF(Evaluation!$G$2:$G$17,A6)</f>
        <v/>
      </c>
      <c r="D6" s="11">
        <f>SUMIF(Evaluation!$G$2:$G$17,A6,Evaluation!$F$2:$F$17)</f>
        <v/>
      </c>
      <c r="E6" s="12">
        <f>IF(SUM($D$5:$D$10)=0,0,D6/SUM($D$5:$D$10))</f>
        <v/>
      </c>
    </row>
    <row r="7">
      <c r="A7" s="13" t="n">
        <v>2</v>
      </c>
      <c r="B7" s="13" t="inlineStr">
        <is>
          <t>Easier than Advanced</t>
        </is>
      </c>
      <c r="C7" s="13">
        <f>COUNTIF(Evaluation!$G$2:$G$17,A7)</f>
        <v/>
      </c>
      <c r="D7" s="13">
        <f>SUMIF(Evaluation!$G$2:$G$17,A7,Evaluation!$F$2:$F$17)</f>
        <v/>
      </c>
      <c r="E7" s="14">
        <f>IF(SUM($D$5:$D$10)=0,0,D7/SUM($D$5:$D$10))</f>
        <v/>
      </c>
    </row>
    <row r="8">
      <c r="A8" s="15" t="n">
        <v>3</v>
      </c>
      <c r="B8" s="15" t="inlineStr">
        <is>
          <t>Average Advanced</t>
        </is>
      </c>
      <c r="C8" s="15">
        <f>COUNTIF(Evaluation!$G$2:$G$17,A8)</f>
        <v/>
      </c>
      <c r="D8" s="15">
        <f>SUMIF(Evaluation!$G$2:$G$17,A8,Evaluation!$F$2:$F$17)</f>
        <v/>
      </c>
      <c r="E8" s="16">
        <f>IF(SUM($D$5:$D$10)=0,0,D8/SUM($D$5:$D$10))</f>
        <v/>
      </c>
    </row>
    <row r="9">
      <c r="A9" s="17" t="n">
        <v>4</v>
      </c>
      <c r="B9" s="17" t="inlineStr">
        <is>
          <t>Slightly difficult</t>
        </is>
      </c>
      <c r="C9" s="17">
        <f>COUNTIF(Evaluation!$G$2:$G$17,A9)</f>
        <v/>
      </c>
      <c r="D9" s="17">
        <f>SUMIF(Evaluation!$G$2:$G$17,A9,Evaluation!$F$2:$F$17)</f>
        <v/>
      </c>
      <c r="E9" s="18">
        <f>IF(SUM($D$5:$D$10)=0,0,D9/SUM($D$5:$D$10))</f>
        <v/>
      </c>
    </row>
    <row r="10">
      <c r="A10" s="19" t="n">
        <v>5</v>
      </c>
      <c r="B10" s="19" t="inlineStr">
        <is>
          <t>Very difficult</t>
        </is>
      </c>
      <c r="C10" s="19">
        <f>COUNTIF(Evaluation!$G$2:$G$17,A10)</f>
        <v/>
      </c>
      <c r="D10" s="19">
        <f>SUMIF(Evaluation!$G$2:$G$17,A10,Evaluation!$F$2:$F$17)</f>
        <v/>
      </c>
      <c r="E10" s="20">
        <f>IF(SUM($D$5:$D$10)=0,0,D10/SUM($D$5:$D$10))</f>
        <v/>
      </c>
    </row>
    <row r="11">
      <c r="A11" s="21" t="inlineStr">
        <is>
          <t>Total</t>
        </is>
      </c>
      <c r="C11" s="21">
        <f>SUM(C5:C10)</f>
        <v/>
      </c>
      <c r="D11" s="21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1" t="inlineStr">
        <is>
          <t>Overall</t>
        </is>
      </c>
      <c r="B14" s="22">
        <f>SUM(Evaluation!$L$2:$L$17)/SUM(Evaluation!$F$2:$F$17)</f>
        <v/>
      </c>
      <c r="C14" s="22">
        <f>SUMPRODUCT(Evaluation!$F$2:$F$17,Evaluation!$G$2:$G$17)/SUM(Evaluation!$F$2:$F$17)</f>
        <v/>
      </c>
      <c r="D14" s="21">
        <f>SUM(Evaluation!$F$2:$F$17)</f>
        <v/>
      </c>
      <c r="E14" s="22">
        <f>AVERAGE(Evaluation!$G$2:$G$17)</f>
        <v/>
      </c>
    </row>
    <row r="16">
      <c r="A16" s="7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8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3" t="n">
        <v>2021</v>
      </c>
      <c r="B4" s="24" t="n">
        <v>2.758333333333333</v>
      </c>
      <c r="C4" s="24" t="n">
        <v>2.894736842105263</v>
      </c>
      <c r="D4" s="23" t="n">
        <v>16</v>
      </c>
      <c r="E4" s="23" t="n">
        <v>34</v>
      </c>
      <c r="F4" s="23" t="n">
        <v>1</v>
      </c>
    </row>
    <row r="5">
      <c r="A5" s="23" t="n">
        <v>2023</v>
      </c>
      <c r="B5" s="24" t="n">
        <v>3.191666666666667</v>
      </c>
      <c r="C5" s="24" t="n">
        <v>3.147058823529412</v>
      </c>
      <c r="D5" s="23" t="n">
        <v>13</v>
      </c>
      <c r="E5" s="23" t="n">
        <v>47</v>
      </c>
      <c r="F5" s="23" t="n">
        <v>5</v>
      </c>
    </row>
    <row r="6">
      <c r="A6" s="23" t="n">
        <v>2024</v>
      </c>
      <c r="B6" s="24" t="n">
        <v>2.591666666666667</v>
      </c>
      <c r="C6" s="24" t="n">
        <v>2.558823529411764</v>
      </c>
      <c r="D6" s="23" t="n">
        <v>28</v>
      </c>
      <c r="E6" s="23" t="n">
        <v>40</v>
      </c>
      <c r="F6" s="23" t="n">
        <v>1</v>
      </c>
    </row>
    <row r="7">
      <c r="A7" s="23" t="n">
        <v>2025</v>
      </c>
      <c r="B7" s="24" t="n">
        <v>3.208333333333333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>
      <c r="A8" s="23" t="n">
        <v>2026</v>
      </c>
      <c r="B8" s="24" t="n">
        <v>3.025</v>
      </c>
      <c r="C8" s="24" t="n">
        <v>2.941176470588236</v>
      </c>
      <c r="D8" s="23" t="n">
        <v>6</v>
      </c>
      <c r="E8" s="23" t="n">
        <v>38</v>
      </c>
      <c r="F8" s="23" t="n">
        <v>2</v>
      </c>
    </row>
    <row r="9">
      <c r="A9" s="21" t="inlineStr">
        <is>
          <t>This paper</t>
        </is>
      </c>
      <c r="B9" s="22">
        <f>Summary!B14</f>
        <v/>
      </c>
      <c r="C9" s="22">
        <f>Summary!E14</f>
        <v/>
      </c>
      <c r="D9" s="21">
        <f>Summary!D5+Summary!D6</f>
        <v/>
      </c>
      <c r="E9" s="21">
        <f>Summary!D9+Summary!D10</f>
        <v/>
      </c>
      <c r="F9" s="21">
        <f>Summary!C10</f>
        <v/>
      </c>
    </row>
    <row r="11">
      <c r="A11" s="7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2026-10-06T01:25:58Z</dcterms:created>
  <dcterms:modified xmlns:dcterms="http://purl.org/dc/terms/" xmlns:xsi="http://www.w3.org/2001/XMLSchema-instance" xsi:type="dcterms:W3CDTF">2026-10-06T01:25:58Z</dcterms:modified>
</cp:coreProperties>
</file>