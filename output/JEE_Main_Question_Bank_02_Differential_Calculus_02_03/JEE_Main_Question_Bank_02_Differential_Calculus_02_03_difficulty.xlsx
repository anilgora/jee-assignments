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41)</t>
        </is>
      </c>
      <c r="D2" s="2" t="inlineStr">
        <is>
          <t>Numerical</t>
        </is>
      </c>
      <c r="E2" s="3" t="inlineStr">
        <is>
          <t>Application of Derivatives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Read f'' = 2a gives a; the maximum of an increasing quadratic is at x=1.</t>
        </is>
      </c>
      <c r="N2" s="3" t="inlineStr">
        <is>
          <t>Quadratic from three conditions, then monotonic maximum (L2).</t>
        </is>
      </c>
      <c r="O2" s="3" t="inlineStr">
        <is>
          <t>No close Main-level anchor; compared by topic with 2021-2026 Advanced anchors (all harder)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 (printed 42)</t>
        </is>
      </c>
      <c r="D3" s="2" t="inlineStr">
        <is>
          <t>Numerical</t>
        </is>
      </c>
      <c r="E3" s="3" t="inlineStr">
        <is>
          <t>Monotonicity / Roots of Polynomials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Spot P' = 10(x^2+x+1)^2 &gt; 0, then IVT.</t>
        </is>
      </c>
      <c r="N3" s="3" t="inlineStr">
        <is>
          <t>Hidden perfect square in the derivative, then IVT sign check (L3).</t>
        </is>
      </c>
      <c r="O3" s="3" t="inlineStr">
        <is>
          <t>No close Main-level anchor; compared by topic with 2021-2026 Advanced anchors (all harder)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43)</t>
        </is>
      </c>
      <c r="D4" s="2" t="inlineStr">
        <is>
          <t>Numerical</t>
        </is>
      </c>
      <c r="E4" s="3" t="inlineStr">
        <is>
          <t>Tangents</t>
        </is>
      </c>
      <c r="F4" s="2" t="n">
        <v>4</v>
      </c>
      <c r="G4" s="7" t="n">
        <v>1</v>
      </c>
      <c r="H4" s="7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Tangent slopes 2x-3 at x=1,2 give x+y=1 and x-y=2.</t>
        </is>
      </c>
      <c r="N4" s="3" t="inlineStr">
        <is>
          <t>Routine tangent at two points (L1).</t>
        </is>
      </c>
      <c r="O4" s="3" t="inlineStr">
        <is>
          <t>No close Main-level anchor; compared by topic with 2021-2026 Advanced anchors (all harder)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(printed 44)</t>
        </is>
      </c>
      <c r="D5" s="2" t="inlineStr">
        <is>
          <t>Numerical</t>
        </is>
      </c>
      <c r="E5" s="3" t="inlineStr">
        <is>
          <t>Methods of Differentiation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Use g'(1) on both sides of g' to get f(1)=-2.</t>
        </is>
      </c>
      <c r="N5" s="3" t="inlineStr">
        <is>
          <t>Self-referential definitions with unknown constants; a few careful steps (L2).</t>
        </is>
      </c>
      <c r="O5" s="3" t="inlineStr">
        <is>
          <t>No close Main-level anchor; compared by topic with 2021-2026 Advanced anchors (all harder)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45)</t>
        </is>
      </c>
      <c r="D6" s="2" t="inlineStr">
        <is>
          <t>Numerical</t>
        </is>
      </c>
      <c r="E6" s="3" t="inlineStr">
        <is>
          <t>Application of Derivatives / Maxima-Minima</t>
        </is>
      </c>
      <c r="F6" s="2" t="n">
        <v>4</v>
      </c>
      <c r="G6" s="7" t="n">
        <v>1</v>
      </c>
      <c r="H6" s="7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MD^2+MC^2 is a quadratic in x; complete the square.</t>
        </is>
      </c>
      <c r="N6" s="3" t="inlineStr">
        <is>
          <t>One Pythagoras step and a quadratic minimum (L1).</t>
        </is>
      </c>
      <c r="O6" s="3" t="inlineStr">
        <is>
          <t>No close Main-level anchor; compared by topic with 2021-2026 Advanced anchors (all harder)</t>
        </is>
      </c>
      <c r="P6" s="2" t="inlineStr">
        <is>
          <t>Medium</t>
        </is>
      </c>
    </row>
    <row r="8">
      <c r="A8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JEE_Main_Question_Bank_02_Differential_Calculus_02_03.pdf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COUNTIF(Evaluation!$G$2:$G$6,A5)</f>
        <v/>
      </c>
      <c r="D5" s="10">
        <f>SUMIF(Evaluation!$G$2:$G$6,A5,Evaluation!$F$2:$F$6)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COUNTIF(Evaluation!$G$2:$G$6,A6)</f>
        <v/>
      </c>
      <c r="D6" s="12">
        <f>SUMIF(Evaluation!$G$2:$G$6,A6,Evaluation!$F$2:$F$6)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COUNTIF(Evaluation!$G$2:$G$6,A7)</f>
        <v/>
      </c>
      <c r="D7" s="14">
        <f>SUMIF(Evaluation!$G$2:$G$6,A7,Evaluation!$F$2:$F$6)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COUNTIF(Evaluation!$G$2:$G$6,A8)</f>
        <v/>
      </c>
      <c r="D8" s="16">
        <f>SUMIF(Evaluation!$G$2:$G$6,A8,Evaluation!$F$2:$F$6)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COUNTIF(Evaluation!$G$2:$G$6,A9)</f>
        <v/>
      </c>
      <c r="D9" s="18">
        <f>SUMIF(Evaluation!$G$2:$G$6,A9,Evaluation!$F$2:$F$6)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COUNTIF(Evaluation!$G$2:$G$6,A10)</f>
        <v/>
      </c>
      <c r="D10" s="20">
        <f>SUMIF(Evaluation!$G$2:$G$6,A10,Evaluation!$F$2:$F$6)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SUM(Evaluation!$L$2:$L$6)/SUM(Evaluation!$F$2:$F$6)</f>
        <v/>
      </c>
      <c r="C14" s="23">
        <f>SUMPRODUCT(Evaluation!$F$2:$F$6,Evaluation!$G$2:$G$6)/SUM(Evaluation!$F$2:$F$6)</f>
        <v/>
      </c>
      <c r="D14" s="22">
        <f>SUM(Evaluation!$F$2:$F$6)</f>
        <v/>
      </c>
      <c r="E14" s="23">
        <f>AVERAGE(Evaluation!$G$2:$G$6)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2026-10-13T00:22:07Z</dcterms:created>
  <dcterms:modified xmlns:dcterms="http://purl.org/dc/terms/" xmlns:xsi="http://www.w3.org/2001/XMLSchema-instance" xsi:type="dcterms:W3CDTF">2026-10-13T00:22:07Z</dcterms:modified>
</cp:coreProperties>
</file>