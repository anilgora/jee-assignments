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 (PDF Q61)</t>
        </is>
      </c>
      <c r="D2" s="2" t="inlineStr">
        <is>
          <t>SCQ</t>
        </is>
      </c>
      <c r="E2" s="3" t="inlineStr">
        <is>
          <t>Definite Integration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Power-reduce $\cos^4x$ with $\cos2x$ and integrate.</t>
        </is>
      </c>
      <c r="N2" s="3" t="inlineStr">
        <is>
          <t>One familiar move (power reduction) with routine arithmetic; options allow a check.</t>
        </is>
      </c>
      <c r="O2" s="3" t="inlineStr">
        <is>
          <t>2026-P2-Q4 (L1)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 (PDF Q62)</t>
        </is>
      </c>
      <c r="D3" s="2" t="inlineStr">
        <is>
          <t>SCQ</t>
        </is>
      </c>
      <c r="E3" s="3" t="inlineStr">
        <is>
          <t>Definite Integration / Differential Equations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Differentiate the integral equation to a linear ODE and solve with $1/x^2$.</t>
        </is>
      </c>
      <c r="N3" s="3" t="inlineStr">
        <is>
          <t>Leibniz rule then standard linear ODE; chained routine steps, no insight.</t>
        </is>
      </c>
      <c r="O3" s="3" t="inlineStr">
        <is>
          <t>2023-P2-Q9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 (PDF Q63)</t>
        </is>
      </c>
      <c r="D4" s="2" t="inlineStr">
        <is>
          <t>SCQ</t>
        </is>
      </c>
      <c r="E4" s="3" t="inlineStr">
        <is>
          <t>Definite Integration</t>
        </is>
      </c>
      <c r="F4" s="2" t="n">
        <v>4</v>
      </c>
      <c r="G4" s="4" t="n">
        <v>1</v>
      </c>
      <c r="H4" s="4" t="inlineStr">
        <is>
          <t>JEE Main level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Differentiate with upper limit $t^2$ and substitute $t=\pi/2$.</t>
        </is>
      </c>
      <c r="N4" s="3" t="inlineStr">
        <is>
          <t>A single Leibniz-rule step; the only care is the chain-rule factor $2t$.</t>
        </is>
      </c>
      <c r="O4" s="3" t="inlineStr">
        <is>
          <t>2024-P2-Q3 (L1)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 (PDF Q64)</t>
        </is>
      </c>
      <c r="D5" s="2" t="inlineStr">
        <is>
          <t>SCQ</t>
        </is>
      </c>
      <c r="E5" s="3" t="inlineStr">
        <is>
          <t>Definite Integration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Substitute $e^x=t$, integrate $\ln(t+\sqrt{1+t^2})$ by parts, and match a messy option.</t>
        </is>
      </c>
      <c r="N5" s="3" t="inlineStr">
        <is>
          <t>Substitution plus by-parts plus careful logarithm simplification; routine but error-prone.</t>
        </is>
      </c>
      <c r="O5" s="3" t="inlineStr">
        <is>
          <t>2026-P2-Q3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 (PDF Q65)</t>
        </is>
      </c>
      <c r="D6" s="2" t="inlineStr">
        <is>
          <t>SCQ</t>
        </is>
      </c>
      <c r="E6" s="3" t="inlineStr">
        <is>
          <t>Definite Integration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Evaluate $\min\{x^2,x-[x]\}$ on $[0,1)$ and $[x-\ln x]$ on $[1,2]$.</t>
        </is>
      </c>
      <c r="N6" s="3" t="inlineStr">
        <is>
          <t>Reading two piecewise definitions correctly, then two easy integrals.</t>
        </is>
      </c>
      <c r="O6" s="3" t="inlineStr">
        <is>
          <t>2023-P2-Q9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 (PDF Q66)</t>
        </is>
      </c>
      <c r="D7" s="2" t="inlineStr">
        <is>
          <t>Numerical</t>
        </is>
      </c>
      <c r="E7" s="3" t="inlineStr">
        <is>
          <t>Definite Integration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Split $[e^{1-x}]$ at $1-\ln2$ and $1$.</t>
        </is>
      </c>
      <c r="N7" s="3" t="inlineStr">
        <is>
          <t>Monotone floor splitting with an answer to be read as $\alpha-\ln2$; short chain.</t>
        </is>
      </c>
      <c r="O7" s="3" t="inlineStr">
        <is>
          <t>2026-P2-Q3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 (PDF Q67)</t>
        </is>
      </c>
      <c r="D8" s="2" t="inlineStr">
        <is>
          <t>Numerical</t>
        </is>
      </c>
      <c r="E8" s="3" t="inlineStr">
        <is>
          <t>Definite Integration / Differential Equations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$\int_0^1f(\lambda x)d\lambda=\frac1x\int_0^xf$ turns the equation into a separable ODE.</t>
        </is>
      </c>
      <c r="N8" s="3" t="inlineStr">
        <is>
          <t>Hidden substitution then ODE with a parameter $a$ solved from $f(16)$; numerical answer, several stages.</t>
        </is>
      </c>
      <c r="O8" s="3" t="inlineStr">
        <is>
          <t>2026-P2-Q5 (L4)</t>
        </is>
      </c>
      <c r="P8" s="2" t="inlineStr">
        <is>
          <t>Low</t>
        </is>
      </c>
    </row>
    <row r="9">
      <c r="A9" s="2" t="n">
        <v>8</v>
      </c>
      <c r="B9" s="2" t="inlineStr"/>
      <c r="C9" s="2" t="inlineStr">
        <is>
          <t>Q8 (PDF Q68)</t>
        </is>
      </c>
      <c r="D9" s="2" t="inlineStr">
        <is>
          <t>Numerical</t>
        </is>
      </c>
      <c r="E9" s="3" t="inlineStr">
        <is>
          <t>Limits / Definite Integration</t>
        </is>
      </c>
      <c r="F9" s="2" t="n">
        <v>4</v>
      </c>
      <c r="G9" s="7" t="n">
        <v>3</v>
      </c>
      <c r="H9" s="7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Recognise $1^\infty$ form and evaluate $\lim\frac{I(t)-1}t$.</t>
        </is>
      </c>
      <c r="N9" s="3" t="inlineStr">
        <is>
          <t>Integral, $1^\infty$ limit with logarithm of a mixed expression, then matching constants; no options.</t>
        </is>
      </c>
      <c r="O9" s="3" t="inlineStr">
        <is>
          <t>2024-P2-Q3 (L1)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 (PDF Q69)</t>
        </is>
      </c>
      <c r="D10" s="2" t="inlineStr">
        <is>
          <t>Numerical</t>
        </is>
      </c>
      <c r="E10" s="3" t="inlineStr">
        <is>
          <t>Definite Integration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Split at $\frac\pi{48}$ and $\frac\pi6$ and add the sine pieces.</t>
        </is>
      </c>
      <c r="N10" s="3" t="inlineStr">
        <is>
          <t>Two breakpoints from modulus and floor; routine integrals, cos terms cancel.</t>
        </is>
      </c>
      <c r="O10" s="3" t="inlineStr">
        <is>
          <t>2026-P2-Q3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 (PDF Q70)</t>
        </is>
      </c>
      <c r="D11" s="2" t="inlineStr">
        <is>
          <t>Numerical</t>
        </is>
      </c>
      <c r="E11" s="3" t="inlineStr">
        <is>
          <t>Definite Integration / 3D Geometry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Skew-line distance gives $k=\frac32$; split $[x^2]$ at $1,\sqrt2$.</t>
        </is>
      </c>
      <c r="N11" s="3" t="inlineStr">
        <is>
          <t>Two independent routine parts stitched by $k$; calculations are short.</t>
        </is>
      </c>
      <c r="O11" s="3" t="inlineStr">
        <is>
          <t>2023-P2-Q9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 (PDF Q71)</t>
        </is>
      </c>
      <c r="D12" s="2" t="inlineStr">
        <is>
          <t>Numerical</t>
        </is>
      </c>
      <c r="E12" s="3" t="inlineStr">
        <is>
          <t>Definite Integration</t>
        </is>
      </c>
      <c r="F12" s="2" t="n">
        <v>4</v>
      </c>
      <c r="G12" s="7" t="n">
        <v>3</v>
      </c>
      <c r="H12" s="7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Convert to $t=\tan x$ and split $\frac{t^2}{(1+t^2)(1+t+t^2)}$ into partial fractions.</t>
        </is>
      </c>
      <c r="N12" s="3" t="inlineStr">
        <is>
          <t>Non-obvious $\tan$ conversion with $\sin x\cos x$ in the denominator, then partial fractions and a completed square.</t>
        </is>
      </c>
      <c r="O12" s="3" t="inlineStr">
        <is>
          <t>2025-P2-Q16 (L4)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 (PDF Q72)</t>
        </is>
      </c>
      <c r="D13" s="2" t="inlineStr">
        <is>
          <t>Numerical</t>
        </is>
      </c>
      <c r="E13" s="3" t="inlineStr">
        <is>
          <t>Definite Integration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King property then $\int_0^\pi\frac{dx}{1-\cos^2t\sin^2x}=\frac{\pi}{\sin t}$.</t>
        </is>
      </c>
      <c r="N13" s="3" t="inlineStr">
        <is>
          <t>King property on $x\,F(\sin x)$, a standard tan-integral with a parameter, then a simple final integral.</t>
        </is>
      </c>
      <c r="O13" s="3" t="inlineStr">
        <is>
          <t>2026-P2-Q4 (L1)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 (PDF Q73)</t>
        </is>
      </c>
      <c r="D14" s="2" t="inlineStr">
        <is>
          <t>Numerical</t>
        </is>
      </c>
      <c r="E14" s="3" t="inlineStr">
        <is>
          <t>Definite Integration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By parts to get $r_k=\frac{7k+8}{7k+7}$, so the sum is $\sum(k+1)$.</t>
        </is>
      </c>
      <c r="N14" s="3" t="inlineStr">
        <is>
          <t>Recurrence by parts with a hidden pattern; once seen the sum is trivial.</t>
        </is>
      </c>
      <c r="O14" s="3" t="inlineStr">
        <is>
          <t>2026-P2-Q5 (L4)</t>
        </is>
      </c>
      <c r="P14" s="2" t="inlineStr">
        <is>
          <t>Low</t>
        </is>
      </c>
    </row>
    <row r="15">
      <c r="A15" s="2" t="n">
        <v>14</v>
      </c>
      <c r="B15" s="2" t="inlineStr"/>
      <c r="C15" s="2" t="inlineStr">
        <is>
          <t>Q14 (PDF Q74)</t>
        </is>
      </c>
      <c r="D15" s="2" t="inlineStr">
        <is>
          <t>Numerical</t>
        </is>
      </c>
      <c r="E15" s="3" t="inlineStr">
        <is>
          <t>Definite Integration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Count the breakpoints $\sqrt n$ and $\sqrt{2n}$ and collect surd coefficients.</t>
        </is>
      </c>
      <c r="N15" s="3" t="inlineStr">
        <is>
          <t>Many pieces for two floor functions; one slip changes $a$, $b$ or $c$ and there are no options.</t>
        </is>
      </c>
      <c r="O15" s="3" t="inlineStr">
        <is>
          <t>2026-P1-Q9 (L5)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 (PDF Q75)</t>
        </is>
      </c>
      <c r="D16" s="2" t="inlineStr">
        <is>
          <t>Numerical</t>
        </is>
      </c>
      <c r="E16" s="3" t="inlineStr">
        <is>
          <t>Definite Integration</t>
        </is>
      </c>
      <c r="F16" s="2" t="n">
        <v>4</v>
      </c>
      <c r="G16" s="8" t="n">
        <v>4</v>
      </c>
      <c r="H16" s="8" t="inlineStr">
        <is>
          <t>Slightly difficult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Read the sum as $\int_0^1\frac{1-x^2}{(1+x^2)\sqrt{1+x^4}}dx$ and substitute $t=x+\frac1x$.</t>
        </is>
      </c>
      <c r="N16" s="3" t="inlineStr">
        <is>
          <t>Riemann-sum recognition plus a non-routine $x+\frac1x$ substitution, then another substitution; numerical answer.</t>
        </is>
      </c>
      <c r="O16" s="3" t="inlineStr">
        <is>
          <t>2025-P2-Q16 (L4)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 (PDF Q76)</t>
        </is>
      </c>
      <c r="D17" s="2" t="inlineStr">
        <is>
          <t>Numerical</t>
        </is>
      </c>
      <c r="E17" s="3" t="inlineStr">
        <is>
          <t>Definite Integration</t>
        </is>
      </c>
      <c r="F17" s="2" t="n">
        <v>4</v>
      </c>
      <c r="G17" s="6" t="n">
        <v>2</v>
      </c>
      <c r="H17" s="6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$f$ is odd, so it drops; pair $x$ with $-x$ to remove $\frac1{1+e^x}$.</t>
        </is>
      </c>
      <c r="N17" s="3" t="inlineStr">
        <is>
          <t>Two standard properties chained, then one by-parts integral.</t>
        </is>
      </c>
      <c r="O17" s="3" t="inlineStr">
        <is>
          <t>2026-P2-Q4 (L1)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 (PDF Q77)</t>
        </is>
      </c>
      <c r="D18" s="2" t="inlineStr">
        <is>
          <t>Numerical</t>
        </is>
      </c>
      <c r="E18" s="3" t="inlineStr">
        <is>
          <t>Definite Integration / Straight Lines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Slope relation makes the denominator vanish at $x=3$; apply L'Hopital.</t>
        </is>
      </c>
      <c r="N18" s="3" t="inlineStr">
        <is>
          <t>Short chain; the only step is spotting the $\frac00$ form.</t>
        </is>
      </c>
      <c r="O18" s="3" t="inlineStr">
        <is>
          <t>2024-P2-Q3 (L1)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 (PDF Q78)</t>
        </is>
      </c>
      <c r="D19" s="2" t="inlineStr">
        <is>
          <t>Numerical</t>
        </is>
      </c>
      <c r="E19" s="3" t="inlineStr">
        <is>
          <t>Definite Integration</t>
        </is>
      </c>
      <c r="F19" s="2" t="n">
        <v>4</v>
      </c>
      <c r="G19" s="6" t="n">
        <v>2</v>
      </c>
      <c r="H19" s="6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$1-\sin2x=(\sin x-\cos x)^2$ and split at $\frac\pi4$.</t>
        </is>
      </c>
      <c r="N19" s="3" t="inlineStr">
        <is>
          <t>One identity, one split and routine evaluation of surds.</t>
        </is>
      </c>
      <c r="O19" s="3" t="inlineStr">
        <is>
          <t>2023-P2-Q9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 (PDF Q79)</t>
        </is>
      </c>
      <c r="D20" s="2" t="inlineStr">
        <is>
          <t>Numerical</t>
        </is>
      </c>
      <c r="E20" s="3" t="inlineStr">
        <is>
          <t>Definite Integration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Solve $\frac{10x}{x+1}=1,4,9$ for breakpoints.</t>
        </is>
      </c>
      <c r="N20" s="3" t="inlineStr">
        <is>
          <t>Floor of a monotone function with three simple breakpoints.</t>
        </is>
      </c>
      <c r="O20" s="3" t="inlineStr">
        <is>
          <t>2026-P2-Q3 (L2)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 (PDF Q80)</t>
        </is>
      </c>
      <c r="D21" s="2" t="inlineStr">
        <is>
          <t>Numerical</t>
        </is>
      </c>
      <c r="E21" s="3" t="inlineStr">
        <is>
          <t>Definite Integration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$f(x)+f(1-x)=1$ makes $x\to1-x$ legitimate and gives $M=N-M$.</t>
        </is>
      </c>
      <c r="N21" s="3" t="inlineStr">
        <is>
          <t>Property of $f$ must be found, then King property on an unusual interval; no options.</t>
        </is>
      </c>
      <c r="O21" s="3" t="inlineStr">
        <is>
          <t>2025-P2-Q16 (L4)</t>
        </is>
      </c>
      <c r="P21" s="2" t="inlineStr">
        <is>
          <t>Medium</t>
        </is>
      </c>
    </row>
    <row r="23">
      <c r="A23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JEE_Main_Question_Bank_01_Integral_Calculus_04.pdf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COUNTIF(Evaluation!$G$2:$G$21,A5)</f>
        <v/>
      </c>
      <c r="D5" s="11">
        <f>SUMIF(Evaluation!$G$2:$G$21,A5,Evaluation!$F$2:$F$21)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COUNTIF(Evaluation!$G$2:$G$21,A6)</f>
        <v/>
      </c>
      <c r="D6" s="13">
        <f>SUMIF(Evaluation!$G$2:$G$21,A6,Evaluation!$F$2:$F$21)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COUNTIF(Evaluation!$G$2:$G$21,A7)</f>
        <v/>
      </c>
      <c r="D7" s="15">
        <f>SUMIF(Evaluation!$G$2:$G$21,A7,Evaluation!$F$2:$F$21)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COUNTIF(Evaluation!$G$2:$G$21,A8)</f>
        <v/>
      </c>
      <c r="D8" s="17">
        <f>SUMIF(Evaluation!$G$2:$G$21,A8,Evaluation!$F$2:$F$21)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COUNTIF(Evaluation!$G$2:$G$21,A9)</f>
        <v/>
      </c>
      <c r="D9" s="19">
        <f>SUMIF(Evaluation!$G$2:$G$21,A9,Evaluation!$F$2:$F$21)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COUNTIF(Evaluation!$G$2:$G$21,A10)</f>
        <v/>
      </c>
      <c r="D10" s="21">
        <f>SUMIF(Evaluation!$G$2:$G$21,A10,Evaluation!$F$2:$F$21)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SUM(Evaluation!$L$2:$L$21)/SUM(Evaluation!$F$2:$F$21)</f>
        <v/>
      </c>
      <c r="C14" s="24">
        <f>SUMPRODUCT(Evaluation!$F$2:$F$21,Evaluation!$G$2:$G$21)/SUM(Evaluation!$F$2:$F$21)</f>
        <v/>
      </c>
      <c r="D14" s="23">
        <f>SUM(Evaluation!$F$2:$F$21)</f>
        <v/>
      </c>
      <c r="E14" s="24">
        <f>AVERAGE(Evaluation!$G$2:$G$21)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2026-10-06T05:28:43Z</dcterms:created>
  <dcterms:modified xmlns:dcterms="http://purl.org/dc/terms/" xmlns:xsi="http://www.w3.org/2001/XMLSchema-instance" xsi:type="dcterms:W3CDTF">2026-10-06T05:28:43Z</dcterms:modified>
</cp:coreProperties>
</file>