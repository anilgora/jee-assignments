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2CC"/>
      </patternFill>
    </fill>
    <fill>
      <patternFill patternType="solid">
        <fgColor rgb="00E8F0D8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SCQ</t>
        </is>
      </c>
      <c r="E2" s="3" t="inlineStr">
        <is>
          <t>Quadratic Equations / Probability</t>
        </is>
      </c>
      <c r="F2" s="2" t="n">
        <v>4</v>
      </c>
      <c r="G2" s="4" t="n">
        <v>2</v>
      </c>
      <c r="H2" s="4" t="inlineStr">
        <is>
          <t>Easier than Advanced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b^2=4ac forces b even; enumerate b=2,4,6,8 carefully.</t>
        </is>
      </c>
      <c r="N2" s="3" t="inlineStr">
        <is>
          <t>Short enumeration with one place to slip (allowed-set check); routine, comparable to 2021-P2-Q1 (L2).</t>
        </is>
      </c>
      <c r="O2" s="3" t="inlineStr">
        <is>
          <t>2021-P2-Q1 (L2)</t>
        </is>
      </c>
      <c r="P2" s="2" t="inlineStr">
        <is>
          <t>Medium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SCQ</t>
        </is>
      </c>
      <c r="E3" s="3" t="inlineStr">
        <is>
          <t>Quadratic Equations / Probability</t>
        </is>
      </c>
      <c r="F3" s="2" t="n">
        <v>4</v>
      </c>
      <c r="G3" s="4" t="n">
        <v>2</v>
      </c>
      <c r="H3" s="4" t="inlineStr">
        <is>
          <t>Easier than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Condition b^2&gt;4ac; count triples by fixing b.</t>
        </is>
      </c>
      <c r="N3" s="3" t="inlineStr">
        <is>
          <t>Plain casework over b with 38 outcomes to list; one slip changes the count; standard chain (L2).</t>
        </is>
      </c>
      <c r="O3" s="3" t="inlineStr">
        <is>
          <t>2021-P2-Q1 (L2)</t>
        </is>
      </c>
      <c r="P3" s="2" t="inlineStr">
        <is>
          <t>Medium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SCQ</t>
        </is>
      </c>
      <c r="E4" s="3" t="inlineStr">
        <is>
          <t>Probability</t>
        </is>
      </c>
      <c r="F4" s="2" t="n">
        <v>4</v>
      </c>
      <c r="G4" s="6" t="n">
        <v>1</v>
      </c>
      <c r="H4" s="6" t="inlineStr">
        <is>
          <t>JEE Main level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Bayes on two plants; likelihood x prior over total standard probability.</t>
        </is>
      </c>
      <c r="N4" s="3" t="inlineStr">
        <is>
          <t>One standard Bayes application; compare 2021-P2-Q17 (L1) for a single familiar move.</t>
        </is>
      </c>
      <c r="O4" s="3" t="inlineStr">
        <is>
          <t>2021-P2-Q17 (L1)</t>
        </is>
      </c>
      <c r="P4" s="2" t="inlineStr">
        <is>
          <t>High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SCQ</t>
        </is>
      </c>
      <c r="E5" s="3" t="inlineStr">
        <is>
          <t>Probability</t>
        </is>
      </c>
      <c r="F5" s="2" t="n">
        <v>4</v>
      </c>
      <c r="G5" s="6" t="n">
        <v>1</v>
      </c>
      <c r="H5" s="6" t="inlineStr">
        <is>
          <t>JEE Main level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Choose 2 addresses, then count onto distributions 2^3-2.</t>
        </is>
      </c>
      <c r="N5" s="3" t="inlineStr">
        <is>
          <t>Single counting idea (onto distributions); one familiar move.</t>
        </is>
      </c>
      <c r="O5" s="3" t="inlineStr">
        <is>
          <t>2021-P2-Q17 (L1)</t>
        </is>
      </c>
      <c r="P5" s="2" t="inlineStr">
        <is>
          <t>High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SCQ</t>
        </is>
      </c>
      <c r="E6" s="3" t="inlineStr">
        <is>
          <t>Quadratic Equations / Probability</t>
        </is>
      </c>
      <c r="F6" s="2" t="n">
        <v>4</v>
      </c>
      <c r="G6" s="4" t="n">
        <v>2</v>
      </c>
      <c r="H6" s="4" t="inlineStr">
        <is>
          <t>Easier than Advanced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Maximum product is 144 by AM-GM; condition ab &gt;= 108; count 13 ordered pairs of 23.</t>
        </is>
      </c>
      <c r="N6" s="3" t="inlineStr">
        <is>
          <t>AM-GM then a short count with a boundary-inclusion trap; routine chain (L2).</t>
        </is>
      </c>
      <c r="O6" s="3" t="inlineStr">
        <is>
          <t>2021-P2-Q1 (L2)</t>
        </is>
      </c>
      <c r="P6" s="2" t="inlineStr">
        <is>
          <t>Medium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SCQ</t>
        </is>
      </c>
      <c r="E7" s="3" t="inlineStr">
        <is>
          <t>Probability</t>
        </is>
      </c>
      <c r="F7" s="2" t="n">
        <v>4</v>
      </c>
      <c r="G7" s="6" t="n">
        <v>1</v>
      </c>
      <c r="H7" s="6" t="inlineStr">
        <is>
          <t>JEE Main level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Equal priors cancel; posterior = share of one-rupee coins in bag Y.</t>
        </is>
      </c>
      <c r="N7" s="3" t="inlineStr">
        <is>
          <t>One familiar Bayes move; compare 2021-P2-Q17 (L1).</t>
        </is>
      </c>
      <c r="O7" s="3" t="inlineStr">
        <is>
          <t>2021-P2-Q17 (L1)</t>
        </is>
      </c>
      <c r="P7" s="2" t="inlineStr">
        <is>
          <t>High</t>
        </is>
      </c>
    </row>
    <row r="8">
      <c r="A8" s="2" t="n">
        <v>7</v>
      </c>
      <c r="B8" s="2" t="inlineStr"/>
      <c r="C8" s="2" t="inlineStr">
        <is>
          <t>Q7</t>
        </is>
      </c>
      <c r="D8" s="2" t="inlineStr">
        <is>
          <t>SCQ</t>
        </is>
      </c>
      <c r="E8" s="3" t="inlineStr">
        <is>
          <t>Probability</t>
        </is>
      </c>
      <c r="F8" s="2" t="n">
        <v>4</v>
      </c>
      <c r="G8" s="6" t="n">
        <v>1</v>
      </c>
      <c r="H8" s="6" t="inlineStr">
        <is>
          <t>JEE Main level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a&lt;b&lt;c means choose 3 distinct values; C(6,3).</t>
        </is>
      </c>
      <c r="N8" s="3" t="inlineStr">
        <is>
          <t>One familiar counting trick; L1.</t>
        </is>
      </c>
      <c r="O8" s="3" t="inlineStr">
        <is>
          <t>2021-P2-Q17 (L1)</t>
        </is>
      </c>
      <c r="P8" s="2" t="inlineStr">
        <is>
          <t>High</t>
        </is>
      </c>
    </row>
    <row r="9">
      <c r="A9" s="2" t="n">
        <v>8</v>
      </c>
      <c r="B9" s="2" t="inlineStr"/>
      <c r="C9" s="2" t="inlineStr">
        <is>
          <t>Q8</t>
        </is>
      </c>
      <c r="D9" s="2" t="inlineStr">
        <is>
          <t>SCQ</t>
        </is>
      </c>
      <c r="E9" s="3" t="inlineStr">
        <is>
          <t>Probability</t>
        </is>
      </c>
      <c r="F9" s="2" t="n">
        <v>4</v>
      </c>
      <c r="G9" s="6" t="n">
        <v>1</v>
      </c>
      <c r="H9" s="6" t="inlineStr">
        <is>
          <t>JEE Main level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Two successive draws: multiply C(6,4)/C(15,4) by C(9,4)/C(11,4).</t>
        </is>
      </c>
      <c r="N9" s="3" t="inlineStr">
        <is>
          <t>Single multiplication-of-conditionals idea.</t>
        </is>
      </c>
      <c r="O9" s="3" t="inlineStr">
        <is>
          <t>2021-P2-Q17 (L1)</t>
        </is>
      </c>
      <c r="P9" s="2" t="inlineStr">
        <is>
          <t>High</t>
        </is>
      </c>
    </row>
    <row r="10">
      <c r="A10" s="2" t="n">
        <v>9</v>
      </c>
      <c r="B10" s="2" t="inlineStr"/>
      <c r="C10" s="2" t="inlineStr">
        <is>
          <t>Q9</t>
        </is>
      </c>
      <c r="D10" s="2" t="inlineStr">
        <is>
          <t>SCQ</t>
        </is>
      </c>
      <c r="E10" s="3" t="inlineStr">
        <is>
          <t>Probability</t>
        </is>
      </c>
      <c r="F10" s="2" t="n">
        <v>4</v>
      </c>
      <c r="G10" s="6" t="n">
        <v>1</v>
      </c>
      <c r="H10" s="6" t="inlineStr">
        <is>
          <t>JEE Main level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Inclusion-exclusion using lcm for the intersections.</t>
        </is>
      </c>
      <c r="N10" s="3" t="inlineStr">
        <is>
          <t>One standard inclusion-exclusion; same as anchor 2021-P2-Q17 (L1).</t>
        </is>
      </c>
      <c r="O10" s="3" t="inlineStr">
        <is>
          <t>2021-P2-Q17 (L1)</t>
        </is>
      </c>
      <c r="P10" s="2" t="inlineStr">
        <is>
          <t>High</t>
        </is>
      </c>
    </row>
    <row r="11">
      <c r="A11" s="2" t="n">
        <v>10</v>
      </c>
      <c r="B11" s="2" t="inlineStr"/>
      <c r="C11" s="2" t="inlineStr">
        <is>
          <t>Q10</t>
        </is>
      </c>
      <c r="D11" s="2" t="inlineStr">
        <is>
          <t>SCQ</t>
        </is>
      </c>
      <c r="E11" s="3" t="inlineStr">
        <is>
          <t>Probability</t>
        </is>
      </c>
      <c r="F11" s="2" t="n">
        <v>4</v>
      </c>
      <c r="G11" s="6" t="n">
        <v>1</v>
      </c>
      <c r="H11" s="6" t="inlineStr">
        <is>
          <t>JEE Main level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Count y-x&gt;=6 (15 pairs) and double by symmetry.</t>
        </is>
      </c>
      <c r="N11" s="3" t="inlineStr">
        <is>
          <t>Simple counting with symmetry; L1.</t>
        </is>
      </c>
      <c r="O11" s="3" t="inlineStr">
        <is>
          <t>2021-P2-Q17 (L1)</t>
        </is>
      </c>
      <c r="P11" s="2" t="inlineStr">
        <is>
          <t>High</t>
        </is>
      </c>
    </row>
    <row r="12">
      <c r="A12" s="2" t="n">
        <v>11</v>
      </c>
      <c r="B12" s="2" t="inlineStr"/>
      <c r="C12" s="2" t="inlineStr">
        <is>
          <t>Q11</t>
        </is>
      </c>
      <c r="D12" s="2" t="inlineStr">
        <is>
          <t>SCQ</t>
        </is>
      </c>
      <c r="E12" s="3" t="inlineStr">
        <is>
          <t>Probability</t>
        </is>
      </c>
      <c r="F12" s="2" t="n">
        <v>4</v>
      </c>
      <c r="G12" s="4" t="n">
        <v>2</v>
      </c>
      <c r="H12" s="4" t="inlineStr">
        <is>
          <t>Easier than Advanced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Hypergeometric distribution of X, then Var = E(X^2) - (EX)^2.</t>
        </is>
      </c>
      <c r="N12" s="3" t="inlineStr">
        <is>
          <t>Distribution build plus variance formula; routine chain, compare 2021-P2-Q1 (L2).</t>
        </is>
      </c>
      <c r="O12" s="3" t="inlineStr">
        <is>
          <t>2021-P2-Q1 (L2)</t>
        </is>
      </c>
      <c r="P12" s="2" t="inlineStr">
        <is>
          <t>High</t>
        </is>
      </c>
    </row>
    <row r="13">
      <c r="A13" s="2" t="n">
        <v>12</v>
      </c>
      <c r="B13" s="2" t="inlineStr"/>
      <c r="C13" s="2" t="inlineStr">
        <is>
          <t>Q12</t>
        </is>
      </c>
      <c r="D13" s="2" t="inlineStr">
        <is>
          <t>SCQ</t>
        </is>
      </c>
      <c r="E13" s="3" t="inlineStr">
        <is>
          <t>Probability</t>
        </is>
      </c>
      <c r="F13" s="2" t="n">
        <v>4</v>
      </c>
      <c r="G13" s="6" t="n">
        <v>1</v>
      </c>
      <c r="H13" s="6" t="inlineStr">
        <is>
          <t>JEE Main level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p=2q gives q=1/3; binomial term with two tails.</t>
        </is>
      </c>
      <c r="N13" s="3" t="inlineStr">
        <is>
          <t>Direct binomial formula; one move.</t>
        </is>
      </c>
      <c r="O13" s="3" t="inlineStr">
        <is>
          <t>2021-P2-Q17 (L1)</t>
        </is>
      </c>
      <c r="P13" s="2" t="inlineStr">
        <is>
          <t>High</t>
        </is>
      </c>
    </row>
    <row r="14">
      <c r="A14" s="2" t="n">
        <v>13</v>
      </c>
      <c r="B14" s="2" t="inlineStr"/>
      <c r="C14" s="2" t="inlineStr">
        <is>
          <t>Q13</t>
        </is>
      </c>
      <c r="D14" s="2" t="inlineStr">
        <is>
          <t>SCQ</t>
        </is>
      </c>
      <c r="E14" s="3" t="inlineStr">
        <is>
          <t>Probability</t>
        </is>
      </c>
      <c r="F14" s="2" t="n">
        <v>4</v>
      </c>
      <c r="G14" s="7" t="n">
        <v>3</v>
      </c>
      <c r="H14" s="7" t="inlineStr">
        <is>
          <t>Average Advanced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Bayes over the five compositions with equal prior and hypergeometric likelihoods.</t>
        </is>
      </c>
      <c r="N14" s="3" t="inlineStr">
        <is>
          <t>Two ideas linked (Bayes over unknown composition, hypergeometric likelihood) with an unstated equal-prior convention; compare 2023-P2-Q2 (L3).</t>
        </is>
      </c>
      <c r="O14" s="3" t="inlineStr">
        <is>
          <t>2023-P2-Q2 (L3)</t>
        </is>
      </c>
      <c r="P14" s="2" t="inlineStr">
        <is>
          <t>Medium</t>
        </is>
      </c>
    </row>
    <row r="15">
      <c r="A15" s="2" t="n">
        <v>14</v>
      </c>
      <c r="B15" s="2" t="inlineStr"/>
      <c r="C15" s="2" t="inlineStr">
        <is>
          <t>Q14</t>
        </is>
      </c>
      <c r="D15" s="2" t="inlineStr">
        <is>
          <t>SCQ</t>
        </is>
      </c>
      <c r="E15" s="3" t="inlineStr">
        <is>
          <t>Probability</t>
        </is>
      </c>
      <c r="F15" s="2" t="n">
        <v>4</v>
      </c>
      <c r="G15" s="6" t="n">
        <v>1</v>
      </c>
      <c r="H15" s="6" t="inlineStr">
        <is>
          <t>JEE Main level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P(A and not B) = P(A) - P(A and B).</t>
        </is>
      </c>
      <c r="N15" s="3" t="inlineStr">
        <is>
          <t>One set identity, one subtraction.</t>
        </is>
      </c>
      <c r="O15" s="3" t="inlineStr">
        <is>
          <t>2021-P2-Q17 (L1)</t>
        </is>
      </c>
      <c r="P15" s="2" t="inlineStr">
        <is>
          <t>High</t>
        </is>
      </c>
    </row>
    <row r="16">
      <c r="A16" s="2" t="n">
        <v>15</v>
      </c>
      <c r="B16" s="2" t="inlineStr"/>
      <c r="C16" s="2" t="inlineStr">
        <is>
          <t>Q15</t>
        </is>
      </c>
      <c r="D16" s="2" t="inlineStr">
        <is>
          <t>SCQ</t>
        </is>
      </c>
      <c r="E16" s="3" t="inlineStr">
        <is>
          <t>Probability</t>
        </is>
      </c>
      <c r="F16" s="2" t="n">
        <v>4</v>
      </c>
      <c r="G16" s="4" t="n">
        <v>2</v>
      </c>
      <c r="H16" s="4" t="inlineStr">
        <is>
          <t>Easier than Advanced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2^N&lt;N! fails only for N=2,3; complement.</t>
        </is>
      </c>
      <c r="N16" s="3" t="inlineStr">
        <is>
          <t>Factorial inequality check plus dice-sum counting; routine chain.</t>
        </is>
      </c>
      <c r="O16" s="3" t="inlineStr">
        <is>
          <t>2021-P2-Q1 (L2)</t>
        </is>
      </c>
      <c r="P16" s="2" t="inlineStr">
        <is>
          <t>High</t>
        </is>
      </c>
    </row>
    <row r="17">
      <c r="A17" s="2" t="n">
        <v>16</v>
      </c>
      <c r="B17" s="2" t="inlineStr"/>
      <c r="C17" s="2" t="inlineStr">
        <is>
          <t>Q16</t>
        </is>
      </c>
      <c r="D17" s="2" t="inlineStr">
        <is>
          <t>SCQ</t>
        </is>
      </c>
      <c r="E17" s="3" t="inlineStr">
        <is>
          <t>Probability</t>
        </is>
      </c>
      <c r="F17" s="2" t="n">
        <v>4</v>
      </c>
      <c r="G17" s="4" t="n">
        <v>2</v>
      </c>
      <c r="H17" s="4" t="inlineStr">
        <is>
          <t>Easier than Advanced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p = 1/2 makes the equality binomial-coefficient equality, so n = 7 + 9.</t>
        </is>
      </c>
      <c r="N17" s="3" t="inlineStr">
        <is>
          <t>Binomial symmetry then a coefficient; short chain, compare 2021-P2-Q1 (L2).</t>
        </is>
      </c>
      <c r="O17" s="3" t="inlineStr">
        <is>
          <t>2021-P2-Q1 (L2)</t>
        </is>
      </c>
      <c r="P17" s="2" t="inlineStr">
        <is>
          <t>High</t>
        </is>
      </c>
    </row>
    <row r="18">
      <c r="A18" s="2" t="n">
        <v>17</v>
      </c>
      <c r="B18" s="2" t="inlineStr"/>
      <c r="C18" s="2" t="inlineStr">
        <is>
          <t>Q17</t>
        </is>
      </c>
      <c r="D18" s="2" t="inlineStr">
        <is>
          <t>SCQ</t>
        </is>
      </c>
      <c r="E18" s="3" t="inlineStr">
        <is>
          <t>Probability</t>
        </is>
      </c>
      <c r="F18" s="2" t="n">
        <v>4</v>
      </c>
      <c r="G18" s="4" t="n">
        <v>2</v>
      </c>
      <c r="H18" s="4" t="inlineStr">
        <is>
          <t>Easier than Advanced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Mean of alpha-beta is 0, so variance = E[(alpha-beta)^2] (or add independent variances).</t>
        </is>
      </c>
      <c r="N18" s="3" t="inlineStr">
        <is>
          <t>Distribution of a difference then variance, plus number theory finish; routine chain.</t>
        </is>
      </c>
      <c r="O18" s="3" t="inlineStr">
        <is>
          <t>2021-P2-Q1 (L2)</t>
        </is>
      </c>
      <c r="P18" s="2" t="inlineStr">
        <is>
          <t>High</t>
        </is>
      </c>
    </row>
    <row r="19">
      <c r="A19" s="2" t="n">
        <v>18</v>
      </c>
      <c r="B19" s="2" t="inlineStr"/>
      <c r="C19" s="2" t="inlineStr">
        <is>
          <t>Q18</t>
        </is>
      </c>
      <c r="D19" s="2" t="inlineStr">
        <is>
          <t>SCQ</t>
        </is>
      </c>
      <c r="E19" s="3" t="inlineStr">
        <is>
          <t>Probability</t>
        </is>
      </c>
      <c r="F19" s="2" t="n">
        <v>4</v>
      </c>
      <c r="G19" s="4" t="n">
        <v>2</v>
      </c>
      <c r="H19" s="4" t="inlineStr">
        <is>
          <t>Easier than Advanced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X=3 occurs after two tails regardless of the third toss; tail-sum or direct sum.</t>
        </is>
      </c>
      <c r="N19" s="3" t="inlineStr">
        <is>
          <t>Short distribution with a stopping rule; routine.</t>
        </is>
      </c>
      <c r="O19" s="3" t="inlineStr">
        <is>
          <t>2021-P2-Q1 (L2)</t>
        </is>
      </c>
      <c r="P19" s="2" t="inlineStr">
        <is>
          <t>High</t>
        </is>
      </c>
    </row>
    <row r="20">
      <c r="A20" s="2" t="n">
        <v>19</v>
      </c>
      <c r="B20" s="2" t="inlineStr"/>
      <c r="C20" s="2" t="inlineStr">
        <is>
          <t>Q19</t>
        </is>
      </c>
      <c r="D20" s="2" t="inlineStr">
        <is>
          <t>SCQ</t>
        </is>
      </c>
      <c r="E20" s="3" t="inlineStr">
        <is>
          <t>Probability</t>
        </is>
      </c>
      <c r="F20" s="2" t="n">
        <v>4</v>
      </c>
      <c r="G20" s="4" t="n">
        <v>2</v>
      </c>
      <c r="H20" s="4" t="inlineStr">
        <is>
          <t>Easier than Advanced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Mean - variance = np^2 = 1 plus the ratio condition fixes p = 1/2 and n = 4.</t>
        </is>
      </c>
      <c r="N20" s="3" t="inlineStr">
        <is>
          <t>Two binomial relations solved together; standard chain (L2).</t>
        </is>
      </c>
      <c r="O20" s="3" t="inlineStr">
        <is>
          <t>2021-P2-Q1 (L2)</t>
        </is>
      </c>
      <c r="P20" s="2" t="inlineStr">
        <is>
          <t>High</t>
        </is>
      </c>
    </row>
    <row r="21">
      <c r="A21" s="2" t="n">
        <v>20</v>
      </c>
      <c r="B21" s="2" t="inlineStr"/>
      <c r="C21" s="2" t="inlineStr">
        <is>
          <t>Q20</t>
        </is>
      </c>
      <c r="D21" s="2" t="inlineStr">
        <is>
          <t>SCQ</t>
        </is>
      </c>
      <c r="E21" s="3" t="inlineStr">
        <is>
          <t>Probability</t>
        </is>
      </c>
      <c r="F21" s="2" t="n">
        <v>4</v>
      </c>
      <c r="G21" s="4" t="n">
        <v>2</v>
      </c>
      <c r="H21" s="4" t="inlineStr">
        <is>
          <t>Easier than Advanced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Total probability over the die value; sum of six hypergeometric terms.</t>
        </is>
      </c>
      <c r="N21" s="3" t="inlineStr">
        <is>
          <t>Six hypergeometric terms to add; routine chain with small arithmetic risk (L2).</t>
        </is>
      </c>
      <c r="O21" s="3" t="inlineStr">
        <is>
          <t>2021-P2-Q1 (L2)</t>
        </is>
      </c>
      <c r="P21" s="2" t="inlineStr">
        <is>
          <t>High</t>
        </is>
      </c>
    </row>
    <row r="23">
      <c r="A23" s="8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9" t="inlineStr">
        <is>
          <t>Difficulty summary</t>
        </is>
      </c>
    </row>
    <row r="2">
      <c r="A2" s="8" t="inlineStr">
        <is>
          <t>Source: JEE_Main_Question_Bank_01_Algebra_12.pdf   |   Evaluated on: 2026-10-05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0" t="n">
        <v>0</v>
      </c>
      <c r="B5" s="10" t="inlineStr">
        <is>
          <t>Easier than JEE Main</t>
        </is>
      </c>
      <c r="C5" s="10">
        <f>COUNTIF(Evaluation!$G$2:$G$21,A5)</f>
        <v/>
      </c>
      <c r="D5" s="10">
        <f>SUMIF(Evaluation!$G$2:$G$21,A5,Evaluation!$F$2:$F$21)</f>
        <v/>
      </c>
      <c r="E5" s="11">
        <f>IF(SUM($D$5:$D$10)=0,0,D5/SUM($D$5:$D$10))</f>
        <v/>
      </c>
    </row>
    <row r="6">
      <c r="A6" s="12" t="n">
        <v>1</v>
      </c>
      <c r="B6" s="12" t="inlineStr">
        <is>
          <t>JEE Main level</t>
        </is>
      </c>
      <c r="C6" s="12">
        <f>COUNTIF(Evaluation!$G$2:$G$21,A6)</f>
        <v/>
      </c>
      <c r="D6" s="12">
        <f>SUMIF(Evaluation!$G$2:$G$21,A6,Evaluation!$F$2:$F$21)</f>
        <v/>
      </c>
      <c r="E6" s="13">
        <f>IF(SUM($D$5:$D$10)=0,0,D6/SUM($D$5:$D$10))</f>
        <v/>
      </c>
    </row>
    <row r="7">
      <c r="A7" s="14" t="n">
        <v>2</v>
      </c>
      <c r="B7" s="14" t="inlineStr">
        <is>
          <t>Easier than Advanced</t>
        </is>
      </c>
      <c r="C7" s="14">
        <f>COUNTIF(Evaluation!$G$2:$G$21,A7)</f>
        <v/>
      </c>
      <c r="D7" s="14">
        <f>SUMIF(Evaluation!$G$2:$G$21,A7,Evaluation!$F$2:$F$21)</f>
        <v/>
      </c>
      <c r="E7" s="15">
        <f>IF(SUM($D$5:$D$10)=0,0,D7/SUM($D$5:$D$10))</f>
        <v/>
      </c>
    </row>
    <row r="8">
      <c r="A8" s="16" t="n">
        <v>3</v>
      </c>
      <c r="B8" s="16" t="inlineStr">
        <is>
          <t>Average Advanced</t>
        </is>
      </c>
      <c r="C8" s="16">
        <f>COUNTIF(Evaluation!$G$2:$G$21,A8)</f>
        <v/>
      </c>
      <c r="D8" s="16">
        <f>SUMIF(Evaluation!$G$2:$G$21,A8,Evaluation!$F$2:$F$21)</f>
        <v/>
      </c>
      <c r="E8" s="17">
        <f>IF(SUM($D$5:$D$10)=0,0,D8/SUM($D$5:$D$10))</f>
        <v/>
      </c>
    </row>
    <row r="9">
      <c r="A9" s="18" t="n">
        <v>4</v>
      </c>
      <c r="B9" s="18" t="inlineStr">
        <is>
          <t>Slightly difficult</t>
        </is>
      </c>
      <c r="C9" s="18">
        <f>COUNTIF(Evaluation!$G$2:$G$21,A9)</f>
        <v/>
      </c>
      <c r="D9" s="18">
        <f>SUMIF(Evaluation!$G$2:$G$21,A9,Evaluation!$F$2:$F$21)</f>
        <v/>
      </c>
      <c r="E9" s="19">
        <f>IF(SUM($D$5:$D$10)=0,0,D9/SUM($D$5:$D$10))</f>
        <v/>
      </c>
    </row>
    <row r="10">
      <c r="A10" s="20" t="n">
        <v>5</v>
      </c>
      <c r="B10" s="20" t="inlineStr">
        <is>
          <t>Very difficult</t>
        </is>
      </c>
      <c r="C10" s="20">
        <f>COUNTIF(Evaluation!$G$2:$G$21,A10)</f>
        <v/>
      </c>
      <c r="D10" s="20">
        <f>SUMIF(Evaluation!$G$2:$G$21,A10,Evaluation!$F$2:$F$21)</f>
        <v/>
      </c>
      <c r="E10" s="21">
        <f>IF(SUM($D$5:$D$10)=0,0,D10/SUM($D$5:$D$10))</f>
        <v/>
      </c>
    </row>
    <row r="11">
      <c r="A11" s="22" t="inlineStr">
        <is>
          <t>Total</t>
        </is>
      </c>
      <c r="C11" s="22">
        <f>SUM(C5:C10)</f>
        <v/>
      </c>
      <c r="D11" s="22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2" t="inlineStr">
        <is>
          <t>Overall</t>
        </is>
      </c>
      <c r="B14" s="23">
        <f>SUM(Evaluation!$L$2:$L$21)/SUM(Evaluation!$F$2:$F$21)</f>
        <v/>
      </c>
      <c r="C14" s="23">
        <f>SUMPRODUCT(Evaluation!$F$2:$F$21,Evaluation!$G$2:$G$21)/SUM(Evaluation!$F$2:$F$21)</f>
        <v/>
      </c>
      <c r="D14" s="22">
        <f>SUM(Evaluation!$F$2:$F$21)</f>
        <v/>
      </c>
      <c r="E14" s="23">
        <f>AVERAGE(Evaluation!$G$2:$G$21)</f>
        <v/>
      </c>
    </row>
    <row r="16">
      <c r="A16" s="8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9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4" t="n">
        <v>2021</v>
      </c>
      <c r="B4" s="25" t="n">
        <v>2.758333333333333</v>
      </c>
      <c r="C4" s="25" t="n">
        <v>2.894736842105263</v>
      </c>
      <c r="D4" s="24" t="n">
        <v>16</v>
      </c>
      <c r="E4" s="24" t="n">
        <v>34</v>
      </c>
      <c r="F4" s="24" t="n">
        <v>1</v>
      </c>
    </row>
    <row r="5">
      <c r="A5" s="24" t="n">
        <v>2023</v>
      </c>
      <c r="B5" s="25" t="n">
        <v>3.191666666666667</v>
      </c>
      <c r="C5" s="25" t="n">
        <v>3.147058823529412</v>
      </c>
      <c r="D5" s="24" t="n">
        <v>13</v>
      </c>
      <c r="E5" s="24" t="n">
        <v>47</v>
      </c>
      <c r="F5" s="24" t="n">
        <v>5</v>
      </c>
    </row>
    <row r="6">
      <c r="A6" s="24" t="n">
        <v>2024</v>
      </c>
      <c r="B6" s="25" t="n">
        <v>2.591666666666667</v>
      </c>
      <c r="C6" s="25" t="n">
        <v>2.558823529411764</v>
      </c>
      <c r="D6" s="24" t="n">
        <v>28</v>
      </c>
      <c r="E6" s="24" t="n">
        <v>40</v>
      </c>
      <c r="F6" s="24" t="n">
        <v>1</v>
      </c>
    </row>
    <row r="7">
      <c r="A7" s="24" t="n">
        <v>2025</v>
      </c>
      <c r="B7" s="25" t="n">
        <v>3.208333333333333</v>
      </c>
      <c r="C7" s="25" t="n">
        <v>3.1875</v>
      </c>
      <c r="D7" s="24" t="n">
        <v>8</v>
      </c>
      <c r="E7" s="24" t="n">
        <v>65</v>
      </c>
      <c r="F7" s="24" t="n">
        <v>1</v>
      </c>
    </row>
    <row r="8">
      <c r="A8" s="24" t="n">
        <v>2026</v>
      </c>
      <c r="B8" s="25" t="n">
        <v>3.025</v>
      </c>
      <c r="C8" s="25" t="n">
        <v>2.941176470588236</v>
      </c>
      <c r="D8" s="24" t="n">
        <v>6</v>
      </c>
      <c r="E8" s="24" t="n">
        <v>38</v>
      </c>
      <c r="F8" s="24" t="n">
        <v>2</v>
      </c>
    </row>
    <row r="9">
      <c r="A9" s="22" t="inlineStr">
        <is>
          <t>This paper</t>
        </is>
      </c>
      <c r="B9" s="23">
        <f>Summary!B14</f>
        <v/>
      </c>
      <c r="C9" s="23">
        <f>Summary!E14</f>
        <v/>
      </c>
      <c r="D9" s="22">
        <f>Summary!D5+Summary!D6</f>
        <v/>
      </c>
      <c r="E9" s="22">
        <f>Summary!D9+Summary!D10</f>
        <v/>
      </c>
      <c r="F9" s="22">
        <f>Summary!C10</f>
        <v/>
      </c>
    </row>
    <row r="11">
      <c r="A11" s="8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2026-10-05T06:58:30Z</dcterms:created>
  <dcterms:modified xmlns:dcterms="http://purl.org/dc/terms/" xmlns:xsi="http://www.w3.org/2001/XMLSchema-instance" xsi:type="dcterms:W3CDTF">2026-10-05T06:58:30Z</dcterms:modified>
</cp:coreProperties>
</file>