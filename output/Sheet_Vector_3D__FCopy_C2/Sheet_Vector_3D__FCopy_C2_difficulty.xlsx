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E8F0D8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Numerical</t>
        </is>
      </c>
      <c r="E2" s="3" t="inlineStr">
        <is>
          <t>Vector and 3D Geometry</t>
        </is>
      </c>
      <c r="F2" s="2" t="n">
        <v>4</v>
      </c>
      <c r="G2" s="4" t="n">
        <v>1</v>
      </c>
      <c r="H2" s="4" t="inlineStr">
        <is>
          <t>JEE Main level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Noticing that the intersection of the three parallel planes is $(a,b,c)$ and that the intercept-form distance condition is then the locus.</t>
        </is>
      </c>
      <c r="N2" s="3" t="inlineStr">
        <is>
          <t>One familiar move: distance of the intercept-form plane from the origin, then renaming (a,b,c) as (x,y,z). No casework or computation. Same demand as the simple direct-formula questions such as 2024-P1-Q12 (L1).</t>
        </is>
      </c>
      <c r="O2" s="3" t="inlineStr">
        <is>
          <t>2024-P1-Q12 (L1)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Numerical</t>
        </is>
      </c>
      <c r="E3" s="3" t="inlineStr">
        <is>
          <t>Vector and 3D Geometry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Translating 'parallel to the plane' into $\vec{AB}\cdot\vec n=0$ and 'parallel to the line' into a parametric point on the line through $A$.</t>
        </is>
      </c>
      <c r="N3" s="3" t="inlineStr">
        <is>
          <t>Two short routine sub-calculations (a point on L with AB perpendicular to the normal, and the line from A meeting the plane) chained, no real insight beyond reading the oblique-distance wording. Comparable to 2026-P2-Q1 (L2), a multi-step vector chain.</t>
        </is>
      </c>
      <c r="O3" s="3" t="inlineStr">
        <is>
          <t>2026-P2-Q1 (L2)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Numerical</t>
        </is>
      </c>
      <c r="E4" s="3" t="inlineStr">
        <is>
          <t>Vector and 3D Geometry</t>
        </is>
      </c>
      <c r="F4" s="2" t="n">
        <v>4</v>
      </c>
      <c r="G4" s="6" t="n">
        <v>2</v>
      </c>
      <c r="H4" s="6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Taking $P=(r,r,r)$ from the three coordinate faces, then solving the distance equation to the slant face and rejecting the extraneous root.</t>
        </is>
      </c>
      <c r="N4" s="3" t="inlineStr">
        <is>
          <t>Intercept form and the distance formula in a small chain with one decision (sign choice, rejecting r=3). Nothing unfamiliar. Close to 2024-P1-Q12 (L1) in ideas but with one more stage, so Level 2.</t>
        </is>
      </c>
      <c r="O4" s="3" t="inlineStr">
        <is>
          <t>2024-P1-Q12 (L1)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Vector and 3D Geometry</t>
        </is>
      </c>
      <c r="F5" s="2" t="n">
        <v>4</v>
      </c>
      <c r="G5" s="6" t="n">
        <v>2</v>
      </c>
      <c r="H5" s="6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Foot of the perpendicular is the midpoint of the hypotenuse, so $PA=PC=BP$, giving both end points along the line.</t>
        </is>
      </c>
      <c r="N5" s="3" t="inlineStr">
        <is>
          <t>Standard foot-of-perpendicular computation followed by moving a fixed length along the line; three routine stages with heavy but mechanical arithmetic and no hidden idea. Similar in demand to 2026-P2-Q7 (L3) but simpler, so Level 2.</t>
        </is>
      </c>
      <c r="O5" s="3" t="inlineStr">
        <is>
          <t>2026-P2-Q7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Numerical</t>
        </is>
      </c>
      <c r="E6" s="3" t="inlineStr">
        <is>
          <t>Vector and 3D Geometry</t>
        </is>
      </c>
      <c r="F6" s="2" t="n">
        <v>4</v>
      </c>
      <c r="G6" s="6" t="n">
        <v>2</v>
      </c>
      <c r="H6" s="6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Writing $\left(\frac md\right)^2=(\sum a^2)(\sum a^{-2})$ and bounding it below by $9$.</t>
        </is>
      </c>
      <c r="N6" s="3" t="inlineStr">
        <is>
          <t>Intercept-form distance plus one standard inequality (AM-GM/Cauchy-Schwarz) with equality at a=b=c; one well-known trick applied once after a short setup. Numerical format nudges it from 1 up to 2. Comparable to routine questions such as 2024-P1-Q12 (L1) / 2026-P2-Q1 (L2).</t>
        </is>
      </c>
      <c r="O6" s="3" t="inlineStr">
        <is>
          <t>2026-P2-Q1 (L2)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Numerical</t>
        </is>
      </c>
      <c r="E7" s="3" t="inlineStr">
        <is>
          <t>Vector and 3D Geometry</t>
        </is>
      </c>
      <c r="F7" s="2" t="n">
        <v>4</v>
      </c>
      <c r="G7" s="6" t="n">
        <v>2</v>
      </c>
      <c r="H7" s="6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Expressing each altitude as $\frac{3V}{A_i}$ and bounding $(\sum A_i)(\sum \frac{1}{A_i})\ge16$.</t>
        </is>
      </c>
      <c r="N7" s="3" t="inlineStr">
        <is>
          <t>A short chain: recall $V=\frac13Ah$, substitute, then one standard inequality (AM-HM); equality case exists. No heavy calculation. Level 2 like other routine multi-step vector/geometry chains, e.g. 2026-P2-Q1 (L2).</t>
        </is>
      </c>
      <c r="O7" s="3" t="inlineStr">
        <is>
          <t>2026-P2-Q1 (L2)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Vector and 3D Geometry</t>
        </is>
      </c>
      <c r="F8" s="2" t="n">
        <v>4</v>
      </c>
      <c r="G8" s="7" t="n">
        <v>3</v>
      </c>
      <c r="H8" s="7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Recognising that the rotated vector is a multiple of $(\vec{OP}\times\hat i)\times\vec{OP}$ (in-plane, perpendicular to $\vec{OP}$) and fixing the sign by the sense of rotation.</t>
        </is>
      </c>
      <c r="N8" s="3" t="inlineStr">
        <is>
          <t>Needs the less-practised idea of constructing an in-plane perpendicular with a vector triple product and then settling the sign from 'passing through the positive x-axis'; the arithmetic is short. A vector-construction question with a numerical answer, similar to 2021-P1-Q19 (L3).</t>
        </is>
      </c>
      <c r="O8" s="3" t="inlineStr">
        <is>
          <t>2021-P1-Q19 (L3)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Vector and 3D Geometry</t>
        </is>
      </c>
      <c r="F9" s="2" t="n">
        <v>4</v>
      </c>
      <c r="G9" s="6" t="n">
        <v>2</v>
      </c>
      <c r="H9" s="6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Using $\vec b\cdot(\vec a\times\vec b)=0$ to get $\left|\vec c\right|$ and $\vec b\cdot\vec c$ quickly.</t>
        </is>
      </c>
      <c r="N9" s="3" t="inlineStr">
        <is>
          <t>Routine chain: angle from dot product, magnitude of a combination using perpendicularity of the cross product, then the angle. No insight beyond standard identities. Level 2, like the multi-step vector chain in 2026-P2-Q1 (L2).</t>
        </is>
      </c>
      <c r="O9" s="3" t="inlineStr">
        <is>
          <t>2026-P2-Q1 (L2)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Numerical</t>
        </is>
      </c>
      <c r="E10" s="3" t="inlineStr">
        <is>
          <t>Vector and 3D Geometry</t>
        </is>
      </c>
      <c r="F10" s="2" t="n">
        <v>4</v>
      </c>
      <c r="G10" s="6" t="n">
        <v>2</v>
      </c>
      <c r="H10" s="6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Applying four standard formulas correctly, especially the oblique distances in (iii) and (iv).</t>
        </is>
      </c>
      <c r="N10" s="3" t="inlineStr">
        <is>
          <t>Four independent parts, each a direct standard formula with moderate arithmetic and a slip-prone sign in the plane equation; no hidden idea. Level 2, similar in nature to 2024-P2-Q6 (L1) multi-part checks but with more parts, and 2026-P2-Q7 (L3) upper bound.</t>
        </is>
      </c>
      <c r="O10" s="3" t="inlineStr">
        <is>
          <t>2024-P2-Q6 (L1)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Numerical</t>
        </is>
      </c>
      <c r="E11" s="3" t="inlineStr">
        <is>
          <t>Vector and 3D Geometry</t>
        </is>
      </c>
      <c r="F11" s="2" t="n">
        <v>4</v>
      </c>
      <c r="G11" s="4" t="n">
        <v>1</v>
      </c>
      <c r="H11" s="4" t="inlineStr">
        <is>
          <t>JEE Main level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Expanding $\{(n\vec a+\vec b)\times(n\vec b+\vec c)\}\cdot(n\vec c+\vec a)$ and noticing only two triple products survive.</t>
        </is>
      </c>
      <c r="N11" s="3" t="inlineStr">
        <is>
          <t>A single familiar move: expand the triple product bilinearly and cancel terms with repeated vectors, then read the determinant form of the triple product. Short and routine; Level 1 as with 2024-P2-Q11 (L0) / 2026-P2-Q4 (L1) style one-trick items.</t>
        </is>
      </c>
      <c r="O11" s="3" t="inlineStr">
        <is>
          <t>2024-P2-Q11 (L0)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Vector and 3D Geometry</t>
        </is>
      </c>
      <c r="F12" s="2" t="n">
        <v>4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Using the diagonal-bisection property to locate $E,F$, then the cross-product area formula.</t>
        </is>
      </c>
      <c r="N12" s="3" t="inlineStr">
        <is>
          <t>Straight chain of standard steps: midpoint equations, two vectors, cross product, magnitude. Routine arithmetic and nothing hidden; Level 2 as in 2026-P2-Q1 (L2).</t>
        </is>
      </c>
      <c r="O12" s="3" t="inlineStr">
        <is>
          <t>2026-P2-Q1 (L2)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Vector and 3D Geometry</t>
        </is>
      </c>
      <c r="F13" s="2" t="n">
        <v>4</v>
      </c>
      <c r="G13" s="6" t="n">
        <v>2</v>
      </c>
      <c r="H13" s="6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Computing $V$ and the opposite-edge distance from the three edge vectors at one vertex (or via the cube embedding).</t>
        </is>
      </c>
      <c r="N13" s="3" t="inlineStr">
        <is>
          <t>Two standard quantities of a regular tetrahedron computed and divided; the Gram determinant or the cube picture makes it short but a student must set up the skew-line distance correctly. Level 2, below 2023-P1-Q5 (L3) cube skew-line distance maximisation which needs more.</t>
        </is>
      </c>
      <c r="O13" s="3" t="inlineStr">
        <is>
          <t>2023-P1-Q5 (L3)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Vectors</t>
        </is>
      </c>
      <c r="F14" s="2" t="n">
        <v>4</v>
      </c>
      <c r="G14" s="7" t="n">
        <v>3</v>
      </c>
      <c r="H14" s="7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Expand BAC-CAB, compare coefficients of independent b and c, and bound sin(alpha) by (beta-1)^2+1.</t>
        </is>
      </c>
      <c r="N14" s="3" t="inlineStr">
        <is>
          <t>Several routine steps (triple product, coefficient comparison, a.c=1) end with a completing-the-square bound that must be noticed, and there are no options to check. Close to 2021-P1-Q19 (L3), a vector numerical needing a chain of dot-product conditions.</t>
        </is>
      </c>
      <c r="O14" s="3" t="inlineStr">
        <is>
          <t>2021-P1-Q19 (L3)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Vectors</t>
        </is>
      </c>
      <c r="F15" s="2" t="n">
        <v>4</v>
      </c>
      <c r="G15" s="7" t="n">
        <v>3</v>
      </c>
      <c r="H15" s="7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Reduce the triple cross product to [abc] times a vector, so the product vanishes only when [abc]=0 (excluding the parallel case).</t>
        </is>
      </c>
      <c r="N15" s="3" t="inlineStr">
        <is>
          <t>The identity for (axb)x(bxc) is known but the case analysis (zero or parallel) must be done carefully, and a second part asks for an explicit vector product with no options. Placed below 2025-P2-Q12 (L4, coplanarity with parameters) because there is no parameter family to handle.</t>
        </is>
      </c>
      <c r="O15" s="3" t="inlineStr">
        <is>
          <t>2025-P2-Q12 (L4)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Vectors</t>
        </is>
      </c>
      <c r="F16" s="2" t="n">
        <v>4</v>
      </c>
      <c r="G16" s="6" t="n">
        <v>2</v>
      </c>
      <c r="H16" s="6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Read the angles from the figure (90+beta and 90-beta with z) and dot with v and w to get two equations.</t>
        </is>
      </c>
      <c r="N16" s="3" t="inlineStr">
        <is>
          <t>Routine chain: interpret the figure, form two dot-product equations and add them; no real insight beyond angle bookkeeping, but a symbolic answer and a sign slip are possible. Comparable to 2026-P2-Q1 (L2), a short vector computation with a couple of standard steps.</t>
        </is>
      </c>
      <c r="O16" s="3" t="inlineStr">
        <is>
          <t>2026-P2-Q1 (L2)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Vectors</t>
        </is>
      </c>
      <c r="F17" s="2" t="n">
        <v>4</v>
      </c>
      <c r="G17" s="7" t="n">
        <v>3</v>
      </c>
      <c r="H17" s="7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Expand a in the basis b, c, d and read coefficients with triple products; then use coplanarity of the four points.</t>
        </is>
      </c>
      <c r="N17" s="3" t="inlineStr">
        <is>
          <t>A textbook two-part proof, but it needs a clean basis argument and the correct sign bookkeeping in the triple products, and the second part needs the right coplanarity expression. Between 2023-P2-Q4 (L1, coplanarity checks) and 2025-P2-Q12 (L4, coplanarity with parameters), so level 3.</t>
        </is>
      </c>
      <c r="O17" s="3" t="inlineStr">
        <is>
          <t>2025-P2-Q12 (L4)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Vectors</t>
        </is>
      </c>
      <c r="F18" s="2" t="n">
        <v>4</v>
      </c>
      <c r="G18" s="4" t="n">
        <v>1</v>
      </c>
      <c r="H18" s="4" t="inlineStr">
        <is>
          <t>JEE Main level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Compute B x C and solve the three component equations.</t>
        </is>
      </c>
      <c r="N18" s="3" t="inlineStr">
        <is>
          <t>Cross product followed by a routine 3x3 linear system; no decision beyond matching components, though arithmetic must be careful. Near 2024-P2-Q11 (L0), a direct expression in a basis.</t>
        </is>
      </c>
      <c r="O18" s="3" t="inlineStr">
        <is>
          <t>2024-P2-Q11 (L0)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Numerical</t>
        </is>
      </c>
      <c r="E19" s="3" t="inlineStr">
        <is>
          <t>Vectors</t>
        </is>
      </c>
      <c r="F19" s="2" t="n">
        <v>4</v>
      </c>
      <c r="G19" s="8" t="n">
        <v>0</v>
      </c>
      <c r="H19" s="8" t="inlineStr">
        <is>
          <t>Easier than JEE Main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Equate components and solve the 3x3 linear system.</t>
        </is>
      </c>
      <c r="N19" s="3" t="inlineStr">
        <is>
          <t>A direct solution of three linear equations with no concept decision, only arithmetic. Same demand as 2024-P2-Q11 (L0), reading off coefficients in a basis.</t>
        </is>
      </c>
      <c r="O19" s="3" t="inlineStr">
        <is>
          <t>2024-P2-Q11 (L0)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Numerical</t>
        </is>
      </c>
      <c r="E20" s="3" t="inlineStr">
        <is>
          <t>Vectors</t>
        </is>
      </c>
      <c r="F20" s="2" t="n">
        <v>4</v>
      </c>
      <c r="G20" s="7" t="n">
        <v>3</v>
      </c>
      <c r="H20" s="7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Dot with u to get V.u = 1, then square the equation and use Lagrange's identity for |V x u|^2.</t>
        </is>
      </c>
      <c r="N20" s="3" t="inlineStr">
        <is>
          <t>Needs two linked ideas: a dot product to get V.u, then squaring and the identity for |V x u|^2; no options to check. Similar demand to 2021-P1-Q19 (L3), vector numerical from dot-product conditions.</t>
        </is>
      </c>
      <c r="O20" s="3" t="inlineStr">
        <is>
          <t>2021-P1-Q19 (L3)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Numerical</t>
        </is>
      </c>
      <c r="E21" s="3" t="inlineStr">
        <is>
          <t>Vectors</t>
        </is>
      </c>
      <c r="F21" s="2" t="n">
        <v>4</v>
      </c>
      <c r="G21" s="7" t="n">
        <v>3</v>
      </c>
      <c r="H21" s="7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Spot that x, y, x cross y are independent, then treat the coefficient as a quadratic with three roots.</t>
        </is>
      </c>
      <c r="N21" s="3" t="inlineStr">
        <is>
          <t>Two linked ideas (independence of x, y, x cross y; quadratic with three roots is zero) that are standard but must be noticed, with short execution. Below 2025-P2-Q12 (L4) which has a parametric coplanarity.</t>
        </is>
      </c>
      <c r="O21" s="3" t="inlineStr">
        <is>
          <t>2025-P2-Q12 (L4)</t>
        </is>
      </c>
      <c r="P21" s="2" t="inlineStr">
        <is>
          <t>Medium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Numerical</t>
        </is>
      </c>
      <c r="E22" s="3" t="inlineStr">
        <is>
          <t>Vectors</t>
        </is>
      </c>
      <c r="F22" s="2" t="n">
        <v>4</v>
      </c>
      <c r="G22" s="4" t="n">
        <v>1</v>
      </c>
      <c r="H22" s="4" t="inlineStr">
        <is>
          <t>JEE Main level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Sides are half the sum and half the difference of the diagonals; area is half the magnitude of their cross product.</t>
        </is>
      </c>
      <c r="N22" s="3" t="inlineStr">
        <is>
          <t>Two standard formulas, each applied once, with routine arithmetic. Simpler than 2026-P2-Q1 (L2), the vector area question, as no condition has to be decoded.</t>
        </is>
      </c>
      <c r="O22" s="3" t="inlineStr">
        <is>
          <t>2026-P2-Q1 (L2)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Numerical</t>
        </is>
      </c>
      <c r="E23" s="3" t="inlineStr">
        <is>
          <t>Vectors</t>
        </is>
      </c>
      <c r="F23" s="2" t="n">
        <v>4</v>
      </c>
      <c r="G23" s="6" t="n">
        <v>2</v>
      </c>
      <c r="H23" s="6" t="inlineStr">
        <is>
          <t>Easier than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Turn the vector equation into a homogeneous 3x3 system and set its determinant to zero.</t>
        </is>
      </c>
      <c r="N23" s="3" t="inlineStr">
        <is>
          <t>Routine set-up and determinant, then a cubic that factors with a quadratic; precision matters (the PDF itself slipped) but no real insight. Comparable to 2021-P1-Q7 (L1, consistency of a 3x3 system) plus longer arithmetic, so level 2.</t>
        </is>
      </c>
      <c r="O23" s="3" t="inlineStr">
        <is>
          <t>2021-P1-Q7 (L1)</t>
        </is>
      </c>
      <c r="P23" s="2" t="inlineStr">
        <is>
          <t>Medium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Numerical</t>
        </is>
      </c>
      <c r="E24" s="3" t="inlineStr">
        <is>
          <t>Vectors</t>
        </is>
      </c>
      <c r="F24" s="2" t="n">
        <v>4</v>
      </c>
      <c r="G24" s="4" t="n">
        <v>1</v>
      </c>
      <c r="H24" s="4" t="inlineStr">
        <is>
          <t>JEE Main level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r = lambda (a x b), then fix lambda from the dot-product condition.</t>
        </is>
      </c>
      <c r="N24" s="3" t="inlineStr">
        <is>
          <t>Two familiar steps (cross product, then one scalar equation) with simple arithmetic. Same demand as 2024-P2-Q11 (L0) but with one extra step, so level 1.</t>
        </is>
      </c>
      <c r="O24" s="3" t="inlineStr">
        <is>
          <t>2024-P2-Q11 (L0)</t>
        </is>
      </c>
      <c r="P24" s="2" t="inlineStr">
        <is>
          <t>High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Numerical</t>
        </is>
      </c>
      <c r="E25" s="3" t="inlineStr">
        <is>
          <t>Vectors</t>
        </is>
      </c>
      <c r="F25" s="2" t="n">
        <v>4</v>
      </c>
      <c r="G25" s="6" t="n">
        <v>2</v>
      </c>
      <c r="H25" s="6" t="inlineStr">
        <is>
          <t>Easier than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Write the two perpendicularity conditions (altitude from each known vertex is perpendicular to a side through C) and solve.</t>
        </is>
      </c>
      <c r="N25" s="3" t="inlineStr">
        <is>
          <t>Two dot-product equations and a 2x2 linear solve, with a small risk of mixing up which side each altitude is perpendicular to. Near 2024-P1-Q12 (L1, orthogonality condition fixes parameters) with a slightly longer chain.</t>
        </is>
      </c>
      <c r="O25" s="3" t="inlineStr">
        <is>
          <t>2024-P1-Q12 (L1)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Numerical</t>
        </is>
      </c>
      <c r="E26" s="3" t="inlineStr">
        <is>
          <t>Vectors</t>
        </is>
      </c>
      <c r="F26" s="2" t="n">
        <v>4</v>
      </c>
      <c r="G26" s="6" t="n">
        <v>2</v>
      </c>
      <c r="H26" s="6" t="inlineStr">
        <is>
          <t>Easier than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Turn 'parallel' into the continuous function f1 g2 - f2 g1 and apply IVT from the sign change -5 to 32.</t>
        </is>
      </c>
      <c r="N26" s="3" t="inlineStr">
        <is>
          <t>One familiar reformulation (parallel iff 2D cross product vanishes) followed by one IVT sign check; short but the proof format and the link to IVT are mildly non-routine. Nearest anchor 2021-P2-Q3 (IVT/Rolle reasoning, L2).</t>
        </is>
      </c>
      <c r="O26" s="3" t="inlineStr">
        <is>
          <t>2021-P2-Q3 (L2)</t>
        </is>
      </c>
      <c r="P26" s="2" t="inlineStr">
        <is>
          <t>Medium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Numerical</t>
        </is>
      </c>
      <c r="E27" s="3" t="inlineStr">
        <is>
          <t>Vectors</t>
        </is>
      </c>
      <c r="F27" s="2" t="n">
        <v>4</v>
      </c>
      <c r="G27" s="9" t="n">
        <v>4</v>
      </c>
      <c r="H27" s="9" t="inlineStr">
        <is>
          <t>Slightly difficult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Apply AM-GM to the three column sums, then see that all six determinant terms occur in the expanded product of the sums.</t>
        </is>
      </c>
      <c r="N27" s="3" t="inlineStr">
        <is>
          <t>The AM-GM step on column sums is not a standard vector manoeuvre, and the student must also handle the absolute value of the determinant; short once seen but the idea is outside the usual coaching pattern. Nearest anchor 2023-P1-Q3 (existence argument, L4) and 2021-P1-Q19 (vector volume, L3).</t>
        </is>
      </c>
      <c r="O27" s="3" t="inlineStr">
        <is>
          <t>2023-P1-Q3 (L4)</t>
        </is>
      </c>
      <c r="P27" s="2" t="inlineStr">
        <is>
          <t>Medium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Numerical</t>
        </is>
      </c>
      <c r="E28" s="3" t="inlineStr">
        <is>
          <t>Vectors</t>
        </is>
      </c>
      <c r="F28" s="2" t="n">
        <v>4</v>
      </c>
      <c r="G28" s="7" t="n">
        <v>3</v>
      </c>
      <c r="H28" s="7" t="inlineStr">
        <is>
          <t>Average Advanced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Write each bisector unit vector as (u+v)/(2cos(alpha/2)) and use [a x b, b x c, c x a] = [a b c]^2 together with [u+v, v+w, w+u] = 2[u v w].</t>
        </is>
      </c>
      <c r="N28" s="3" t="inlineStr">
        <is>
          <t>Two standard textbook results (bisector as sum of unit vectors, triple product of cross products) chained with an expansion of a triple product; long but no hidden trick, with some risk in constants. Nearest anchor 2021-P1-Q19 (vector triple-product chain, L3).</t>
        </is>
      </c>
      <c r="O28" s="3" t="inlineStr">
        <is>
          <t>2021-P1-Q19 (L3)</t>
        </is>
      </c>
      <c r="P28" s="2" t="inlineStr">
        <is>
          <t>Medium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Numerical</t>
        </is>
      </c>
      <c r="E29" s="3" t="inlineStr">
        <is>
          <t>Vectors</t>
        </is>
      </c>
      <c r="F29" s="2" t="n">
        <v>4</v>
      </c>
      <c r="G29" s="7" t="n">
        <v>3</v>
      </c>
      <c r="H29" s="7" t="inlineStr">
        <is>
          <t>Average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Notice |b| = |c| so equal angles reduce to a.b = a.c, then substitute y = x + 2z to get (x+z)^2 = 0.</t>
        </is>
      </c>
      <c r="N29" s="3" t="inlineStr">
        <is>
          <t>Routine dot-product conditions chained with some algebra; the observation |b|=|c| and the perfect square save a lot, and the sign condition must be used to reject the second solution. Nearest anchor 2025-P2-Q12 (vector conditions in components, L4) is harder; 2024-P1-Q12 (L1) is simpler, so L3 lies between.</t>
        </is>
      </c>
      <c r="O29" s="3" t="inlineStr">
        <is>
          <t>2025-P2-Q12 (L4)</t>
        </is>
      </c>
      <c r="P29" s="2" t="inlineStr">
        <is>
          <t>Medium</t>
        </is>
      </c>
    </row>
    <row r="30">
      <c r="A30" s="2" t="n">
        <v>29</v>
      </c>
      <c r="B30" s="2" t="inlineStr"/>
      <c r="C30" s="2" t="inlineStr">
        <is>
          <t>Q29</t>
        </is>
      </c>
      <c r="D30" s="2" t="inlineStr">
        <is>
          <t>Numerical</t>
        </is>
      </c>
      <c r="E30" s="3" t="inlineStr">
        <is>
          <t>Vectors</t>
        </is>
      </c>
      <c r="F30" s="2" t="n">
        <v>4</v>
      </c>
      <c r="G30" s="6" t="n">
        <v>2</v>
      </c>
      <c r="H30" s="6" t="inlineStr">
        <is>
          <t>Easier than Advanced</t>
        </is>
      </c>
      <c r="I30" s="5" t="n">
        <v>0</v>
      </c>
      <c r="J30" s="5" t="n">
        <v>0</v>
      </c>
      <c r="K30" s="5">
        <f>MIN(5,MAX(G30+I30,J30))</f>
        <v/>
      </c>
      <c r="L30" s="5">
        <f>F30*K30</f>
        <v/>
      </c>
      <c r="M30" s="3" t="inlineStr">
        <is>
          <t>Minimising |r+bs| gives b = -(r.s)/|s|^2, i.e. r+bs is perpendicular to s, and the expression collapses to |r|^2.</t>
        </is>
      </c>
      <c r="N30" s="3" t="inlineStr">
        <is>
          <t>Standard minimisation of a quadratic in b followed by a short substitution; two familiar moves with no trap. Nearest anchor 2026-P2-Q1 (dot-product identities for |a+b|, |a-b|, L2).</t>
        </is>
      </c>
      <c r="O30" s="3" t="inlineStr">
        <is>
          <t>2026-P2-Q1 (L2)</t>
        </is>
      </c>
      <c r="P30" s="2" t="inlineStr">
        <is>
          <t>High</t>
        </is>
      </c>
    </row>
    <row r="31">
      <c r="A31" s="2" t="n">
        <v>30</v>
      </c>
      <c r="B31" s="2" t="inlineStr"/>
      <c r="C31" s="2" t="inlineStr">
        <is>
          <t>Q30</t>
        </is>
      </c>
      <c r="D31" s="2" t="inlineStr">
        <is>
          <t>Numerical</t>
        </is>
      </c>
      <c r="E31" s="3" t="inlineStr">
        <is>
          <t>Vectors</t>
        </is>
      </c>
      <c r="F31" s="2" t="n">
        <v>4</v>
      </c>
      <c r="G31" s="7" t="n">
        <v>3</v>
      </c>
      <c r="H31" s="7" t="inlineStr">
        <is>
          <t>Average Advanced</t>
        </is>
      </c>
      <c r="I31" s="5" t="n">
        <v>0</v>
      </c>
      <c r="J31" s="5" t="n">
        <v>0</v>
      </c>
      <c r="K31" s="5">
        <f>MIN(5,MAX(G31+I31,J31))</f>
        <v/>
      </c>
      <c r="L31" s="5">
        <f>F31*K31</f>
        <v/>
      </c>
      <c r="M31" s="3" t="inlineStr">
        <is>
          <t>Express c as a combination of a and b, take dot products with b, c and d, and solve for the normalised coefficients (which are -1 and 1).</t>
        </is>
      </c>
      <c r="N31" s="3" t="inlineStr">
        <is>
          <t>Three dot-product equations in the coplanar combination plus the insight that angle(a,c) is 2pi/3; a moderate chain with normalising lengths where slips are easy. Nearest anchor 2021-P1-Q19 (u.w, v.w conditions with volume, L3).</t>
        </is>
      </c>
      <c r="O31" s="3" t="inlineStr">
        <is>
          <t>2021-P1-Q19 (L3)</t>
        </is>
      </c>
      <c r="P31" s="2" t="inlineStr">
        <is>
          <t>Medium</t>
        </is>
      </c>
    </row>
    <row r="32">
      <c r="A32" s="2" t="n">
        <v>31</v>
      </c>
      <c r="B32" s="2" t="inlineStr"/>
      <c r="C32" s="2" t="inlineStr">
        <is>
          <t>Q31</t>
        </is>
      </c>
      <c r="D32" s="2" t="inlineStr">
        <is>
          <t>Numerical</t>
        </is>
      </c>
      <c r="E32" s="3" t="inlineStr">
        <is>
          <t>Vector and 3D Geometry</t>
        </is>
      </c>
      <c r="F32" s="2" t="n">
        <v>4</v>
      </c>
      <c r="G32" s="7" t="n">
        <v>3</v>
      </c>
      <c r="H32" s="7" t="inlineStr">
        <is>
          <t>Average Advanced</t>
        </is>
      </c>
      <c r="I32" s="5" t="n">
        <v>0</v>
      </c>
      <c r="J32" s="5" t="n">
        <v>0</v>
      </c>
      <c r="K32" s="5">
        <f>MIN(5,MAX(G32+I32,J32))</f>
        <v/>
      </c>
      <c r="L32" s="5">
        <f>F32*K32</f>
        <v/>
      </c>
      <c r="M32" s="3" t="inlineStr">
        <is>
          <t>Volume gives the height DE = 2, so AE^2 = 16 - 4 = 12 and E is at distance 2 sqrt3 from A on either side along the median line.</t>
        </is>
      </c>
      <c r="N32" s="3" t="inlineStr">
        <is>
          <t>Chain of base area, height from volume, right-triangle Pythagoras and a ratio equation with two roots (one with E outside the segment AF), so a student must remember the second solution. Nearest anchors 2026-P2-Q7 (foot of perpendicular and ratio in 3D, L3) and 2025-P1-Q9 (L4).</t>
        </is>
      </c>
      <c r="O32" s="3" t="inlineStr">
        <is>
          <t>2026-P2-Q7 (L3)</t>
        </is>
      </c>
      <c r="P32" s="2" t="inlineStr">
        <is>
          <t>Medium</t>
        </is>
      </c>
    </row>
    <row r="33">
      <c r="A33" s="2" t="n">
        <v>32</v>
      </c>
      <c r="B33" s="2" t="inlineStr"/>
      <c r="C33" s="2" t="inlineStr">
        <is>
          <t>Q32</t>
        </is>
      </c>
      <c r="D33" s="2" t="inlineStr">
        <is>
          <t>Numerical</t>
        </is>
      </c>
      <c r="E33" s="3" t="inlineStr">
        <is>
          <t>Vector and 3D Geometry</t>
        </is>
      </c>
      <c r="F33" s="2" t="n">
        <v>4</v>
      </c>
      <c r="G33" s="6" t="n">
        <v>2</v>
      </c>
      <c r="H33" s="6" t="inlineStr">
        <is>
          <t>Easier than Advanced</t>
        </is>
      </c>
      <c r="I33" s="5" t="n">
        <v>0</v>
      </c>
      <c r="J33" s="5" t="n">
        <v>0</v>
      </c>
      <c r="K33" s="5">
        <f>MIN(5,MAX(G33+I33,J33))</f>
        <v/>
      </c>
      <c r="L33" s="5">
        <f>F33*K33</f>
        <v/>
      </c>
      <c r="M33" s="3" t="inlineStr">
        <is>
          <t>With A as origin, dot products a^2/2 between the edge vectors give CE = CF = sqrt7 a/3 and EF = a/sqrt3; then the area of the isosceles triangle.</t>
        </is>
      </c>
      <c r="N33" s="3" t="inlineStr">
        <is>
          <t>Three routine length computations from dot products followed by an area formula; many steps but each is standard with no insight needed. Nearest anchor 2026-P2-Q1 (vector lengths and area of a triangle, L2).</t>
        </is>
      </c>
      <c r="O33" s="3" t="inlineStr">
        <is>
          <t>2026-P2-Q1 (L2)</t>
        </is>
      </c>
      <c r="P33" s="2" t="inlineStr">
        <is>
          <t>Medium</t>
        </is>
      </c>
    </row>
    <row r="34">
      <c r="A34" s="2" t="n">
        <v>33</v>
      </c>
      <c r="B34" s="2" t="inlineStr"/>
      <c r="C34" s="2" t="inlineStr">
        <is>
          <t>Q33</t>
        </is>
      </c>
      <c r="D34" s="2" t="inlineStr">
        <is>
          <t>Numerical</t>
        </is>
      </c>
      <c r="E34" s="3" t="inlineStr">
        <is>
          <t>Vector and 3D Geometry</t>
        </is>
      </c>
      <c r="F34" s="2" t="n">
        <v>4</v>
      </c>
      <c r="G34" s="6" t="n">
        <v>2</v>
      </c>
      <c r="H34" s="6" t="inlineStr">
        <is>
          <t>Easier than Advanced</t>
        </is>
      </c>
      <c r="I34" s="5" t="n">
        <v>0</v>
      </c>
      <c r="J34" s="5" t="n">
        <v>0</v>
      </c>
      <c r="K34" s="5">
        <f>MIN(5,MAX(G34+I34,J34))</f>
        <v/>
      </c>
      <c r="L34" s="5">
        <f>F34*K34</f>
        <v/>
      </c>
      <c r="M34" s="3" t="inlineStr">
        <is>
          <t>The vector condition gives the circle x^2+y^2=4, and then |PA||PB| = sqrt(25-4x^2) depends on x alone.</t>
        </is>
      </c>
      <c r="N34" s="3" t="inlineStr">
        <is>
          <t>Dot product gives a circle, a short simplification gives a one-variable function, and the range of x finishes it; routine with no trap beyond using closed bounds for x. Nearest anchor 2026-P2-Q1 (L2); 2021-P1-Q9 (locus with products of distances, L4) involves heavier computation.</t>
        </is>
      </c>
      <c r="O34" s="3" t="inlineStr">
        <is>
          <t>2026-P2-Q1 (L2)</t>
        </is>
      </c>
      <c r="P34" s="2" t="inlineStr">
        <is>
          <t>Medium</t>
        </is>
      </c>
    </row>
    <row r="35">
      <c r="A35" s="2" t="n">
        <v>34</v>
      </c>
      <c r="B35" s="2" t="inlineStr"/>
      <c r="C35" s="2" t="inlineStr">
        <is>
          <t>Q34</t>
        </is>
      </c>
      <c r="D35" s="2" t="inlineStr">
        <is>
          <t>Para SCQ</t>
        </is>
      </c>
      <c r="E35" s="3" t="inlineStr">
        <is>
          <t>Vector and 3D Geometry</t>
        </is>
      </c>
      <c r="F35" s="2" t="n">
        <v>3</v>
      </c>
      <c r="G35" s="7" t="n">
        <v>3</v>
      </c>
      <c r="H35" s="7" t="inlineStr">
        <is>
          <t>Average Advanced</t>
        </is>
      </c>
      <c r="I35" s="5" t="n">
        <v>0</v>
      </c>
      <c r="J35" s="5" t="n">
        <v>0</v>
      </c>
      <c r="K35" s="5">
        <f>MIN(5,MAX(G35+I35,J35))</f>
        <v/>
      </c>
      <c r="L35" s="5">
        <f>F35*K35</f>
        <v/>
      </c>
      <c r="M35" s="3" t="inlineStr">
        <is>
          <t>Use $(\vec{a}-\vec{c})\perp(\vec{b}-\vec{c})$ to split $|\vec{a}-\vec{b}|^2$ (Pythagoras) and read off the combination.</t>
        </is>
      </c>
      <c r="N35" s="3" t="inlineStr">
        <is>
          <t>One neat orthogonality idea turned into a short algebraic identity; the given parallelogram condition is a distractor. Comparable to 2026-P2-Q1 (L3) where several vector-length relations are combined; no heavy computation.</t>
        </is>
      </c>
      <c r="O35" s="3" t="inlineStr">
        <is>
          <t>2026-P2-Q1 (L3)</t>
        </is>
      </c>
      <c r="P35" s="2" t="inlineStr">
        <is>
          <t>Medium</t>
        </is>
      </c>
    </row>
    <row r="36">
      <c r="A36" s="2" t="n">
        <v>35</v>
      </c>
      <c r="B36" s="2" t="inlineStr"/>
      <c r="C36" s="2" t="inlineStr">
        <is>
          <t>Q35</t>
        </is>
      </c>
      <c r="D36" s="2" t="inlineStr">
        <is>
          <t>Para SCQ</t>
        </is>
      </c>
      <c r="E36" s="3" t="inlineStr">
        <is>
          <t>Vector and 3D Geometry</t>
        </is>
      </c>
      <c r="F36" s="2" t="n">
        <v>3</v>
      </c>
      <c r="G36" s="7" t="n">
        <v>3</v>
      </c>
      <c r="H36" s="7" t="inlineStr">
        <is>
          <t>Average Advanced</t>
        </is>
      </c>
      <c r="I36" s="5" t="n">
        <v>0</v>
      </c>
      <c r="J36" s="5" t="n">
        <v>0</v>
      </c>
      <c r="K36" s="5">
        <f>MIN(5,MAX(G36+I36,J36))</f>
        <v/>
      </c>
      <c r="L36" s="5">
        <f>F36*K36</f>
        <v/>
      </c>
      <c r="M36" s="3" t="inlineStr">
        <is>
          <t>Eliminate $|\vec{a}-\vec{b}|^2$ using (1),(2) and complete the square with $|\vec{c}|^2=1$.</t>
        </is>
      </c>
      <c r="N36" s="3" t="inlineStr">
        <is>
          <t>Routine chained algebra reusing the Q34 identity; the completing-the-square recognition is the only decision. Close to 2026-P2-Q1 (L3), a chain of several length relations, though options make it checkable.</t>
        </is>
      </c>
      <c r="O36" s="3" t="inlineStr">
        <is>
          <t>2026-P2-Q1 (L3)</t>
        </is>
      </c>
      <c r="P36" s="2" t="inlineStr">
        <is>
          <t>Medium</t>
        </is>
      </c>
    </row>
    <row r="37">
      <c r="A37" s="2" t="n">
        <v>36</v>
      </c>
      <c r="B37" s="2" t="inlineStr"/>
      <c r="C37" s="2" t="inlineStr">
        <is>
          <t>Q36</t>
        </is>
      </c>
      <c r="D37" s="2" t="inlineStr">
        <is>
          <t>Para SCQ</t>
        </is>
      </c>
      <c r="E37" s="3" t="inlineStr">
        <is>
          <t>Vector and 3D Geometry</t>
        </is>
      </c>
      <c r="F37" s="2" t="n">
        <v>3</v>
      </c>
      <c r="G37" s="9" t="n">
        <v>4</v>
      </c>
      <c r="H37" s="9" t="inlineStr">
        <is>
          <t>Slightly difficult</t>
        </is>
      </c>
      <c r="I37" s="5" t="n">
        <v>0</v>
      </c>
      <c r="J37" s="5" t="n">
        <v>0</v>
      </c>
      <c r="K37" s="5">
        <f>MIN(5,MAX(G37+I37,J37))</f>
        <v/>
      </c>
      <c r="L37" s="5">
        <f>F37*K37</f>
        <v/>
      </c>
      <c r="M37" s="3" t="inlineStr">
        <is>
          <t>Use $|\vec{a}+\vec{b}-\vec{c}|=\sqrt{7}$ with $|\vec{c}|=1$ and the triangle inequality to bound $|\vec{a}+\vec{b}|$.</t>
        </is>
      </c>
      <c r="N37" s="3" t="inlineStr">
        <is>
          <t>Needs the previous two results and a bounding idea (triangle inequality on a derived vector) rather than a direct computation; feasibility of the extremes is easy to skip. Paragraph parts rate high; nearest anchor 2025-P1-Q16 (L4), a vector-conditions chain.</t>
        </is>
      </c>
      <c r="O37" s="3" t="inlineStr">
        <is>
          <t>2025-P1-Q16 (L4)</t>
        </is>
      </c>
      <c r="P37" s="2" t="inlineStr">
        <is>
          <t>Low</t>
        </is>
      </c>
    </row>
    <row r="38">
      <c r="A38" s="2" t="n">
        <v>37</v>
      </c>
      <c r="B38" s="2" t="inlineStr"/>
      <c r="C38" s="2" t="inlineStr">
        <is>
          <t>Q37</t>
        </is>
      </c>
      <c r="D38" s="2" t="inlineStr">
        <is>
          <t>Para SCQ</t>
        </is>
      </c>
      <c r="E38" s="3" t="inlineStr">
        <is>
          <t>Vector and 3D Geometry</t>
        </is>
      </c>
      <c r="F38" s="2" t="n">
        <v>3</v>
      </c>
      <c r="G38" s="7" t="n">
        <v>3</v>
      </c>
      <c r="H38" s="7" t="inlineStr">
        <is>
          <t>Average Advanced</t>
        </is>
      </c>
      <c r="I38" s="5" t="n">
        <v>0</v>
      </c>
      <c r="J38" s="5" t="n">
        <v>0</v>
      </c>
      <c r="K38" s="5">
        <f>MIN(5,MAX(G38+I38,J38))</f>
        <v/>
      </c>
      <c r="L38" s="5">
        <f>F38*K38</f>
        <v/>
      </c>
      <c r="M38" s="3" t="inlineStr">
        <is>
          <t>Cross and dot the given relation with $\vec{p}$ to find $c$ and $\vec{r}$, then evaluate the triple product.</t>
        </is>
      </c>
      <c r="N38" s="3" t="inlineStr">
        <is>
          <t>A standard-but-not-trivial technique (solving a vector equation with p x r and p.r given) followed by a 3x3 determinant; three stages with a recognisable trick and distractor options. Comparable to 2025-P1-Q16 (L4) but without its second equation, so one level lower.</t>
        </is>
      </c>
      <c r="O38" s="3" t="inlineStr">
        <is>
          <t>2025-P1-Q16 (L4)</t>
        </is>
      </c>
      <c r="P38" s="2" t="inlineStr">
        <is>
          <t>Medium</t>
        </is>
      </c>
    </row>
    <row r="39">
      <c r="A39" s="2" t="n">
        <v>38</v>
      </c>
      <c r="B39" s="2" t="inlineStr"/>
      <c r="C39" s="2" t="inlineStr">
        <is>
          <t>Q38</t>
        </is>
      </c>
      <c r="D39" s="2" t="inlineStr">
        <is>
          <t>Para SCQ</t>
        </is>
      </c>
      <c r="E39" s="3" t="inlineStr">
        <is>
          <t>Vector and 3D Geometry</t>
        </is>
      </c>
      <c r="F39" s="2" t="n">
        <v>3</v>
      </c>
      <c r="G39" s="6" t="n">
        <v>2</v>
      </c>
      <c r="H39" s="6" t="inlineStr">
        <is>
          <t>Easier than Advanced</t>
        </is>
      </c>
      <c r="I39" s="5" t="n">
        <v>0</v>
      </c>
      <c r="J39" s="5" t="n">
        <v>0</v>
      </c>
      <c r="K39" s="5">
        <f>MIN(5,MAX(G39+I39,J39))</f>
        <v/>
      </c>
      <c r="L39" s="5">
        <f>F39*K39</f>
        <v/>
      </c>
      <c r="M39" s="3" t="inlineStr">
        <is>
          <t>Expand $(\vec{p}\times\vec{q})\times\vec{r}$ by the triple-product identity and substitute the Q37 values.</t>
        </is>
      </c>
      <c r="N39" s="3" t="inlineStr">
        <is>
          <t>Direct application of one standard identity with values already found in Q37; routine multi-step substitution, no insight. Nearest anchor 2024-P1-Q16 (L3, direct computations in a paragraph-style item) but lighter.</t>
        </is>
      </c>
      <c r="O39" s="3" t="inlineStr">
        <is>
          <t>2024-P1-Q16 (L3)</t>
        </is>
      </c>
      <c r="P39" s="2" t="inlineStr">
        <is>
          <t>Medium</t>
        </is>
      </c>
    </row>
    <row r="40">
      <c r="A40" s="2" t="n">
        <v>39</v>
      </c>
      <c r="B40" s="2" t="inlineStr"/>
      <c r="C40" s="2" t="inlineStr">
        <is>
          <t>Q39</t>
        </is>
      </c>
      <c r="D40" s="2" t="inlineStr">
        <is>
          <t>Para SCQ</t>
        </is>
      </c>
      <c r="E40" s="3" t="inlineStr">
        <is>
          <t>Vector and 3D Geometry</t>
        </is>
      </c>
      <c r="F40" s="2" t="n">
        <v>3</v>
      </c>
      <c r="G40" s="7" t="n">
        <v>3</v>
      </c>
      <c r="H40" s="7" t="inlineStr">
        <is>
          <t>Average Advanced</t>
        </is>
      </c>
      <c r="I40" s="5" t="n">
        <v>0</v>
      </c>
      <c r="J40" s="5" t="n">
        <v>0</v>
      </c>
      <c r="K40" s="5">
        <f>MIN(5,MAX(G40+I40,J40))</f>
        <v/>
      </c>
      <c r="L40" s="5">
        <f>F40*K40</f>
        <v/>
      </c>
      <c r="M40" s="3" t="inlineStr">
        <is>
          <t>Compute $\vec{y}$ from the triple-product identity, evaluate $[\vec{x}\,\vec{y}\,\vec{r}]$ and relate $\frac{1}{6}|\cdot|$ to $|c|$.</t>
        </is>
      </c>
      <c r="N40" s="3" t="inlineStr">
        <is>
          <t>Longer chain than Q38 (get y, a 3x3 determinant, recognise tetrahedron vs parallelepiped), and four statements to discriminate, but all steps are routine given Q37-Q38. Anchor 2023-P2-Q4 (L3) for checking several geometric statements on vectors.</t>
        </is>
      </c>
      <c r="O40" s="3" t="inlineStr">
        <is>
          <t>2023-P2-Q4 (L3)</t>
        </is>
      </c>
      <c r="P40" s="2" t="inlineStr">
        <is>
          <t>Medium</t>
        </is>
      </c>
    </row>
    <row r="41">
      <c r="A41" s="2" t="n">
        <v>40</v>
      </c>
      <c r="B41" s="2" t="inlineStr"/>
      <c r="C41" s="2" t="inlineStr">
        <is>
          <t>Q40</t>
        </is>
      </c>
      <c r="D41" s="2" t="inlineStr">
        <is>
          <t>Q Stem</t>
        </is>
      </c>
      <c r="E41" s="3" t="inlineStr">
        <is>
          <t>Vectors</t>
        </is>
      </c>
      <c r="F41" s="2" t="n">
        <v>3</v>
      </c>
      <c r="G41" s="6" t="n">
        <v>2</v>
      </c>
      <c r="H41" s="6" t="inlineStr">
        <is>
          <t>Easier than Advanced</t>
        </is>
      </c>
      <c r="I41" s="5" t="n">
        <v>0</v>
      </c>
      <c r="J41" s="5" t="n">
        <v>0</v>
      </c>
      <c r="K41" s="5">
        <f>MIN(5,MAX(G41+I41,J41))</f>
        <v/>
      </c>
      <c r="L41" s="5">
        <f>F41*K41</f>
        <v/>
      </c>
      <c r="M41" s="3" t="inlineStr">
        <is>
          <t>Decode $|\vec{a}+\vec{b}|=1$ into $\vec{a}\cdot\vec{b}=-\frac{1}{2}$, then evaluate one dot product.</t>
        </is>
      </c>
      <c r="N41" s="3" t="inlineStr">
        <is>
          <t>Two short steps with a standard decoding of a length condition; no casework. Typical routine item, above plain Level 1 because the second dot product has to be chosen and the non-zero denominator checked. Compare 2026-P2-Q1 (L3) which chains more length relations.</t>
        </is>
      </c>
      <c r="O41" s="3" t="inlineStr">
        <is>
          <t>2026-P2-Q1 (L3)</t>
        </is>
      </c>
      <c r="P41" s="2" t="inlineStr">
        <is>
          <t>Medium</t>
        </is>
      </c>
    </row>
    <row r="42">
      <c r="A42" s="2" t="n">
        <v>41</v>
      </c>
      <c r="B42" s="2" t="inlineStr"/>
      <c r="C42" s="2" t="inlineStr">
        <is>
          <t>Q41</t>
        </is>
      </c>
      <c r="D42" s="2" t="inlineStr">
        <is>
          <t>Q Stem</t>
        </is>
      </c>
      <c r="E42" s="3" t="inlineStr">
        <is>
          <t>Vectors</t>
        </is>
      </c>
      <c r="F42" s="2" t="n">
        <v>3</v>
      </c>
      <c r="G42" s="6" t="n">
        <v>2</v>
      </c>
      <c r="H42" s="6" t="inlineStr">
        <is>
          <t>Easier than Advanced</t>
        </is>
      </c>
      <c r="I42" s="5" t="n">
        <v>0</v>
      </c>
      <c r="J42" s="5" t="n">
        <v>0</v>
      </c>
      <c r="K42" s="5">
        <f>MIN(5,MAX(G42+I42,J42))</f>
        <v/>
      </c>
      <c r="L42" s="5">
        <f>F42*K42</f>
        <v/>
      </c>
      <c r="M42" s="3" t="inlineStr">
        <is>
          <t>Dot with $\vec{a}$ to get $\mu=2\lambda$, use $|\vec{c}|=1$, and choose the sign by $\vec{b}\cdot\vec{c}&gt;0$.</t>
        </is>
      </c>
      <c r="N42" s="3" t="inlineStr">
        <is>
          <t>Standard solve for coefficients in a plane with one sign subtlety; a few steps without a new idea. Anchor 2024-P2-Q11 (L4, expressing a vector in a basis) is harder because of the triple-product basis, so this sits lower.</t>
        </is>
      </c>
      <c r="O42" s="3" t="inlineStr">
        <is>
          <t>2024-P2-Q11 (L4)</t>
        </is>
      </c>
      <c r="P42" s="2" t="inlineStr">
        <is>
          <t>Medium</t>
        </is>
      </c>
    </row>
    <row r="43">
      <c r="A43" s="2" t="n">
        <v>42</v>
      </c>
      <c r="B43" s="2" t="inlineStr"/>
      <c r="C43" s="2" t="inlineStr">
        <is>
          <t>Q42</t>
        </is>
      </c>
      <c r="D43" s="2" t="inlineStr">
        <is>
          <t>Q Stem</t>
        </is>
      </c>
      <c r="E43" s="3" t="inlineStr">
        <is>
          <t>Vectors</t>
        </is>
      </c>
      <c r="F43" s="2" t="n">
        <v>3</v>
      </c>
      <c r="G43" s="7" t="n">
        <v>3</v>
      </c>
      <c r="H43" s="7" t="inlineStr">
        <is>
          <t>Average Advanced</t>
        </is>
      </c>
      <c r="I43" s="5" t="n">
        <v>0</v>
      </c>
      <c r="J43" s="5" t="n">
        <v>0</v>
      </c>
      <c r="K43" s="5">
        <f>MIN(5,MAX(G43+I43,J43))</f>
        <v/>
      </c>
      <c r="L43" s="5">
        <f>F43*K43</f>
        <v/>
      </c>
      <c r="M43" s="3" t="inlineStr">
        <is>
          <t>Reduce to a linear optimisation in $x,y$ using $\vec{a}\cdot\vec{c}=0$ and $\vec{b}\cdot\vec{c}=\frac{\sqrt{3}}{2}$, with the maximum at $x=1$.</t>
        </is>
      </c>
      <c r="N43" s="3" t="inlineStr">
        <is>
          <t>Needs the geometry of the previous parts (angles $120^\circ$, $30^\circ$) and a small optimisation with two-sided bounds; no options to check, but few steps. Rated near 2025-P2-Q12 (L4, no-options vector numerical) yet clearly shorter, so L3.</t>
        </is>
      </c>
      <c r="O43" s="3" t="inlineStr">
        <is>
          <t>2025-P2-Q12 (L4)</t>
        </is>
      </c>
      <c r="P43" s="2" t="inlineStr">
        <is>
          <t>Low</t>
        </is>
      </c>
    </row>
    <row r="44">
      <c r="A44" s="2" t="n">
        <v>43</v>
      </c>
      <c r="B44" s="2" t="inlineStr"/>
      <c r="C44" s="2" t="inlineStr">
        <is>
          <t>Q43</t>
        </is>
      </c>
      <c r="D44" s="2" t="inlineStr">
        <is>
          <t>MTC SCQ</t>
        </is>
      </c>
      <c r="E44" s="3" t="inlineStr">
        <is>
          <t>Vector and 3D Geometry</t>
        </is>
      </c>
      <c r="F44" s="2" t="n">
        <v>3</v>
      </c>
      <c r="G44" s="6" t="n">
        <v>2</v>
      </c>
      <c r="H44" s="6" t="inlineStr">
        <is>
          <t>Easier than Advanced</t>
        </is>
      </c>
      <c r="I44" s="5" t="n">
        <v>0</v>
      </c>
      <c r="J44" s="5" t="n">
        <v>0</v>
      </c>
      <c r="K44" s="5">
        <f>MIN(5,MAX(G44+I44,J44))</f>
        <v/>
      </c>
      <c r="L44" s="5">
        <f>F44*K44</f>
        <v/>
      </c>
      <c r="M44" s="3" t="inlineStr">
        <is>
          <t>Each row needs one or two standard moves; the only care point is checking that jumps of [6x/pi] are not hidden in (B).</t>
        </is>
      </c>
      <c r="N44" s="3" t="inlineStr">
        <is>
          <t>Four independent one-to-three-step items (factorisation, jump check, triple product, squaring a vector relation); matching allows elimination and nothing is unfamiliar. Level 2 like the routine vector anchor 2026-P2-Q1 (L2).</t>
        </is>
      </c>
      <c r="O44" s="3" t="inlineStr">
        <is>
          <t>2026-P2-Q1 (L2)</t>
        </is>
      </c>
      <c r="P44" s="2" t="inlineStr">
        <is>
          <t>Medium</t>
        </is>
      </c>
    </row>
    <row r="45">
      <c r="A45" s="2" t="n">
        <v>44</v>
      </c>
      <c r="B45" s="2" t="inlineStr"/>
      <c r="C45" s="2" t="inlineStr">
        <is>
          <t>Q44</t>
        </is>
      </c>
      <c r="D45" s="2" t="inlineStr">
        <is>
          <t>MTC SCQ</t>
        </is>
      </c>
      <c r="E45" s="3" t="inlineStr">
        <is>
          <t>Vector and 3D Geometry</t>
        </is>
      </c>
      <c r="F45" s="2" t="n">
        <v>3</v>
      </c>
      <c r="G45" s="7" t="n">
        <v>3</v>
      </c>
      <c r="H45" s="7" t="inlineStr">
        <is>
          <t>Average Advanced</t>
        </is>
      </c>
      <c r="I45" s="5" t="n">
        <v>0</v>
      </c>
      <c r="J45" s="5" t="n">
        <v>0</v>
      </c>
      <c r="K45" s="5">
        <f>MIN(5,MAX(G45+I45,J45))</f>
        <v/>
      </c>
      <c r="L45" s="5">
        <f>F45*K45</f>
        <v/>
      </c>
      <c r="M45" s="3" t="inlineStr">
        <is>
          <t>Recognise that equal dot products force d = k(a+b+c), then dot with a and with d to get 3cos^2(alpha)=1+2cos(theta).</t>
        </is>
      </c>
      <c r="N45" s="3" t="inlineStr">
        <is>
          <t>A single non-obvious symmetry insight plus an elimination, after which the four rows are one-line evaluations; options make errors easy to spot. A notch above the routine vector matching anchor 2025-P1-Q16 (L2) because the symmetric-axis idea is less drilled.</t>
        </is>
      </c>
      <c r="O45" s="3" t="inlineStr">
        <is>
          <t>2025-P1-Q16 (L2)</t>
        </is>
      </c>
      <c r="P45" s="2" t="inlineStr">
        <is>
          <t>Medium</t>
        </is>
      </c>
    </row>
    <row r="46">
      <c r="A46" s="2" t="n">
        <v>45</v>
      </c>
      <c r="B46" s="2" t="inlineStr"/>
      <c r="C46" s="2" t="inlineStr">
        <is>
          <t>Q45</t>
        </is>
      </c>
      <c r="D46" s="2" t="inlineStr">
        <is>
          <t>MTC SCQ</t>
        </is>
      </c>
      <c r="E46" s="3" t="inlineStr">
        <is>
          <t>Vector and 3D Geometry</t>
        </is>
      </c>
      <c r="F46" s="2" t="n">
        <v>3</v>
      </c>
      <c r="G46" s="9" t="n">
        <v>4</v>
      </c>
      <c r="H46" s="9" t="inlineStr">
        <is>
          <t>Slightly difficult</t>
        </is>
      </c>
      <c r="I46" s="5" t="n">
        <v>0</v>
      </c>
      <c r="J46" s="5" t="n">
        <v>0</v>
      </c>
      <c r="K46" s="5">
        <f>MIN(5,MAX(G46+I46,J46))</f>
        <v/>
      </c>
      <c r="L46" s="5">
        <f>F46*K46</f>
        <v/>
      </c>
      <c r="M46" s="3" t="inlineStr">
        <is>
          <t>Four independent multi-step items; the decisive moves are the plane/parametric intersection in (A), rejecting mu=5 in (C), and folding the integral in (D).</t>
        </is>
      </c>
      <c r="N46" s="3" t="inlineStr">
        <is>
          <t>Each of the four rows is a full question in its own right (3-6 stages: skew-line intersection, ITF subtraction formula, vector algebra with an unreal root to reject, and a Dirichlet-kernel integral) with real precision risk, so this is well above the usual short matching item. Placed at the top of the matching anchors, level with the heavy 2026-P1-Q15 (L4) rather than 2026-P1-Q16 (L3).</t>
        </is>
      </c>
      <c r="O46" s="3" t="inlineStr">
        <is>
          <t>2026-P1-Q15 (L4)</t>
        </is>
      </c>
      <c r="P46" s="2" t="inlineStr">
        <is>
          <t>Medium</t>
        </is>
      </c>
    </row>
    <row r="47">
      <c r="A47" s="2" t="n">
        <v>46</v>
      </c>
      <c r="B47" s="2" t="inlineStr"/>
      <c r="C47" s="2" t="inlineStr">
        <is>
          <t>Q46</t>
        </is>
      </c>
      <c r="D47" s="2" t="inlineStr">
        <is>
          <t>MTC SCQ</t>
        </is>
      </c>
      <c r="E47" s="3" t="inlineStr">
        <is>
          <t>Vector and 3D Geometry</t>
        </is>
      </c>
      <c r="F47" s="2" t="n">
        <v>3</v>
      </c>
      <c r="G47" s="6" t="n">
        <v>2</v>
      </c>
      <c r="H47" s="6" t="inlineStr">
        <is>
          <t>Easier than Advanced</t>
        </is>
      </c>
      <c r="I47" s="5" t="n">
        <v>0</v>
      </c>
      <c r="J47" s="5" t="n">
        <v>0</v>
      </c>
      <c r="K47" s="5">
        <f>MIN(5,MAX(G47+I47,J47))</f>
        <v/>
      </c>
      <c r="L47" s="5">
        <f>F47*K47</f>
        <v/>
      </c>
      <c r="M47" s="3" t="inlineStr">
        <is>
          <t>Evaluate each row with one standard move: triple product identity, cos(A-B)&lt;=1 bound, and imposing x,y&gt;0 on the intersection of two lines.</t>
        </is>
      </c>
      <c r="N47" s="3" t="inlineStr">
        <is>
          <t>Four short independent items each needing one standard idea; (D) needs a little care with the sign of a, and the key is in the options so errors are easy to catch. Equal to the routine matching anchor 2025-P1-Q16 (L2).</t>
        </is>
      </c>
      <c r="O47" s="3" t="inlineStr">
        <is>
          <t>2025-P1-Q16 (L2)</t>
        </is>
      </c>
      <c r="P47" s="2" t="inlineStr">
        <is>
          <t>Medium</t>
        </is>
      </c>
    </row>
    <row r="48">
      <c r="A48" s="2" t="n">
        <v>47</v>
      </c>
      <c r="B48" s="2" t="inlineStr"/>
      <c r="C48" s="2" t="inlineStr">
        <is>
          <t>Q47</t>
        </is>
      </c>
      <c r="D48" s="2" t="inlineStr">
        <is>
          <t>MTC SCQ</t>
        </is>
      </c>
      <c r="E48" s="3" t="inlineStr">
        <is>
          <t>Vector and 3D Geometry</t>
        </is>
      </c>
      <c r="F48" s="2" t="n">
        <v>3</v>
      </c>
      <c r="G48" s="6" t="n">
        <v>2</v>
      </c>
      <c r="H48" s="6" t="inlineStr">
        <is>
          <t>Easier than Advanced</t>
        </is>
      </c>
      <c r="I48" s="5" t="n">
        <v>0</v>
      </c>
      <c r="J48" s="5" t="n">
        <v>0</v>
      </c>
      <c r="K48" s="5">
        <f>MIN(5,MAX(G48+I48,J48))</f>
        <v/>
      </c>
      <c r="L48" s="5">
        <f>F48*K48</f>
        <v/>
      </c>
      <c r="M48" s="3" t="inlineStr">
        <is>
          <t>Standard recognitions in each row: n1 x n2 as plane normal, tan^-1 telescoping, half-angle tangent formula, foot of perpendicular.</t>
        </is>
      </c>
      <c r="N48" s="3" t="inlineStr">
        <is>
          <t>Four independent two-to-four step items, each using a familiar textbook technique, with the answer list allowing a quick check. Same weight as the routine matching anchor 2025-P1-Q16 (L2).</t>
        </is>
      </c>
      <c r="O48" s="3" t="inlineStr">
        <is>
          <t>2025-P1-Q16 (L2)</t>
        </is>
      </c>
      <c r="P48" s="2" t="inlineStr">
        <is>
          <t>High</t>
        </is>
      </c>
    </row>
    <row r="50">
      <c r="A50" s="10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1" t="inlineStr">
        <is>
          <t>Difficulty summary</t>
        </is>
      </c>
    </row>
    <row r="2">
      <c r="A2" s="10" t="inlineStr">
        <is>
          <t>Source: Sheet_Vector_3D__FCopy_C2.pdf   |   Evaluated on: 2026-10-15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2" t="n">
        <v>0</v>
      </c>
      <c r="B5" s="12" t="inlineStr">
        <is>
          <t>Easier than JEE Main</t>
        </is>
      </c>
      <c r="C5" s="12">
        <f>COUNTIF(Evaluation!$G$2:$G$48,A5)</f>
        <v/>
      </c>
      <c r="D5" s="12">
        <f>SUMIF(Evaluation!$G$2:$G$48,A5,Evaluation!$F$2:$F$48)</f>
        <v/>
      </c>
      <c r="E5" s="13">
        <f>IF(SUM($D$5:$D$10)=0,0,D5/SUM($D$5:$D$10))</f>
        <v/>
      </c>
    </row>
    <row r="6">
      <c r="A6" s="14" t="n">
        <v>1</v>
      </c>
      <c r="B6" s="14" t="inlineStr">
        <is>
          <t>JEE Main level</t>
        </is>
      </c>
      <c r="C6" s="14">
        <f>COUNTIF(Evaluation!$G$2:$G$48,A6)</f>
        <v/>
      </c>
      <c r="D6" s="14">
        <f>SUMIF(Evaluation!$G$2:$G$48,A6,Evaluation!$F$2:$F$48)</f>
        <v/>
      </c>
      <c r="E6" s="15">
        <f>IF(SUM($D$5:$D$10)=0,0,D6/SUM($D$5:$D$10))</f>
        <v/>
      </c>
    </row>
    <row r="7">
      <c r="A7" s="16" t="n">
        <v>2</v>
      </c>
      <c r="B7" s="16" t="inlineStr">
        <is>
          <t>Easier than Advanced</t>
        </is>
      </c>
      <c r="C7" s="16">
        <f>COUNTIF(Evaluation!$G$2:$G$48,A7)</f>
        <v/>
      </c>
      <c r="D7" s="16">
        <f>SUMIF(Evaluation!$G$2:$G$48,A7,Evaluation!$F$2:$F$48)</f>
        <v/>
      </c>
      <c r="E7" s="17">
        <f>IF(SUM($D$5:$D$10)=0,0,D7/SUM($D$5:$D$10))</f>
        <v/>
      </c>
    </row>
    <row r="8">
      <c r="A8" s="18" t="n">
        <v>3</v>
      </c>
      <c r="B8" s="18" t="inlineStr">
        <is>
          <t>Average Advanced</t>
        </is>
      </c>
      <c r="C8" s="18">
        <f>COUNTIF(Evaluation!$G$2:$G$48,A8)</f>
        <v/>
      </c>
      <c r="D8" s="18">
        <f>SUMIF(Evaluation!$G$2:$G$48,A8,Evaluation!$F$2:$F$48)</f>
        <v/>
      </c>
      <c r="E8" s="19">
        <f>IF(SUM($D$5:$D$10)=0,0,D8/SUM($D$5:$D$10))</f>
        <v/>
      </c>
    </row>
    <row r="9">
      <c r="A9" s="20" t="n">
        <v>4</v>
      </c>
      <c r="B9" s="20" t="inlineStr">
        <is>
          <t>Slightly difficult</t>
        </is>
      </c>
      <c r="C9" s="20">
        <f>COUNTIF(Evaluation!$G$2:$G$48,A9)</f>
        <v/>
      </c>
      <c r="D9" s="20">
        <f>SUMIF(Evaluation!$G$2:$G$48,A9,Evaluation!$F$2:$F$48)</f>
        <v/>
      </c>
      <c r="E9" s="21">
        <f>IF(SUM($D$5:$D$10)=0,0,D9/SUM($D$5:$D$10))</f>
        <v/>
      </c>
    </row>
    <row r="10">
      <c r="A10" s="22" t="n">
        <v>5</v>
      </c>
      <c r="B10" s="22" t="inlineStr">
        <is>
          <t>Very difficult</t>
        </is>
      </c>
      <c r="C10" s="22">
        <f>COUNTIF(Evaluation!$G$2:$G$48,A10)</f>
        <v/>
      </c>
      <c r="D10" s="22">
        <f>SUMIF(Evaluation!$G$2:$G$48,A10,Evaluation!$F$2:$F$48)</f>
        <v/>
      </c>
      <c r="E10" s="23">
        <f>IF(SUM($D$5:$D$10)=0,0,D10/SUM($D$5:$D$10))</f>
        <v/>
      </c>
    </row>
    <row r="11">
      <c r="A11" s="24" t="inlineStr">
        <is>
          <t>Total</t>
        </is>
      </c>
      <c r="C11" s="24">
        <f>SUM(C5:C10)</f>
        <v/>
      </c>
      <c r="D11" s="24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4" t="inlineStr">
        <is>
          <t>Overall</t>
        </is>
      </c>
      <c r="B14" s="25">
        <f>SUM(Evaluation!$L$2:$L$48)/SUM(Evaluation!$F$2:$F$48)</f>
        <v/>
      </c>
      <c r="C14" s="25">
        <f>SUMPRODUCT(Evaluation!$F$2:$F$48,Evaluation!$G$2:$G$48)/SUM(Evaluation!$F$2:$F$48)</f>
        <v/>
      </c>
      <c r="D14" s="24">
        <f>SUM(Evaluation!$F$2:$F$48)</f>
        <v/>
      </c>
      <c r="E14" s="25">
        <f>AVERAGE(Evaluation!$G$2:$G$48)</f>
        <v/>
      </c>
    </row>
    <row r="16">
      <c r="A16" s="10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1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6" t="n">
        <v>2021</v>
      </c>
      <c r="B4" s="27" t="n">
        <v>2.758333333333333</v>
      </c>
      <c r="C4" s="27" t="n">
        <v>2.894736842105263</v>
      </c>
      <c r="D4" s="26" t="n">
        <v>16</v>
      </c>
      <c r="E4" s="26" t="n">
        <v>34</v>
      </c>
      <c r="F4" s="26" t="n">
        <v>1</v>
      </c>
    </row>
    <row r="5">
      <c r="A5" s="26" t="n">
        <v>2023</v>
      </c>
      <c r="B5" s="27" t="n">
        <v>3.191666666666667</v>
      </c>
      <c r="C5" s="27" t="n">
        <v>3.147058823529412</v>
      </c>
      <c r="D5" s="26" t="n">
        <v>13</v>
      </c>
      <c r="E5" s="26" t="n">
        <v>47</v>
      </c>
      <c r="F5" s="26" t="n">
        <v>5</v>
      </c>
    </row>
    <row r="6">
      <c r="A6" s="26" t="n">
        <v>2024</v>
      </c>
      <c r="B6" s="27" t="n">
        <v>2.591666666666667</v>
      </c>
      <c r="C6" s="27" t="n">
        <v>2.558823529411764</v>
      </c>
      <c r="D6" s="26" t="n">
        <v>28</v>
      </c>
      <c r="E6" s="26" t="n">
        <v>40</v>
      </c>
      <c r="F6" s="26" t="n">
        <v>1</v>
      </c>
    </row>
    <row r="7">
      <c r="A7" s="26" t="n">
        <v>2025</v>
      </c>
      <c r="B7" s="27" t="n">
        <v>3.208333333333333</v>
      </c>
      <c r="C7" s="27" t="n">
        <v>3.1875</v>
      </c>
      <c r="D7" s="26" t="n">
        <v>8</v>
      </c>
      <c r="E7" s="26" t="n">
        <v>65</v>
      </c>
      <c r="F7" s="26" t="n">
        <v>1</v>
      </c>
    </row>
    <row r="8">
      <c r="A8" s="26" t="n">
        <v>2026</v>
      </c>
      <c r="B8" s="27" t="n">
        <v>3.025</v>
      </c>
      <c r="C8" s="27" t="n">
        <v>2.941176470588236</v>
      </c>
      <c r="D8" s="26" t="n">
        <v>6</v>
      </c>
      <c r="E8" s="26" t="n">
        <v>38</v>
      </c>
      <c r="F8" s="26" t="n">
        <v>2</v>
      </c>
    </row>
    <row r="9">
      <c r="A9" s="24" t="inlineStr">
        <is>
          <t>This paper</t>
        </is>
      </c>
      <c r="B9" s="25">
        <f>Summary!B14</f>
        <v/>
      </c>
      <c r="C9" s="25">
        <f>Summary!E14</f>
        <v/>
      </c>
      <c r="D9" s="24">
        <f>Summary!D5+Summary!D6</f>
        <v/>
      </c>
      <c r="E9" s="24">
        <f>Summary!D9+Summary!D10</f>
        <v/>
      </c>
      <c r="F9" s="24">
        <f>Summary!C10</f>
        <v/>
      </c>
    </row>
    <row r="11">
      <c r="A11" s="10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2026-10-15T10:44:46Z</dcterms:created>
  <dcterms:modified xmlns:dcterms="http://purl.org/dc/terms/" xmlns:xsi="http://www.w3.org/2001/XMLSchema-instance" xsi:type="dcterms:W3CDTF">2026-10-15T10:44:46Z</dcterms:modified>
</cp:coreProperties>
</file>