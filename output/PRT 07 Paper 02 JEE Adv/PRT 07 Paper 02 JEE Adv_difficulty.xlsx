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Indefinite Integration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Write x^2 as (x^2-4)+4 to get e^x(h+h') form, then use point and slope of tangency.</t>
        </is>
      </c>
      <c r="N2" s="3" t="inlineStr">
        <is>
          <t>Standard e^x[f+f'] integral followed by one tangency condition; three routine steps, no insight beyond a well-practised trick. Same standard as a linear-DE/integral SCQ at L2.</t>
        </is>
      </c>
      <c r="O2" s="3" t="inlineStr">
        <is>
          <t>2023-P2-Q1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Limit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1^inf form: need the x^6 terms of e^x ln(1+x)+e^-x ln(1-x) because the x^4 term cancels.</t>
        </is>
      </c>
      <c r="N3" s="3" t="inlineStr">
        <is>
          <t>The cancellation of x^4 forces a long series expansion to x^6 and a careful ratio; option-based so checkable, but a slip in the x^6 coefficient is easy.</t>
        </is>
      </c>
      <c r="O3" s="3" t="inlineStr">
        <is>
          <t>2025-P1-Q11 (L4, numerical, lighter here as SCQ)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Straight Line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Family of lines passes through the centroid, and the orthocentre of the right triangle is the right-angle vertex.</t>
        </is>
      </c>
      <c r="N4" s="3" t="inlineStr">
        <is>
          <t>Fixed point of a concurrent family and max distance = HG; a short routine chain with one recognised fact.</t>
        </is>
      </c>
      <c r="O4" s="3" t="inlineStr">
        <is>
          <t>2026-P2-Q2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Application of Derivatives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Tangent condition gives a=g(t); number of tangents = number of roots of g(t)=a, so analyse monotonicity of g.</t>
        </is>
      </c>
      <c r="N5" s="3" t="inlineStr">
        <is>
          <t>Needs the parametrisation, the derivative of g, behaviour near the asymptote t=e and counting of roots for every a; options help.</t>
        </is>
      </c>
      <c r="O5" s="3" t="inlineStr">
        <is>
          <t>2026-P1-Q1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MCQ</t>
        </is>
      </c>
      <c r="E6" s="3" t="inlineStr">
        <is>
          <t>Differential Equation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2.5</v>
      </c>
      <c r="K6" s="5">
        <f>MIN(5,MAX(G6+I6,J6))</f>
        <v/>
      </c>
      <c r="L6" s="5">
        <f>F6*K6</f>
        <v/>
      </c>
      <c r="M6" s="3" t="inlineStr">
        <is>
          <t>y^2=x^3 from the DE; then each statement is a short slope, area or angle calculation.</t>
        </is>
      </c>
      <c r="N6" s="3" t="inlineStr">
        <is>
          <t>Four statements each routine (separable DE, slopes, tan of angle, area); multi-concept so the 2.5 floor applies.</t>
        </is>
      </c>
      <c r="O6" s="3" t="inlineStr">
        <is>
          <t>2026-P2-Q8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MCQ</t>
        </is>
      </c>
      <c r="E7" s="3" t="inlineStr">
        <is>
          <t>Continuity &amp; Differentiability</t>
        </is>
      </c>
      <c r="F7" s="2" t="n">
        <v>4</v>
      </c>
      <c r="G7" s="7" t="n">
        <v>4</v>
      </c>
      <c r="H7" s="7" t="inlineStr">
        <is>
          <t>Slightly difficult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Build f = min(max, max) piecewise: find the crossings (one is root of a quartic), then check slopes at five breakpoints.</t>
        </is>
      </c>
      <c r="N7" s="3" t="inlineStr">
        <is>
          <t>Long casework with five breakpoints, one found only as a quartic root, plus maximum and monotonicity statements; one slip changes the count.</t>
        </is>
      </c>
      <c r="O7" s="3" t="inlineStr">
        <is>
          <t>2026-P1-Q10 (L4)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MCQ</t>
        </is>
      </c>
      <c r="E8" s="3" t="inlineStr">
        <is>
          <t>Probability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Compute P(E1)=1/2, then test independence of E1 with B and E2 and the conditional probabilities.</t>
        </is>
      </c>
      <c r="N8" s="3" t="inlineStr">
        <is>
          <t>Four statements each need a genuine probability computation; independence of E1 and E2 is non-obvious.</t>
        </is>
      </c>
      <c r="O8" s="3" t="inlineStr">
        <is>
          <t>2021-P1-Q13 (L3)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MCQ</t>
        </is>
      </c>
      <c r="E9" s="3" t="inlineStr">
        <is>
          <t>Statistics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2.5</v>
      </c>
      <c r="K9" s="5">
        <f>MIN(5,MAX(G9+I9,J9))</f>
        <v/>
      </c>
      <c r="L9" s="5">
        <f>F9*K9</f>
        <v/>
      </c>
      <c r="M9" s="3" t="inlineStr">
        <is>
          <t>Use sum k x^k and sum k^2 x^k (AGP) for mean and variance; tail-sum formula for statement (C).</t>
        </is>
      </c>
      <c r="N9" s="3" t="inlineStr">
        <is>
          <t>Series summations plus a distribution-identity statement; several concepts so the floor applies but the level is 3 anyway.</t>
        </is>
      </c>
      <c r="O9" s="3" t="inlineStr">
        <is>
          <t>2026-P2-Q11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Para SCQ</t>
        </is>
      </c>
      <c r="E10" s="3" t="inlineStr">
        <is>
          <t>Application of Derivatives</t>
        </is>
      </c>
      <c r="F10" s="2" t="n">
        <v>3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g(x)=k(x) for x&gt;=2 since k is increasing there; then (2x-1)(x-2)^2 factorisation.</t>
        </is>
      </c>
      <c r="N10" s="3" t="inlineStr">
        <is>
          <t>Understanding max/min over a moving interval needs thought, but once g near 2 is seen the limit is quick.</t>
        </is>
      </c>
      <c r="O10" s="3" t="inlineStr">
        <is>
          <t>2021-P2-Q16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Para SCQ</t>
        </is>
      </c>
      <c r="E11" s="3" t="inlineStr">
        <is>
          <t>Application of Derivatives</t>
        </is>
      </c>
      <c r="F11" s="2" t="n">
        <v>3</v>
      </c>
      <c r="G11" s="7" t="n">
        <v>4</v>
      </c>
      <c r="H11" s="7" t="inlineStr">
        <is>
          <t>Slightly difficult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Piecewise g with the breakpoint x=1/2 (where k(1/2)=k(2)=4), then F piecewise and its maximum.</t>
        </is>
      </c>
      <c r="N11" s="3" t="inlineStr">
        <is>
          <t>Same paragraph but the whole piecewise structure of g must be derived (breakpoint k(x)=4), then F analysed on two pieces.</t>
        </is>
      </c>
      <c r="O11" s="3" t="inlineStr">
        <is>
          <t>2021-P2-Q15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INT</t>
        </is>
      </c>
      <c r="E12" s="3" t="inlineStr">
        <is>
          <t>Indefinite Integration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Substitute x^3=t, integrate t e^t, then match series terms.</t>
        </is>
      </c>
      <c r="N12" s="3" t="inlineStr">
        <is>
          <t>Substitution, boundary condition and a series limit; routine chain.</t>
        </is>
      </c>
      <c r="O12" s="3" t="inlineStr">
        <is>
          <t>2025-P1-Q11 (L4, harder)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INT</t>
        </is>
      </c>
      <c r="E13" s="3" t="inlineStr">
        <is>
          <t>Straight Line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Between the lines the product (x-y+2)(x-y-4) is negative; d3^2 = d1 d2 gives a circle.</t>
        </is>
      </c>
      <c r="N13" s="3" t="inlineStr">
        <is>
          <t>Distance formulas and sign handling, then circle radius; routine.</t>
        </is>
      </c>
      <c r="O13" s="3" t="inlineStr">
        <is>
          <t>2021-P1-Q9 (L4, harder as it adds a chord)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INT</t>
        </is>
      </c>
      <c r="E14" s="3" t="inlineStr">
        <is>
          <t>Statistics</t>
        </is>
      </c>
      <c r="F14" s="2" t="n">
        <v>4</v>
      </c>
      <c r="G14" s="6" t="n">
        <v>3</v>
      </c>
      <c r="H14" s="6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Four sub-computations: |cubic| kinks, domain integers of a log expression, a limit and the roots of e^x+x^2-x-1; then the median formula.</t>
        </is>
      </c>
      <c r="N14" s="3" t="inlineStr">
        <is>
          <t>Four small tasks from different chapters feed a median; each is routine but the chain is long and root counting needs convexity.</t>
        </is>
      </c>
      <c r="O14" s="3" t="inlineStr">
        <is>
          <t>2025-P1-Q14 (L2, more stages here)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INT</t>
        </is>
      </c>
      <c r="E15" s="3" t="inlineStr">
        <is>
          <t>Application of Derivatives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(f')^2+f f'' = (f f')' and Rolle's theorem on the nine interlacing roots of f f'.</t>
        </is>
      </c>
      <c r="N15" s="3" t="inlineStr">
        <is>
          <t>Non-routine but familiar Rolle idea: g=ff' has 9 roots, so g' has 8, and degree 8 caps it.</t>
        </is>
      </c>
      <c r="O15" s="3" t="inlineStr">
        <is>
          <t>2023-P2-Q7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Continuity &amp; Differentiability</t>
        </is>
      </c>
      <c r="F16" s="2" t="n">
        <v>4</v>
      </c>
      <c r="G16" s="7" t="n">
        <v>4</v>
      </c>
      <c r="H16" s="7" t="inlineStr">
        <is>
          <t>Slightly difficult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g is non-differentiable only at 0; h=g(phi(x)) can fail only where phi=0, and one-sided slopes use g'(0-)=1/2, g'(0+)=1.</t>
        </is>
      </c>
      <c r="N16" s="3" t="inlineStr">
        <is>
          <t>Inverse of a piecewise function, composition, chain rule with one-sided slopes at three points and a numerical sum; no options.</t>
        </is>
      </c>
      <c r="O16" s="3" t="inlineStr">
        <is>
          <t>2026-P2-Q14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Application of Derivatives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f'=0 reduces to 2x^3-6x=k; two local minima exactly when the cubic has three roots, |k|&lt;4.</t>
        </is>
      </c>
      <c r="N17" s="3" t="inlineStr">
        <is>
          <t>Reduction to a cubic with local extrema +-4 and care at the boundary |k|=4; a short chain with one subtle edge.</t>
        </is>
      </c>
      <c r="O17" s="3" t="inlineStr">
        <is>
          <t>2023-P2-Q7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Straight Line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Parametrise B(t,t), C(s,-s), use AB.AC=0 and eliminate to find the midpoint line.</t>
        </is>
      </c>
      <c r="N18" s="3" t="inlineStr">
        <is>
          <t>Parametrisation, dot product and elimination, then a distance; routine chain.</t>
        </is>
      </c>
      <c r="O18" s="3" t="inlineStr">
        <is>
          <t>2026-P2-Q1 (L2)</t>
        </is>
      </c>
      <c r="P18" s="2" t="inlineStr">
        <is>
          <t>High</t>
        </is>
      </c>
    </row>
    <row r="20">
      <c r="A20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PRT 07 Paper 02 JEE Adv.pdf   |   Evaluated on: 2026-10-23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COUNTIF(Evaluation!$G$2:$G$18,A5)</f>
        <v/>
      </c>
      <c r="D5" s="10">
        <f>SUMIF(Evaluation!$G$2:$G$18,A5,Evaluation!$F$2:$F$18)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COUNTIF(Evaluation!$G$2:$G$18,A6)</f>
        <v/>
      </c>
      <c r="D6" s="12">
        <f>SUMIF(Evaluation!$G$2:$G$18,A6,Evaluation!$F$2:$F$18)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COUNTIF(Evaluation!$G$2:$G$18,A7)</f>
        <v/>
      </c>
      <c r="D7" s="14">
        <f>SUMIF(Evaluation!$G$2:$G$18,A7,Evaluation!$F$2:$F$18)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COUNTIF(Evaluation!$G$2:$G$18,A8)</f>
        <v/>
      </c>
      <c r="D8" s="16">
        <f>SUMIF(Evaluation!$G$2:$G$18,A8,Evaluation!$F$2:$F$18)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COUNTIF(Evaluation!$G$2:$G$18,A9)</f>
        <v/>
      </c>
      <c r="D9" s="18">
        <f>SUMIF(Evaluation!$G$2:$G$18,A9,Evaluation!$F$2:$F$18)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COUNTIF(Evaluation!$G$2:$G$18,A10)</f>
        <v/>
      </c>
      <c r="D10" s="20">
        <f>SUMIF(Evaluation!$G$2:$G$18,A10,Evaluation!$F$2:$F$18)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SUM(Evaluation!$L$2:$L$18)/SUM(Evaluation!$F$2:$F$18)</f>
        <v/>
      </c>
      <c r="C14" s="23">
        <f>SUMPRODUCT(Evaluation!$F$2:$F$18,Evaluation!$G$2:$G$18)/SUM(Evaluation!$F$2:$F$18)</f>
        <v/>
      </c>
      <c r="D14" s="22">
        <f>SUM(Evaluation!$F$2:$F$18)</f>
        <v/>
      </c>
      <c r="E14" s="23">
        <f>AVERAGE(Evaluation!$G$2:$G$18)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2026-10-23T16:10:35Z</dcterms:created>
  <dcterms:modified xmlns:dcterms="http://purl.org/dc/terms/" xmlns:xsi="http://www.w3.org/2001/XMLSchema-instance" xsi:type="dcterms:W3CDTF">2026-10-23T16:10:35Z</dcterms:modified>
</cp:coreProperties>
</file>