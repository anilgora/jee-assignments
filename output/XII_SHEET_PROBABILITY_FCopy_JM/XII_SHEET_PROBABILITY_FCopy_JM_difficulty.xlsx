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Probability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Fix the unique letter M; ratio $10!/11!$.</t>
        </is>
      </c>
      <c r="N2" s="3" t="inlineStr">
        <is>
          <t>Single familiar move on repeated-letter counting.</t>
        </is>
      </c>
      <c r="O2" s="3" t="inlineStr">
        <is>
          <t>2021-P2-Q17 (L4) lower; routine L1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Probability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Discriminant $&lt;0$ then count integers in $(-16,3)\cap[-5,30]$.</t>
        </is>
      </c>
      <c r="N3" s="3" t="inlineStr">
        <is>
          <t>Two routine steps (discriminant, integer count) with no insight.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Probability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Add the three 'exactly one' conditions to get the inclusion-exclusion sum.</t>
        </is>
      </c>
      <c r="N4" s="3" t="inlineStr">
        <is>
          <t>Algebraic recognition chain; options help; one small insight.</t>
        </is>
      </c>
      <c r="O4" s="3" t="inlineStr">
        <is>
          <t>2021-P1-Q13 (L4) is harder (bounds); this is routine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Probability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Singular iff $ad=bc$; only 16 singular arrangements with distinct entries.</t>
        </is>
      </c>
      <c r="N5" s="3" t="inlineStr">
        <is>
          <t>Counting with a precision risk (find all equal-product quadruples) in a mixed matrix/probability setting.</t>
        </is>
      </c>
      <c r="O5" s="3" t="inlineStr">
        <is>
          <t>2023-P2-Q10 (L4) / 2021-P1-Q3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Choose 3 balls for $B_3$ and put the rest in the other 3 boxes; match $k(3/4)^9$.</t>
        </is>
      </c>
      <c r="N6" s="3" t="inlineStr">
        <is>
          <t>One standard occupancy count and a rewriting step.</t>
        </is>
      </c>
      <c r="O6" s="3" t="inlineStr">
        <is>
          <t>2024-P1-Q2 (L3) is harder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Probability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Arithmetico-geometric sum for the mean; GP for the even terms.</t>
        </is>
      </c>
      <c r="N7" s="3" t="inlineStr">
        <is>
          <t>Routine series work chained twice, no insight.</t>
        </is>
      </c>
      <c r="O7" s="3" t="inlineStr">
        <is>
          <t>2026-P2-Q3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Probability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$2^n-2$ is a multiple of 3 iff $n$ is odd.</t>
        </is>
      </c>
      <c r="N8" s="3" t="inlineStr">
        <is>
          <t>Two routine ideas (modular reduction, parity count).</t>
        </is>
      </c>
      <c r="O8" s="3" t="inlineStr">
        <is>
          <t>2021-P2-Q17 (L4) larger counting; here L2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Probability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Compare $\sum_{r\ge n}\binom8r$ with $2^7$; test $n=4,5$.</t>
        </is>
      </c>
      <c r="N9" s="3" t="inlineStr">
        <is>
          <t>Routine binomial sum with a small search, options present.</t>
        </is>
      </c>
      <c r="O9" s="3" t="inlineStr">
        <is>
          <t>2024-P1-Q2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Probability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Complement and $2^n\ge10$.</t>
        </is>
      </c>
      <c r="N10" s="3" t="inlineStr">
        <is>
          <t>One familiar move.</t>
        </is>
      </c>
      <c r="O10" s="3" t="inlineStr">
        <is>
          <t>2021-P1-Q5 (L2) complement probability; simpler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Probability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Exactly-one probability gives a quadratic; test roots.</t>
        </is>
      </c>
      <c r="N11" s="3" t="inlineStr">
        <is>
          <t>One standard step then a quadratic.</t>
        </is>
      </c>
      <c r="O11" s="3" t="inlineStr">
        <is>
          <t>2024-P2-Q3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Probability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Geometric tails; ratio $(5/6)^2$ (memoryless).</t>
        </is>
      </c>
      <c r="N12" s="3" t="inlineStr">
        <is>
          <t>One familiar idea applied twice.</t>
        </is>
      </c>
      <c r="O12" s="3" t="inlineStr">
        <is>
          <t>2023-P2-Q2 (L3) is harder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Probability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Only pairs $(1,6),(6,1)$ are perturbed; $1/6-2x^2=13/96$.</t>
        </is>
      </c>
      <c r="N13" s="3" t="inlineStr">
        <is>
          <t>Routine setup and quadratic; modest care with the six pairs.</t>
        </is>
      </c>
      <c r="O13" s="3" t="inlineStr">
        <is>
          <t>2026-P2-Q12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Probability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Add four cases with squares of binomial probabilities.</t>
        </is>
      </c>
      <c r="N14" s="3" t="inlineStr">
        <is>
          <t>Direct four-case sum.</t>
        </is>
      </c>
      <c r="O14" s="3" t="inlineStr">
        <is>
          <t>2021-P2-Q17 (L4) larger; here L1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Probability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Onto $=$ bijection; $g(1)\in\{1,2,3\}$.</t>
        </is>
      </c>
      <c r="N15" s="3" t="inlineStr">
        <is>
          <t>Two short routine steps.</t>
        </is>
      </c>
      <c r="O15" s="3" t="inlineStr">
        <is>
          <t>2026-P1-Q3 (L1) / 2026-P2-Q3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Count adjacent pairs $2(7\cdot8)$.</t>
        </is>
      </c>
      <c r="N16" s="3" t="inlineStr">
        <is>
          <t>Single counting step.</t>
        </is>
      </c>
      <c r="O16" s="3" t="inlineStr">
        <is>
          <t>2021-P2-Q17 (L4) larger; here L1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Probability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Conditional probability of $\{2\}$ within $\{1,2\}$ and $\sum P=1$.</t>
        </is>
      </c>
      <c r="N17" s="3" t="inlineStr">
        <is>
          <t>Two routine steps, numerical format nudges up.</t>
        </is>
      </c>
      <c r="O17" s="3" t="inlineStr">
        <is>
          <t>2021-P1-Q5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Probability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Condition on 'instrument fails' (series system).</t>
        </is>
      </c>
      <c r="N18" s="3" t="inlineStr">
        <is>
          <t>Bayes with three cases; routine.</t>
        </is>
      </c>
      <c r="O18" s="3" t="inlineStr">
        <is>
          <t>2025-P2-Q11 (L4) is harder (three units)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Probability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Bayes with hypergeometric likelihoods and a quadratic in $n$.</t>
        </is>
      </c>
      <c r="N19" s="3" t="inlineStr">
        <is>
          <t>Chain of three stages, routine Bayes.</t>
        </is>
      </c>
      <c r="O19" s="3" t="inlineStr">
        <is>
          <t>2024-P1-Q2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Binomial ratios with $r+s=n$ and $q/p=11$.</t>
        </is>
      </c>
      <c r="N20" s="3" t="inlineStr">
        <is>
          <t>Needs the symmetry of coefficients but short.</t>
        </is>
      </c>
      <c r="O20" s="3" t="inlineStr">
        <is>
          <t>2026-P2-Q5 (L4) harder; routine L2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Restrict to $X\le2$ and renormalise.</t>
        </is>
      </c>
      <c r="N21" s="3" t="inlineStr">
        <is>
          <t>Single conditional-probability step.</t>
        </is>
      </c>
      <c r="O21" s="3" t="inlineStr">
        <is>
          <t>2024-P2-Q3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Probability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Recover $P(E_1),P(E_2)$ and test four options.</t>
        </is>
      </c>
      <c r="N22" s="3" t="inlineStr">
        <is>
          <t>Four statements each needing a check, but each is one line.</t>
        </is>
      </c>
      <c r="O22" s="3" t="inlineStr">
        <is>
          <t>2021-P1-Q13 (L4) harder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Probability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Only $16^3$ and $32,8,8$ give 48; $P(32)=2/32$.</t>
        </is>
      </c>
      <c r="N23" s="3" t="inlineStr">
        <is>
          <t>Small enumeration with a trap (two faces marked 32).</t>
        </is>
      </c>
      <c r="O23" s="3" t="inlineStr">
        <is>
          <t>2023-P2-Q2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Probability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$P(4H)=P(5H)$ gives $p=5/6$; add three terms.</t>
        </is>
      </c>
      <c r="N24" s="3" t="inlineStr">
        <is>
          <t>Routine binomial chain.</t>
        </is>
      </c>
      <c r="O24" s="3" t="inlineStr">
        <is>
          <t>2026-P2-Q12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Probability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Fix $x_2,x_4$ and choose one number from each gap.</t>
        </is>
      </c>
      <c r="N25" s="3" t="inlineStr">
        <is>
          <t>Routine counting with ordered selection.</t>
        </is>
      </c>
      <c r="O25" s="3" t="inlineStr">
        <is>
          <t>2021-P2-Q17 (L4) heavier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Probability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$1-p=5p$ then mean$+$variance.</t>
        </is>
      </c>
      <c r="N26" s="3" t="inlineStr">
        <is>
          <t>One familiar binomial step.</t>
        </is>
      </c>
      <c r="O26" s="3" t="inlineStr">
        <is>
          <t>2024-P1-Q13 (L4) heavier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Probability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Odd/even patterns with leading digit not 0.</t>
        </is>
      </c>
      <c r="N27" s="3" t="inlineStr">
        <is>
          <t>Routine pattern count with one catch (leading digit).</t>
        </is>
      </c>
      <c r="O27" s="3" t="inlineStr">
        <is>
          <t>2023-P2-Q10 (L4) heavier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Probability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Enumerate solutions of $f(a)+2f(b)=f(c)+f(d)$ with distinct values.</t>
        </is>
      </c>
      <c r="N28" s="3" t="inlineStr">
        <is>
          <t>Numerical-style casework where a slip changes the count, no insight needed.</t>
        </is>
      </c>
      <c r="O28" s="3" t="inlineStr">
        <is>
          <t>2026-P2-Q14 (L4) / 2023-P2-Q10 (L4)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Probability</t>
        </is>
      </c>
      <c r="F29" s="2" t="n">
        <v>4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$ad=bc$ with primes means $\{a,d\}=\{b,c\}$ (unique factorisation).</t>
        </is>
      </c>
      <c r="N29" s="3" t="inlineStr">
        <is>
          <t>Key idea (unique factorisation for singularity) is not a standard drill.</t>
        </is>
      </c>
      <c r="O29" s="3" t="inlineStr">
        <is>
          <t>2026-P2-Q6 (L4) factoring idea</t>
        </is>
      </c>
      <c r="P29" s="2" t="inlineStr">
        <is>
          <t>Low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Probability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If $(x,y)\in R$ all four pairs are in $R$; else subsets of the diagonal.</t>
        </is>
      </c>
      <c r="N30" s="3" t="inlineStr">
        <is>
          <t>Few cases but needs relation properties; newer syllabus topic, no equivalence classes asked.</t>
        </is>
      </c>
      <c r="O30" s="3" t="inlineStr">
        <is>
          <t>2023-P2-Q10 (L4); relations anchors</t>
        </is>
      </c>
      <c r="P30" s="2" t="inlineStr">
        <is>
          <t>Low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Probability</t>
        </is>
      </c>
      <c r="F31" s="2" t="n">
        <v>4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Exactly 2 wrong, split over the two groups.</t>
        </is>
      </c>
      <c r="N31" s="3" t="inlineStr">
        <is>
          <t>Three-case computation with large powers; no options.</t>
        </is>
      </c>
      <c r="O31" s="3" t="inlineStr">
        <is>
          <t>2025-P2-Q11 (L4)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Probability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$N=111111+7M$ makes 7 automatic; digit sum gives $k=0,3,6$.</t>
        </is>
      </c>
      <c r="N32" s="3" t="inlineStr">
        <is>
          <t>Hidden divisibility idea plus counting; numerical.</t>
        </is>
      </c>
      <c r="O32" s="3" t="inlineStr">
        <is>
          <t>2023-P1-Q10 (L5) is heavier; 2026-P1-Q12 (L4)</t>
        </is>
      </c>
      <c r="P32" s="2" t="inlineStr">
        <is>
          <t>Low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Probability</t>
        </is>
      </c>
      <c r="F33" s="2" t="n">
        <v>4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Index sum $\ge29$; count subsets by missing sum $\le7$.</t>
        </is>
      </c>
      <c r="N33" s="3" t="inlineStr">
        <is>
          <t>Careful casework on subsets with no options; one slip changes the count.</t>
        </is>
      </c>
      <c r="O33" s="3" t="inlineStr">
        <is>
          <t>2026-P1-Q9 (L5) harder; 2026-P1-Q11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Probability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Mean and variance as roots of $t^2-24t+128$.</t>
        </is>
      </c>
      <c r="N34" s="3" t="inlineStr">
        <is>
          <t>Routine chain with a quadratic.</t>
        </is>
      </c>
      <c r="O34" s="3" t="inlineStr">
        <is>
          <t>2024-P1-Q13 (L4) is heavier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Probability</t>
        </is>
      </c>
      <c r="F35" s="2" t="n">
        <v>4</v>
      </c>
      <c r="G35" s="6" t="n">
        <v>2</v>
      </c>
      <c r="H35" s="6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$\alpha^2&lt;4\beta$ and count by $\alpha$.</t>
        </is>
      </c>
      <c r="N35" s="3" t="inlineStr">
        <is>
          <t>Two routine ideas; small count.</t>
        </is>
      </c>
      <c r="O35" s="3" t="inlineStr">
        <is>
          <t>2026-P2-Q3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Probability</t>
        </is>
      </c>
      <c r="F36" s="2" t="n">
        <v>4</v>
      </c>
      <c r="G36" s="6" t="n">
        <v>2</v>
      </c>
      <c r="H36" s="6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$P(A\cap B')=P(A)-P(A\cap B)$.</t>
        </is>
      </c>
      <c r="N36" s="3" t="inlineStr">
        <is>
          <t>Short routine chain.</t>
        </is>
      </c>
      <c r="O36" s="3" t="inlineStr">
        <is>
          <t>2021-P1-Q5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Probability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Probabilities in $[0,1]$ with sum $\le1$.</t>
        </is>
      </c>
      <c r="N37" s="3" t="inlineStr">
        <is>
          <t>Routine inequalities, three intervals and a sum.</t>
        </is>
      </c>
      <c r="O37" s="3" t="inlineStr">
        <is>
          <t>2021-P1-Q13 (L4) is harder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Probability</t>
        </is>
      </c>
      <c r="F38" s="2" t="n">
        <v>4</v>
      </c>
      <c r="G38" s="6" t="n">
        <v>2</v>
      </c>
      <c r="H38" s="6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Recover $n,p$ from mean and variance; add three terms.</t>
        </is>
      </c>
      <c r="N38" s="3" t="inlineStr">
        <is>
          <t>Routine chain with arithmetic.</t>
        </is>
      </c>
      <c r="O38" s="3" t="inlineStr">
        <is>
          <t>2026-P2-Q12 (L2)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Probability</t>
        </is>
      </c>
      <c r="F39" s="2" t="n">
        <v>4</v>
      </c>
      <c r="G39" s="6" t="n">
        <v>2</v>
      </c>
      <c r="H39" s="6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Multiples of 7 minus multiples of 35 by AP count.</t>
        </is>
      </c>
      <c r="N39" s="3" t="inlineStr">
        <is>
          <t>Routine counting with arithmetic to do exactly.</t>
        </is>
      </c>
      <c r="O39" s="3" t="inlineStr">
        <is>
          <t>2021-P2-Q17 (L4) harder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Probability</t>
        </is>
      </c>
      <c r="F40" s="2" t="n">
        <v>4</v>
      </c>
      <c r="G40" s="6" t="n">
        <v>2</v>
      </c>
      <c r="H40" s="6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Same as Q33 then a three-term upper tail.</t>
        </is>
      </c>
      <c r="N40" s="3" t="inlineStr">
        <is>
          <t>Routine chain.</t>
        </is>
      </c>
      <c r="O40" s="3" t="inlineStr">
        <is>
          <t>2024-P1-Q13 (L4) heavier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Probability</t>
        </is>
      </c>
      <c r="F41" s="2" t="n">
        <v>4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Read proportions as per-face probabilities; mean $=2P(\text{square})$.</t>
        </is>
      </c>
      <c r="N41" s="3" t="inlineStr">
        <is>
          <t>Routine; the only care is the reading of the proportion statement.</t>
        </is>
      </c>
      <c r="O41" s="3" t="inlineStr">
        <is>
          <t>2026-P2-Q12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Probability</t>
        </is>
      </c>
      <c r="F42" s="2" t="n">
        <v>4</v>
      </c>
      <c r="G42" s="4" t="n">
        <v>1</v>
      </c>
      <c r="H42" s="4" t="inlineStr">
        <is>
          <t>JEE Main level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Females : males $=2:1$ among qualified.</t>
        </is>
      </c>
      <c r="N42" s="3" t="inlineStr">
        <is>
          <t>Short setup, one step.</t>
        </is>
      </c>
      <c r="O42" s="3" t="inlineStr">
        <is>
          <t>2024-P2-Q3 (L1)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Probability</t>
        </is>
      </c>
      <c r="F43" s="2" t="n">
        <v>4</v>
      </c>
      <c r="G43" s="6" t="n">
        <v>2</v>
      </c>
      <c r="H43" s="6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Get $P(A),P(B)$ and test both statements.</t>
        </is>
      </c>
      <c r="N43" s="3" t="inlineStr">
        <is>
          <t>Two statements each needing a short check.</t>
        </is>
      </c>
      <c r="O43" s="3" t="inlineStr">
        <is>
          <t>2021-P1-Q13 (L4) harder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Probability</t>
        </is>
      </c>
      <c r="F44" s="2" t="n">
        <v>4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Inclusion-exclusion on $2022=2\cdot3\cdot337$ (or $\varphi$).</t>
        </is>
      </c>
      <c r="N44" s="3" t="inlineStr">
        <is>
          <t>Routine inclusion-exclusion with one trap (multiples of 337).</t>
        </is>
      </c>
      <c r="O44" s="3" t="inlineStr">
        <is>
          <t>2021-P2-Q17 (L4)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Probability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Condition on the colour of the transferred ball (Bayes).</t>
        </is>
      </c>
      <c r="N45" s="3" t="inlineStr">
        <is>
          <t>Routine Bayes with three cases.</t>
        </is>
      </c>
      <c r="O45" s="3" t="inlineStr">
        <is>
          <t>2025-P2-Q11 (L4) heavier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Probability</t>
        </is>
      </c>
      <c r="F46" s="2" t="n">
        <v>4</v>
      </c>
      <c r="G46" s="6" t="n">
        <v>2</v>
      </c>
      <c r="H46" s="6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Hypergeometric distribution, then $E(X^2)-E(X)^2$.</t>
        </is>
      </c>
      <c r="N46" s="3" t="inlineStr">
        <is>
          <t>Routine chain, numerical.</t>
        </is>
      </c>
      <c r="O46" s="3" t="inlineStr">
        <is>
          <t>2026-P2-Q11 (L4) heavier</t>
        </is>
      </c>
      <c r="P46" s="2" t="inlineStr">
        <is>
          <t>Medium</t>
        </is>
      </c>
    </row>
    <row r="48">
      <c r="A4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XII_SHEET_PROBABILITY_FCopy_JM.pdf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COUNTIF(Evaluation!$G$2:$G$46,A5)</f>
        <v/>
      </c>
      <c r="D5" s="10">
        <f>SUMIF(Evaluation!$G$2:$G$46,A5,Evaluation!$F$2:$F$46)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COUNTIF(Evaluation!$G$2:$G$46,A6)</f>
        <v/>
      </c>
      <c r="D6" s="12">
        <f>SUMIF(Evaluation!$G$2:$G$46,A6,Evaluation!$F$2:$F$46)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COUNTIF(Evaluation!$G$2:$G$46,A7)</f>
        <v/>
      </c>
      <c r="D7" s="14">
        <f>SUMIF(Evaluation!$G$2:$G$46,A7,Evaluation!$F$2:$F$46)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COUNTIF(Evaluation!$G$2:$G$46,A8)</f>
        <v/>
      </c>
      <c r="D8" s="16">
        <f>SUMIF(Evaluation!$G$2:$G$46,A8,Evaluation!$F$2:$F$46)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COUNTIF(Evaluation!$G$2:$G$46,A9)</f>
        <v/>
      </c>
      <c r="D9" s="18">
        <f>SUMIF(Evaluation!$G$2:$G$46,A9,Evaluation!$F$2:$F$46)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COUNTIF(Evaluation!$G$2:$G$46,A10)</f>
        <v/>
      </c>
      <c r="D10" s="20">
        <f>SUMIF(Evaluation!$G$2:$G$46,A10,Evaluation!$F$2:$F$46)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SUM(Evaluation!$L$2:$L$46)/SUM(Evaluation!$F$2:$F$46)</f>
        <v/>
      </c>
      <c r="C14" s="23">
        <f>SUMPRODUCT(Evaluation!$F$2:$F$46,Evaluation!$G$2:$G$46)/SUM(Evaluation!$F$2:$F$46)</f>
        <v/>
      </c>
      <c r="D14" s="22">
        <f>SUM(Evaluation!$F$2:$F$46)</f>
        <v/>
      </c>
      <c r="E14" s="23">
        <f>AVERAGE(Evaluation!$G$2:$G$46)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2026-10-15T20:11:50Z</dcterms:created>
  <dcterms:modified xmlns:dcterms="http://purl.org/dc/terms/" xmlns:xsi="http://www.w3.org/2001/XMLSchema-instance" xsi:type="dcterms:W3CDTF">2026-10-15T20:11:50Z</dcterms:modified>
</cp:coreProperties>
</file>