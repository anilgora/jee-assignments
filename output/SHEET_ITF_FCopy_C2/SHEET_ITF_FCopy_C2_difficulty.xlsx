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Subjective</t>
        </is>
      </c>
      <c r="E2" s="3" t="inlineStr">
        <is>
          <t>Inverse Trigonometric Functions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Complementary-angle condition cos^2 a + cos^2 b = 1 gives a biquadratic; reject x&lt;0.</t>
        </is>
      </c>
      <c r="N2" s="3" t="inlineStr">
        <is>
          <t>Routine chain: convert, solve x^2 quadratic, check sign; no hidden idea.</t>
        </is>
      </c>
      <c r="O2" s="3" t="inlineStr">
        <is>
          <t>2023-P2-Q3 (L3) - easier, no range trap beyond sign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Inverse Trigonometric Functions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Compare the triangular wave with |sin x| using sin t &lt; t.</t>
        </is>
      </c>
      <c r="N3" s="3" t="inlineStr">
        <is>
          <t>Graph reading plus one inequality; only three touching points, little casework.</t>
        </is>
      </c>
      <c r="O3" s="3" t="inlineStr">
        <is>
          <t>2023-P1-Q8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Subjective</t>
        </is>
      </c>
      <c r="E4" s="3" t="inlineStr">
        <is>
          <t>Inverse Trigonometric Functions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sin(cot^-1 x)=1/sqrt(1+x^2), then cos(tan^-1 t)=1/sqrt(1+t^2).</t>
        </is>
      </c>
      <c r="N4" s="3" t="inlineStr">
        <is>
          <t>Single standard move applied twice; proof of a given identity.</t>
        </is>
      </c>
      <c r="O4" s="3" t="inlineStr">
        <is>
          <t>2024-P2-Q1 (L0) - slightly longer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Subjective</t>
        </is>
      </c>
      <c r="E5" s="3" t="inlineStr">
        <is>
          <t>Inverse Trigonometric Functions</t>
        </is>
      </c>
      <c r="F5" s="2" t="n">
        <v>4</v>
      </c>
      <c r="G5" s="7" t="n">
        <v>3</v>
      </c>
      <c r="H5" s="7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Branch condition: pi is added only when cotA*cot^3A &gt; 1.</t>
        </is>
      </c>
      <c r="N5" s="3" t="inlineStr">
        <is>
          <t>Needs the case split of the tan^-1 addition rule and the sign of the combined argument; two cases.</t>
        </is>
      </c>
      <c r="O5" s="3" t="inlineStr">
        <is>
          <t>2021-P1-Q15 (L3) - similar telescoping/identity bookkeeping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Inverse Trigonometric Functions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cos^-1(x/sqrt(1+x^2)) = cot^-1 x, so f = 3pi/4 - 2tan^-1 x.</t>
        </is>
      </c>
      <c r="N6" s="3" t="inlineStr">
        <is>
          <t>Recognise one identity, solve a simple inequality with tan(3pi/8).</t>
        </is>
      </c>
      <c r="O6" s="3" t="inlineStr">
        <is>
          <t>2026-P1-Q4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Inverse Trigonometric Functions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1/(1+k(k+1)) = tan^-1(k+1)-tan^-1 k.</t>
        </is>
      </c>
      <c r="N7" s="3" t="inlineStr">
        <is>
          <t>Single well-known telescoping move, then lowest terms.</t>
        </is>
      </c>
      <c r="O7" s="3" t="inlineStr">
        <is>
          <t>2021-P1-Q15 (L3) - much simpler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Inverse Trigonometric Functions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2/(n^2+n+4) written as (1/2)/(1+(n/2)((n+1)/2)) to telescope.</t>
        </is>
      </c>
      <c r="N8" s="3" t="inlineStr">
        <is>
          <t>Disguised telescoping needs the right factorisation but is a familiar pattern.</t>
        </is>
      </c>
      <c r="O8" s="3" t="inlineStr">
        <is>
          <t>2021-P1-Q15 (L3) - simpler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Subjective</t>
        </is>
      </c>
      <c r="E9" s="3" t="inlineStr">
        <is>
          <t>Inverse Trigonometric Functions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Principal values of cos^-1(sin 2) and sec^-1(cosec 10), then range of 6x^2/(x^4+1).</t>
        </is>
      </c>
      <c r="N9" s="3" t="inlineStr">
        <is>
          <t>Three sub-parts, Vieta, careful principal-value reduction of angles 2 and 10, range by discriminant.</t>
        </is>
      </c>
      <c r="O9" s="3" t="inlineStr">
        <is>
          <t>2026-P1-Q4 (L2) with range shift - harder (three parts)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Subjective</t>
        </is>
      </c>
      <c r="E10" s="3" t="inlineStr">
        <is>
          <t>Inverse Trigonometric Functions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theta=cos^-1 x lies in [2pi/3,pi] so 3theta lies in [2pi,3pi] and cos^-1(cos3theta)=3theta-2pi.</t>
        </is>
      </c>
      <c r="N10" s="3" t="inlineStr">
        <is>
          <t>Branch identification for the 3x-4x^3 pattern is not routine but is a known drill.</t>
        </is>
      </c>
      <c r="O10" s="3" t="inlineStr">
        <is>
          <t>2025-P2-Q3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Inverse Trigonometric Functions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Half-angle squares as 2/(1-cos t), rationalise with alpha^2+beta^2=14.</t>
        </is>
      </c>
      <c r="N11" s="3" t="inlineStr">
        <is>
          <t>Surd algebra with cancellation of sqrt14; moderate computation, no real insight.</t>
        </is>
      </c>
      <c r="O11" s="3" t="inlineStr">
        <is>
          <t>2026-P1-Q4 (L2) - slightly more computation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Subjective</t>
        </is>
      </c>
      <c r="E12" s="3" t="inlineStr">
        <is>
          <t>Inverse Trigonometric Functions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p and (sin^-1 y)^2 as roots of a quadratic; ranges cut integer K to 2.</t>
        </is>
      </c>
      <c r="N12" s="3" t="inlineStr">
        <is>
          <t>Quadratic-roots viewpoint plus principal-range bounding for the upper limit of K; most students stop at D&gt;=0.</t>
        </is>
      </c>
      <c r="O12" s="3" t="inlineStr">
        <is>
          <t>2023-P2-Q3 (L3) - range care</t>
        </is>
      </c>
      <c r="P12" s="2" t="inlineStr">
        <is>
          <t>Low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Subjective</t>
        </is>
      </c>
      <c r="E13" s="3" t="inlineStr">
        <is>
          <t>Inverse Trigonometric Functions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Solve in the inverse function, intersect with range, invert through a monotone function.</t>
        </is>
      </c>
      <c r="N13" s="3" t="inlineStr">
        <is>
          <t>Three routine inequalities, each one or two steps.</t>
        </is>
      </c>
      <c r="O13" s="3" t="inlineStr">
        <is>
          <t>2024-P2-Q1 (L0) - three short parts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Subjective</t>
        </is>
      </c>
      <c r="E14" s="3" t="inlineStr">
        <is>
          <t>Inverse Trigonometric Functions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Product of two ratios gives tan^2x tan^2y&lt;1; range intersections in (c).</t>
        </is>
      </c>
      <c r="N14" s="3" t="inlineStr">
        <is>
          <t>Part (b) needs a small insight, (a) and (c) range care; three parts.</t>
        </is>
      </c>
      <c r="O14" s="3" t="inlineStr">
        <is>
          <t>2023-P2-Q3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Para SCQ</t>
        </is>
      </c>
      <c r="E15" s="3" t="inlineStr">
        <is>
          <t>Inverse Trigonometric Functions</t>
        </is>
      </c>
      <c r="F15" s="2" t="n">
        <v>3</v>
      </c>
      <c r="G15" s="6" t="n">
        <v>1</v>
      </c>
      <c r="H15" s="6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Powers of a proper fraction decrease; inverse layers cancel.</t>
        </is>
      </c>
      <c r="N15" s="3" t="inlineStr">
        <is>
          <t>One familiar observation.</t>
        </is>
      </c>
      <c r="O15" s="3" t="inlineStr">
        <is>
          <t>2024-P2-Q1 (L0) - similar simplicity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Para SCQ</t>
        </is>
      </c>
      <c r="E16" s="3" t="inlineStr">
        <is>
          <t>Inverse Trigonometric Functions</t>
        </is>
      </c>
      <c r="F16" s="2" t="n">
        <v>3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Sum of three GPs combine into x+x^2+x^3+...</t>
        </is>
      </c>
      <c r="N16" s="3" t="inlineStr">
        <is>
          <t>Two routine steps (cancel inverses, sum GP).</t>
        </is>
      </c>
      <c r="O16" s="3" t="inlineStr">
        <is>
          <t>2026-P1-Q4 (L2) - easier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Para SCQ</t>
        </is>
      </c>
      <c r="E17" s="3" t="inlineStr">
        <is>
          <t>Inverse Trigonometric Functions</t>
        </is>
      </c>
      <c r="F17" s="2" t="n">
        <v>3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Equal GP factor cancels, giving x = x^2+x^3 and 2sin18 degrees.</t>
        </is>
      </c>
      <c r="N17" s="3" t="inlineStr">
        <is>
          <t>Chain: GP sums, cancel, solve quadratic, recognise sin 18 degrees.</t>
        </is>
      </c>
      <c r="O17" s="3" t="inlineStr">
        <is>
          <t>2026-P1-Q4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MTC SCQ</t>
        </is>
      </c>
      <c r="E18" s="3" t="inlineStr">
        <is>
          <t>Inverse Trigonometric Functions</t>
        </is>
      </c>
      <c r="F18" s="2" t="n">
        <v>3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Parity of four functions using tan^-1(-t)=-tan^-1 t and cot^-1(-t)=pi-cot^-1 t.</t>
        </is>
      </c>
      <c r="N18" s="3" t="inlineStr">
        <is>
          <t>Four short, routine parity checks; (B) needs one care step.</t>
        </is>
      </c>
      <c r="O18" s="3" t="inlineStr">
        <is>
          <t>2026-P1-Q4 (L2) - matching format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MTC SCQ</t>
        </is>
      </c>
      <c r="E19" s="3" t="inlineStr">
        <is>
          <t>Inverse Trigonometric Functions</t>
        </is>
      </c>
      <c r="F19" s="2" t="n">
        <v>3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For each of four maps decide one-one, into, odd, invertible and periodic.</t>
        </is>
      </c>
      <c r="N19" s="3" t="inlineStr">
        <is>
          <t>Four items with five properties each; domain/codomain care (A, B, C, D); no deep idea.</t>
        </is>
      </c>
      <c r="O19" s="3" t="inlineStr">
        <is>
          <t>2021-P1-Q15 (L3) - statement-checking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MTC SCQ</t>
        </is>
      </c>
      <c r="E20" s="3" t="inlineStr">
        <is>
          <t>Inverse Trigonometric Functions</t>
        </is>
      </c>
      <c r="F20" s="2" t="n">
        <v>3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Reduce each modulus expression on the correct interval; (D) domain is {-1,1}.</t>
        </is>
      </c>
      <c r="N20" s="3" t="inlineStr">
        <is>
          <t>Four items, each with case work and domain traps; the (D) domain trap is the non-routine part.</t>
        </is>
      </c>
      <c r="O20" s="3" t="inlineStr">
        <is>
          <t>2021-P1-Q15 (L3)</t>
        </is>
      </c>
      <c r="P20" s="2" t="inlineStr">
        <is>
          <t>Medium</t>
        </is>
      </c>
    </row>
    <row r="22">
      <c r="A22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SHEET_ITF_FCopy_C2.pdf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COUNTIF(Evaluation!$G$2:$G$20,A5)</f>
        <v/>
      </c>
      <c r="D5" s="10">
        <f>SUMIF(Evaluation!$G$2:$G$20,A5,Evaluation!$F$2:$F$20)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COUNTIF(Evaluation!$G$2:$G$20,A6)</f>
        <v/>
      </c>
      <c r="D6" s="12">
        <f>SUMIF(Evaluation!$G$2:$G$20,A6,Evaluation!$F$2:$F$20)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COUNTIF(Evaluation!$G$2:$G$20,A7)</f>
        <v/>
      </c>
      <c r="D7" s="14">
        <f>SUMIF(Evaluation!$G$2:$G$20,A7,Evaluation!$F$2:$F$20)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COUNTIF(Evaluation!$G$2:$G$20,A8)</f>
        <v/>
      </c>
      <c r="D8" s="16">
        <f>SUMIF(Evaluation!$G$2:$G$20,A8,Evaluation!$F$2:$F$20)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COUNTIF(Evaluation!$G$2:$G$20,A9)</f>
        <v/>
      </c>
      <c r="D9" s="18">
        <f>SUMIF(Evaluation!$G$2:$G$20,A9,Evaluation!$F$2:$F$20)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COUNTIF(Evaluation!$G$2:$G$20,A10)</f>
        <v/>
      </c>
      <c r="D10" s="20">
        <f>SUMIF(Evaluation!$G$2:$G$20,A10,Evaluation!$F$2:$F$20)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SUM(Evaluation!$L$2:$L$20)/SUM(Evaluation!$F$2:$F$20)</f>
        <v/>
      </c>
      <c r="C14" s="23">
        <f>SUMPRODUCT(Evaluation!$F$2:$F$20,Evaluation!$G$2:$G$20)/SUM(Evaluation!$F$2:$F$20)</f>
        <v/>
      </c>
      <c r="D14" s="22">
        <f>SUM(Evaluation!$F$2:$F$20)</f>
        <v/>
      </c>
      <c r="E14" s="23">
        <f>AVERAGE(Evaluation!$G$2:$G$20)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2026-10-14T14:10:40Z</dcterms:created>
  <dcterms:modified xmlns:dcterms="http://purl.org/dc/terms/" xmlns:xsi="http://www.w3.org/2001/XMLSchema-instance" xsi:type="dcterms:W3CDTF">2026-10-14T14:10:40Z</dcterms:modified>
</cp:coreProperties>
</file>