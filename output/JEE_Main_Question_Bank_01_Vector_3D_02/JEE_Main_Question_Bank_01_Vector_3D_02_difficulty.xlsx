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ference" sheetId="3" state="visible" r:id="rId3"/>
  </sheets>
  <definedNames>
    <definedName name="_xlnm._FilterDatabase" localSheetId="0" hidden="1">'Evaluation'!$A$1:$P$21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595959"/>
      <sz val="9"/>
    </font>
    <font>
      <name val="Arial"/>
      <b val="1"/>
      <color rgb="001A365D"/>
      <sz val="13"/>
    </font>
    <font>
      <name val="Arial"/>
      <b val="1"/>
      <sz val="10"/>
    </font>
  </fonts>
  <fills count="9">
    <fill>
      <patternFill/>
    </fill>
    <fill>
      <patternFill patternType="gray125"/>
    </fill>
    <fill>
      <patternFill patternType="solid">
        <fgColor rgb="001A365D"/>
      </patternFill>
    </fill>
    <fill>
      <patternFill patternType="solid">
        <fgColor rgb="00FFF2CC"/>
      </patternFill>
    </fill>
    <fill>
      <patternFill patternType="solid">
        <fgColor rgb="00E8F0D8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F4CCCC"/>
      </patternFill>
    </fill>
    <fill>
      <patternFill patternType="solid">
        <fgColor rgb="00EA999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164" fontId="2" fillId="0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3" fillId="0" borderId="0" pivotButton="0" quotePrefix="0" xfId="0"/>
    <xf numFmtId="0" fontId="4" fillId="0" borderId="0" pivotButton="0" quotePrefix="0" xfId="0"/>
    <xf numFmtId="0" fontId="2" fillId="6" borderId="1" pivotButton="0" quotePrefix="0" xfId="0"/>
    <xf numFmtId="9" fontId="2" fillId="6" borderId="1" pivotButton="0" quotePrefix="0" xfId="0"/>
    <xf numFmtId="0" fontId="2" fillId="4" borderId="1" pivotButton="0" quotePrefix="0" xfId="0"/>
    <xf numFmtId="9" fontId="2" fillId="4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2" fillId="5" borderId="1" pivotButton="0" quotePrefix="0" xfId="0"/>
    <xf numFmtId="9" fontId="2" fillId="5" borderId="1" pivotButton="0" quotePrefix="0" xfId="0"/>
    <xf numFmtId="0" fontId="2" fillId="7" borderId="1" pivotButton="0" quotePrefix="0" xfId="0"/>
    <xf numFmtId="9" fontId="2" fillId="7" borderId="1" pivotButton="0" quotePrefix="0" xfId="0"/>
    <xf numFmtId="0" fontId="2" fillId="8" borderId="1" pivotButton="0" quotePrefix="0" xfId="0"/>
    <xf numFmtId="9" fontId="2" fillId="8" borderId="1" pivotButton="0" quotePrefix="0" xfId="0"/>
    <xf numFmtId="0" fontId="5" fillId="0" borderId="1" pivotButton="0" quotePrefix="0" xfId="0"/>
    <xf numFmtId="2" fontId="5" fillId="0" borderId="1" pivotButton="0" quotePrefix="0" xfId="0"/>
    <xf numFmtId="0" fontId="2" fillId="0" borderId="1" pivotButton="0" quotePrefix="0" xfId="0"/>
    <xf numFmtId="2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9" customWidth="1" min="3" max="3"/>
    <col width="12" customWidth="1" min="4" max="4"/>
    <col width="24" customWidth="1" min="5" max="5"/>
    <col width="7" customWidth="1" min="6" max="6"/>
    <col width="7" customWidth="1" min="7" max="7"/>
    <col width="20" customWidth="1" min="8" max="8"/>
    <col width="9" customWidth="1" min="9" max="9"/>
    <col width="8" customWidth="1" min="10" max="10"/>
    <col width="9" customWidth="1" min="11" max="11"/>
    <col width="10" customWidth="1" min="12" max="12"/>
    <col width="38" customWidth="1" min="13" max="13"/>
    <col width="60" customWidth="1" min="14" max="14"/>
    <col width="20" customWidth="1" min="15" max="15"/>
    <col width="11" customWidth="1" min="16" max="16"/>
  </cols>
  <sheetData>
    <row r="1">
      <c r="A1" s="1" t="inlineStr">
        <is>
          <t>Sr No</t>
        </is>
      </c>
      <c r="B1" s="1" t="inlineStr">
        <is>
          <t>Paper</t>
        </is>
      </c>
      <c r="C1" s="1" t="inlineStr">
        <is>
          <t>Q Ref</t>
        </is>
      </c>
      <c r="D1" s="1" t="inlineStr">
        <is>
          <t>Type</t>
        </is>
      </c>
      <c r="E1" s="1" t="inlineStr">
        <is>
          <t>Chapter</t>
        </is>
      </c>
      <c r="F1" s="1" t="inlineStr">
        <is>
          <t>Marks</t>
        </is>
      </c>
      <c r="G1" s="1" t="inlineStr">
        <is>
          <t>Level</t>
        </is>
      </c>
      <c r="H1" s="1" t="inlineStr">
        <is>
          <t>Level Label</t>
        </is>
      </c>
      <c r="I1" s="1" t="inlineStr">
        <is>
          <t>Equiv. Rel. Adj</t>
        </is>
      </c>
      <c r="J1" s="1" t="inlineStr">
        <is>
          <t>MCQ Floor</t>
        </is>
      </c>
      <c r="K1" s="1" t="inlineStr">
        <is>
          <t>Adjusted Level</t>
        </is>
      </c>
      <c r="L1" s="1" t="inlineStr">
        <is>
          <t>Marks x Adj Level</t>
        </is>
      </c>
      <c r="M1" s="1" t="inlineStr">
        <is>
          <t>Key Step</t>
        </is>
      </c>
      <c r="N1" s="1" t="inlineStr">
        <is>
          <t>Justification</t>
        </is>
      </c>
      <c r="O1" s="1" t="inlineStr">
        <is>
          <t>Nearest Anchor</t>
        </is>
      </c>
      <c r="P1" s="1" t="inlineStr">
        <is>
          <t>Confidence</t>
        </is>
      </c>
    </row>
    <row r="2">
      <c r="A2" s="2" t="n">
        <v>1</v>
      </c>
      <c r="B2" s="2" t="inlineStr"/>
      <c r="C2" s="2" t="inlineStr">
        <is>
          <t>Q1</t>
        </is>
      </c>
      <c r="D2" s="2" t="inlineStr">
        <is>
          <t>SCQ</t>
        </is>
      </c>
      <c r="E2" s="3" t="inlineStr">
        <is>
          <t>Vector Algebra</t>
        </is>
      </c>
      <c r="F2" s="2" t="n">
        <v>4</v>
      </c>
      <c r="G2" s="4" t="n">
        <v>2</v>
      </c>
      <c r="H2" s="4" t="inlineStr">
        <is>
          <t>Easier than Advanced</t>
        </is>
      </c>
      <c r="I2" s="5" t="n">
        <v>0</v>
      </c>
      <c r="J2" s="5" t="n">
        <v>0</v>
      </c>
      <c r="K2" s="5">
        <f>MIN(5,MAX(G2+I2,J2))</f>
        <v/>
      </c>
      <c r="L2" s="5">
        <f>F2*K2</f>
        <v/>
      </c>
      <c r="M2" s="3" t="inlineStr">
        <is>
          <t>H, G, C collinear in ratio 2:1; compare coefficients.</t>
        </is>
      </c>
      <c r="N2" s="3" t="inlineStr">
        <is>
          <t>One Euler-line relation then coefficient comparison; 2-3 routine steps, options available.</t>
        </is>
      </c>
      <c r="O2" s="3" t="inlineStr">
        <is>
          <t>2026-P2-Q1 (L2)</t>
        </is>
      </c>
      <c r="P2" s="2" t="inlineStr">
        <is>
          <t>Medium</t>
        </is>
      </c>
    </row>
    <row r="3">
      <c r="A3" s="2" t="n">
        <v>2</v>
      </c>
      <c r="B3" s="2" t="inlineStr"/>
      <c r="C3" s="2" t="inlineStr">
        <is>
          <t>Q2</t>
        </is>
      </c>
      <c r="D3" s="2" t="inlineStr">
        <is>
          <t>SCQ</t>
        </is>
      </c>
      <c r="E3" s="3" t="inlineStr">
        <is>
          <t>Vector Algebra</t>
        </is>
      </c>
      <c r="F3" s="2" t="n">
        <v>4</v>
      </c>
      <c r="G3" s="4" t="n">
        <v>2</v>
      </c>
      <c r="H3" s="4" t="inlineStr">
        <is>
          <t>Easier than Advanced</t>
        </is>
      </c>
      <c r="I3" s="5" t="n">
        <v>0</v>
      </c>
      <c r="J3" s="5" t="n">
        <v>0</v>
      </c>
      <c r="K3" s="5">
        <f>MIN(5,MAX(G3+I3,J3))</f>
        <v/>
      </c>
      <c r="L3" s="5">
        <f>F3*K3</f>
        <v/>
      </c>
      <c r="M3" s="3" t="inlineStr">
        <is>
          <t>Two cross products, then projection formula.</t>
        </is>
      </c>
      <c r="N3" s="3" t="inlineStr">
        <is>
          <t>Chain of three routine computations; the triple-product shortcut is optional.</t>
        </is>
      </c>
      <c r="O3" s="3" t="inlineStr">
        <is>
          <t>2026-P2-Q1 (L2)</t>
        </is>
      </c>
      <c r="P3" s="2" t="inlineStr">
        <is>
          <t>Medium</t>
        </is>
      </c>
    </row>
    <row r="4">
      <c r="A4" s="2" t="n">
        <v>3</v>
      </c>
      <c r="B4" s="2" t="inlineStr"/>
      <c r="C4" s="2" t="inlineStr">
        <is>
          <t>Q3</t>
        </is>
      </c>
      <c r="D4" s="2" t="inlineStr">
        <is>
          <t>SCQ</t>
        </is>
      </c>
      <c r="E4" s="3" t="inlineStr">
        <is>
          <t>Vector Algebra</t>
        </is>
      </c>
      <c r="F4" s="2" t="n">
        <v>4</v>
      </c>
      <c r="G4" s="4" t="n">
        <v>2</v>
      </c>
      <c r="H4" s="4" t="inlineStr">
        <is>
          <t>Easier than Advanced</t>
        </is>
      </c>
      <c r="I4" s="5" t="n">
        <v>0</v>
      </c>
      <c r="J4" s="5" t="n">
        <v>0</v>
      </c>
      <c r="K4" s="5">
        <f>MIN(5,MAX(G4+I4,J4))</f>
        <v/>
      </c>
      <c r="L4" s="5">
        <f>F4*K4</f>
        <v/>
      </c>
      <c r="M4" s="3" t="inlineStr">
        <is>
          <t>Bisector direction is $\hat a+\hat b$; distance via cross product.</t>
        </is>
      </c>
      <c r="N4" s="3" t="inlineStr">
        <is>
          <t>Three routine steps (bisector, distance, |2a-1|=9); no insight beyond the standard formulas.</t>
        </is>
      </c>
      <c r="O4" s="3" t="inlineStr">
        <is>
          <t>2026-P2-Q1 (L2)</t>
        </is>
      </c>
      <c r="P4" s="2" t="inlineStr">
        <is>
          <t>Medium</t>
        </is>
      </c>
    </row>
    <row r="5">
      <c r="A5" s="2" t="n">
        <v>4</v>
      </c>
      <c r="B5" s="2" t="inlineStr"/>
      <c r="C5" s="2" t="inlineStr">
        <is>
          <t>Q4</t>
        </is>
      </c>
      <c r="D5" s="2" t="inlineStr">
        <is>
          <t>SCQ</t>
        </is>
      </c>
      <c r="E5" s="3" t="inlineStr">
        <is>
          <t>Vector Algebra</t>
        </is>
      </c>
      <c r="F5" s="2" t="n">
        <v>4</v>
      </c>
      <c r="G5" s="4" t="n">
        <v>2</v>
      </c>
      <c r="H5" s="4" t="inlineStr">
        <is>
          <t>Easier than Advanced</t>
        </is>
      </c>
      <c r="I5" s="5" t="n">
        <v>0</v>
      </c>
      <c r="J5" s="5" t="n">
        <v>0</v>
      </c>
      <c r="K5" s="5">
        <f>MIN(5,MAX(G5+I5,J5))</f>
        <v/>
      </c>
      <c r="L5" s="5">
        <f>F5*K5</f>
        <v/>
      </c>
      <c r="M5" s="3" t="inlineStr">
        <is>
          <t>Components along/perpendicular to $\vec b$ identify $\vec a$.</t>
        </is>
      </c>
      <c r="N5" s="3" t="inlineStr">
        <is>
          <t>Short chain: dot product, subtraction, add squares; direct once the decomposition is recalled.</t>
        </is>
      </c>
      <c r="O5" s="3" t="inlineStr">
        <is>
          <t>2026-P2-Q1 (L2)</t>
        </is>
      </c>
      <c r="P5" s="2" t="inlineStr">
        <is>
          <t>Medium</t>
        </is>
      </c>
    </row>
    <row r="6">
      <c r="A6" s="2" t="n">
        <v>5</v>
      </c>
      <c r="B6" s="2" t="inlineStr"/>
      <c r="C6" s="2" t="inlineStr">
        <is>
          <t>Q5</t>
        </is>
      </c>
      <c r="D6" s="2" t="inlineStr">
        <is>
          <t>SCQ</t>
        </is>
      </c>
      <c r="E6" s="3" t="inlineStr">
        <is>
          <t>Vector Algebra</t>
        </is>
      </c>
      <c r="F6" s="2" t="n">
        <v>4</v>
      </c>
      <c r="G6" s="4" t="n">
        <v>2</v>
      </c>
      <c r="H6" s="4" t="inlineStr">
        <is>
          <t>Easier than Advanced</t>
        </is>
      </c>
      <c r="I6" s="5" t="n">
        <v>0</v>
      </c>
      <c r="J6" s="5" t="n">
        <v>0</v>
      </c>
      <c r="K6" s="5">
        <f>MIN(5,MAX(G6+I6,J6))</f>
        <v/>
      </c>
      <c r="L6" s="5">
        <f>F6*K6</f>
        <v/>
      </c>
      <c r="M6" s="3" t="inlineStr">
        <is>
          <t>$(\vec a+\vec b)\times\vec c=0$ so $\vec c\parallel\vec a+\vec b$.</t>
        </is>
      </c>
      <c r="N6" s="3" t="inlineStr">
        <is>
          <t>One neat rewriting then a quadratic in $\lambda$ and a max; routine chain.</t>
        </is>
      </c>
      <c r="O6" s="3" t="inlineStr">
        <is>
          <t>2024-P2-Q11 (L0)</t>
        </is>
      </c>
      <c r="P6" s="2" t="inlineStr">
        <is>
          <t>Medium</t>
        </is>
      </c>
    </row>
    <row r="7">
      <c r="A7" s="2" t="n">
        <v>6</v>
      </c>
      <c r="B7" s="2" t="inlineStr"/>
      <c r="C7" s="2" t="inlineStr">
        <is>
          <t>Q6</t>
        </is>
      </c>
      <c r="D7" s="2" t="inlineStr">
        <is>
          <t>SCQ</t>
        </is>
      </c>
      <c r="E7" s="3" t="inlineStr">
        <is>
          <t>Lines in 3D</t>
        </is>
      </c>
      <c r="F7" s="2" t="n">
        <v>4</v>
      </c>
      <c r="G7" s="4" t="n">
        <v>2</v>
      </c>
      <c r="H7" s="4" t="inlineStr">
        <is>
          <t>Easier than Advanced</t>
        </is>
      </c>
      <c r="I7" s="5" t="n">
        <v>0</v>
      </c>
      <c r="J7" s="5" t="n">
        <v>0</v>
      </c>
      <c r="K7" s="5">
        <f>MIN(5,MAX(G7+I7,J7))</f>
        <v/>
      </c>
      <c r="L7" s="5">
        <f>F7*K7</f>
        <v/>
      </c>
      <c r="M7" s="3" t="inlineStr">
        <is>
          <t>Perpendicularity conditions give two linear equations for the feet.</t>
        </is>
      </c>
      <c r="N7" s="3" t="inlineStr">
        <is>
          <t>Standard skew-line procedure with two linear equations and an option test; routine but long.</t>
        </is>
      </c>
      <c r="O7" s="3" t="inlineStr">
        <is>
          <t>2024-P1-Q16 (L0)</t>
        </is>
      </c>
      <c r="P7" s="2" t="inlineStr">
        <is>
          <t>Medium</t>
        </is>
      </c>
    </row>
    <row r="8">
      <c r="A8" s="2" t="n">
        <v>7</v>
      </c>
      <c r="B8" s="2" t="inlineStr"/>
      <c r="C8" s="2" t="inlineStr">
        <is>
          <t>Q7</t>
        </is>
      </c>
      <c r="D8" s="2" t="inlineStr">
        <is>
          <t>SCQ</t>
        </is>
      </c>
      <c r="E8" s="3" t="inlineStr">
        <is>
          <t>Lines in 3D</t>
        </is>
      </c>
      <c r="F8" s="2" t="n">
        <v>4</v>
      </c>
      <c r="G8" s="6" t="n">
        <v>1</v>
      </c>
      <c r="H8" s="6" t="inlineStr">
        <is>
          <t>JEE Main level</t>
        </is>
      </c>
      <c r="I8" s="5" t="n">
        <v>0</v>
      </c>
      <c r="J8" s="5" t="n">
        <v>0</v>
      </c>
      <c r="K8" s="5">
        <f>MIN(5,MAX(G8+I8,J8))</f>
        <v/>
      </c>
      <c r="L8" s="5">
        <f>F8*K8</f>
        <v/>
      </c>
      <c r="M8" s="3" t="inlineStr">
        <is>
          <t>Height of the triangle is the distance from B to the line.</t>
        </is>
      </c>
      <c r="N8" s="3" t="inlineStr">
        <is>
          <t>One familiar move (foot of perpendicular), a short calculation.</t>
        </is>
      </c>
      <c r="O8" s="3" t="inlineStr">
        <is>
          <t>2024-P2-Q6 (L1)</t>
        </is>
      </c>
      <c r="P8" s="2" t="inlineStr">
        <is>
          <t>High</t>
        </is>
      </c>
    </row>
    <row r="9">
      <c r="A9" s="2" t="n">
        <v>8</v>
      </c>
      <c r="B9" s="2" t="inlineStr"/>
      <c r="C9" s="2" t="inlineStr">
        <is>
          <t>Q8</t>
        </is>
      </c>
      <c r="D9" s="2" t="inlineStr">
        <is>
          <t>SCQ</t>
        </is>
      </c>
      <c r="E9" s="3" t="inlineStr">
        <is>
          <t>Lines in 3D</t>
        </is>
      </c>
      <c r="F9" s="2" t="n">
        <v>4</v>
      </c>
      <c r="G9" s="6" t="n">
        <v>1</v>
      </c>
      <c r="H9" s="6" t="inlineStr">
        <is>
          <t>JEE Main level</t>
        </is>
      </c>
      <c r="I9" s="5" t="n">
        <v>0</v>
      </c>
      <c r="J9" s="5" t="n">
        <v>0</v>
      </c>
      <c r="K9" s="5">
        <f>MIN(5,MAX(G9+I9,J9))</f>
        <v/>
      </c>
      <c r="L9" s="5">
        <f>F9*K9</f>
        <v/>
      </c>
      <c r="M9" s="3" t="inlineStr">
        <is>
          <t>Equate two parametrisations of lines to find the intersection.</t>
        </is>
      </c>
      <c r="N9" s="3" t="inlineStr">
        <is>
          <t>One familiar move, direct arithmetic.</t>
        </is>
      </c>
      <c r="O9" s="3" t="inlineStr">
        <is>
          <t>2024-P2-Q6 (L1)</t>
        </is>
      </c>
      <c r="P9" s="2" t="inlineStr">
        <is>
          <t>High</t>
        </is>
      </c>
    </row>
    <row r="10">
      <c r="A10" s="2" t="n">
        <v>9</v>
      </c>
      <c r="B10" s="2" t="inlineStr"/>
      <c r="C10" s="2" t="inlineStr">
        <is>
          <t>Q9</t>
        </is>
      </c>
      <c r="D10" s="2" t="inlineStr">
        <is>
          <t>SCQ</t>
        </is>
      </c>
      <c r="E10" s="3" t="inlineStr">
        <is>
          <t>Vector Algebra</t>
        </is>
      </c>
      <c r="F10" s="2" t="n">
        <v>4</v>
      </c>
      <c r="G10" s="4" t="n">
        <v>2</v>
      </c>
      <c r="H10" s="4" t="inlineStr">
        <is>
          <t>Easier than Advanced</t>
        </is>
      </c>
      <c r="I10" s="5" t="n">
        <v>0</v>
      </c>
      <c r="J10" s="5" t="n">
        <v>0</v>
      </c>
      <c r="K10" s="5">
        <f>MIN(5,MAX(G10+I10,J10))</f>
        <v/>
      </c>
      <c r="L10" s="5">
        <f>F10*K10</f>
        <v/>
      </c>
      <c r="M10" s="3" t="inlineStr">
        <is>
          <t>Equidistance gives linear equations; sides decide both statements.</t>
        </is>
      </c>
      <c r="N10" s="3" t="inlineStr">
        <is>
          <t>Solve for the point, then two statements each needing a short check.</t>
        </is>
      </c>
      <c r="O10" s="3" t="inlineStr">
        <is>
          <t>2026-P2-Q1 (L2)</t>
        </is>
      </c>
      <c r="P10" s="2" t="inlineStr">
        <is>
          <t>Medium</t>
        </is>
      </c>
    </row>
    <row r="11">
      <c r="A11" s="2" t="n">
        <v>10</v>
      </c>
      <c r="B11" s="2" t="inlineStr"/>
      <c r="C11" s="2" t="inlineStr">
        <is>
          <t>Q10</t>
        </is>
      </c>
      <c r="D11" s="2" t="inlineStr">
        <is>
          <t>SCQ</t>
        </is>
      </c>
      <c r="E11" s="3" t="inlineStr">
        <is>
          <t>Lines in 3D</t>
        </is>
      </c>
      <c r="F11" s="2" t="n">
        <v>4</v>
      </c>
      <c r="G11" s="7" t="n">
        <v>3</v>
      </c>
      <c r="H11" s="7" t="inlineStr">
        <is>
          <t>Average Advanced</t>
        </is>
      </c>
      <c r="I11" s="5" t="n">
        <v>0</v>
      </c>
      <c r="J11" s="5" t="n">
        <v>0</v>
      </c>
      <c r="K11" s="5">
        <f>MIN(5,MAX(G11+I11,J11))</f>
        <v/>
      </c>
      <c r="L11" s="5">
        <f>F11*K11</f>
        <v/>
      </c>
      <c r="M11" s="3" t="inlineStr">
        <is>
          <t>Direction is $\vec d_1\times\vec d_2$ and the given linear form is constant on the plane of $L_1,L_3$.</t>
        </is>
      </c>
      <c r="N11" s="3" t="inlineStr">
        <is>
          <t>The final quantity is only constant through a non-obvious cancellation; the required observation is less familiar.</t>
        </is>
      </c>
      <c r="O11" s="3" t="inlineStr">
        <is>
          <t>2024-P1-Q12 (L1)</t>
        </is>
      </c>
      <c r="P11" s="2" t="inlineStr">
        <is>
          <t>Low</t>
        </is>
      </c>
    </row>
    <row r="12">
      <c r="A12" s="2" t="n">
        <v>11</v>
      </c>
      <c r="B12" s="2" t="inlineStr"/>
      <c r="C12" s="2" t="inlineStr">
        <is>
          <t>Q11</t>
        </is>
      </c>
      <c r="D12" s="2" t="inlineStr">
        <is>
          <t>SCQ</t>
        </is>
      </c>
      <c r="E12" s="3" t="inlineStr">
        <is>
          <t>Lines in 3D</t>
        </is>
      </c>
      <c r="F12" s="2" t="n">
        <v>4</v>
      </c>
      <c r="G12" s="4" t="n">
        <v>2</v>
      </c>
      <c r="H12" s="4" t="inlineStr">
        <is>
          <t>Easier than Advanced</t>
        </is>
      </c>
      <c r="I12" s="5" t="n">
        <v>0</v>
      </c>
      <c r="J12" s="5" t="n">
        <v>0</v>
      </c>
      <c r="K12" s="5">
        <f>MIN(5,MAX(G12+I12,J12))</f>
        <v/>
      </c>
      <c r="L12" s="5">
        <f>F12*K12</f>
        <v/>
      </c>
      <c r="M12" s="3" t="inlineStr">
        <is>
          <t>Foot of perpendicular and intersection point, both on $L$.</t>
        </is>
      </c>
      <c r="N12" s="3" t="inlineStr">
        <is>
          <t>Two parameters found from standard conditions then a distance.</t>
        </is>
      </c>
      <c r="O12" s="3" t="inlineStr">
        <is>
          <t>2024-P2-Q6 (L1)</t>
        </is>
      </c>
      <c r="P12" s="2" t="inlineStr">
        <is>
          <t>Medium</t>
        </is>
      </c>
    </row>
    <row r="13">
      <c r="A13" s="2" t="n">
        <v>12</v>
      </c>
      <c r="B13" s="2" t="inlineStr"/>
      <c r="C13" s="2" t="inlineStr">
        <is>
          <t>Q12</t>
        </is>
      </c>
      <c r="D13" s="2" t="inlineStr">
        <is>
          <t>SCQ</t>
        </is>
      </c>
      <c r="E13" s="3" t="inlineStr">
        <is>
          <t>Vector Algebra</t>
        </is>
      </c>
      <c r="F13" s="2" t="n">
        <v>4</v>
      </c>
      <c r="G13" s="7" t="n">
        <v>3</v>
      </c>
      <c r="H13" s="7" t="inlineStr">
        <is>
          <t>Average Advanced</t>
        </is>
      </c>
      <c r="I13" s="5" t="n">
        <v>0</v>
      </c>
      <c r="J13" s="5" t="n">
        <v>0</v>
      </c>
      <c r="K13" s="5">
        <f>MIN(5,MAX(G13+I13,J13))</f>
        <v/>
      </c>
      <c r="L13" s="5">
        <f>F13*K13</f>
        <v/>
      </c>
      <c r="M13" s="3" t="inlineStr">
        <is>
          <t>Two linear angle conditions plus unit length give a quadratic with two roots; only one matches the options.</t>
        </is>
      </c>
      <c r="N13" s="3" t="inlineStr">
        <is>
          <t>A longer chain with two roots and a check against options; extra precision risk.</t>
        </is>
      </c>
      <c r="O13" s="3" t="inlineStr">
        <is>
          <t>2026-P2-Q1 (L2)</t>
        </is>
      </c>
      <c r="P13" s="2" t="inlineStr">
        <is>
          <t>Low</t>
        </is>
      </c>
    </row>
    <row r="14">
      <c r="A14" s="2" t="n">
        <v>13</v>
      </c>
      <c r="B14" s="2" t="inlineStr"/>
      <c r="C14" s="2" t="inlineStr">
        <is>
          <t>Q13</t>
        </is>
      </c>
      <c r="D14" s="2" t="inlineStr">
        <is>
          <t>SCQ</t>
        </is>
      </c>
      <c r="E14" s="3" t="inlineStr">
        <is>
          <t>Vector Algebra</t>
        </is>
      </c>
      <c r="F14" s="2" t="n">
        <v>4</v>
      </c>
      <c r="G14" s="4" t="n">
        <v>2</v>
      </c>
      <c r="H14" s="4" t="inlineStr">
        <is>
          <t>Easier than Advanced</t>
        </is>
      </c>
      <c r="I14" s="5" t="n">
        <v>0</v>
      </c>
      <c r="J14" s="5" t="n">
        <v>0</v>
      </c>
      <c r="K14" s="5">
        <f>MIN(5,MAX(G14+I14,J14))</f>
        <v/>
      </c>
      <c r="L14" s="5">
        <f>F14*K14</f>
        <v/>
      </c>
      <c r="M14" s="3" t="inlineStr">
        <is>
          <t>Solve for $x$ from $\vec a\cdot\vec d=1,|\vec d|=1$, then triple product.</t>
        </is>
      </c>
      <c r="N14" s="3" t="inlineStr">
        <is>
          <t>Direct two-stage computation.</t>
        </is>
      </c>
      <c r="O14" s="3" t="inlineStr">
        <is>
          <t>2026-P2-Q1 (L2)</t>
        </is>
      </c>
      <c r="P14" s="2" t="inlineStr">
        <is>
          <t>Medium</t>
        </is>
      </c>
    </row>
    <row r="15">
      <c r="A15" s="2" t="n">
        <v>14</v>
      </c>
      <c r="B15" s="2" t="inlineStr"/>
      <c r="C15" s="2" t="inlineStr">
        <is>
          <t>Q14</t>
        </is>
      </c>
      <c r="D15" s="2" t="inlineStr">
        <is>
          <t>SCQ</t>
        </is>
      </c>
      <c r="E15" s="3" t="inlineStr">
        <is>
          <t>Vector Algebra</t>
        </is>
      </c>
      <c r="F15" s="2" t="n">
        <v>4</v>
      </c>
      <c r="G15" s="7" t="n">
        <v>3</v>
      </c>
      <c r="H15" s="7" t="inlineStr">
        <is>
          <t>Average Advanced</t>
        </is>
      </c>
      <c r="I15" s="5" t="n">
        <v>0</v>
      </c>
      <c r="J15" s="5" t="n">
        <v>0</v>
      </c>
      <c r="K15" s="5">
        <f>MIN(5,MAX(G15+I15,J15))</f>
        <v/>
      </c>
      <c r="L15" s="5">
        <f>F15*K15</f>
        <v/>
      </c>
      <c r="M15" s="3" t="inlineStr">
        <is>
          <t>$\vec a=\vec b\times\vec c$ gives $\vec a\perp\vec c$ and $|\vec c|\sin\alpha=\frac23$; minimise.</t>
        </is>
      </c>
      <c r="N15" s="3" t="inlineStr">
        <is>
          <t>Two ideas linked (perpendicularity, then monotonic minimisation over the angle range).</t>
        </is>
      </c>
      <c r="O15" s="3" t="inlineStr">
        <is>
          <t>2026-P2-Q1 (L2)</t>
        </is>
      </c>
      <c r="P15" s="2" t="inlineStr">
        <is>
          <t>Medium</t>
        </is>
      </c>
    </row>
    <row r="16">
      <c r="A16" s="2" t="n">
        <v>15</v>
      </c>
      <c r="B16" s="2" t="inlineStr"/>
      <c r="C16" s="2" t="inlineStr">
        <is>
          <t>Q15</t>
        </is>
      </c>
      <c r="D16" s="2" t="inlineStr">
        <is>
          <t>SCQ</t>
        </is>
      </c>
      <c r="E16" s="3" t="inlineStr">
        <is>
          <t>Vector Algebra</t>
        </is>
      </c>
      <c r="F16" s="2" t="n">
        <v>4</v>
      </c>
      <c r="G16" s="7" t="n">
        <v>3</v>
      </c>
      <c r="H16" s="7" t="inlineStr">
        <is>
          <t>Average Advanced</t>
        </is>
      </c>
      <c r="I16" s="5" t="n">
        <v>0</v>
      </c>
      <c r="J16" s="5" t="n">
        <v>0</v>
      </c>
      <c r="K16" s="5">
        <f>MIN(5,MAX(G16+I16,J16))</f>
        <v/>
      </c>
      <c r="L16" s="5">
        <f>F16*K16</f>
        <v/>
      </c>
      <c r="M16" s="3" t="inlineStr">
        <is>
          <t>Quadratic in $|\vec c|$ from $|\vec c-\vec a|$ and $\vec a\cdot\vec c$; the constraint $|\vec c|\ge6$ selects the root.</t>
        </is>
      </c>
      <c r="N16" s="3" t="inlineStr">
        <is>
          <t>Several linked conditions (dot, magnitude, cross product, angle) with a root selection.</t>
        </is>
      </c>
      <c r="O16" s="3" t="inlineStr">
        <is>
          <t>2026-P2-Q1 (L2)</t>
        </is>
      </c>
      <c r="P16" s="2" t="inlineStr">
        <is>
          <t>Medium</t>
        </is>
      </c>
    </row>
    <row r="17">
      <c r="A17" s="2" t="n">
        <v>16</v>
      </c>
      <c r="B17" s="2" t="inlineStr"/>
      <c r="C17" s="2" t="inlineStr">
        <is>
          <t>Q16</t>
        </is>
      </c>
      <c r="D17" s="2" t="inlineStr">
        <is>
          <t>SCQ</t>
        </is>
      </c>
      <c r="E17" s="3" t="inlineStr">
        <is>
          <t>Vector Algebra</t>
        </is>
      </c>
      <c r="F17" s="2" t="n">
        <v>4</v>
      </c>
      <c r="G17" s="4" t="n">
        <v>2</v>
      </c>
      <c r="H17" s="4" t="inlineStr">
        <is>
          <t>Easier than Advanced</t>
        </is>
      </c>
      <c r="I17" s="5" t="n">
        <v>0</v>
      </c>
      <c r="J17" s="5" t="n">
        <v>0</v>
      </c>
      <c r="K17" s="5">
        <f>MIN(5,MAX(G17+I17,J17))</f>
        <v/>
      </c>
      <c r="L17" s="5">
        <f>F17*K17</f>
        <v/>
      </c>
      <c r="M17" s="3" t="inlineStr">
        <is>
          <t>$x=\gamma\sin\phi\cos\theta$ and distance $\sqrt{\gamma^2-x^2}$.</t>
        </is>
      </c>
      <c r="N17" s="3" t="inlineStr">
        <is>
          <t>Direction-cosine relations chained; no real insight.</t>
        </is>
      </c>
      <c r="O17" s="3" t="inlineStr">
        <is>
          <t>2024-P2-Q11 (L0)</t>
        </is>
      </c>
      <c r="P17" s="2" t="inlineStr">
        <is>
          <t>Medium</t>
        </is>
      </c>
    </row>
    <row r="18">
      <c r="A18" s="2" t="n">
        <v>17</v>
      </c>
      <c r="B18" s="2" t="inlineStr"/>
      <c r="C18" s="2" t="inlineStr">
        <is>
          <t>Q17</t>
        </is>
      </c>
      <c r="D18" s="2" t="inlineStr">
        <is>
          <t>SCQ</t>
        </is>
      </c>
      <c r="E18" s="3" t="inlineStr">
        <is>
          <t>Vector Algebra</t>
        </is>
      </c>
      <c r="F18" s="2" t="n">
        <v>4</v>
      </c>
      <c r="G18" s="4" t="n">
        <v>2</v>
      </c>
      <c r="H18" s="4" t="inlineStr">
        <is>
          <t>Easier than Advanced</t>
        </is>
      </c>
      <c r="I18" s="5" t="n">
        <v>0</v>
      </c>
      <c r="J18" s="5" t="n">
        <v>0</v>
      </c>
      <c r="K18" s="5">
        <f>MIN(5,MAX(G18+I18,J18))</f>
        <v/>
      </c>
      <c r="L18" s="5">
        <f>F18*K18</f>
        <v/>
      </c>
      <c r="M18" s="3" t="inlineStr">
        <is>
          <t>Scale factor $k$ eliminated between two conditions gives a linear equation in $\lambda$.</t>
        </is>
      </c>
      <c r="N18" s="3" t="inlineStr">
        <is>
          <t>Routine chain of dot products and one elimination.</t>
        </is>
      </c>
      <c r="O18" s="3" t="inlineStr">
        <is>
          <t>2026-P2-Q1 (L2)</t>
        </is>
      </c>
      <c r="P18" s="2" t="inlineStr">
        <is>
          <t>Medium</t>
        </is>
      </c>
    </row>
    <row r="19">
      <c r="A19" s="2" t="n">
        <v>18</v>
      </c>
      <c r="B19" s="2" t="inlineStr"/>
      <c r="C19" s="2" t="inlineStr">
        <is>
          <t>Q18</t>
        </is>
      </c>
      <c r="D19" s="2" t="inlineStr">
        <is>
          <t>SCQ</t>
        </is>
      </c>
      <c r="E19" s="3" t="inlineStr">
        <is>
          <t>Vector Algebra</t>
        </is>
      </c>
      <c r="F19" s="2" t="n">
        <v>4</v>
      </c>
      <c r="G19" s="4" t="n">
        <v>2</v>
      </c>
      <c r="H19" s="4" t="inlineStr">
        <is>
          <t>Easier than Advanced</t>
        </is>
      </c>
      <c r="I19" s="5" t="n">
        <v>0</v>
      </c>
      <c r="J19" s="5" t="n">
        <v>0</v>
      </c>
      <c r="K19" s="5">
        <f>MIN(5,MAX(G19+I19,J19))</f>
        <v/>
      </c>
      <c r="L19" s="5">
        <f>F19*K19</f>
        <v/>
      </c>
      <c r="M19" s="3" t="inlineStr">
        <is>
          <t>Area $=\tfrac12|\vec a\times\vec b|$ gives a quadratic in $\alpha$.</t>
        </is>
      </c>
      <c r="N19" s="3" t="inlineStr">
        <is>
          <t>Cross product, square, solve; routine.</t>
        </is>
      </c>
      <c r="O19" s="3" t="inlineStr">
        <is>
          <t>2026-P2-Q1 (L2)</t>
        </is>
      </c>
      <c r="P19" s="2" t="inlineStr">
        <is>
          <t>Medium</t>
        </is>
      </c>
    </row>
    <row r="20">
      <c r="A20" s="2" t="n">
        <v>19</v>
      </c>
      <c r="B20" s="2" t="inlineStr"/>
      <c r="C20" s="2" t="inlineStr">
        <is>
          <t>Q19</t>
        </is>
      </c>
      <c r="D20" s="2" t="inlineStr">
        <is>
          <t>SCQ</t>
        </is>
      </c>
      <c r="E20" s="3" t="inlineStr">
        <is>
          <t>Vector Algebra</t>
        </is>
      </c>
      <c r="F20" s="2" t="n">
        <v>4</v>
      </c>
      <c r="G20" s="7" t="n">
        <v>3</v>
      </c>
      <c r="H20" s="7" t="inlineStr">
        <is>
          <t>Average Advanced</t>
        </is>
      </c>
      <c r="I20" s="5" t="n">
        <v>0</v>
      </c>
      <c r="J20" s="5" t="n">
        <v>0</v>
      </c>
      <c r="K20" s="5">
        <f>MIN(5,MAX(G20+I20,J20))</f>
        <v/>
      </c>
      <c r="L20" s="5">
        <f>F20*K20</f>
        <v/>
      </c>
      <c r="M20" s="3" t="inlineStr">
        <is>
          <t>Lagrange's identity for Statement I; circumcentre-vector argument for Statement II.</t>
        </is>
      </c>
      <c r="N20" s="3" t="inlineStr">
        <is>
          <t>Two statements, each needing a genuine check, one a less familiar trigonometric inequality.</t>
        </is>
      </c>
      <c r="O20" s="3" t="inlineStr">
        <is>
          <t>2026-P1-Q7 (L3)</t>
        </is>
      </c>
      <c r="P20" s="2" t="inlineStr">
        <is>
          <t>Medium</t>
        </is>
      </c>
    </row>
    <row r="21">
      <c r="A21" s="2" t="n">
        <v>20</v>
      </c>
      <c r="B21" s="2" t="inlineStr"/>
      <c r="C21" s="2" t="inlineStr">
        <is>
          <t>Q20</t>
        </is>
      </c>
      <c r="D21" s="2" t="inlineStr">
        <is>
          <t>SCQ</t>
        </is>
      </c>
      <c r="E21" s="3" t="inlineStr">
        <is>
          <t>Vector Algebra</t>
        </is>
      </c>
      <c r="F21" s="2" t="n">
        <v>4</v>
      </c>
      <c r="G21" s="4" t="n">
        <v>2</v>
      </c>
      <c r="H21" s="4" t="inlineStr">
        <is>
          <t>Easier than Advanced</t>
        </is>
      </c>
      <c r="I21" s="5" t="n">
        <v>0</v>
      </c>
      <c r="J21" s="5" t="n">
        <v>0</v>
      </c>
      <c r="K21" s="5">
        <f>MIN(5,MAX(G21+I21,J21))</f>
        <v/>
      </c>
      <c r="L21" s="5">
        <f>F21*K21</f>
        <v/>
      </c>
      <c r="M21" s="3" t="inlineStr">
        <is>
          <t>Area from diagonals, then integer solutions of $\alpha^2+5\beta^2=29$ with $\alpha\beta=-6$.</t>
        </is>
      </c>
      <c r="N21" s="3" t="inlineStr">
        <is>
          <t>Cross product, algebra, small integer search; routine.</t>
        </is>
      </c>
      <c r="O21" s="3" t="inlineStr">
        <is>
          <t>2026-P2-Q1 (L2)</t>
        </is>
      </c>
      <c r="P21" s="2" t="inlineStr">
        <is>
          <t>Medium</t>
        </is>
      </c>
    </row>
    <row r="23">
      <c r="A23" s="8" t="inlineStr">
        <is>
          <t>Adjusted level = min(5, max(level + equivalence-relation adj, MCQ floor)). Equivalence adj +0.5 when the key step tests equivalence relations/classes; MCQ floor 2.5 for one-or-more-correct questions involving several concepts. Edit columns I-J to change them.</t>
        </is>
      </c>
    </row>
  </sheetData>
  <autoFilter ref="A1:P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11" customWidth="1" min="3" max="3"/>
    <col width="9" customWidth="1" min="4" max="4"/>
    <col width="11" customWidth="1" min="5" max="5"/>
  </cols>
  <sheetData>
    <row r="1">
      <c r="A1" s="9" t="inlineStr">
        <is>
          <t>Difficulty summary</t>
        </is>
      </c>
    </row>
    <row r="2">
      <c r="A2" s="8" t="inlineStr">
        <is>
          <t>Source: JEE_Main_Question_Bank_01_Vector_3D_02.pdf   |   Evaluated on: 2026-10-06</t>
        </is>
      </c>
    </row>
    <row r="4">
      <c r="A4" s="1" t="inlineStr">
        <is>
          <t>Level</t>
        </is>
      </c>
      <c r="B4" s="1" t="inlineStr">
        <is>
          <t>Label</t>
        </is>
      </c>
      <c r="C4" s="1" t="inlineStr">
        <is>
          <t>Questions</t>
        </is>
      </c>
      <c r="D4" s="1" t="inlineStr">
        <is>
          <t>Marks</t>
        </is>
      </c>
      <c r="E4" s="1" t="inlineStr">
        <is>
          <t>% of marks</t>
        </is>
      </c>
    </row>
    <row r="5">
      <c r="A5" s="10" t="n">
        <v>0</v>
      </c>
      <c r="B5" s="10" t="inlineStr">
        <is>
          <t>Easier than JEE Main</t>
        </is>
      </c>
      <c r="C5" s="10">
        <f>COUNTIF(Evaluation!$G$2:$G$21,A5)</f>
        <v/>
      </c>
      <c r="D5" s="10">
        <f>SUMIF(Evaluation!$G$2:$G$21,A5,Evaluation!$F$2:$F$21)</f>
        <v/>
      </c>
      <c r="E5" s="11">
        <f>IF(SUM($D$5:$D$10)=0,0,D5/SUM($D$5:$D$10))</f>
        <v/>
      </c>
    </row>
    <row r="6">
      <c r="A6" s="12" t="n">
        <v>1</v>
      </c>
      <c r="B6" s="12" t="inlineStr">
        <is>
          <t>JEE Main level</t>
        </is>
      </c>
      <c r="C6" s="12">
        <f>COUNTIF(Evaluation!$G$2:$G$21,A6)</f>
        <v/>
      </c>
      <c r="D6" s="12">
        <f>SUMIF(Evaluation!$G$2:$G$21,A6,Evaluation!$F$2:$F$21)</f>
        <v/>
      </c>
      <c r="E6" s="13">
        <f>IF(SUM($D$5:$D$10)=0,0,D6/SUM($D$5:$D$10))</f>
        <v/>
      </c>
    </row>
    <row r="7">
      <c r="A7" s="14" t="n">
        <v>2</v>
      </c>
      <c r="B7" s="14" t="inlineStr">
        <is>
          <t>Easier than Advanced</t>
        </is>
      </c>
      <c r="C7" s="14">
        <f>COUNTIF(Evaluation!$G$2:$G$21,A7)</f>
        <v/>
      </c>
      <c r="D7" s="14">
        <f>SUMIF(Evaluation!$G$2:$G$21,A7,Evaluation!$F$2:$F$21)</f>
        <v/>
      </c>
      <c r="E7" s="15">
        <f>IF(SUM($D$5:$D$10)=0,0,D7/SUM($D$5:$D$10))</f>
        <v/>
      </c>
    </row>
    <row r="8">
      <c r="A8" s="16" t="n">
        <v>3</v>
      </c>
      <c r="B8" s="16" t="inlineStr">
        <is>
          <t>Average Advanced</t>
        </is>
      </c>
      <c r="C8" s="16">
        <f>COUNTIF(Evaluation!$G$2:$G$21,A8)</f>
        <v/>
      </c>
      <c r="D8" s="16">
        <f>SUMIF(Evaluation!$G$2:$G$21,A8,Evaluation!$F$2:$F$21)</f>
        <v/>
      </c>
      <c r="E8" s="17">
        <f>IF(SUM($D$5:$D$10)=0,0,D8/SUM($D$5:$D$10))</f>
        <v/>
      </c>
    </row>
    <row r="9">
      <c r="A9" s="18" t="n">
        <v>4</v>
      </c>
      <c r="B9" s="18" t="inlineStr">
        <is>
          <t>Slightly difficult</t>
        </is>
      </c>
      <c r="C9" s="18">
        <f>COUNTIF(Evaluation!$G$2:$G$21,A9)</f>
        <v/>
      </c>
      <c r="D9" s="18">
        <f>SUMIF(Evaluation!$G$2:$G$21,A9,Evaluation!$F$2:$F$21)</f>
        <v/>
      </c>
      <c r="E9" s="19">
        <f>IF(SUM($D$5:$D$10)=0,0,D9/SUM($D$5:$D$10))</f>
        <v/>
      </c>
    </row>
    <row r="10">
      <c r="A10" s="20" t="n">
        <v>5</v>
      </c>
      <c r="B10" s="20" t="inlineStr">
        <is>
          <t>Very difficult</t>
        </is>
      </c>
      <c r="C10" s="20">
        <f>COUNTIF(Evaluation!$G$2:$G$21,A10)</f>
        <v/>
      </c>
      <c r="D10" s="20">
        <f>SUMIF(Evaluation!$G$2:$G$21,A10,Evaluation!$F$2:$F$21)</f>
        <v/>
      </c>
      <c r="E10" s="21">
        <f>IF(SUM($D$5:$D$10)=0,0,D10/SUM($D$5:$D$10))</f>
        <v/>
      </c>
    </row>
    <row r="11">
      <c r="A11" s="22" t="inlineStr">
        <is>
          <t>Total</t>
        </is>
      </c>
      <c r="C11" s="22">
        <f>SUM(C5:C10)</f>
        <v/>
      </c>
      <c r="D11" s="22">
        <f>SUM(D5:D10)</f>
        <v/>
      </c>
    </row>
    <row r="13">
      <c r="A13" s="1" t="inlineStr">
        <is>
          <t>Scope</t>
        </is>
      </c>
      <c r="B13" s="1" t="inlineStr">
        <is>
          <t>Weighted index (adjusted)</t>
        </is>
      </c>
      <c r="C13" s="1" t="inlineStr">
        <is>
          <t>Weighted index (unadjusted)</t>
        </is>
      </c>
      <c r="D13" s="1" t="inlineStr">
        <is>
          <t>Marks</t>
        </is>
      </c>
      <c r="E13" s="1" t="inlineStr">
        <is>
          <t>Mean level</t>
        </is>
      </c>
    </row>
    <row r="14">
      <c r="A14" s="22" t="inlineStr">
        <is>
          <t>Overall</t>
        </is>
      </c>
      <c r="B14" s="23">
        <f>SUM(Evaluation!$L$2:$L$21)/SUM(Evaluation!$F$2:$F$21)</f>
        <v/>
      </c>
      <c r="C14" s="23">
        <f>SUMPRODUCT(Evaluation!$F$2:$F$21,Evaluation!$G$2:$G$21)/SUM(Evaluation!$F$2:$F$21)</f>
        <v/>
      </c>
      <c r="D14" s="22">
        <f>SUM(Evaluation!$F$2:$F$21)</f>
        <v/>
      </c>
      <c r="E14" s="23">
        <f>AVERAGE(Evaluation!$G$2:$G$21)</f>
        <v/>
      </c>
    </row>
    <row r="16">
      <c r="A16" s="8" t="inlineStr">
        <is>
          <t>Weighted index = sum(marks x level) / sum(marks), scale 0-5. 'Adjusted' uses the adjusted level (equivalence-relation adjustment and MCQ floor); 'unadjusted' uses the integer level.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15" customWidth="1" min="2" max="2"/>
    <col width="11" customWidth="1" min="3" max="3"/>
    <col width="13" customWidth="1" min="4" max="4"/>
    <col width="13" customWidth="1" min="5" max="5"/>
    <col width="15" customWidth="1" min="6" max="6"/>
  </cols>
  <sheetData>
    <row r="1">
      <c r="A1" s="9" t="inlineStr">
        <is>
          <t>User's own ratings of official JEE Advanced maths papers</t>
        </is>
      </c>
    </row>
    <row r="3">
      <c r="A3" s="1" t="inlineStr">
        <is>
          <t>Year</t>
        </is>
      </c>
      <c r="B3" s="1" t="inlineStr">
        <is>
          <t>Weighted index</t>
        </is>
      </c>
      <c r="C3" s="1" t="inlineStr">
        <is>
          <t>Mean level</t>
        </is>
      </c>
      <c r="D3" s="1" t="inlineStr">
        <is>
          <t>Marks at L0-1</t>
        </is>
      </c>
      <c r="E3" s="1" t="inlineStr">
        <is>
          <t>Marks at L4-5</t>
        </is>
      </c>
      <c r="F3" s="1" t="inlineStr">
        <is>
          <t>Level-5 questions</t>
        </is>
      </c>
    </row>
    <row r="4">
      <c r="A4" s="24" t="n">
        <v>2021</v>
      </c>
      <c r="B4" s="25" t="n">
        <v>2.758333333333333</v>
      </c>
      <c r="C4" s="25" t="n">
        <v>2.894736842105263</v>
      </c>
      <c r="D4" s="24" t="n">
        <v>16</v>
      </c>
      <c r="E4" s="24" t="n">
        <v>34</v>
      </c>
      <c r="F4" s="24" t="n">
        <v>1</v>
      </c>
    </row>
    <row r="5">
      <c r="A5" s="24" t="n">
        <v>2023</v>
      </c>
      <c r="B5" s="25" t="n">
        <v>3.191666666666667</v>
      </c>
      <c r="C5" s="25" t="n">
        <v>3.147058823529412</v>
      </c>
      <c r="D5" s="24" t="n">
        <v>13</v>
      </c>
      <c r="E5" s="24" t="n">
        <v>47</v>
      </c>
      <c r="F5" s="24" t="n">
        <v>5</v>
      </c>
    </row>
    <row r="6">
      <c r="A6" s="24" t="n">
        <v>2024</v>
      </c>
      <c r="B6" s="25" t="n">
        <v>2.591666666666667</v>
      </c>
      <c r="C6" s="25" t="n">
        <v>2.558823529411764</v>
      </c>
      <c r="D6" s="24" t="n">
        <v>28</v>
      </c>
      <c r="E6" s="24" t="n">
        <v>40</v>
      </c>
      <c r="F6" s="24" t="n">
        <v>1</v>
      </c>
    </row>
    <row r="7">
      <c r="A7" s="24" t="n">
        <v>2025</v>
      </c>
      <c r="B7" s="25" t="n">
        <v>3.208333333333333</v>
      </c>
      <c r="C7" s="25" t="n">
        <v>3.1875</v>
      </c>
      <c r="D7" s="24" t="n">
        <v>8</v>
      </c>
      <c r="E7" s="24" t="n">
        <v>65</v>
      </c>
      <c r="F7" s="24" t="n">
        <v>1</v>
      </c>
    </row>
    <row r="8">
      <c r="A8" s="24" t="n">
        <v>2026</v>
      </c>
      <c r="B8" s="25" t="n">
        <v>3.025</v>
      </c>
      <c r="C8" s="25" t="n">
        <v>2.941176470588236</v>
      </c>
      <c r="D8" s="24" t="n">
        <v>6</v>
      </c>
      <c r="E8" s="24" t="n">
        <v>38</v>
      </c>
      <c r="F8" s="24" t="n">
        <v>2</v>
      </c>
    </row>
    <row r="9">
      <c r="A9" s="22" t="inlineStr">
        <is>
          <t>This paper</t>
        </is>
      </c>
      <c r="B9" s="23">
        <f>Summary!B14</f>
        <v/>
      </c>
      <c r="C9" s="23">
        <f>Summary!E14</f>
        <v/>
      </c>
      <c r="D9" s="22">
        <f>Summary!D5+Summary!D6</f>
        <v/>
      </c>
      <c r="E9" s="22">
        <f>Summary!D9+Summary!D10</f>
        <v/>
      </c>
      <c r="F9" s="22">
        <f>Summary!C10</f>
        <v/>
      </c>
    </row>
    <row r="11">
      <c r="A11" s="8" t="inlineStr">
        <is>
          <t>Source: the user's ratings in references/anchors.csv, used as given (they already reflect format and topic). 'This paper' uses the adjusted index. Official papers are 120 marks; compare the marks-at-level columns only for full-length papers.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2026-10-06T15:28:23Z</dcterms:created>
  <dcterms:modified xmlns:dcterms="http://purl.org/dc/terms/" xmlns:xsi="http://www.w3.org/2001/XMLSchema-instance" xsi:type="dcterms:W3CDTF">2026-10-06T15:28:23Z</dcterms:modified>
</cp:coreProperties>
</file>