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  <fill>
      <patternFill patternType="solid">
        <fgColor rgb="00D9EAD3"/>
      </patternFill>
    </fill>
    <fill>
      <patternFill patternType="solid">
        <fgColor rgb="00E8F0D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Function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Sign of f' shows non-monotonic; endpoints give range.</t>
        </is>
      </c>
      <c r="N2" s="3" t="inlineStr">
        <is>
          <t>Routine: one derivative, three values; standard.</t>
        </is>
      </c>
      <c r="O2" s="3" t="inlineStr">
        <is>
          <t>2025-P1-Q1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MCQ</t>
        </is>
      </c>
      <c r="E3" s="3" t="inlineStr">
        <is>
          <t>Function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2.5</v>
      </c>
      <c r="K3" s="5">
        <f>MIN(5,MAX(G3+I3,J3))</f>
        <v/>
      </c>
      <c r="L3" s="5">
        <f>F3*K3</f>
        <v/>
      </c>
      <c r="M3" s="3" t="inlineStr">
        <is>
          <t>Rewrite as 1+sec2θ and allow both signs of cos2θ.</t>
        </is>
      </c>
      <c r="N3" s="3" t="inlineStr">
        <is>
          <t>Trig rewriting then a branch decision; option-based but a two-sided sign trap.</t>
        </is>
      </c>
      <c r="O3" s="3" t="inlineStr">
        <is>
          <t>2024-P2-Q4 (L4) - easier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MCQ</t>
        </is>
      </c>
      <c r="E4" s="3" t="inlineStr">
        <is>
          <t>Function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2.5</v>
      </c>
      <c r="K4" s="5">
        <f>MIN(5,MAX(G4+I4,J4))</f>
        <v/>
      </c>
      <c r="L4" s="5">
        <f>F4*K4</f>
        <v/>
      </c>
      <c r="M4" s="3" t="inlineStr">
        <is>
          <t>Oddness, monotonic derivative, limits at ends.</t>
        </is>
      </c>
      <c r="N4" s="3" t="inlineStr">
        <is>
          <t>Three short checks on a familiar function; floor 2.5 applies (odd + one-one + onto).</t>
        </is>
      </c>
      <c r="O4" s="3" t="inlineStr">
        <is>
          <t>2025-P1-Q6 (L4) - easier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Function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Count onto maps via block sizes (3,1,1,1,1),(2,2,1,1,1).</t>
        </is>
      </c>
      <c r="N5" s="3" t="inlineStr">
        <is>
          <t>Standard surjection count with two cases and an arithmetic finish; no options to check.</t>
        </is>
      </c>
      <c r="O5" s="3" t="inlineStr">
        <is>
          <t>2026-P2-Q10 (L4) - easier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Function</t>
        </is>
      </c>
      <c r="F6" s="2" t="n">
        <v>4</v>
      </c>
      <c r="G6" s="6" t="n">
        <v>3</v>
      </c>
      <c r="H6" s="6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Show f' &gt;= 0 and use oddness; analyse range.</t>
        </is>
      </c>
      <c r="N6" s="3" t="inlineStr">
        <is>
          <t>One derivative rewrite with a hidden positivity; then range reasoning in 2 cases.</t>
        </is>
      </c>
      <c r="O6" s="3" t="inlineStr">
        <is>
          <t>2025-P1-Q6 (L4) - easier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Function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f(x)+f(1-x)=1 and pair the terms.</t>
        </is>
      </c>
      <c r="N7" s="3" t="inlineStr">
        <is>
          <t>One recognisable pairing trick then counting pairs; standard.</t>
        </is>
      </c>
      <c r="O7" s="3" t="inlineStr">
        <is>
          <t>2024-P2-Q8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Function</t>
        </is>
      </c>
      <c r="F8" s="2" t="n">
        <v>4</v>
      </c>
      <c r="G8" s="6" t="n">
        <v>3</v>
      </c>
      <c r="H8" s="6" t="inlineStr">
        <is>
          <t>Average Advanced</t>
        </is>
      </c>
      <c r="I8" s="5" t="n">
        <v>0</v>
      </c>
      <c r="J8" s="5" t="n">
        <v>2.5</v>
      </c>
      <c r="K8" s="5">
        <f>MIN(5,MAX(G8+I8,J8))</f>
        <v/>
      </c>
      <c r="L8" s="5">
        <f>F8*K8</f>
        <v/>
      </c>
      <c r="M8" s="3" t="inlineStr">
        <is>
          <t>Skew-symmetric det = 0, f=1+sin^2, g=sin+cos, compare with roots.</t>
        </is>
      </c>
      <c r="N8" s="3" t="inlineStr">
        <is>
          <t>Three stages but each is familiar; four statements to check, multi-concept.</t>
        </is>
      </c>
      <c r="O8" s="3" t="inlineStr">
        <is>
          <t>2021-P1-Q11 (L2) - harder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Function</t>
        </is>
      </c>
      <c r="F9" s="2" t="n">
        <v>4</v>
      </c>
      <c r="G9" s="7" t="n">
        <v>4</v>
      </c>
      <c r="H9" s="7" t="inlineStr">
        <is>
          <t>Slightly difficult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Zeros 1/sqrt(n); convert interval to integer range for n.</t>
        </is>
      </c>
      <c r="N9" s="3" t="inlineStr">
        <is>
          <t>Same question as 2024-P2-Q4, which the user rated 4: four options each needing a count.</t>
        </is>
      </c>
      <c r="O9" s="3" t="inlineStr">
        <is>
          <t>2024-P2-Q4 (L4)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Function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Additive/multiplicative: f=ax, g=k^x.</t>
        </is>
      </c>
      <c r="N10" s="3" t="inlineStr">
        <is>
          <t>Two standard functional equations then arithmetic.</t>
        </is>
      </c>
      <c r="O10" s="3" t="inlineStr">
        <is>
          <t>2024-P2-Q8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Q Stem</t>
        </is>
      </c>
      <c r="E11" s="3" t="inlineStr">
        <is>
          <t>Function</t>
        </is>
      </c>
      <c r="F11" s="2" t="n">
        <v>3</v>
      </c>
      <c r="G11" s="7" t="n">
        <v>4</v>
      </c>
      <c r="H11" s="7" t="inlineStr">
        <is>
          <t>Slightly difficult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Relations are subsets of the 20 allowed pairs.</t>
        </is>
      </c>
      <c r="N11" s="3" t="inlineStr">
        <is>
          <t>Same paragraph question as 2024-P2-Q14, rated 4: setup of a counting model.</t>
        </is>
      </c>
      <c r="O11" s="3" t="inlineStr">
        <is>
          <t>2024-P2-Q14 (L4)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Q Stem</t>
        </is>
      </c>
      <c r="E12" s="3" t="inlineStr">
        <is>
          <t>Function</t>
        </is>
      </c>
      <c r="F12" s="2" t="n">
        <v>3</v>
      </c>
      <c r="G12" s="7" t="n">
        <v>4</v>
      </c>
      <c r="H12" s="7" t="inlineStr">
        <is>
          <t>Slightly difficult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n(Y)=0 by a pigeonhole; n(Z) by product of allowed images.</t>
        </is>
      </c>
      <c r="N12" s="3" t="inlineStr">
        <is>
          <t>Same as 2024-P2-Q15 (rated 4): needs the functional model and care with the 6 images.</t>
        </is>
      </c>
      <c r="O12" s="3" t="inlineStr">
        <is>
          <t>2024-P2-Q15 (L4)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Function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No real root forces a3=b3; coefficient from (x+1)^4-(x+2)^4.</t>
        </is>
      </c>
      <c r="N13" s="3" t="inlineStr">
        <is>
          <t>Same as 2025-P1-Q1 (L2).</t>
        </is>
      </c>
      <c r="O13" s="3" t="inlineStr">
        <is>
          <t>2025-P1-Q1 (L2)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MCQ</t>
        </is>
      </c>
      <c r="E14" s="3" t="inlineStr">
        <is>
          <t>Function</t>
        </is>
      </c>
      <c r="F14" s="2" t="n">
        <v>4</v>
      </c>
      <c r="G14" s="7" t="n">
        <v>4</v>
      </c>
      <c r="H14" s="7" t="inlineStr">
        <is>
          <t>Slightly difficult</t>
        </is>
      </c>
      <c r="I14" s="5" t="n">
        <v>0</v>
      </c>
      <c r="J14" s="5" t="n">
        <v>2.5</v>
      </c>
      <c r="K14" s="5">
        <f>MIN(5,MAX(G14+I14,J14))</f>
        <v/>
      </c>
      <c r="L14" s="5">
        <f>F14*K14</f>
        <v/>
      </c>
      <c r="M14" s="3" t="inlineStr">
        <is>
          <t>Tabulate f, g and compositions; spot repeated and missing values.</t>
        </is>
      </c>
      <c r="N14" s="3" t="inlineStr">
        <is>
          <t>Same as 2025-P1-Q6 (L4): four statements on two piecewise maps.</t>
        </is>
      </c>
      <c r="O14" s="3" t="inlineStr">
        <is>
          <t>2025-P1-Q6 (L4)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Function</t>
        </is>
      </c>
      <c r="F15" s="2" t="n">
        <v>4</v>
      </c>
      <c r="G15" s="7" t="n">
        <v>4</v>
      </c>
      <c r="H15" s="7" t="inlineStr">
        <is>
          <t>Slightly difficult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f(AP) is a GP with ratio 2; windowed geometric sums.</t>
        </is>
      </c>
      <c r="N15" s="3" t="inlineStr">
        <is>
          <t>Same as 2025-P1-Q12 (L4): functional equation plus GP sum manipulation.</t>
        </is>
      </c>
      <c r="O15" s="3" t="inlineStr">
        <is>
          <t>2025-P1-Q12 (L4)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Relation</t>
        </is>
      </c>
      <c r="F16" s="2" t="n">
        <v>4</v>
      </c>
      <c r="G16" s="8" t="n">
        <v>5</v>
      </c>
      <c r="H16" s="8" t="inlineStr">
        <is>
          <t>Very difficult</t>
        </is>
      </c>
      <c r="I16" s="5" t="n">
        <v>0.5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Equivalence relation = partition; solve sum x=10, sum x^2=42; count.</t>
        </is>
      </c>
      <c r="N16" s="3" t="inlineStr">
        <is>
          <t>Same as 2026-P1-Q9 (L5, equivalence-relation adjustment applies): partitions then counting.</t>
        </is>
      </c>
      <c r="O16" s="3" t="inlineStr">
        <is>
          <t>2026-P1-Q9 (L5)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Function</t>
        </is>
      </c>
      <c r="F17" s="2" t="n">
        <v>4</v>
      </c>
      <c r="G17" s="7" t="n">
        <v>4</v>
      </c>
      <c r="H17" s="7" t="inlineStr">
        <is>
          <t>Slightly difficult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g exists iff f one-one; inclusion-exclusion.</t>
        </is>
      </c>
      <c r="N17" s="3" t="inlineStr">
        <is>
          <t>Same as 2026-P2-Q10 (L4).</t>
        </is>
      </c>
      <c r="O17" s="3" t="inlineStr">
        <is>
          <t>2026-P2-Q10 (L4)</t>
        </is>
      </c>
      <c r="P17" s="2" t="inlineStr">
        <is>
          <t>High</t>
        </is>
      </c>
    </row>
    <row r="19">
      <c r="A19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SHEET_FUNCTION_FCopy_JA.pdf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COUNTIF(Evaluation!$G$2:$G$17,A5)</f>
        <v/>
      </c>
      <c r="D5" s="11">
        <f>SUMIF(Evaluation!$G$2:$G$17,A5,Evaluation!$F$2:$F$17)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COUNTIF(Evaluation!$G$2:$G$17,A6)</f>
        <v/>
      </c>
      <c r="D6" s="13">
        <f>SUMIF(Evaluation!$G$2:$G$17,A6,Evaluation!$F$2:$F$17)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COUNTIF(Evaluation!$G$2:$G$17,A7)</f>
        <v/>
      </c>
      <c r="D7" s="15">
        <f>SUMIF(Evaluation!$G$2:$G$17,A7,Evaluation!$F$2:$F$17)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COUNTIF(Evaluation!$G$2:$G$17,A8)</f>
        <v/>
      </c>
      <c r="D8" s="17">
        <f>SUMIF(Evaluation!$G$2:$G$17,A8,Evaluation!$F$2:$F$17)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COUNTIF(Evaluation!$G$2:$G$17,A9)</f>
        <v/>
      </c>
      <c r="D9" s="19">
        <f>SUMIF(Evaluation!$G$2:$G$17,A9,Evaluation!$F$2:$F$17)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COUNTIF(Evaluation!$G$2:$G$17,A10)</f>
        <v/>
      </c>
      <c r="D10" s="21">
        <f>SUMIF(Evaluation!$G$2:$G$17,A10,Evaluation!$F$2:$F$17)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SUM(Evaluation!$L$2:$L$17)/SUM(Evaluation!$F$2:$F$17)</f>
        <v/>
      </c>
      <c r="C14" s="24">
        <f>SUMPRODUCT(Evaluation!$F$2:$F$17,Evaluation!$G$2:$G$17)/SUM(Evaluation!$F$2:$F$17)</f>
        <v/>
      </c>
      <c r="D14" s="23">
        <f>SUM(Evaluation!$F$2:$F$17)</f>
        <v/>
      </c>
      <c r="E14" s="24">
        <f>AVERAGE(Evaluation!$G$2:$G$17)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2026-10-14T10:46:50Z</dcterms:created>
  <dcterms:modified xmlns:dcterms="http://purl.org/dc/terms/" xmlns:xsi="http://www.w3.org/2001/XMLSchema-instance" xsi:type="dcterms:W3CDTF">2026-10-14T10:46:50Z</dcterms:modified>
</cp:coreProperties>
</file>