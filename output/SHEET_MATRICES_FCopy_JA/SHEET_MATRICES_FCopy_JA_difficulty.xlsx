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8" borderId="1" pivotButton="0" quotePrefix="0" xfId="0"/>
    <xf numFmtId="9" fontId="2" fillId="8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Factor 2^i from rows and 2^j from columns.</t>
        </is>
      </c>
      <c r="N2" s="3" t="inlineStr">
        <is>
          <t>One familiar determinant-scaling trick applied once.</t>
        </is>
      </c>
      <c r="O2" s="3" t="inlineStr">
        <is>
          <t>2026-P1-Q3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Matrices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Transpose twice and eliminate: P=-I.</t>
        </is>
      </c>
      <c r="N3" s="3" t="inlineStr">
        <is>
          <t>Two lines of algebra; single idea.</t>
        </is>
      </c>
      <c r="O3" s="3" t="inlineStr">
        <is>
          <t>2026-P1-Q3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Matrices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|adj P|=|P|^2 for 3x3.</t>
        </is>
      </c>
      <c r="N4" s="3" t="inlineStr">
        <is>
          <t>Direct formula and one determinant; answer is both signs.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MCQ</t>
        </is>
      </c>
      <c r="E5" s="3" t="inlineStr">
        <is>
          <t>Matrices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2.5</v>
      </c>
      <c r="K5" s="5">
        <f>MIN(5,MAX(G5+I5,J5))</f>
        <v/>
      </c>
      <c r="L5" s="5">
        <f>F5*K5</f>
        <v/>
      </c>
      <c r="M5" s="3" t="inlineStr">
        <is>
          <t>Transpose and adjoint reverse products.</t>
        </is>
      </c>
      <c r="N5" s="3" t="inlineStr">
        <is>
          <t>Four routine statement checks; two concepts (symmetry, adjoint) so the MCQ floor applies.</t>
        </is>
      </c>
      <c r="O5" s="3" t="inlineStr">
        <is>
          <t>2021-P1-Q11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Matrices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(M-N^2)(M+N^2)=0 with M!=N^2 forces M+N^2 singular.</t>
        </is>
      </c>
      <c r="N6" s="3" t="inlineStr">
        <is>
          <t>One non-obvious factorisation argument, then four statements on singularity.</t>
        </is>
      </c>
      <c r="O6" s="3" t="inlineStr">
        <is>
          <t>2021-P1-Q14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Matrices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2.5</v>
      </c>
      <c r="K7" s="5">
        <f>MIN(5,MAX(G7+I7,J7))</f>
        <v/>
      </c>
      <c r="L7" s="5">
        <f>F7*K7</f>
        <v/>
      </c>
      <c r="M7" s="3" t="inlineStr">
        <is>
          <t>|M|=ac-b^2; non-square ac cannot equal b^2.</t>
        </is>
      </c>
      <c r="N7" s="3" t="inlineStr">
        <is>
          <t>Short but each option needs a genuine check; symmetric matrices plus integrality.</t>
        </is>
      </c>
      <c r="O7" s="3" t="inlineStr">
        <is>
          <t>2021-P1-Q11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Matrices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(X^n)^T=(-1)^n X^n and transposition reverses products.</t>
        </is>
      </c>
      <c r="N8" s="3" t="inlineStr">
        <is>
          <t>Four routine parity checks on powers.</t>
        </is>
      </c>
      <c r="O8" s="3" t="inlineStr">
        <is>
          <t>2021-P1-Q11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Matrices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(P^-1)_23=q23/k gives alpha; |P||Q|=k^3 gives k.</t>
        </is>
      </c>
      <c r="N9" s="3" t="inlineStr">
        <is>
          <t>Chain of cofactor, determinant and adjoint-rule steps feeding four options.</t>
        </is>
      </c>
      <c r="O9" s="3" t="inlineStr">
        <is>
          <t>2023-P2-Q5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Matrices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P=I+A with A^3=0; binomial expansion.</t>
        </is>
      </c>
      <c r="N10" s="3" t="inlineStr">
        <is>
          <t>Standard nilpotent-binomial chain with arithmetic.</t>
        </is>
      </c>
      <c r="O10" s="3" t="inlineStr">
        <is>
          <t>2024-P1-Q14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MCQ</t>
        </is>
      </c>
      <c r="E11" s="3" t="inlineStr">
        <is>
          <t>Matrices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det(A^2)&gt;=0 for negatives; explicit square root for diag(1,-1,-1).</t>
        </is>
      </c>
      <c r="N11" s="3" t="inlineStr">
        <is>
          <t>Needs the unfamiliar idea of a 90-degree rotation as a root of -I on a plane.</t>
        </is>
      </c>
      <c r="O11" s="3" t="inlineStr">
        <is>
          <t>2023-P2-Q5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Matrices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tr(M^T M)=sum of squares of entries; count.</t>
        </is>
      </c>
      <c r="N12" s="3" t="inlineStr">
        <is>
          <t>Two routine steps with a two-case count.</t>
        </is>
      </c>
      <c r="O12" s="3" t="inlineStr">
        <is>
          <t>2024-P1-Q14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Matrices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Delta=(1-a^2)^2 then test a=+-1 for consistency.</t>
        </is>
      </c>
      <c r="N13" s="3" t="inlineStr">
        <is>
          <t>Routine chain with a consistency trap (a=1).</t>
        </is>
      </c>
      <c r="O13" s="3" t="inlineStr">
        <is>
          <t>2023-P1-Q14 (L1) - a little more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MCQ</t>
        </is>
      </c>
      <c r="E14" s="3" t="inlineStr">
        <is>
          <t>Matrices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 is the plane b1+7b2=13b3; compare with column spaces.</t>
        </is>
      </c>
      <c r="N14" s="3" t="inlineStr">
        <is>
          <t>Four statements each needing a rank/consistency check.</t>
        </is>
      </c>
      <c r="O14" s="3" t="inlineStr">
        <is>
          <t>2023-P1-Q14 (L1) - harder, four statements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Matrices</t>
        </is>
      </c>
      <c r="F15" s="2" t="n">
        <v>4</v>
      </c>
      <c r="G15" s="8" t="n">
        <v>4</v>
      </c>
      <c r="H15" s="8" t="inlineStr">
        <is>
          <t>Slightly difficult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Linearity in each entry reduces to +-1 matrices; mod-4 structure.</t>
        </is>
      </c>
      <c r="N15" s="3" t="inlineStr">
        <is>
          <t>No options; a non-routine bounding idea (vertex argument, parity) is needed.</t>
        </is>
      </c>
      <c r="O15" s="3" t="inlineStr">
        <is>
          <t>2024-P1-Q10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Matrices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M=aI+bM^-1 is Cayley-Hamilton: a=tr, b=-det; extremise.</t>
        </is>
      </c>
      <c r="N16" s="3" t="inlineStr">
        <is>
          <t>Two ideas linked (Cayley-Hamilton, trigonometric extrema), with algebra.</t>
        </is>
      </c>
      <c r="O16" s="3" t="inlineStr">
        <is>
          <t>2026-P1-Q8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MCQ</t>
        </is>
      </c>
      <c r="E17" s="3" t="inlineStr">
        <is>
          <t>Matrices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Cofactors on the diagonal give a,b; |M|=-2.</t>
        </is>
      </c>
      <c r="N17" s="3" t="inlineStr">
        <is>
          <t>Several statements, each requiring adjoint/inverse identities.</t>
        </is>
      </c>
      <c r="O17" s="3" t="inlineStr">
        <is>
          <t>2021-P1-Q14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MCQ</t>
        </is>
      </c>
      <c r="E18" s="3" t="inlineStr">
        <is>
          <t>Matrices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R=PQP^-1: same determinant; eigenvector P e3.</t>
        </is>
      </c>
      <c r="N18" s="3" t="inlineStr">
        <is>
          <t>Similarity idea plus heavy computation of R.</t>
        </is>
      </c>
      <c r="O18" s="3" t="inlineStr">
        <is>
          <t>2023-P2-Q5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MCQ</t>
        </is>
      </c>
      <c r="E19" s="3" t="inlineStr">
        <is>
          <t>Matrices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Sum of conjugates by permutation matrices; trace and all-ones vector.</t>
        </is>
      </c>
      <c r="N19" s="3" t="inlineStr">
        <is>
          <t>Four statements needing the permutation-sum insight.</t>
        </is>
      </c>
      <c r="O19" s="3" t="inlineStr">
        <is>
          <t>2021-P1-Q11 (L2) - a bit harder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Matrices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Standard binomial sums give n=4; then sum C(n,k)/(k+1).</t>
        </is>
      </c>
      <c r="N20" s="3" t="inlineStr">
        <is>
          <t>Two linked ideas, no options, but all steps are standard.</t>
        </is>
      </c>
      <c r="O20" s="3" t="inlineStr">
        <is>
          <t>2023-P2-Q9 (L2) - a bit harder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MCQ</t>
        </is>
      </c>
      <c r="E21" s="3" t="inlineStr">
        <is>
          <t>Matrices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adj(adj M)=|M|M for 3x3; |M|^5=1.</t>
        </is>
      </c>
      <c r="N21" s="3" t="inlineStr">
        <is>
          <t>Short chain; one counterexample for (A).</t>
        </is>
      </c>
      <c r="O21" s="3" t="inlineStr">
        <is>
          <t>2021-P1-Q14 (L3) - easier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Matrices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tr(A^3)=t^3-3t*det via Cayley-Hamilton.</t>
        </is>
      </c>
      <c r="N22" s="3" t="inlineStr">
        <is>
          <t>One known identity or a short expansion.</t>
        </is>
      </c>
      <c r="O22" s="3" t="inlineStr">
        <is>
          <t>2023-P2-Q9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MCQ</t>
        </is>
      </c>
      <c r="E23" s="3" t="inlineStr">
        <is>
          <t>Matrices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2.5</v>
      </c>
      <c r="K23" s="5">
        <f>MIN(5,MAX(G23+I23,J23))</f>
        <v/>
      </c>
      <c r="L23" s="5">
        <f>F23*K23</f>
        <v/>
      </c>
      <c r="M23" s="3" t="inlineStr">
        <is>
          <t>P swaps rows/columns; |E|=0; trace invariance.</t>
        </is>
      </c>
      <c r="N23" s="3" t="inlineStr">
        <is>
          <t>Official anchor rated 2; several statements, a few concepts (floor applies).</t>
        </is>
      </c>
      <c r="O23" s="3" t="inlineStr">
        <is>
          <t>2021-P1-Q11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MCQ</t>
        </is>
      </c>
      <c r="E24" s="3" t="inlineStr">
        <is>
          <t>Matrices</t>
        </is>
      </c>
      <c r="F24" s="2" t="n">
        <v>4</v>
      </c>
      <c r="G24" s="7" t="n">
        <v>3</v>
      </c>
      <c r="H24" s="7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G(I-EF)=I gives EFG=G-I; collapse F(EFG)E.</t>
        </is>
      </c>
      <c r="N24" s="3" t="inlineStr">
        <is>
          <t>Official anchor rated 3; algebraic identities.</t>
        </is>
      </c>
      <c r="O24" s="3" t="inlineStr">
        <is>
          <t>2021-P1-Q14 (L3)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Matrices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Factor A^5(A+I)(A-bI) and use |A|!=0.</t>
        </is>
      </c>
      <c r="N25" s="3" t="inlineStr">
        <is>
          <t>Factorisation insight plus two determinants; no options.</t>
        </is>
      </c>
      <c r="O25" s="3" t="inlineStr">
        <is>
          <t>2022 numerical-style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Matrices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M=I+B with B^2=0.</t>
        </is>
      </c>
      <c r="N26" s="3" t="inlineStr">
        <is>
          <t>Classic nilpotent shortcut, one idea.</t>
        </is>
      </c>
      <c r="O26" s="3" t="inlineStr">
        <is>
          <t>2024-P1-Q14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MCQ</t>
        </is>
      </c>
      <c r="E27" s="3" t="inlineStr">
        <is>
          <t>Matrices</t>
        </is>
      </c>
      <c r="F27" s="2" t="n">
        <v>4</v>
      </c>
      <c r="G27" s="7" t="n">
        <v>3</v>
      </c>
      <c r="H27" s="7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Write M from divisibility; test eigenvalues 0,-1,2.</t>
        </is>
      </c>
      <c r="N27" s="3" t="inlineStr">
        <is>
          <t>Official anchor rated 3.</t>
        </is>
      </c>
      <c r="O27" s="3" t="inlineStr">
        <is>
          <t>2023-P2-Q5 (L3)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Matrices</t>
        </is>
      </c>
      <c r="F28" s="2" t="n">
        <v>4</v>
      </c>
      <c r="G28" s="9" t="n">
        <v>5</v>
      </c>
      <c r="H28" s="9" t="inlineStr">
        <is>
          <t>Very difficult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|R|=-5(ad-bc); count ad=bc by unique factorisation and zeros.</t>
        </is>
      </c>
      <c r="N28" s="3" t="inlineStr">
        <is>
          <t>Official anchor rated 5: heavy exact casework with no options.</t>
        </is>
      </c>
      <c r="O28" s="3" t="inlineStr">
        <is>
          <t>2023-P2-Q12 (L5)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Matrices</t>
        </is>
      </c>
      <c r="F29" s="2" t="n">
        <v>4</v>
      </c>
      <c r="G29" s="8" t="n">
        <v>4</v>
      </c>
      <c r="H29" s="8" t="inlineStr">
        <is>
          <t>Slightly difficult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|A|=(d-e)+c(b-a); case split.</t>
        </is>
      </c>
      <c r="N29" s="3" t="inlineStr">
        <is>
          <t>Official anchor rated 4: careful casework.</t>
        </is>
      </c>
      <c r="O29" s="3" t="inlineStr">
        <is>
          <t>2024-P1-Q10 (L4)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MTC SCQ</t>
        </is>
      </c>
      <c r="E30" s="3" t="inlineStr">
        <is>
          <t>Matrices</t>
        </is>
      </c>
      <c r="F30" s="2" t="n">
        <v>3</v>
      </c>
      <c r="G30" s="6" t="n">
        <v>2</v>
      </c>
      <c r="H30" s="6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Zero-sum triples are permutations of (1,a,b); counting.</t>
        </is>
      </c>
      <c r="N30" s="3" t="inlineStr">
        <is>
          <t>Official anchor rated 2.</t>
        </is>
      </c>
      <c r="O30" s="3" t="inlineStr">
        <is>
          <t>2024-P1-Q14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Matrices</t>
        </is>
      </c>
      <c r="F31" s="2" t="n">
        <v>4</v>
      </c>
      <c r="G31" s="8" t="n">
        <v>4</v>
      </c>
      <c r="H31" s="8" t="inlineStr">
        <is>
          <t>Slightly difficult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Block form from PQ=QP, then integer orthogonal rows.</t>
        </is>
      </c>
      <c r="N31" s="3" t="inlineStr">
        <is>
          <t>Official anchor rated 4.</t>
        </is>
      </c>
      <c r="O31" s="3" t="inlineStr">
        <is>
          <t>2025-P1-Q4 (L4)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MCQ</t>
        </is>
      </c>
      <c r="E32" s="3" t="inlineStr">
        <is>
          <t>Matrices</t>
        </is>
      </c>
      <c r="F32" s="2" t="n">
        <v>4</v>
      </c>
      <c r="G32" s="8" t="n">
        <v>4</v>
      </c>
      <c r="H32" s="8" t="inlineStr">
        <is>
          <t>Slightly difficult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Columns of R are eigenvectors of Q for 2 and 3.</t>
        </is>
      </c>
      <c r="N32" s="3" t="inlineStr">
        <is>
          <t>Official anchor rated 4.</t>
        </is>
      </c>
      <c r="O32" s="3" t="inlineStr">
        <is>
          <t>2025-P2-Q5 (L4)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Matrices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Reachable from I iff invertible.</t>
        </is>
      </c>
      <c r="N33" s="3" t="inlineStr">
        <is>
          <t>Official anchor rated 1.</t>
        </is>
      </c>
      <c r="O33" s="3" t="inlineStr">
        <is>
          <t>2026-P1-Q3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MCQ</t>
        </is>
      </c>
      <c r="E34" s="3" t="inlineStr">
        <is>
          <t>Matrices</t>
        </is>
      </c>
      <c r="F34" s="2" t="n">
        <v>4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M=I+A with A^2=0; each statement is a short computation.</t>
        </is>
      </c>
      <c r="N34" s="3" t="inlineStr">
        <is>
          <t>Official anchor rated 3.</t>
        </is>
      </c>
      <c r="O34" s="3" t="inlineStr">
        <is>
          <t>2026-P1-Q8 (L3)</t>
        </is>
      </c>
      <c r="P34" s="2" t="inlineStr">
        <is>
          <t>High</t>
        </is>
      </c>
    </row>
    <row r="36">
      <c r="A36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SHEET_MATRICES_FCopy_JA.pdf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COUNTIF(Evaluation!$G$2:$G$34,A5)</f>
        <v/>
      </c>
      <c r="D5" s="12">
        <f>SUMIF(Evaluation!$G$2:$G$34,A5,Evaluation!$F$2:$F$34)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COUNTIF(Evaluation!$G$2:$G$34,A6)</f>
        <v/>
      </c>
      <c r="D6" s="14">
        <f>SUMIF(Evaluation!$G$2:$G$34,A6,Evaluation!$F$2:$F$34)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COUNTIF(Evaluation!$G$2:$G$34,A7)</f>
        <v/>
      </c>
      <c r="D7" s="16">
        <f>SUMIF(Evaluation!$G$2:$G$34,A7,Evaluation!$F$2:$F$34)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COUNTIF(Evaluation!$G$2:$G$34,A8)</f>
        <v/>
      </c>
      <c r="D8" s="18">
        <f>SUMIF(Evaluation!$G$2:$G$34,A8,Evaluation!$F$2:$F$34)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COUNTIF(Evaluation!$G$2:$G$34,A9)</f>
        <v/>
      </c>
      <c r="D9" s="20">
        <f>SUMIF(Evaluation!$G$2:$G$34,A9,Evaluation!$F$2:$F$34)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COUNTIF(Evaluation!$G$2:$G$34,A10)</f>
        <v/>
      </c>
      <c r="D10" s="22">
        <f>SUMIF(Evaluation!$G$2:$G$34,A10,Evaluation!$F$2:$F$34)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SUM(Evaluation!$L$2:$L$34)/SUM(Evaluation!$F$2:$F$34)</f>
        <v/>
      </c>
      <c r="C14" s="25">
        <f>SUMPRODUCT(Evaluation!$F$2:$F$34,Evaluation!$G$2:$G$34)/SUM(Evaluation!$F$2:$F$34)</f>
        <v/>
      </c>
      <c r="D14" s="24">
        <f>SUM(Evaluation!$F$2:$F$34)</f>
        <v/>
      </c>
      <c r="E14" s="25">
        <f>AVERAGE(Evaluation!$G$2:$G$34)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2026-10-14T17:34:26Z</dcterms:created>
  <dcterms:modified xmlns:dcterms="http://purl.org/dc/terms/" xmlns:xsi="http://www.w3.org/2001/XMLSchema-instance" xsi:type="dcterms:W3CDTF">2026-10-14T17:34:26Z</dcterms:modified>
</cp:coreProperties>
</file>