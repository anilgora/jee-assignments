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Matrices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|adj A|=|A|^2, then an infinite G.P. sum.</t>
        </is>
      </c>
      <c r="N2" s="3" t="inlineStr">
        <is>
          <t>Three routine steps (adjoint determinant, G.P. sum, evaluation) with no insight.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Matrices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A^2=A makes x any integer &gt;=2; split (x^3+1)/(x^3-1) and telescope both products.</t>
        </is>
      </c>
      <c r="N3" s="3" t="inlineStr">
        <is>
          <t>Two ideas linked (idempotent, then a double telescoping infinite product) with no options to check.</t>
        </is>
      </c>
      <c r="O3" s="3" t="inlineStr">
        <is>
          <t>2026-P1-Q12 (L4, telescoping product) - easier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Subjective</t>
        </is>
      </c>
      <c r="E4" s="3" t="inlineStr">
        <is>
          <t>Matrices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(I+A)^T=I-A, then cancel in B^T B.</t>
        </is>
      </c>
      <c r="N4" s="3" t="inlineStr">
        <is>
          <t>Standard Cayley-transform proof plus a 2x2 inverse; several routine steps.</t>
        </is>
      </c>
      <c r="O4" s="3" t="inlineStr">
        <is>
          <t>2026-P1-Q3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Subjective</t>
        </is>
      </c>
      <c r="E5" s="3" t="inlineStr">
        <is>
          <t>Matrices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Multiply Ax=B by C to get x=(CA)^-1 D.</t>
        </is>
      </c>
      <c r="N5" s="3" t="inlineStr">
        <is>
          <t>One trick plus a heavy but routine 3x3 inversion; three or more steps.</t>
        </is>
      </c>
      <c r="O5" s="3" t="inlineStr">
        <is>
          <t>2026-P2-Q3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Subjective</t>
        </is>
      </c>
      <c r="E6" s="3" t="inlineStr">
        <is>
          <t>Matrices</t>
        </is>
      </c>
      <c r="F6" s="2" t="n">
        <v>4</v>
      </c>
      <c r="G6" s="7" t="n">
        <v>1</v>
      </c>
      <c r="H6" s="7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Cayley-Hamilton for 2x2 then multiply by A^-1.</t>
        </is>
      </c>
      <c r="N6" s="3" t="inlineStr">
        <is>
          <t>Single familiar theorem applied once.</t>
        </is>
      </c>
      <c r="O6" s="3" t="inlineStr">
        <is>
          <t>2026-P1-Q3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Subjective</t>
        </is>
      </c>
      <c r="E7" s="3" t="inlineStr">
        <is>
          <t>Matrices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Singular matrices: no cancellation, compare entries in each part.</t>
        </is>
      </c>
      <c r="N7" s="3" t="inlineStr">
        <is>
          <t>Three parts, each routine entry comparison; one conceptual point (XA=I impossible).</t>
        </is>
      </c>
      <c r="O7" s="3" t="inlineStr">
        <is>
          <t>2026-P2-Q3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Subjective</t>
        </is>
      </c>
      <c r="E8" s="3" t="inlineStr">
        <is>
          <t>Matrices</t>
        </is>
      </c>
      <c r="F8" s="2" t="n">
        <v>4</v>
      </c>
      <c r="G8" s="7" t="n">
        <v>1</v>
      </c>
      <c r="H8" s="7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AB=4I gives B^-1=A/4 which solves the system.</t>
        </is>
      </c>
      <c r="N8" s="3" t="inlineStr">
        <is>
          <t>One familiar move.</t>
        </is>
      </c>
      <c r="O8" s="3" t="inlineStr">
        <is>
          <t>2026-P1-Q3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Subjective</t>
        </is>
      </c>
      <c r="E9" s="3" t="inlineStr">
        <is>
          <t>Matrices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Null space of a singular matrix; XA need not be 0; invertible A gives X=O.</t>
        </is>
      </c>
      <c r="N9" s="3" t="inlineStr">
        <is>
          <t>Routine entry comparison plus a small conceptual point in the second part.</t>
        </is>
      </c>
      <c r="O9" s="3" t="inlineStr">
        <is>
          <t>2026-P2-Q12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Subjective</t>
        </is>
      </c>
      <c r="E10" s="3" t="inlineStr">
        <is>
          <t>Determinant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Delta=-14(a+3); Delta_1=15b-5; rank check for the infinite case.</t>
        </is>
      </c>
      <c r="N10" s="3" t="inlineStr">
        <is>
          <t>Standard three-case parameter analysis, routine determinants.</t>
        </is>
      </c>
      <c r="O10" s="3" t="inlineStr">
        <is>
          <t>2023-P1-Q14 (L3, MTC version) - easier here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Subjective</t>
        </is>
      </c>
      <c r="E11" s="3" t="inlineStr">
        <is>
          <t>Matrices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Three matrix equations: two inverses and a singular case (|C||X|=|A|).</t>
        </is>
      </c>
      <c r="N11" s="3" t="inlineStr">
        <is>
          <t>Routine 2x2 inverses; the singular case needs a short argument.</t>
        </is>
      </c>
      <c r="O11" s="3" t="inlineStr">
        <is>
          <t>2026-P2-Q12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Subjective</t>
        </is>
      </c>
      <c r="E12" s="3" t="inlineStr">
        <is>
          <t>Matrices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PB^-1 = A^-1, inverse of orthogonal is orthogonal.</t>
        </is>
      </c>
      <c r="N12" s="3" t="inlineStr">
        <is>
          <t>One familiar group property.</t>
        </is>
      </c>
      <c r="O12" s="3" t="inlineStr">
        <is>
          <t>2026-P1-Q3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Subjective</t>
        </is>
      </c>
      <c r="E13" s="3" t="inlineStr">
        <is>
          <t>Determinant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Delta_2 for AX=U equals -|B|; Cramer determinants of BX=V.</t>
        </is>
      </c>
      <c r="N13" s="3" t="inlineStr">
        <is>
          <t>Hidden determinant relation between two systems (B^T is Delta_2 with columns swapped) plus Cramer reasoning; no routine pattern.</t>
        </is>
      </c>
      <c r="O13" s="3" t="inlineStr">
        <is>
          <t>2023-P1-Q14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Matrices</t>
        </is>
      </c>
      <c r="F14" s="2" t="n">
        <v>4</v>
      </c>
      <c r="G14" s="7" t="n">
        <v>1</v>
      </c>
      <c r="H14" s="7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Entries +-1: (ii) automatic, (iii) fixes a22.</t>
        </is>
      </c>
      <c r="N14" s="3" t="inlineStr">
        <is>
          <t>One short counting idea with eight matrices.</t>
        </is>
      </c>
      <c r="O14" s="3" t="inlineStr">
        <is>
          <t>2024-P1-Q10 (L4, harder counting)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Matrices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AB=B, B != 0 gives det(A-I)=0.</t>
        </is>
      </c>
      <c r="N15" s="3" t="inlineStr">
        <is>
          <t>One key idea (eigenvalue 1) then arithmetic.</t>
        </is>
      </c>
      <c r="O15" s="3" t="inlineStr">
        <is>
          <t>2026-P2-Q4 (L1) / 2026-P2-Q12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Subjective</t>
        </is>
      </c>
      <c r="E16" s="3" t="inlineStr">
        <is>
          <t>Matrices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Commuting gives 2c=3b and c=d-a; ratio becomes 1.</t>
        </is>
      </c>
      <c r="N16" s="3" t="inlineStr">
        <is>
          <t>Entry comparison, two relations, short algebra.</t>
        </is>
      </c>
      <c r="O16" s="3" t="inlineStr">
        <is>
          <t>2025-P2-Q5 (L4, harder)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INT</t>
        </is>
      </c>
      <c r="E17" s="3" t="inlineStr">
        <is>
          <t>Determinant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det(adj A)=(det A)^2; B skew of odd order has det 0.</t>
        </is>
      </c>
      <c r="N17" s="3" t="inlineStr">
        <is>
          <t>Two known facts plus a determinant evaluation with row/column operations.</t>
        </is>
      </c>
      <c r="O17" s="3" t="inlineStr">
        <is>
          <t>2026-P2-Q3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Para SCQ</t>
        </is>
      </c>
      <c r="E18" s="3" t="inlineStr">
        <is>
          <t>Determinant</t>
        </is>
      </c>
      <c r="F18" s="2" t="n">
        <v>3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N=2002=2.7.11.13 so all b_i=1.</t>
        </is>
      </c>
      <c r="N18" s="3" t="inlineStr">
        <is>
          <t>One evaluation and one factorisation.</t>
        </is>
      </c>
      <c r="O18" s="3" t="inlineStr">
        <is>
          <t>2026-P1-Q3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Para SCQ</t>
        </is>
      </c>
      <c r="E19" s="3" t="inlineStr">
        <is>
          <t>Circle</t>
        </is>
      </c>
      <c r="F19" s="2" t="n">
        <v>3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Matrix products give concentric circles; internal tangency gives r=R/2.</t>
        </is>
      </c>
      <c r="N19" s="3" t="inlineStr">
        <is>
          <t>Three routine steps; standard circle-touching fact.</t>
        </is>
      </c>
      <c r="O19" s="3" t="inlineStr">
        <is>
          <t>2026-P2-Q17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Para SCQ</t>
        </is>
      </c>
      <c r="E20" s="3" t="inlineStr">
        <is>
          <t>Circle</t>
        </is>
      </c>
      <c r="F20" s="2" t="n">
        <v>3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Pencil of lines gives (1,k) on C1; tangent length from a point.</t>
        </is>
      </c>
      <c r="N20" s="3" t="inlineStr">
        <is>
          <t>Routine chain, identification of the fixed point.</t>
        </is>
      </c>
      <c r="O20" s="3" t="inlineStr">
        <is>
          <t>2026-P2-Q2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Para SCQ</t>
        </is>
      </c>
      <c r="E21" s="3" t="inlineStr">
        <is>
          <t>Matrices</t>
        </is>
      </c>
      <c r="F21" s="2" t="n">
        <v>3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Parity of number of 1s on the diagonal; two cases.</t>
        </is>
      </c>
      <c r="N21" s="3" t="inlineStr">
        <is>
          <t>Simple counting after one observation.</t>
        </is>
      </c>
      <c r="O21" s="3" t="inlineStr">
        <is>
          <t>2024-P1-Q10 (L4, harder)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Para SCQ</t>
        </is>
      </c>
      <c r="E22" s="3" t="inlineStr">
        <is>
          <t>Matrices</t>
        </is>
      </c>
      <c r="F22" s="2" t="n">
        <v>3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Determinant test over two diagonal cases; six matrices survive.</t>
        </is>
      </c>
      <c r="N22" s="3" t="inlineStr">
        <is>
          <t>Careful case work over 12 matrices with a determinant for each; slip-prone.</t>
        </is>
      </c>
      <c r="O22" s="3" t="inlineStr">
        <is>
          <t>2024-P1-Q10 (L4) - easier with options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Para SCQ</t>
        </is>
      </c>
      <c r="E23" s="3" t="inlineStr">
        <is>
          <t>Matrices</t>
        </is>
      </c>
      <c r="F23" s="2" t="n">
        <v>3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Consistency checking over several cases of a 0-1 symmetric matrix.</t>
        </is>
      </c>
      <c r="N23" s="3" t="inlineStr">
        <is>
          <t>Case work needing checks of consistency for each matrix; options allow stopping at three.</t>
        </is>
      </c>
      <c r="O23" s="3" t="inlineStr">
        <is>
          <t>2024-P1-Q10 (L4) - easier with options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Para SCQ</t>
        </is>
      </c>
      <c r="E24" s="3" t="inlineStr">
        <is>
          <t>Matrices</t>
        </is>
      </c>
      <c r="F24" s="2" t="n">
        <v>3</v>
      </c>
      <c r="G24" s="6" t="n">
        <v>3</v>
      </c>
      <c r="H24" s="6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Symmetric =&gt; b=c, det=(a-b)(a+b), count modulo p.</t>
        </is>
      </c>
      <c r="N24" s="3" t="inlineStr">
        <is>
          <t>Two ideas (structure of T_p and counting multiples of p within ranges) with care about boundary cases.</t>
        </is>
      </c>
      <c r="O24" s="3" t="inlineStr">
        <is>
          <t>2023-P2-Q12 (L5, harder)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Para SCQ</t>
        </is>
      </c>
      <c r="E25" s="3" t="inlineStr">
        <is>
          <t>Matrices</t>
        </is>
      </c>
      <c r="F25" s="2" t="n">
        <v>3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Trace nonzero =&gt; a != 0; bc = a^2 gives one c per b.</t>
        </is>
      </c>
      <c r="N25" s="3" t="inlineStr">
        <is>
          <t>Counting congruence solutions modulo a prime; one non-routine idea (modular inverse).</t>
        </is>
      </c>
      <c r="O25" s="3" t="inlineStr">
        <is>
          <t>2023-P2-Q12 (L5, harder)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Para SCQ</t>
        </is>
      </c>
      <c r="E26" s="3" t="inlineStr">
        <is>
          <t>Matrices</t>
        </is>
      </c>
      <c r="F26" s="2" t="n">
        <v>3</v>
      </c>
      <c r="G26" s="6" t="n">
        <v>3</v>
      </c>
      <c r="H26" s="6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Complement of Q23/Q24: p^3 - p^2.</t>
        </is>
      </c>
      <c r="N26" s="3" t="inlineStr">
        <is>
          <t>Needs the two earlier counts and an unusual bookkeeping of the a=0 case.</t>
        </is>
      </c>
      <c r="O26" s="3" t="inlineStr">
        <is>
          <t>2023-P2-Q12 (L5, harder)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Para SCQ</t>
        </is>
      </c>
      <c r="E27" s="3" t="inlineStr">
        <is>
          <t>Matrices</t>
        </is>
      </c>
      <c r="F27" s="2" t="n">
        <v>3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Singular system gives a line of solutions; the plane fixes the parameter.</t>
        </is>
      </c>
      <c r="N27" s="3" t="inlineStr">
        <is>
          <t>Routine solving of a homogeneous system, then substitution in a plane.</t>
        </is>
      </c>
      <c r="O27" s="3" t="inlineStr">
        <is>
          <t>2026-P2-Q3 (L2)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Para SCQ</t>
        </is>
      </c>
      <c r="E28" s="3" t="inlineStr">
        <is>
          <t>Matrices</t>
        </is>
      </c>
      <c r="F28" s="2" t="n">
        <v>3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a=2 fixes b,c; reduce exponents modulo 3 with omega.</t>
        </is>
      </c>
      <c r="N28" s="3" t="inlineStr">
        <is>
          <t>Two routine stages (system, then cube-root manipulation).</t>
        </is>
      </c>
      <c r="O28" s="3" t="inlineStr">
        <is>
          <t>2026-P2-Q2 (L2)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Para SCQ</t>
        </is>
      </c>
      <c r="E29" s="3" t="inlineStr">
        <is>
          <t>Matrices</t>
        </is>
      </c>
      <c r="F29" s="2" t="n">
        <v>3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b=6 fixes a,c; 1/alpha+1/beta=6/7; G.P. sum 7.</t>
        </is>
      </c>
      <c r="N29" s="3" t="inlineStr">
        <is>
          <t>Three routine stages (system, quadratic, G.P.).</t>
        </is>
      </c>
      <c r="O29" s="3" t="inlineStr">
        <is>
          <t>2026-P2-Q3 (L2)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MTC SCQ</t>
        </is>
      </c>
      <c r="E30" s="3" t="inlineStr">
        <is>
          <t>Matrices</t>
        </is>
      </c>
      <c r="F30" s="2" t="n">
        <v>3</v>
      </c>
      <c r="G30" s="6" t="n">
        <v>3</v>
      </c>
      <c r="H30" s="6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Orthogonal conjugation cancels; compute A^K and B^K.</t>
        </is>
      </c>
      <c r="N30" s="3" t="inlineStr">
        <is>
          <t>Two ideas (conjugation cancels, pattern of powers) and four items to match.</t>
        </is>
      </c>
      <c r="O30" s="3" t="inlineStr">
        <is>
          <t>2026-P1-Q15 (L4, orthogonal idea) - easier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MTC SCQ</t>
        </is>
      </c>
      <c r="E31" s="3" t="inlineStr">
        <is>
          <t>Matrices</t>
        </is>
      </c>
      <c r="F31" s="2" t="n">
        <v>3</v>
      </c>
      <c r="G31" s="6" t="n">
        <v>3</v>
      </c>
      <c r="H31" s="6" t="inlineStr">
        <is>
          <t>Average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Distinct entries from 0,1,2,4; adj(adj(adj A))=adj A; det(4A^-1).</t>
        </is>
      </c>
      <c r="N31" s="3" t="inlineStr">
        <is>
          <t>Four items with counting of determinants and adjoint identities; moderate.</t>
        </is>
      </c>
      <c r="O31" s="3" t="inlineStr">
        <is>
          <t>2024-P1-Q14 (L3)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MTC SCQ</t>
        </is>
      </c>
      <c r="E32" s="3" t="inlineStr">
        <is>
          <t>Matrices</t>
        </is>
      </c>
      <c r="F32" s="2" t="n">
        <v>3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Four independent mini-problems (calculus, commutation, logs, trigonometry).</t>
        </is>
      </c>
      <c r="N32" s="3" t="inlineStr">
        <is>
          <t>Four short parts in different chapters; each routine, but all must be right.</t>
        </is>
      </c>
      <c r="O32" s="3" t="inlineStr">
        <is>
          <t>2026-P1-Q15 (L2-3) / 2021-P1-Q15 (L3)</t>
        </is>
      </c>
      <c r="P32" s="2" t="inlineStr">
        <is>
          <t>Medium</t>
        </is>
      </c>
    </row>
    <row r="34">
      <c r="A34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SHEET_MATRICES_FCopy_C2.pdf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COUNTIF(Evaluation!$G$2:$G$32,A5)</f>
        <v/>
      </c>
      <c r="D5" s="10">
        <f>SUMIF(Evaluation!$G$2:$G$32,A5,Evaluation!$F$2:$F$32)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COUNTIF(Evaluation!$G$2:$G$32,A6)</f>
        <v/>
      </c>
      <c r="D6" s="12">
        <f>SUMIF(Evaluation!$G$2:$G$32,A6,Evaluation!$F$2:$F$32)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COUNTIF(Evaluation!$G$2:$G$32,A7)</f>
        <v/>
      </c>
      <c r="D7" s="14">
        <f>SUMIF(Evaluation!$G$2:$G$32,A7,Evaluation!$F$2:$F$32)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COUNTIF(Evaluation!$G$2:$G$32,A8)</f>
        <v/>
      </c>
      <c r="D8" s="16">
        <f>SUMIF(Evaluation!$G$2:$G$32,A8,Evaluation!$F$2:$F$32)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COUNTIF(Evaluation!$G$2:$G$32,A9)</f>
        <v/>
      </c>
      <c r="D9" s="18">
        <f>SUMIF(Evaluation!$G$2:$G$32,A9,Evaluation!$F$2:$F$32)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COUNTIF(Evaluation!$G$2:$G$32,A10)</f>
        <v/>
      </c>
      <c r="D10" s="20">
        <f>SUMIF(Evaluation!$G$2:$G$32,A10,Evaluation!$F$2:$F$32)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SUM(Evaluation!$L$2:$L$32)/SUM(Evaluation!$F$2:$F$32)</f>
        <v/>
      </c>
      <c r="C14" s="23">
        <f>SUMPRODUCT(Evaluation!$F$2:$F$32,Evaluation!$G$2:$G$32)/SUM(Evaluation!$F$2:$F$32)</f>
        <v/>
      </c>
      <c r="D14" s="22">
        <f>SUM(Evaluation!$F$2:$F$32)</f>
        <v/>
      </c>
      <c r="E14" s="23">
        <f>AVERAGE(Evaluation!$G$2:$G$32)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2026-10-14T17:12:13Z</dcterms:created>
  <dcterms:modified xmlns:dcterms="http://purl.org/dc/terms/" xmlns:xsi="http://www.w3.org/2001/XMLSchema-instance" xsi:type="dcterms:W3CDTF">2026-10-14T17:12:13Z</dcterms:modified>
</cp:coreProperties>
</file>