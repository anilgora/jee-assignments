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8F0D8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 (PDF Q41)</t>
        </is>
      </c>
      <c r="D2" s="2" t="inlineStr">
        <is>
          <t>SCQ</t>
        </is>
      </c>
      <c r="E2" s="3" t="inlineStr">
        <is>
          <t>Definite Integration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Substitute $x^{10}=t$ and match to the Beta integral.</t>
        </is>
      </c>
      <c r="N2" s="3" t="inlineStr">
        <is>
          <t>One substitution plus recognition of a Beta integral; routine chain.</t>
        </is>
      </c>
      <c r="O2" s="3" t="inlineStr">
        <is>
          <t>2026-P2-Q4 (L3)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Q2 (PDF Q42)</t>
        </is>
      </c>
      <c r="D3" s="2" t="inlineStr">
        <is>
          <t>SCQ</t>
        </is>
      </c>
      <c r="E3" s="3" t="inlineStr">
        <is>
          <t>Definite Integration</t>
        </is>
      </c>
      <c r="F3" s="2" t="n">
        <v>4</v>
      </c>
      <c r="G3" s="4" t="n">
        <v>2</v>
      </c>
      <c r="H3" s="4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Divide by $\cos^6x$ and put $1+\tan^3x=t$.</t>
        </is>
      </c>
      <c r="N3" s="3" t="inlineStr">
        <is>
          <t>Standard tan-substitution after one algebraic step; no hidden insight.</t>
        </is>
      </c>
      <c r="O3" s="3" t="inlineStr">
        <is>
          <t>2026-P2-Q3 (L2)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 (PDF Q43)</t>
        </is>
      </c>
      <c r="D4" s="2" t="inlineStr">
        <is>
          <t>SCQ</t>
        </is>
      </c>
      <c r="E4" s="3" t="inlineStr">
        <is>
          <t>Definite Integration</t>
        </is>
      </c>
      <c r="F4" s="2" t="n">
        <v>4</v>
      </c>
      <c r="G4" s="6" t="n">
        <v>3</v>
      </c>
      <c r="H4" s="6" t="inlineStr">
        <is>
          <t>Average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By parts on $x\cdot x^{k-1}(1-x^k)^{20}$ to get $I_{21}=\frac{21k}{21k+1}I_{20}$.</t>
        </is>
      </c>
      <c r="N4" s="3" t="inlineStr">
        <is>
          <t>Needs the reduction idea with a parameter $k$ and then matching with the given ratio; two linked ideas.</t>
        </is>
      </c>
      <c r="O4" s="3" t="inlineStr">
        <is>
          <t>2023-P2-Q1 (L3)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 (PDF Q44)</t>
        </is>
      </c>
      <c r="D5" s="2" t="inlineStr">
        <is>
          <t>SCQ</t>
        </is>
      </c>
      <c r="E5" s="3" t="inlineStr">
        <is>
          <t>Definite Integration</t>
        </is>
      </c>
      <c r="F5" s="2" t="n">
        <v>4</v>
      </c>
      <c r="G5" s="4" t="n">
        <v>2</v>
      </c>
      <c r="H5" s="4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$e^x-1=t^2$ reduces to $2\tan^{-1}t$.</t>
        </is>
      </c>
      <c r="N5" s="3" t="inlineStr">
        <is>
          <t>Single standard substitution, then quadratic from roots.</t>
        </is>
      </c>
      <c r="O5" s="3" t="inlineStr">
        <is>
          <t>2026-P2-Q3 (L2)</t>
        </is>
      </c>
      <c r="P5" s="2" t="inlineStr">
        <is>
          <t>High</t>
        </is>
      </c>
    </row>
    <row r="6">
      <c r="A6" s="2" t="n">
        <v>5</v>
      </c>
      <c r="B6" s="2" t="inlineStr"/>
      <c r="C6" s="2" t="inlineStr">
        <is>
          <t>Q5 (PDF Q45)</t>
        </is>
      </c>
      <c r="D6" s="2" t="inlineStr">
        <is>
          <t>SCQ</t>
        </is>
      </c>
      <c r="E6" s="3" t="inlineStr">
        <is>
          <t>Definite Integration</t>
        </is>
      </c>
      <c r="F6" s="2" t="n">
        <v>4</v>
      </c>
      <c r="G6" s="4" t="n">
        <v>2</v>
      </c>
      <c r="H6" s="4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Leibniz rule then L'Hopital with a vanishing factor $\cos x$.</t>
        </is>
      </c>
      <c r="N6" s="3" t="inlineStr">
        <is>
          <t>Chained routine steps (Leibniz, factor, second L'Hopital).</t>
        </is>
      </c>
      <c r="O6" s="3" t="inlineStr">
        <is>
          <t>2025-P1-Q11 (L4)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 (PDF Q46)</t>
        </is>
      </c>
      <c r="D7" s="2" t="inlineStr">
        <is>
          <t>SCQ</t>
        </is>
      </c>
      <c r="E7" s="3" t="inlineStr">
        <is>
          <t>Definite Integration</t>
        </is>
      </c>
      <c r="F7" s="2" t="n">
        <v>4</v>
      </c>
      <c r="G7" s="4" t="n">
        <v>2</v>
      </c>
      <c r="H7" s="4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Reduce $\cos(2\cot^{-1}\cdot)$ to $-x$.</t>
        </is>
      </c>
      <c r="N7" s="3" t="inlineStr">
        <is>
          <t>One identity/substitution then a trivial integral; routine chain.</t>
        </is>
      </c>
      <c r="O7" s="3" t="inlineStr">
        <is>
          <t>2025-P2-Q16 (L4)</t>
        </is>
      </c>
      <c r="P7" s="2" t="inlineStr">
        <is>
          <t>Low</t>
        </is>
      </c>
    </row>
    <row r="8">
      <c r="A8" s="2" t="n">
        <v>7</v>
      </c>
      <c r="B8" s="2" t="inlineStr"/>
      <c r="C8" s="2" t="inlineStr">
        <is>
          <t>Q7 (PDF Q47)</t>
        </is>
      </c>
      <c r="D8" s="2" t="inlineStr">
        <is>
          <t>SCQ</t>
        </is>
      </c>
      <c r="E8" s="3" t="inlineStr">
        <is>
          <t>Definite Integration</t>
        </is>
      </c>
      <c r="F8" s="2" t="n">
        <v>4</v>
      </c>
      <c r="G8" s="4" t="n">
        <v>2</v>
      </c>
      <c r="H8" s="4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By parts with $u=\ln(x+\sqrt{x^2+1})$.</t>
        </is>
      </c>
      <c r="N8" s="3" t="inlineStr">
        <is>
          <t>By parts with a simplifying derivative, then algebraic simplification of logs.</t>
        </is>
      </c>
      <c r="O8" s="3" t="inlineStr">
        <is>
          <t>2026-P2-Q3 (L2)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 (PDF Q48)</t>
        </is>
      </c>
      <c r="D9" s="2" t="inlineStr">
        <is>
          <t>SCQ</t>
        </is>
      </c>
      <c r="E9" s="3" t="inlineStr">
        <is>
          <t>Definite Integration</t>
        </is>
      </c>
      <c r="F9" s="2" t="n">
        <v>4</v>
      </c>
      <c r="G9" s="6" t="n">
        <v>3</v>
      </c>
      <c r="H9" s="6" t="inlineStr">
        <is>
          <t>Average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$a+b=4$ gives $I_1=4I_2-I_1$.</t>
        </is>
      </c>
      <c r="N9" s="3" t="inlineStr">
        <is>
          <t>Coordinate geometry stage plus king property on a non-standard integrand.</t>
        </is>
      </c>
      <c r="O9" s="3" t="inlineStr">
        <is>
          <t>2026-P2-Q4 (L3)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 (PDF Q49)</t>
        </is>
      </c>
      <c r="D10" s="2" t="inlineStr">
        <is>
          <t>SCQ</t>
        </is>
      </c>
      <c r="E10" s="3" t="inlineStr">
        <is>
          <t>Definite Integration</t>
        </is>
      </c>
      <c r="F10" s="2" t="n">
        <v>4</v>
      </c>
      <c r="G10" s="6" t="n">
        <v>3</v>
      </c>
      <c r="H10" s="6" t="inlineStr">
        <is>
          <t>Average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Add the $x\to\pi-x$ copy and use $\tan x$.</t>
        </is>
      </c>
      <c r="N10" s="3" t="inlineStr">
        <is>
          <t>Known but lengthy standard integral; trick then long algebra.</t>
        </is>
      </c>
      <c r="O10" s="3" t="inlineStr">
        <is>
          <t>2021-P2-Q12 (L2)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 (PDF Q50)</t>
        </is>
      </c>
      <c r="D11" s="2" t="inlineStr">
        <is>
          <t>SCQ</t>
        </is>
      </c>
      <c r="E11" s="3" t="inlineStr">
        <is>
          <t>Definite Integration</t>
        </is>
      </c>
      <c r="F11" s="2" t="n">
        <v>4</v>
      </c>
      <c r="G11" s="6" t="n">
        <v>3</v>
      </c>
      <c r="H11" s="6" t="inlineStr">
        <is>
          <t>Average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Pair $f(x),f(-x)$ in both terms, then by parts.</t>
        </is>
      </c>
      <c r="N11" s="3" t="inlineStr">
        <is>
          <t>Two uses of the $1/(1+k^x)$ trick plus by-parts evaluation.</t>
        </is>
      </c>
      <c r="O11" s="3" t="inlineStr">
        <is>
          <t>2026-P2-Q4 (L3)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 (PDF Q51)</t>
        </is>
      </c>
      <c r="D12" s="2" t="inlineStr">
        <is>
          <t>SCQ</t>
        </is>
      </c>
      <c r="E12" s="3" t="inlineStr">
        <is>
          <t>Definite Integration</t>
        </is>
      </c>
      <c r="F12" s="2" t="n">
        <v>4</v>
      </c>
      <c r="G12" s="4" t="n">
        <v>2</v>
      </c>
      <c r="H12" s="4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Leibniz rule and one L'Hopital with $\sin t/t$.</t>
        </is>
      </c>
      <c r="N12" s="3" t="inlineStr">
        <is>
          <t>Short chain of routine steps.</t>
        </is>
      </c>
      <c r="O12" s="3" t="inlineStr">
        <is>
          <t>2025-P1-Q11 (L4)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 (PDF Q52)</t>
        </is>
      </c>
      <c r="D13" s="2" t="inlineStr">
        <is>
          <t>SCQ</t>
        </is>
      </c>
      <c r="E13" s="3" t="inlineStr">
        <is>
          <t>Definite Integration</t>
        </is>
      </c>
      <c r="F13" s="2" t="n">
        <v>4</v>
      </c>
      <c r="G13" s="6" t="n">
        <v>3</v>
      </c>
      <c r="H13" s="6" t="inlineStr">
        <is>
          <t>Average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Riemann sum to $\int_0^1$, then partial fractions into two arctans.</t>
        </is>
      </c>
      <c r="N13" s="3" t="inlineStr">
        <is>
          <t>Three stages (sum to integral, partial fractions, rationalise) with exact arithmetic.</t>
        </is>
      </c>
      <c r="O13" s="3" t="inlineStr">
        <is>
          <t>2024-P2-Q16 (L3)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 (PDF Q53)</t>
        </is>
      </c>
      <c r="D14" s="2" t="inlineStr">
        <is>
          <t>SCQ</t>
        </is>
      </c>
      <c r="E14" s="3" t="inlineStr">
        <is>
          <t>Definite Integration</t>
        </is>
      </c>
      <c r="F14" s="2" t="n">
        <v>4</v>
      </c>
      <c r="G14" s="4" t="n">
        <v>2</v>
      </c>
      <c r="H14" s="4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L'Hopital with Leibniz, twice, or asymptotics.</t>
        </is>
      </c>
      <c r="N14" s="3" t="inlineStr">
        <is>
          <t>Routine limit; no insight needed.</t>
        </is>
      </c>
      <c r="O14" s="3" t="inlineStr">
        <is>
          <t>2025-P1-Q11 (L4)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 (PDF Q54)</t>
        </is>
      </c>
      <c r="D15" s="2" t="inlineStr">
        <is>
          <t>SCQ</t>
        </is>
      </c>
      <c r="E15" s="3" t="inlineStr">
        <is>
          <t>Definite Integration</t>
        </is>
      </c>
      <c r="F15" s="2" t="n">
        <v>4</v>
      </c>
      <c r="G15" s="4" t="n">
        <v>2</v>
      </c>
      <c r="H15" s="4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Three linear conditions on $a,b,c$ with exponentials.</t>
        </is>
      </c>
      <c r="N15" s="3" t="inlineStr">
        <is>
          <t>Routine evaluation and elimination.</t>
        </is>
      </c>
      <c r="O15" s="3" t="inlineStr">
        <is>
          <t>2023-P2-Q1 (L3)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 (PDF Q55)</t>
        </is>
      </c>
      <c r="D16" s="2" t="inlineStr">
        <is>
          <t>SCQ</t>
        </is>
      </c>
      <c r="E16" s="3" t="inlineStr">
        <is>
          <t>Definite Integration</t>
        </is>
      </c>
      <c r="F16" s="2" t="n">
        <v>4</v>
      </c>
      <c r="G16" s="4" t="n">
        <v>2</v>
      </c>
      <c r="H16" s="4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Continuity and equal derivatives at $x=1$, then integrate.</t>
        </is>
      </c>
      <c r="N16" s="3" t="inlineStr">
        <is>
          <t>Routine chain of standard steps.</t>
        </is>
      </c>
      <c r="O16" s="3" t="inlineStr">
        <is>
          <t>2024-P2-Q13 (L4)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 (PDF Q56)</t>
        </is>
      </c>
      <c r="D17" s="2" t="inlineStr">
        <is>
          <t>SCQ</t>
        </is>
      </c>
      <c r="E17" s="3" t="inlineStr">
        <is>
          <t>Definite Integration</t>
        </is>
      </c>
      <c r="F17" s="2" t="n">
        <v>4</v>
      </c>
      <c r="G17" s="6" t="n">
        <v>3</v>
      </c>
      <c r="H17" s="6" t="inlineStr">
        <is>
          <t>Average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$z=f'(t)$ turns the integral into one using only end slopes.</t>
        </is>
      </c>
      <c r="N17" s="3" t="inlineStr">
        <is>
          <t>Hidden exact derivative plus tangent angles to slopes; two ideas linked.</t>
        </is>
      </c>
      <c r="O17" s="3" t="inlineStr">
        <is>
          <t>2024-P2-Q16 (L3)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 (PDF Q57)</t>
        </is>
      </c>
      <c r="D18" s="2" t="inlineStr">
        <is>
          <t>SCQ</t>
        </is>
      </c>
      <c r="E18" s="3" t="inlineStr">
        <is>
          <t>Definite Integration</t>
        </is>
      </c>
      <c r="F18" s="2" t="n">
        <v>4</v>
      </c>
      <c r="G18" s="6" t="n">
        <v>3</v>
      </c>
      <c r="H18" s="6" t="inlineStr">
        <is>
          <t>Average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Each composition adds $x^4$: $g=x/(1+4x^4)^{1/4}$.</t>
        </is>
      </c>
      <c r="N18" s="3" t="inlineStr">
        <is>
          <t>Spotting the composition pattern, then a substitution; two ideas.</t>
        </is>
      </c>
      <c r="O18" s="3" t="inlineStr">
        <is>
          <t>2025-P2-Q16 (L4)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 (PDF Q58)</t>
        </is>
      </c>
      <c r="D19" s="2" t="inlineStr">
        <is>
          <t>SCQ</t>
        </is>
      </c>
      <c r="E19" s="3" t="inlineStr">
        <is>
          <t>Definite Integration</t>
        </is>
      </c>
      <c r="F19" s="2" t="n">
        <v>4</v>
      </c>
      <c r="G19" s="6" t="n">
        <v>3</v>
      </c>
      <c r="H19" s="6" t="inlineStr">
        <is>
          <t>Average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Common root of quadratics with a non-real root; limit by Leibniz.</t>
        </is>
      </c>
      <c r="N19" s="3" t="inlineStr">
        <is>
          <t>Several small pieces from different chapters, with the conjugate-root insight.</t>
        </is>
      </c>
      <c r="O19" s="3" t="inlineStr">
        <is>
          <t>2024-P2-Q3 (L3)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Q19 (PDF Q59)</t>
        </is>
      </c>
      <c r="D20" s="2" t="inlineStr">
        <is>
          <t>SCQ</t>
        </is>
      </c>
      <c r="E20" s="3" t="inlineStr">
        <is>
          <t>Definite Integration</t>
        </is>
      </c>
      <c r="F20" s="2" t="n">
        <v>4</v>
      </c>
      <c r="G20" s="6" t="n">
        <v>3</v>
      </c>
      <c r="H20" s="6" t="inlineStr">
        <is>
          <t>Average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$f'+g'=2xe^{-x^2}$ so $f+g$ integrates in closed form.</t>
        </is>
      </c>
      <c r="N20" s="3" t="inlineStr">
        <is>
          <t>Leibniz with $|t|$, noticing the cancellation, then a final integral.</t>
        </is>
      </c>
      <c r="O20" s="3" t="inlineStr">
        <is>
          <t>2023-P2-Q1 (L3)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 (PDF Q60)</t>
        </is>
      </c>
      <c r="D21" s="2" t="inlineStr">
        <is>
          <t>SCQ</t>
        </is>
      </c>
      <c r="E21" s="3" t="inlineStr">
        <is>
          <t>Definite Integration</t>
        </is>
      </c>
      <c r="F21" s="2" t="n">
        <v>4</v>
      </c>
      <c r="G21" s="6" t="n">
        <v>3</v>
      </c>
      <c r="H21" s="6" t="inlineStr">
        <is>
          <t>Average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Shift by $x=\frac12$ so the integrand is odd.</t>
        </is>
      </c>
      <c r="N21" s="3" t="inlineStr">
        <is>
          <t>Needs the hidden odd symmetry of the cubic; low computation, medium idea availability.</t>
        </is>
      </c>
      <c r="O21" s="3" t="inlineStr">
        <is>
          <t>2026-P2-Q4 (L3)</t>
        </is>
      </c>
      <c r="P21" s="2" t="inlineStr">
        <is>
          <t>Medium</t>
        </is>
      </c>
    </row>
    <row r="23">
      <c r="A23" s="7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8" t="inlineStr">
        <is>
          <t>Difficulty summary</t>
        </is>
      </c>
    </row>
    <row r="2">
      <c r="A2" s="7" t="inlineStr">
        <is>
          <t>Source: JEE_Main_Question_Bank_01_Integral_Calculus_03.pdf   |   Evaluated on: 2026-10-06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9" t="n">
        <v>0</v>
      </c>
      <c r="B5" s="9" t="inlineStr">
        <is>
          <t>Easier than JEE Main</t>
        </is>
      </c>
      <c r="C5" s="9">
        <f>COUNTIF(Evaluation!$G$2:$G$21,A5)</f>
        <v/>
      </c>
      <c r="D5" s="9">
        <f>SUMIF(Evaluation!$G$2:$G$21,A5,Evaluation!$F$2:$F$21)</f>
        <v/>
      </c>
      <c r="E5" s="10">
        <f>IF(SUM($D$5:$D$10)=0,0,D5/SUM($D$5:$D$10))</f>
        <v/>
      </c>
    </row>
    <row r="6">
      <c r="A6" s="11" t="n">
        <v>1</v>
      </c>
      <c r="B6" s="11" t="inlineStr">
        <is>
          <t>JEE Main level</t>
        </is>
      </c>
      <c r="C6" s="11">
        <f>COUNTIF(Evaluation!$G$2:$G$21,A6)</f>
        <v/>
      </c>
      <c r="D6" s="11">
        <f>SUMIF(Evaluation!$G$2:$G$21,A6,Evaluation!$F$2:$F$21)</f>
        <v/>
      </c>
      <c r="E6" s="12">
        <f>IF(SUM($D$5:$D$10)=0,0,D6/SUM($D$5:$D$10))</f>
        <v/>
      </c>
    </row>
    <row r="7">
      <c r="A7" s="13" t="n">
        <v>2</v>
      </c>
      <c r="B7" s="13" t="inlineStr">
        <is>
          <t>Easier than Advanced</t>
        </is>
      </c>
      <c r="C7" s="13">
        <f>COUNTIF(Evaluation!$G$2:$G$21,A7)</f>
        <v/>
      </c>
      <c r="D7" s="13">
        <f>SUMIF(Evaluation!$G$2:$G$21,A7,Evaluation!$F$2:$F$21)</f>
        <v/>
      </c>
      <c r="E7" s="14">
        <f>IF(SUM($D$5:$D$10)=0,0,D7/SUM($D$5:$D$10))</f>
        <v/>
      </c>
    </row>
    <row r="8">
      <c r="A8" s="15" t="n">
        <v>3</v>
      </c>
      <c r="B8" s="15" t="inlineStr">
        <is>
          <t>Average Advanced</t>
        </is>
      </c>
      <c r="C8" s="15">
        <f>COUNTIF(Evaluation!$G$2:$G$21,A8)</f>
        <v/>
      </c>
      <c r="D8" s="15">
        <f>SUMIF(Evaluation!$G$2:$G$21,A8,Evaluation!$F$2:$F$21)</f>
        <v/>
      </c>
      <c r="E8" s="16">
        <f>IF(SUM($D$5:$D$10)=0,0,D8/SUM($D$5:$D$10))</f>
        <v/>
      </c>
    </row>
    <row r="9">
      <c r="A9" s="17" t="n">
        <v>4</v>
      </c>
      <c r="B9" s="17" t="inlineStr">
        <is>
          <t>Slightly difficult</t>
        </is>
      </c>
      <c r="C9" s="17">
        <f>COUNTIF(Evaluation!$G$2:$G$21,A9)</f>
        <v/>
      </c>
      <c r="D9" s="17">
        <f>SUMIF(Evaluation!$G$2:$G$21,A9,Evaluation!$F$2:$F$21)</f>
        <v/>
      </c>
      <c r="E9" s="18">
        <f>IF(SUM($D$5:$D$10)=0,0,D9/SUM($D$5:$D$10))</f>
        <v/>
      </c>
    </row>
    <row r="10">
      <c r="A10" s="19" t="n">
        <v>5</v>
      </c>
      <c r="B10" s="19" t="inlineStr">
        <is>
          <t>Very difficult</t>
        </is>
      </c>
      <c r="C10" s="19">
        <f>COUNTIF(Evaluation!$G$2:$G$21,A10)</f>
        <v/>
      </c>
      <c r="D10" s="19">
        <f>SUMIF(Evaluation!$G$2:$G$21,A10,Evaluation!$F$2:$F$21)</f>
        <v/>
      </c>
      <c r="E10" s="20">
        <f>IF(SUM($D$5:$D$10)=0,0,D10/SUM($D$5:$D$10))</f>
        <v/>
      </c>
    </row>
    <row r="11">
      <c r="A11" s="21" t="inlineStr">
        <is>
          <t>Total</t>
        </is>
      </c>
      <c r="C11" s="21">
        <f>SUM(C5:C10)</f>
        <v/>
      </c>
      <c r="D11" s="21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1" t="inlineStr">
        <is>
          <t>Overall</t>
        </is>
      </c>
      <c r="B14" s="22">
        <f>SUM(Evaluation!$L$2:$L$21)/SUM(Evaluation!$F$2:$F$21)</f>
        <v/>
      </c>
      <c r="C14" s="22">
        <f>SUMPRODUCT(Evaluation!$F$2:$F$21,Evaluation!$G$2:$G$21)/SUM(Evaluation!$F$2:$F$21)</f>
        <v/>
      </c>
      <c r="D14" s="21">
        <f>SUM(Evaluation!$F$2:$F$21)</f>
        <v/>
      </c>
      <c r="E14" s="22">
        <f>AVERAGE(Evaluation!$G$2:$G$21)</f>
        <v/>
      </c>
    </row>
    <row r="16">
      <c r="A16" s="7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8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3" t="n">
        <v>2021</v>
      </c>
      <c r="B4" s="24" t="n">
        <v>2.758333333333333</v>
      </c>
      <c r="C4" s="24" t="n">
        <v>2.894736842105263</v>
      </c>
      <c r="D4" s="23" t="n">
        <v>16</v>
      </c>
      <c r="E4" s="23" t="n">
        <v>34</v>
      </c>
      <c r="F4" s="23" t="n">
        <v>1</v>
      </c>
    </row>
    <row r="5">
      <c r="A5" s="23" t="n">
        <v>2023</v>
      </c>
      <c r="B5" s="24" t="n">
        <v>3.191666666666667</v>
      </c>
      <c r="C5" s="24" t="n">
        <v>3.147058823529412</v>
      </c>
      <c r="D5" s="23" t="n">
        <v>13</v>
      </c>
      <c r="E5" s="23" t="n">
        <v>47</v>
      </c>
      <c r="F5" s="23" t="n">
        <v>5</v>
      </c>
    </row>
    <row r="6">
      <c r="A6" s="23" t="n">
        <v>2024</v>
      </c>
      <c r="B6" s="24" t="n">
        <v>2.591666666666667</v>
      </c>
      <c r="C6" s="24" t="n">
        <v>2.558823529411764</v>
      </c>
      <c r="D6" s="23" t="n">
        <v>28</v>
      </c>
      <c r="E6" s="23" t="n">
        <v>40</v>
      </c>
      <c r="F6" s="23" t="n">
        <v>1</v>
      </c>
    </row>
    <row r="7">
      <c r="A7" s="23" t="n">
        <v>2025</v>
      </c>
      <c r="B7" s="24" t="n">
        <v>3.208333333333333</v>
      </c>
      <c r="C7" s="24" t="n">
        <v>3.1875</v>
      </c>
      <c r="D7" s="23" t="n">
        <v>8</v>
      </c>
      <c r="E7" s="23" t="n">
        <v>65</v>
      </c>
      <c r="F7" s="23" t="n">
        <v>1</v>
      </c>
    </row>
    <row r="8">
      <c r="A8" s="23" t="n">
        <v>2026</v>
      </c>
      <c r="B8" s="24" t="n">
        <v>3.025</v>
      </c>
      <c r="C8" s="24" t="n">
        <v>2.941176470588236</v>
      </c>
      <c r="D8" s="23" t="n">
        <v>6</v>
      </c>
      <c r="E8" s="23" t="n">
        <v>38</v>
      </c>
      <c r="F8" s="23" t="n">
        <v>2</v>
      </c>
    </row>
    <row r="9">
      <c r="A9" s="21" t="inlineStr">
        <is>
          <t>This paper</t>
        </is>
      </c>
      <c r="B9" s="22">
        <f>Summary!B14</f>
        <v/>
      </c>
      <c r="C9" s="22">
        <f>Summary!E14</f>
        <v/>
      </c>
      <c r="D9" s="21">
        <f>Summary!D5+Summary!D6</f>
        <v/>
      </c>
      <c r="E9" s="21">
        <f>Summary!D9+Summary!D10</f>
        <v/>
      </c>
      <c r="F9" s="21">
        <f>Summary!C10</f>
        <v/>
      </c>
    </row>
    <row r="11">
      <c r="A11" s="7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2026-10-06T04:28:05Z</dcterms:created>
  <dcterms:modified xmlns:dcterms="http://purl.org/dc/terms/" xmlns:xsi="http://www.w3.org/2001/XMLSchema-instance" xsi:type="dcterms:W3CDTF">2026-10-06T04:28:05Z</dcterms:modified>
</cp:coreProperties>
</file>