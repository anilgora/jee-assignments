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101)</t>
        </is>
      </c>
      <c r="D2" s="2" t="inlineStr">
        <is>
          <t>SCQ</t>
        </is>
      </c>
      <c r="E2" s="3" t="inlineStr">
        <is>
          <t>Differential Equation</t>
        </is>
      </c>
      <c r="F2" s="2" t="n">
        <v>3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Integrating factor $\sqrt{1+x^2}$ makes the right side $5x^2$.</t>
        </is>
      </c>
      <c r="N2" s="3" t="inlineStr">
        <is>
          <t>Routine linear DE with a radical integrating factor; a few standard steps, no insight.</t>
        </is>
      </c>
      <c r="O2" s="3" t="inlineStr">
        <is>
          <t>2023-P2-Q9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 (printed 102)</t>
        </is>
      </c>
      <c r="D3" s="2" t="inlineStr">
        <is>
          <t>SCQ</t>
        </is>
      </c>
      <c r="E3" s="3" t="inlineStr">
        <is>
          <t>Differential Equation</t>
        </is>
      </c>
      <c r="F3" s="2" t="n">
        <v>3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Differentiate the integral equation to get $xf'=-f$.</t>
        </is>
      </c>
      <c r="N3" s="3" t="inlineStr">
        <is>
          <t>One familiar move (Leibniz) then a trivial separable DE; short with options.</t>
        </is>
      </c>
      <c r="O3" s="3" t="inlineStr">
        <is>
          <t>2026-P2-Q4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 (printed 103)</t>
        </is>
      </c>
      <c r="D4" s="2" t="inlineStr">
        <is>
          <t>SCQ</t>
        </is>
      </c>
      <c r="E4" s="3" t="inlineStr">
        <is>
          <t>Differential Equation</t>
        </is>
      </c>
      <c r="F4" s="2" t="n">
        <v>3</v>
      </c>
      <c r="G4" s="7" t="n">
        <v>3</v>
      </c>
      <c r="H4" s="7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$t=\ln\cos x$ gives integrating factor $t^3$ and an exact right side.</t>
        </is>
      </c>
      <c r="N4" s="3" t="inlineStr">
        <is>
          <t>Non-obvious integrating factor ($\ln\cos x$ cubed) with a precise log evaluation at the end; options help.</t>
        </is>
      </c>
      <c r="O4" s="3" t="inlineStr">
        <is>
          <t>2026-P2-Q3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104)</t>
        </is>
      </c>
      <c r="D5" s="2" t="inlineStr">
        <is>
          <t>SCQ</t>
        </is>
      </c>
      <c r="E5" s="3" t="inlineStr">
        <is>
          <t>Differential Equation</t>
        </is>
      </c>
      <c r="F5" s="2" t="n">
        <v>3</v>
      </c>
      <c r="G5" s="8" t="n">
        <v>4</v>
      </c>
      <c r="H5" s="8" t="inlineStr">
        <is>
          <t>Slightly difficult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Integrate $\frac{2\cos x+1}{(\cos x+2)^2}$ (half-angle substitution or exact quotient derivative) after IF $\sec x$.</t>
        </is>
      </c>
      <c r="N5" s="3" t="inlineStr">
        <is>
          <t>Long chain: IF, trig rewrite, tan(x/2) with a hidden $t+3/t$ substitution, then surds; one slip fails.</t>
        </is>
      </c>
      <c r="O5" s="3" t="inlineStr">
        <is>
          <t>2025-P2-Q9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105)</t>
        </is>
      </c>
      <c r="D6" s="2" t="inlineStr">
        <is>
          <t>SCQ</t>
        </is>
      </c>
      <c r="E6" s="3" t="inlineStr">
        <is>
          <t>Differential Equation</t>
        </is>
      </c>
      <c r="F6" s="2" t="n">
        <v>3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Factor the quartic and split into two arctangents.</t>
        </is>
      </c>
      <c r="N6" s="3" t="inlineStr">
        <is>
          <t>Routine factorisation plus partial fractions into standard arctans.</t>
        </is>
      </c>
      <c r="O6" s="3" t="inlineStr">
        <is>
          <t>2026-P2-Q3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106)</t>
        </is>
      </c>
      <c r="D7" s="2" t="inlineStr">
        <is>
          <t>SCQ</t>
        </is>
      </c>
      <c r="E7" s="3" t="inlineStr">
        <is>
          <t>Differential Equation</t>
        </is>
      </c>
      <c r="F7" s="2" t="n">
        <v>3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Factor $2xy(x^2+4)$ to see the linear form with factor $x^2+4$.</t>
        </is>
      </c>
      <c r="N7" s="3" t="inlineStr">
        <is>
          <t>Standard linear DE with a quick integral; routine chain.</t>
        </is>
      </c>
      <c r="O7" s="3" t="inlineStr">
        <is>
          <t>2023-P2-Q9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 (printed 107)</t>
        </is>
      </c>
      <c r="D8" s="2" t="inlineStr">
        <is>
          <t>SCQ</t>
        </is>
      </c>
      <c r="E8" s="3" t="inlineStr">
        <is>
          <t>Differential Equation</t>
        </is>
      </c>
      <c r="F8" s="2" t="n">
        <v>3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Differentiate the circle family once and eliminate $g$.</t>
        </is>
      </c>
      <c r="N8" s="3" t="inlineStr">
        <is>
          <t>Standard formation of a DE; algebra elimination, no idea needed.</t>
        </is>
      </c>
      <c r="O8" s="3" t="inlineStr">
        <is>
          <t>2024-P1-Q1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108)</t>
        </is>
      </c>
      <c r="D9" s="2" t="inlineStr">
        <is>
          <t>SCQ</t>
        </is>
      </c>
      <c r="E9" s="3" t="inlineStr">
        <is>
          <t>Differential Equation</t>
        </is>
      </c>
      <c r="F9" s="2" t="n">
        <v>3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Recognise $2x\ln x\,y'+2y=2x(y\ln x)'$ and integrate $\ln x/x^2$ by parts.</t>
        </is>
      </c>
      <c r="N9" s="3" t="inlineStr">
        <is>
          <t>Linear DE with a log coefficient, by-parts integral and a singular point at $x=1$ to be careful with.</t>
        </is>
      </c>
      <c r="O9" s="3" t="inlineStr">
        <is>
          <t>2024-P1-Q1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(printed 109)</t>
        </is>
      </c>
      <c r="D10" s="2" t="inlineStr">
        <is>
          <t>SCQ</t>
        </is>
      </c>
      <c r="E10" s="3" t="inlineStr">
        <is>
          <t>Differential Equation</t>
        </is>
      </c>
      <c r="F10" s="2" t="n">
        <v>3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Substitute $t=\tan^{-1}x$ to get $y_t+y=e^t$.</t>
        </is>
      </c>
      <c r="N10" s="3" t="inlineStr">
        <is>
          <t>Standard substitution then a linear DE; short and routine.</t>
        </is>
      </c>
      <c r="O10" s="3" t="inlineStr">
        <is>
          <t>2023-P2-Q9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 (printed 110)</t>
        </is>
      </c>
      <c r="D11" s="2" t="inlineStr">
        <is>
          <t>SCQ</t>
        </is>
      </c>
      <c r="E11" s="3" t="inlineStr">
        <is>
          <t>Differential Equation</t>
        </is>
      </c>
      <c r="F11" s="2" t="n">
        <v>3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Group into $d(xy)$, $d(y^2)$, $d(x^2)$, then circle conditions $\beta=0$, equal coefficients.</t>
        </is>
      </c>
      <c r="N11" s="3" t="inlineStr">
        <is>
          <t>Two ideas linked (exact grouping and circle conditions); the denominator is disguised.</t>
        </is>
      </c>
      <c r="O11" s="3" t="inlineStr">
        <is>
          <t>2024-P1-Q1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(printed 111)</t>
        </is>
      </c>
      <c r="D12" s="2" t="inlineStr">
        <is>
          <t>SCQ</t>
        </is>
      </c>
      <c r="E12" s="3" t="inlineStr">
        <is>
          <t>Differential Equation</t>
        </is>
      </c>
      <c r="F12" s="2" t="n">
        <v>3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$t=e^{\tan x}$ turns the right side into $\frac{dt}{1+t^2}$.</t>
        </is>
      </c>
      <c r="N12" s="3" t="inlineStr">
        <is>
          <t>Separable with one substitution and an arctan identity at the end; routine.</t>
        </is>
      </c>
      <c r="O12" s="3" t="inlineStr">
        <is>
          <t>2026-P2-Q3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(printed 112)</t>
        </is>
      </c>
      <c r="D13" s="2" t="inlineStr">
        <is>
          <t>SCQ</t>
        </is>
      </c>
      <c r="E13" s="3" t="inlineStr">
        <is>
          <t>Differential Equation</t>
        </is>
      </c>
      <c r="F13" s="2" t="n">
        <v>3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Differentiate the area to get $f$; eliminate both constants by $y''/y'=f''/f'$.</t>
        </is>
      </c>
      <c r="N13" s="3" t="inlineStr">
        <is>
          <t>Two linked ideas (area to function, formation of a second-order DE) with sign care in the options.</t>
        </is>
      </c>
      <c r="O13" s="3" t="inlineStr">
        <is>
          <t>2024-P1-Q1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113)</t>
        </is>
      </c>
      <c r="D14" s="2" t="inlineStr">
        <is>
          <t>SCQ</t>
        </is>
      </c>
      <c r="E14" s="3" t="inlineStr">
        <is>
          <t>Differential Equation</t>
        </is>
      </c>
      <c r="F14" s="2" t="n">
        <v>3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Multiply by $\sec y$ to get a linear equation in $\tan y$, then $\int x^3e^{x^2}dx$.</t>
        </is>
      </c>
      <c r="N14" s="3" t="inlineStr">
        <is>
          <t>One recognised reduction then a linear DE and a by-parts integral; routine.</t>
        </is>
      </c>
      <c r="O14" s="3" t="inlineStr">
        <is>
          <t>2023-P2-Q9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(printed 114)</t>
        </is>
      </c>
      <c r="D15" s="2" t="inlineStr">
        <is>
          <t>SCQ</t>
        </is>
      </c>
      <c r="E15" s="3" t="inlineStr">
        <is>
          <t>Differential Equation</t>
        </is>
      </c>
      <c r="F15" s="2" t="n">
        <v>3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Integrate term by term and read off the vertex of the parabola.</t>
        </is>
      </c>
      <c r="N15" s="3" t="inlineStr">
        <is>
          <t>Direct integration plus completing the square; routine.</t>
        </is>
      </c>
      <c r="O15" s="3" t="inlineStr">
        <is>
          <t>2023-P2-Q9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 (printed 115)</t>
        </is>
      </c>
      <c r="D16" s="2" t="inlineStr">
        <is>
          <t>SCQ</t>
        </is>
      </c>
      <c r="E16" s="3" t="inlineStr">
        <is>
          <t>Differential Equation</t>
        </is>
      </c>
      <c r="F16" s="2" t="n">
        <v>3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Homogeneous equation: $y=vx$, separate, then simplify the logs.</t>
        </is>
      </c>
      <c r="N16" s="3" t="inlineStr">
        <is>
          <t>Standard homogeneous method; moderately long algebra with options to match.</t>
        </is>
      </c>
      <c r="O16" s="3" t="inlineStr">
        <is>
          <t>2025-P2-Q9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 (printed 116)</t>
        </is>
      </c>
      <c r="D17" s="2" t="inlineStr">
        <is>
          <t>SCQ</t>
        </is>
      </c>
      <c r="E17" s="3" t="inlineStr">
        <is>
          <t>Differential Equation</t>
        </is>
      </c>
      <c r="F17" s="2" t="n">
        <v>3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Differentiate to $y'^2+y^2=1$, pick the branch $y=\sin x$ with $y\ge0$.</t>
        </is>
      </c>
      <c r="N17" s="3" t="inlineStr">
        <is>
          <t>Two ideas (Leibniz, then branch selection with $y\ge0$) and the singular constant solution is a trap.</t>
        </is>
      </c>
      <c r="O17" s="3" t="inlineStr">
        <is>
          <t>2024-P1-Q1 (L3)</t>
        </is>
      </c>
      <c r="P17" s="2" t="inlineStr">
        <is>
          <t>Low</t>
        </is>
      </c>
    </row>
    <row r="18">
      <c r="A18" s="2" t="n">
        <v>17</v>
      </c>
      <c r="B18" s="2" t="inlineStr"/>
      <c r="C18" s="2" t="inlineStr">
        <is>
          <t>Q17 (printed 117)</t>
        </is>
      </c>
      <c r="D18" s="2" t="inlineStr">
        <is>
          <t>SCQ</t>
        </is>
      </c>
      <c r="E18" s="3" t="inlineStr">
        <is>
          <t>Differential Equation</t>
        </is>
      </c>
      <c r="F18" s="2" t="n">
        <v>3</v>
      </c>
      <c r="G18" s="6" t="n">
        <v>1</v>
      </c>
      <c r="H18" s="6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Both solutions are exponentials; $e^{a-b}=\frac43$ gives $t$.</t>
        </is>
      </c>
      <c r="N18" s="3" t="inlineStr">
        <is>
          <t>One familiar move (exponential solutions) then log algebra.</t>
        </is>
      </c>
      <c r="O18" s="3" t="inlineStr">
        <is>
          <t>2024-P1-Q1 (L3)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 (printed 118)</t>
        </is>
      </c>
      <c r="D19" s="2" t="inlineStr">
        <is>
          <t>SCQ</t>
        </is>
      </c>
      <c r="E19" s="3" t="inlineStr">
        <is>
          <t>Differential Equation</t>
        </is>
      </c>
      <c r="F19" s="2" t="n">
        <v>3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Separate with partial fractions, then use 'slope never zero' to fix the sign inside the modulus.</t>
        </is>
      </c>
      <c r="N19" s="3" t="inlineStr">
        <is>
          <t>Partial fractions on both sides and a subtle range argument for the modulus.</t>
        </is>
      </c>
      <c r="O19" s="3" t="inlineStr">
        <is>
          <t>2026-P2-Q3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 (printed 119)</t>
        </is>
      </c>
      <c r="D20" s="2" t="inlineStr">
        <is>
          <t>SCQ</t>
        </is>
      </c>
      <c r="E20" s="3" t="inlineStr">
        <is>
          <t>Differential Equation</t>
        </is>
      </c>
      <c r="F20" s="2" t="n">
        <v>3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Integrating factor $1+\cos^2x$ since $d(1+\cos^2x)=-\sin2x\,dx$.</t>
        </is>
      </c>
      <c r="N20" s="3" t="inlineStr">
        <is>
          <t>Standard linear DE with a trig integrating factor; short.</t>
        </is>
      </c>
      <c r="O20" s="3" t="inlineStr">
        <is>
          <t>2023-P2-Q9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 (printed 120)</t>
        </is>
      </c>
      <c r="D21" s="2" t="inlineStr">
        <is>
          <t>SCQ</t>
        </is>
      </c>
      <c r="E21" s="3" t="inlineStr">
        <is>
          <t>Differential Equation</t>
        </is>
      </c>
      <c r="F21" s="2" t="n">
        <v>3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$xy'-y=x^2(y/x)'$ so $t=y/x$ gives $\cos t\,dt=dx/x$.</t>
        </is>
      </c>
      <c r="N21" s="3" t="inlineStr">
        <is>
          <t>Standard homogeneous-type substitution; short chain.</t>
        </is>
      </c>
      <c r="O21" s="3" t="inlineStr">
        <is>
          <t>2025-P2-Q9 (L4)</t>
        </is>
      </c>
      <c r="P21" s="2" t="inlineStr">
        <is>
          <t>Medium</t>
        </is>
      </c>
    </row>
    <row r="23">
      <c r="A2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JEE_Main_Question_Bank_01_Integral_Calculus_06.pdf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COUNTIF(Evaluation!$G$2:$G$21,A5)</f>
        <v/>
      </c>
      <c r="D5" s="11">
        <f>SUMIF(Evaluation!$G$2:$G$21,A5,Evaluation!$F$2:$F$21)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COUNTIF(Evaluation!$G$2:$G$21,A6)</f>
        <v/>
      </c>
      <c r="D6" s="13">
        <f>SUMIF(Evaluation!$G$2:$G$21,A6,Evaluation!$F$2:$F$21)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COUNTIF(Evaluation!$G$2:$G$21,A7)</f>
        <v/>
      </c>
      <c r="D7" s="15">
        <f>SUMIF(Evaluation!$G$2:$G$21,A7,Evaluation!$F$2:$F$21)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COUNTIF(Evaluation!$G$2:$G$21,A8)</f>
        <v/>
      </c>
      <c r="D8" s="17">
        <f>SUMIF(Evaluation!$G$2:$G$21,A8,Evaluation!$F$2:$F$21)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COUNTIF(Evaluation!$G$2:$G$21,A9)</f>
        <v/>
      </c>
      <c r="D9" s="19">
        <f>SUMIF(Evaluation!$G$2:$G$21,A9,Evaluation!$F$2:$F$21)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COUNTIF(Evaluation!$G$2:$G$21,A10)</f>
        <v/>
      </c>
      <c r="D10" s="21">
        <f>SUMIF(Evaluation!$G$2:$G$21,A10,Evaluation!$F$2:$F$21)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SUM(Evaluation!$L$2:$L$21)/SUM(Evaluation!$F$2:$F$21)</f>
        <v/>
      </c>
      <c r="C14" s="24">
        <f>SUMPRODUCT(Evaluation!$F$2:$F$21,Evaluation!$G$2:$G$21)/SUM(Evaluation!$F$2:$F$21)</f>
        <v/>
      </c>
      <c r="D14" s="23">
        <f>SUM(Evaluation!$F$2:$F$21)</f>
        <v/>
      </c>
      <c r="E14" s="24">
        <f>AVERAGE(Evaluation!$G$2:$G$21)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2026-10-06T07:30:44Z</dcterms:created>
  <dcterms:modified xmlns:dcterms="http://purl.org/dc/terms/" xmlns:xsi="http://www.w3.org/2001/XMLSchema-instance" xsi:type="dcterms:W3CDTF">2026-10-06T07:30:44Z</dcterms:modified>
</cp:coreProperties>
</file>