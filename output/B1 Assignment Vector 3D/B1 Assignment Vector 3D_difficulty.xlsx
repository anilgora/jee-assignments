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Reference" sheetId="3" state="visible" r:id="rId3"/>
  </sheets>
  <definedNames>
    <definedName name="_xlnm._FilterDatabase" localSheetId="0" hidden="1">'Evaluation'!$A$1:$P$81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595959"/>
      <sz val="9"/>
    </font>
    <font>
      <name val="Arial"/>
      <b val="1"/>
      <color rgb="001A365D"/>
      <sz val="13"/>
    </font>
    <font>
      <name val="Arial"/>
      <b val="1"/>
      <sz val="10"/>
    </font>
  </fonts>
  <fills count="9">
    <fill>
      <patternFill/>
    </fill>
    <fill>
      <patternFill patternType="gray125"/>
    </fill>
    <fill>
      <patternFill patternType="solid">
        <fgColor rgb="001A365D"/>
      </patternFill>
    </fill>
    <fill>
      <patternFill patternType="solid">
        <fgColor rgb="00FFF2CC"/>
      </patternFill>
    </fill>
    <fill>
      <patternFill patternType="solid">
        <fgColor rgb="00FCE5CD"/>
      </patternFill>
    </fill>
    <fill>
      <patternFill patternType="solid">
        <fgColor rgb="00E8F0D8"/>
      </patternFill>
    </fill>
    <fill>
      <patternFill patternType="solid">
        <fgColor rgb="00F4CCCC"/>
      </patternFill>
    </fill>
    <fill>
      <patternFill patternType="solid">
        <fgColor rgb="00D9EAD3"/>
      </patternFill>
    </fill>
    <fill>
      <patternFill patternType="solid">
        <fgColor rgb="00EA999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top"/>
    </xf>
    <xf numFmtId="164" fontId="2" fillId="0" borderId="1" applyAlignment="1" pivotButton="0" quotePrefix="0" xfId="0">
      <alignment horizontal="center" vertical="top"/>
    </xf>
    <xf numFmtId="0" fontId="2" fillId="4" borderId="1" applyAlignment="1" pivotButton="0" quotePrefix="0" xfId="0">
      <alignment horizontal="center" vertical="top"/>
    </xf>
    <xf numFmtId="0" fontId="2" fillId="5" borderId="1" applyAlignment="1" pivotButton="0" quotePrefix="0" xfId="0">
      <alignment horizontal="center" vertical="top"/>
    </xf>
    <xf numFmtId="0" fontId="2" fillId="6" borderId="1" applyAlignment="1" pivotButton="0" quotePrefix="0" xfId="0">
      <alignment horizontal="center" vertical="top"/>
    </xf>
    <xf numFmtId="0" fontId="3" fillId="0" borderId="0" pivotButton="0" quotePrefix="0" xfId="0"/>
    <xf numFmtId="0" fontId="4" fillId="0" borderId="0" pivotButton="0" quotePrefix="0" xfId="0"/>
    <xf numFmtId="0" fontId="2" fillId="7" borderId="1" pivotButton="0" quotePrefix="0" xfId="0"/>
    <xf numFmtId="9" fontId="2" fillId="7" borderId="1" pivotButton="0" quotePrefix="0" xfId="0"/>
    <xf numFmtId="0" fontId="2" fillId="5" borderId="1" pivotButton="0" quotePrefix="0" xfId="0"/>
    <xf numFmtId="9" fontId="2" fillId="5" borderId="1" pivotButton="0" quotePrefix="0" xfId="0"/>
    <xf numFmtId="0" fontId="2" fillId="3" borderId="1" pivotButton="0" quotePrefix="0" xfId="0"/>
    <xf numFmtId="9" fontId="2" fillId="3" borderId="1" pivotButton="0" quotePrefix="0" xfId="0"/>
    <xf numFmtId="0" fontId="2" fillId="4" borderId="1" pivotButton="0" quotePrefix="0" xfId="0"/>
    <xf numFmtId="9" fontId="2" fillId="4" borderId="1" pivotButton="0" quotePrefix="0" xfId="0"/>
    <xf numFmtId="0" fontId="2" fillId="6" borderId="1" pivotButton="0" quotePrefix="0" xfId="0"/>
    <xf numFmtId="9" fontId="2" fillId="6" borderId="1" pivotButton="0" quotePrefix="0" xfId="0"/>
    <xf numFmtId="0" fontId="2" fillId="8" borderId="1" pivotButton="0" quotePrefix="0" xfId="0"/>
    <xf numFmtId="9" fontId="2" fillId="8" borderId="1" pivotButton="0" quotePrefix="0" xfId="0"/>
    <xf numFmtId="0" fontId="5" fillId="0" borderId="1" pivotButton="0" quotePrefix="0" xfId="0"/>
    <xf numFmtId="2" fontId="5" fillId="0" borderId="1" pivotButton="0" quotePrefix="0" xfId="0"/>
    <xf numFmtId="0" fontId="2" fillId="0" borderId="1" pivotButton="0" quotePrefix="0" xfId="0"/>
    <xf numFmtId="2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3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8" customWidth="1" min="2" max="2"/>
    <col width="9" customWidth="1" min="3" max="3"/>
    <col width="12" customWidth="1" min="4" max="4"/>
    <col width="24" customWidth="1" min="5" max="5"/>
    <col width="7" customWidth="1" min="6" max="6"/>
    <col width="7" customWidth="1" min="7" max="7"/>
    <col width="20" customWidth="1" min="8" max="8"/>
    <col width="9" customWidth="1" min="9" max="9"/>
    <col width="8" customWidth="1" min="10" max="10"/>
    <col width="9" customWidth="1" min="11" max="11"/>
    <col width="10" customWidth="1" min="12" max="12"/>
    <col width="38" customWidth="1" min="13" max="13"/>
    <col width="60" customWidth="1" min="14" max="14"/>
    <col width="20" customWidth="1" min="15" max="15"/>
    <col width="11" customWidth="1" min="16" max="16"/>
  </cols>
  <sheetData>
    <row r="1">
      <c r="A1" s="1" t="inlineStr">
        <is>
          <t>Sr No</t>
        </is>
      </c>
      <c r="B1" s="1" t="inlineStr">
        <is>
          <t>Paper</t>
        </is>
      </c>
      <c r="C1" s="1" t="inlineStr">
        <is>
          <t>Q Ref</t>
        </is>
      </c>
      <c r="D1" s="1" t="inlineStr">
        <is>
          <t>Type</t>
        </is>
      </c>
      <c r="E1" s="1" t="inlineStr">
        <is>
          <t>Chapter</t>
        </is>
      </c>
      <c r="F1" s="1" t="inlineStr">
        <is>
          <t>Marks</t>
        </is>
      </c>
      <c r="G1" s="1" t="inlineStr">
        <is>
          <t>Level</t>
        </is>
      </c>
      <c r="H1" s="1" t="inlineStr">
        <is>
          <t>Level Label</t>
        </is>
      </c>
      <c r="I1" s="1" t="inlineStr">
        <is>
          <t>Equiv. Rel. Adj</t>
        </is>
      </c>
      <c r="J1" s="1" t="inlineStr">
        <is>
          <t>MCQ Floor</t>
        </is>
      </c>
      <c r="K1" s="1" t="inlineStr">
        <is>
          <t>Adjusted Level</t>
        </is>
      </c>
      <c r="L1" s="1" t="inlineStr">
        <is>
          <t>Marks x Adj Level</t>
        </is>
      </c>
      <c r="M1" s="1" t="inlineStr">
        <is>
          <t>Key Step</t>
        </is>
      </c>
      <c r="N1" s="1" t="inlineStr">
        <is>
          <t>Justification</t>
        </is>
      </c>
      <c r="O1" s="1" t="inlineStr">
        <is>
          <t>Nearest Anchor</t>
        </is>
      </c>
      <c r="P1" s="1" t="inlineStr">
        <is>
          <t>Confidence</t>
        </is>
      </c>
    </row>
    <row r="2">
      <c r="A2" s="2" t="n">
        <v>1</v>
      </c>
      <c r="B2" s="2" t="inlineStr"/>
      <c r="C2" s="2" t="inlineStr">
        <is>
          <t>Q1</t>
        </is>
      </c>
      <c r="D2" s="2" t="inlineStr">
        <is>
          <t>SCQ</t>
        </is>
      </c>
      <c r="E2" s="3" t="inlineStr">
        <is>
          <t>Vector &amp; 3D Geometry</t>
        </is>
      </c>
      <c r="F2" s="2" t="n">
        <v>4</v>
      </c>
      <c r="G2" s="4" t="n">
        <v>2</v>
      </c>
      <c r="H2" s="4" t="inlineStr">
        <is>
          <t>Easier than Advanced</t>
        </is>
      </c>
      <c r="I2" s="5" t="n">
        <v>0</v>
      </c>
      <c r="J2" s="5" t="n">
        <v>0</v>
      </c>
      <c r="K2" s="5">
        <f>MIN(5,MAX(G2+I2,J2))</f>
        <v/>
      </c>
      <c r="L2" s="5">
        <f>F2*K2</f>
        <v/>
      </c>
      <c r="M2" s="3" t="inlineStr">
        <is>
          <t>Use OC = 2(b - a) from hexagon geometry, then equate coefficients of independent vectors a, b.</t>
        </is>
      </c>
      <c r="N2" s="3" t="inlineStr">
        <is>
          <t>Single-fact hexagon geometry followed by a routine two-line intersection; a few routine steps with no real insight (like 2026-P2-Q1, L2).</t>
        </is>
      </c>
      <c r="O2" s="3" t="inlineStr">
        <is>
          <t>2026-P2-Q1 (L2)</t>
        </is>
      </c>
      <c r="P2" s="2" t="inlineStr">
        <is>
          <t>Medium</t>
        </is>
      </c>
    </row>
    <row r="3">
      <c r="A3" s="2" t="n">
        <v>2</v>
      </c>
      <c r="B3" s="2" t="inlineStr"/>
      <c r="C3" s="2" t="inlineStr">
        <is>
          <t>Q2</t>
        </is>
      </c>
      <c r="D3" s="2" t="inlineStr">
        <is>
          <t>SCQ</t>
        </is>
      </c>
      <c r="E3" s="3" t="inlineStr">
        <is>
          <t>Vector &amp; 3D Geometry</t>
        </is>
      </c>
      <c r="F3" s="2" t="n">
        <v>4</v>
      </c>
      <c r="G3" s="4" t="n">
        <v>2</v>
      </c>
      <c r="H3" s="4" t="inlineStr">
        <is>
          <t>Easier than Advanced</t>
        </is>
      </c>
      <c r="I3" s="5" t="n">
        <v>0</v>
      </c>
      <c r="J3" s="5" t="n">
        <v>0</v>
      </c>
      <c r="K3" s="5">
        <f>MIN(5,MAX(G3+I3,J3))</f>
        <v/>
      </c>
      <c r="L3" s="5">
        <f>F3*K3</f>
        <v/>
      </c>
      <c r="M3" s="3" t="inlineStr">
        <is>
          <t>Every cross product of two sides at 60 degrees equals (sqrt3/2) l^2 n-hat, in the same direction.</t>
        </is>
      </c>
      <c r="N3" s="3" t="inlineStr">
        <is>
          <t>Short chain: area of an equilateral triangle as a cross product, then ratio to the square's cross product; one familiar move with sign-checking from a figure.</t>
        </is>
      </c>
      <c r="O3" s="3" t="inlineStr">
        <is>
          <t>2026-P2-Q1 (L2)</t>
        </is>
      </c>
      <c r="P3" s="2" t="inlineStr">
        <is>
          <t>Medium</t>
        </is>
      </c>
    </row>
    <row r="4">
      <c r="A4" s="2" t="n">
        <v>3</v>
      </c>
      <c r="B4" s="2" t="inlineStr"/>
      <c r="C4" s="2" t="inlineStr">
        <is>
          <t>Q3</t>
        </is>
      </c>
      <c r="D4" s="2" t="inlineStr">
        <is>
          <t>SCQ</t>
        </is>
      </c>
      <c r="E4" s="3" t="inlineStr">
        <is>
          <t>Vector &amp; 3D Geometry</t>
        </is>
      </c>
      <c r="F4" s="2" t="n">
        <v>4</v>
      </c>
      <c r="G4" s="4" t="n">
        <v>2</v>
      </c>
      <c r="H4" s="4" t="inlineStr">
        <is>
          <t>Easier than Advanced</t>
        </is>
      </c>
      <c r="I4" s="5" t="n">
        <v>0</v>
      </c>
      <c r="J4" s="5" t="n">
        <v>0</v>
      </c>
      <c r="K4" s="5">
        <f>MIN(5,MAX(G4+I4,J4))</f>
        <v/>
      </c>
      <c r="L4" s="5">
        <f>F4*K4</f>
        <v/>
      </c>
      <c r="M4" s="3" t="inlineStr">
        <is>
          <t>Dot with a to get the scalar a.x, then substitute it back into the given relation.</t>
        </is>
      </c>
      <c r="N4" s="3" t="inlineStr">
        <is>
          <t>Routine elimination: dot product to get a scalar, substitute; a few standard steps, no insight needed.</t>
        </is>
      </c>
      <c r="O4" s="3" t="inlineStr">
        <is>
          <t>2026-P2-Q3 (L2)</t>
        </is>
      </c>
      <c r="P4" s="2" t="inlineStr">
        <is>
          <t>Medium</t>
        </is>
      </c>
    </row>
    <row r="5">
      <c r="A5" s="2" t="n">
        <v>4</v>
      </c>
      <c r="B5" s="2" t="inlineStr"/>
      <c r="C5" s="2" t="inlineStr">
        <is>
          <t>Q4</t>
        </is>
      </c>
      <c r="D5" s="2" t="inlineStr">
        <is>
          <t>SCQ</t>
        </is>
      </c>
      <c r="E5" s="3" t="inlineStr">
        <is>
          <t>Vector &amp; 3D Geometry</t>
        </is>
      </c>
      <c r="F5" s="2" t="n">
        <v>4</v>
      </c>
      <c r="G5" s="6" t="n">
        <v>3</v>
      </c>
      <c r="H5" s="6" t="inlineStr">
        <is>
          <t>Average Advanced</t>
        </is>
      </c>
      <c r="I5" s="5" t="n">
        <v>0</v>
      </c>
      <c r="J5" s="5" t="n">
        <v>0</v>
      </c>
      <c r="K5" s="5">
        <f>MIN(5,MAX(G5+I5,J5))</f>
        <v/>
      </c>
      <c r="L5" s="5">
        <f>F5*K5</f>
        <v/>
      </c>
      <c r="M5" s="3" t="inlineStr">
        <is>
          <t>Use l^2+m^2+n^2=1 with the cross-term identity so the squared modulus collapses to (1 - sum l)^2.</t>
        </is>
      </c>
      <c r="N5" s="3" t="inlineStr">
        <is>
          <t>Several stages (Lagrange identity cross terms, direction-cosine condition) with a hidden constraint; heavier algebra than a routine chain, but standard techniques.</t>
        </is>
      </c>
      <c r="O5" s="3" t="inlineStr">
        <is>
          <t>2026-P2-Q1 (L2) and 2023-P1-Q5 (L3)</t>
        </is>
      </c>
      <c r="P5" s="2" t="inlineStr">
        <is>
          <t>Medium</t>
        </is>
      </c>
    </row>
    <row r="6">
      <c r="A6" s="2" t="n">
        <v>5</v>
      </c>
      <c r="B6" s="2" t="inlineStr"/>
      <c r="C6" s="2" t="inlineStr">
        <is>
          <t>Q5</t>
        </is>
      </c>
      <c r="D6" s="2" t="inlineStr">
        <is>
          <t>SCQ</t>
        </is>
      </c>
      <c r="E6" s="3" t="inlineStr">
        <is>
          <t>Vector &amp; 3D Geometry</t>
        </is>
      </c>
      <c r="F6" s="2" t="n">
        <v>4</v>
      </c>
      <c r="G6" s="6" t="n">
        <v>3</v>
      </c>
      <c r="H6" s="6" t="inlineStr">
        <is>
          <t>Average Advanced</t>
        </is>
      </c>
      <c r="I6" s="5" t="n">
        <v>0</v>
      </c>
      <c r="J6" s="5" t="n">
        <v>0</v>
      </c>
      <c r="K6" s="5">
        <f>MIN(5,MAX(G6+I6,J6))</f>
        <v/>
      </c>
      <c r="L6" s="5">
        <f>F6*K6</f>
        <v/>
      </c>
      <c r="M6" s="3" t="inlineStr">
        <is>
          <t>Common chord through the centre of the second circle gives c + d = 50; coplanarity of the lines gives lambda^2+3 lambda=0.</t>
        </is>
      </c>
      <c r="N6" s="3" t="inlineStr">
        <is>
          <t>Two linked ideas (bisecting circles, then intersecting skew-line condition via a determinant) with a trap that two roots appear but only one is an option; like 2023-P2-Q4 but longer.</t>
        </is>
      </c>
      <c r="O6" s="3" t="inlineStr">
        <is>
          <t>2023-P2-Q4 (L1), 2024-P1-Q16 (L0) and 2026-P2-Q1 (L2)</t>
        </is>
      </c>
      <c r="P6" s="2" t="inlineStr">
        <is>
          <t>Medium</t>
        </is>
      </c>
    </row>
    <row r="7">
      <c r="A7" s="2" t="n">
        <v>6</v>
      </c>
      <c r="B7" s="2" t="inlineStr"/>
      <c r="C7" s="2" t="inlineStr">
        <is>
          <t>Q6</t>
        </is>
      </c>
      <c r="D7" s="2" t="inlineStr">
        <is>
          <t>SCQ</t>
        </is>
      </c>
      <c r="E7" s="3" t="inlineStr">
        <is>
          <t>Vector &amp; 3D Geometry</t>
        </is>
      </c>
      <c r="F7" s="2" t="n">
        <v>4</v>
      </c>
      <c r="G7" s="6" t="n">
        <v>3</v>
      </c>
      <c r="H7" s="6" t="inlineStr">
        <is>
          <t>Average Advanced</t>
        </is>
      </c>
      <c r="I7" s="5" t="n">
        <v>0</v>
      </c>
      <c r="J7" s="5" t="n">
        <v>0</v>
      </c>
      <c r="K7" s="5">
        <f>MIN(5,MAX(G7+I7,J7))</f>
        <v/>
      </c>
      <c r="L7" s="5">
        <f>F7*K7</f>
        <v/>
      </c>
      <c r="M7" s="3" t="inlineStr">
        <is>
          <t>Dot the given relation with a x b so only lambda|a x b|^2 survives; |b| comes from a.b=1 and the 60 degree angle.</t>
        </is>
      </c>
      <c r="N7" s="3" t="inlineStr">
        <is>
          <t>Few routine steps: dot with a x b, Lagrange identity, find |b|; the 'none of these' option adds a small trap but no new idea.</t>
        </is>
      </c>
      <c r="O7" s="3" t="inlineStr">
        <is>
          <t>2026-P2-Q1 (L2)</t>
        </is>
      </c>
      <c r="P7" s="2" t="inlineStr">
        <is>
          <t>Medium</t>
        </is>
      </c>
    </row>
    <row r="8">
      <c r="A8" s="2" t="n">
        <v>7</v>
      </c>
      <c r="B8" s="2" t="inlineStr"/>
      <c r="C8" s="2" t="inlineStr">
        <is>
          <t>Q7</t>
        </is>
      </c>
      <c r="D8" s="2" t="inlineStr">
        <is>
          <t>SCQ</t>
        </is>
      </c>
      <c r="E8" s="3" t="inlineStr">
        <is>
          <t>Vector &amp; 3D Geometry</t>
        </is>
      </c>
      <c r="F8" s="2" t="n">
        <v>4</v>
      </c>
      <c r="G8" s="4" t="n">
        <v>2</v>
      </c>
      <c r="H8" s="4" t="inlineStr">
        <is>
          <t>Easier than Advanced</t>
        </is>
      </c>
      <c r="I8" s="5" t="n">
        <v>0</v>
      </c>
      <c r="J8" s="5" t="n">
        <v>0</v>
      </c>
      <c r="K8" s="5">
        <f>MIN(5,MAX(G8+I8,J8))</f>
        <v/>
      </c>
      <c r="L8" s="5">
        <f>F8*K8</f>
        <v/>
      </c>
      <c r="M8" s="3" t="inlineStr">
        <is>
          <t>Reduce to 15 - 4(a.b+b.c+c.a) and use |a+b+c|^2 &gt;= 0 to bound the bracket by -3/2.</t>
        </is>
      </c>
      <c r="N8" s="3" t="inlineStr">
        <is>
          <t>Standard one-trick bound after routine expansion; the nonnegativity of |a+b+c|^2 is a familiar idea.</t>
        </is>
      </c>
      <c r="O8" s="3" t="inlineStr">
        <is>
          <t>2023-P2-Q4 (L1) and 2026-P2-Q3 (L2)</t>
        </is>
      </c>
      <c r="P8" s="2" t="inlineStr">
        <is>
          <t>Medium</t>
        </is>
      </c>
    </row>
    <row r="9">
      <c r="A9" s="2" t="n">
        <v>8</v>
      </c>
      <c r="B9" s="2" t="inlineStr"/>
      <c r="C9" s="2" t="inlineStr">
        <is>
          <t>Q8</t>
        </is>
      </c>
      <c r="D9" s="2" t="inlineStr">
        <is>
          <t>SCQ</t>
        </is>
      </c>
      <c r="E9" s="3" t="inlineStr">
        <is>
          <t>Vector &amp; 3D Geometry</t>
        </is>
      </c>
      <c r="F9" s="2" t="n">
        <v>4</v>
      </c>
      <c r="G9" s="6" t="n">
        <v>3</v>
      </c>
      <c r="H9" s="6" t="inlineStr">
        <is>
          <t>Average Advanced</t>
        </is>
      </c>
      <c r="I9" s="5" t="n">
        <v>0</v>
      </c>
      <c r="J9" s="5" t="n">
        <v>0</v>
      </c>
      <c r="K9" s="5">
        <f>MIN(5,MAX(G9+I9,J9))</f>
        <v/>
      </c>
      <c r="L9" s="5">
        <f>F9*K9</f>
        <v/>
      </c>
      <c r="M9" s="3" t="inlineStr">
        <is>
          <t>Rectangle means a perpendicular b, so the given condition fixes the side ratio b = 3a.</t>
        </is>
      </c>
      <c r="N9" s="3" t="inlineStr">
        <is>
          <t>Two stages: reduce the condition to a side ratio, then angle between diagonals via dot product and half-angle; routine but with sign/acute care.</t>
        </is>
      </c>
      <c r="O9" s="3" t="inlineStr">
        <is>
          <t>2021-P2-Q5 (L2) and 2026-P2-Q1 (L2)</t>
        </is>
      </c>
      <c r="P9" s="2" t="inlineStr">
        <is>
          <t>Medium</t>
        </is>
      </c>
    </row>
    <row r="10">
      <c r="A10" s="2" t="n">
        <v>9</v>
      </c>
      <c r="B10" s="2" t="inlineStr"/>
      <c r="C10" s="2" t="inlineStr">
        <is>
          <t>Q9</t>
        </is>
      </c>
      <c r="D10" s="2" t="inlineStr">
        <is>
          <t>SCQ</t>
        </is>
      </c>
      <c r="E10" s="3" t="inlineStr">
        <is>
          <t>Vector &amp; 3D Geometry</t>
        </is>
      </c>
      <c r="F10" s="2" t="n">
        <v>4</v>
      </c>
      <c r="G10" s="4" t="n">
        <v>2</v>
      </c>
      <c r="H10" s="4" t="inlineStr">
        <is>
          <t>Easier than Advanced</t>
        </is>
      </c>
      <c r="I10" s="5" t="n">
        <v>0</v>
      </c>
      <c r="J10" s="5" t="n">
        <v>0</v>
      </c>
      <c r="K10" s="5">
        <f>MIN(5,MAX(G10+I10,J10))</f>
        <v/>
      </c>
      <c r="L10" s="5">
        <f>F10*K10</f>
        <v/>
      </c>
      <c r="M10" s="3" t="inlineStr">
        <is>
          <t>Dotting d with a, b, c kills two terms each time, leaving the triple product times one coefficient.</t>
        </is>
      </c>
      <c r="N10" s="3" t="inlineStr">
        <is>
          <t>One familiar idea (dot with the original vectors) applied three times and summed; short.</t>
        </is>
      </c>
      <c r="O10" s="3" t="inlineStr">
        <is>
          <t>2024-P2-Q11 (L0) and 2026-P2-Q1 (L2)</t>
        </is>
      </c>
      <c r="P10" s="2" t="inlineStr">
        <is>
          <t>Medium</t>
        </is>
      </c>
    </row>
    <row r="11">
      <c r="A11" s="2" t="n">
        <v>10</v>
      </c>
      <c r="B11" s="2" t="inlineStr"/>
      <c r="C11" s="2" t="inlineStr">
        <is>
          <t>Q10</t>
        </is>
      </c>
      <c r="D11" s="2" t="inlineStr">
        <is>
          <t>SCQ</t>
        </is>
      </c>
      <c r="E11" s="3" t="inlineStr">
        <is>
          <t>Vector &amp; 3D Geometry</t>
        </is>
      </c>
      <c r="F11" s="2" t="n">
        <v>4</v>
      </c>
      <c r="G11" s="4" t="n">
        <v>2</v>
      </c>
      <c r="H11" s="4" t="inlineStr">
        <is>
          <t>Easier than Advanced</t>
        </is>
      </c>
      <c r="I11" s="5" t="n">
        <v>0</v>
      </c>
      <c r="J11" s="5" t="n">
        <v>0</v>
      </c>
      <c r="K11" s="5">
        <f>MIN(5,MAX(G11+I11,J11))</f>
        <v/>
      </c>
      <c r="L11" s="5">
        <f>F11*K11</f>
        <v/>
      </c>
      <c r="M11" s="3" t="inlineStr">
        <is>
          <t>The two triple products reduce to t^2 and 2t, giving t^2+2t=8.</t>
        </is>
      </c>
      <c r="N11" s="3" t="inlineStr">
        <is>
          <t>Two standard identities lead to a quadratic; sign of t and tetrahedron factor 1/6 are the only traps.</t>
        </is>
      </c>
      <c r="O11" s="3" t="inlineStr">
        <is>
          <t>2024-P2-Q11 (L0) and 2026-P2-Q1 (L2)</t>
        </is>
      </c>
      <c r="P11" s="2" t="inlineStr">
        <is>
          <t>Medium</t>
        </is>
      </c>
    </row>
    <row r="12">
      <c r="A12" s="2" t="n">
        <v>11</v>
      </c>
      <c r="B12" s="2" t="inlineStr"/>
      <c r="C12" s="2" t="inlineStr">
        <is>
          <t>Q11</t>
        </is>
      </c>
      <c r="D12" s="2" t="inlineStr">
        <is>
          <t>SCQ</t>
        </is>
      </c>
      <c r="E12" s="3" t="inlineStr">
        <is>
          <t>Vector &amp; 3D Geometry</t>
        </is>
      </c>
      <c r="F12" s="2" t="n">
        <v>4</v>
      </c>
      <c r="G12" s="4" t="n">
        <v>2</v>
      </c>
      <c r="H12" s="4" t="inlineStr">
        <is>
          <t>Easier than Advanced</t>
        </is>
      </c>
      <c r="I12" s="5" t="n">
        <v>0</v>
      </c>
      <c r="J12" s="5" t="n">
        <v>0</v>
      </c>
      <c r="K12" s="5">
        <f>MIN(5,MAX(G12+I12,J12))</f>
        <v/>
      </c>
      <c r="L12" s="5">
        <f>F12*K12</f>
        <v/>
      </c>
      <c r="M12" s="3" t="inlineStr">
        <is>
          <t>The given sum of squares makes |a+b+c|^2 = 0, so O is the centroid and OD = OC/2.</t>
        </is>
      </c>
      <c r="N12" s="3" t="inlineStr">
        <is>
          <t>Single trick (sum of squared sides to |a+b+c|^2=0) followed by a median ratio; a few routine steps.</t>
        </is>
      </c>
      <c r="O12" s="3" t="inlineStr">
        <is>
          <t>2026-P2-Q1 (L2)</t>
        </is>
      </c>
      <c r="P12" s="2" t="inlineStr">
        <is>
          <t>Medium</t>
        </is>
      </c>
    </row>
    <row r="13">
      <c r="A13" s="2" t="n">
        <v>12</v>
      </c>
      <c r="B13" s="2" t="inlineStr"/>
      <c r="C13" s="2" t="inlineStr">
        <is>
          <t>Q12</t>
        </is>
      </c>
      <c r="D13" s="2" t="inlineStr">
        <is>
          <t>SCQ</t>
        </is>
      </c>
      <c r="E13" s="3" t="inlineStr">
        <is>
          <t>Vector &amp; 3D Geometry</t>
        </is>
      </c>
      <c r="F13" s="2" t="n">
        <v>4</v>
      </c>
      <c r="G13" s="4" t="n">
        <v>2</v>
      </c>
      <c r="H13" s="4" t="inlineStr">
        <is>
          <t>Easier than Advanced</t>
        </is>
      </c>
      <c r="I13" s="5" t="n">
        <v>0</v>
      </c>
      <c r="J13" s="5" t="n">
        <v>0</v>
      </c>
      <c r="K13" s="5">
        <f>MIN(5,MAX(G13+I13,J13))</f>
        <v/>
      </c>
      <c r="L13" s="5">
        <f>F13*K13</f>
        <v/>
      </c>
      <c r="M13" s="3" t="inlineStr">
        <is>
          <t>The locus of a point dividing OA in a fixed ratio is the image of the locus of A under scaling about O.</t>
        </is>
      </c>
      <c r="N13" s="3" t="inlineStr">
        <is>
          <t>Locus via scaling is a familiar idea, followed by a single line-plane intersection; routine multi-step 3D.</t>
        </is>
      </c>
      <c r="O13" s="3" t="inlineStr">
        <is>
          <t>2026-P2-Q1 (L2)</t>
        </is>
      </c>
      <c r="P13" s="2" t="inlineStr">
        <is>
          <t>Medium</t>
        </is>
      </c>
    </row>
    <row r="14">
      <c r="A14" s="2" t="n">
        <v>13</v>
      </c>
      <c r="B14" s="2" t="inlineStr"/>
      <c r="C14" s="2" t="inlineStr">
        <is>
          <t>Q13</t>
        </is>
      </c>
      <c r="D14" s="2" t="inlineStr">
        <is>
          <t>SCQ</t>
        </is>
      </c>
      <c r="E14" s="3" t="inlineStr">
        <is>
          <t>Vector &amp; 3D Geometry</t>
        </is>
      </c>
      <c r="F14" s="2" t="n">
        <v>4</v>
      </c>
      <c r="G14" s="4" t="n">
        <v>2</v>
      </c>
      <c r="H14" s="4" t="inlineStr">
        <is>
          <t>Easier than Advanced</t>
        </is>
      </c>
      <c r="I14" s="5" t="n">
        <v>0</v>
      </c>
      <c r="J14" s="5" t="n">
        <v>0</v>
      </c>
      <c r="K14" s="5">
        <f>MIN(5,MAX(G14+I14,J14))</f>
        <v/>
      </c>
      <c r="L14" s="5">
        <f>F14*K14</f>
        <v/>
      </c>
      <c r="M14" s="3" t="inlineStr">
        <is>
          <t>Squaring b = lambda a + 3c gives a quadratic in lambda from the known lengths and a.c.</t>
        </is>
      </c>
      <c r="N14" s="3" t="inlineStr">
        <is>
          <t>Routine dot-product chain (PDF) with a much shorter squaring route; no hidden idea.</t>
        </is>
      </c>
      <c r="O14" s="3" t="inlineStr">
        <is>
          <t>2026-P2-Q1 (L2) and 2024-P2-Q11 (L0)</t>
        </is>
      </c>
      <c r="P14" s="2" t="inlineStr">
        <is>
          <t>Medium</t>
        </is>
      </c>
    </row>
    <row r="15">
      <c r="A15" s="2" t="n">
        <v>14</v>
      </c>
      <c r="B15" s="2" t="inlineStr"/>
      <c r="C15" s="2" t="inlineStr">
        <is>
          <t>Q14</t>
        </is>
      </c>
      <c r="D15" s="2" t="inlineStr">
        <is>
          <t>SCQ</t>
        </is>
      </c>
      <c r="E15" s="3" t="inlineStr">
        <is>
          <t>Vector &amp; 3D Geometry</t>
        </is>
      </c>
      <c r="F15" s="2" t="n">
        <v>4</v>
      </c>
      <c r="G15" s="6" t="n">
        <v>3</v>
      </c>
      <c r="H15" s="6" t="inlineStr">
        <is>
          <t>Average Advanced</t>
        </is>
      </c>
      <c r="I15" s="5" t="n">
        <v>0</v>
      </c>
      <c r="J15" s="5" t="n">
        <v>0</v>
      </c>
      <c r="K15" s="5">
        <f>MIN(5,MAX(G15+I15,J15))</f>
        <v/>
      </c>
      <c r="L15" s="5">
        <f>F15*K15</f>
        <v/>
      </c>
      <c r="M15" s="3" t="inlineStr">
        <is>
          <t>Combine the given inequality with |px - qy|^2 &gt;= 0 to force p x = q y.</t>
        </is>
      </c>
      <c r="N15" s="3" t="inlineStr">
        <is>
          <t>Non-routine: the equality-forcing inequality idea is not a standard coaching drill, but the algebra after it is short (comparable to anchors at L3).</t>
        </is>
      </c>
      <c r="O15" s="3" t="inlineStr">
        <is>
          <t>2021-P1-Q19 (L3) and 2026-P2-Q1 (L2)</t>
        </is>
      </c>
      <c r="P15" s="2" t="inlineStr">
        <is>
          <t>Medium</t>
        </is>
      </c>
    </row>
    <row r="16">
      <c r="A16" s="2" t="n">
        <v>15</v>
      </c>
      <c r="B16" s="2" t="inlineStr"/>
      <c r="C16" s="2" t="inlineStr">
        <is>
          <t>Q15</t>
        </is>
      </c>
      <c r="D16" s="2" t="inlineStr">
        <is>
          <t>SCQ</t>
        </is>
      </c>
      <c r="E16" s="3" t="inlineStr">
        <is>
          <t>Vector &amp; 3D Geometry</t>
        </is>
      </c>
      <c r="F16" s="2" t="n">
        <v>4</v>
      </c>
      <c r="G16" s="4" t="n">
        <v>2</v>
      </c>
      <c r="H16" s="4" t="inlineStr">
        <is>
          <t>Easier than Advanced</t>
        </is>
      </c>
      <c r="I16" s="5" t="n">
        <v>0</v>
      </c>
      <c r="J16" s="5" t="n">
        <v>0</v>
      </c>
      <c r="K16" s="5">
        <f>MIN(5,MAX(G16+I16,J16))</f>
        <v/>
      </c>
      <c r="L16" s="5">
        <f>F16*K16</f>
        <v/>
      </c>
      <c r="M16" s="3" t="inlineStr">
        <is>
          <t>Direction cosines of d are equal, so each is plus or minus 1/sqrt3 and d.(a+b+c) = plus or minus sqrt3.</t>
        </is>
      </c>
      <c r="N16" s="3" t="inlineStr">
        <is>
          <t>Standard direction-cosine fact and a short expansion; three or four routine steps.</t>
        </is>
      </c>
      <c r="O16" s="3" t="inlineStr">
        <is>
          <t>2026-P2-Q1 (L2)</t>
        </is>
      </c>
      <c r="P16" s="2" t="inlineStr">
        <is>
          <t>Medium</t>
        </is>
      </c>
    </row>
    <row r="17">
      <c r="A17" s="2" t="n">
        <v>16</v>
      </c>
      <c r="B17" s="2" t="inlineStr"/>
      <c r="C17" s="2" t="inlineStr">
        <is>
          <t>Q16</t>
        </is>
      </c>
      <c r="D17" s="2" t="inlineStr">
        <is>
          <t>SCQ</t>
        </is>
      </c>
      <c r="E17" s="3" t="inlineStr">
        <is>
          <t>Vector &amp; 3D Geometry</t>
        </is>
      </c>
      <c r="F17" s="2" t="n">
        <v>4</v>
      </c>
      <c r="G17" s="6" t="n">
        <v>3</v>
      </c>
      <c r="H17" s="6" t="inlineStr">
        <is>
          <t>Average Advanced</t>
        </is>
      </c>
      <c r="I17" s="5" t="n">
        <v>0</v>
      </c>
      <c r="J17" s="5" t="n">
        <v>0</v>
      </c>
      <c r="K17" s="5">
        <f>MIN(5,MAX(G17+I17,J17))</f>
        <v/>
      </c>
      <c r="L17" s="5">
        <f>F17*K17</f>
        <v/>
      </c>
      <c r="M17" s="3" t="inlineStr">
        <is>
          <t>The coefficient matrix of u, v, w is the Gram matrix, whose determinant is [a b c]^2, so the volume is [a b c]^3.</t>
        </is>
      </c>
      <c r="N17" s="3" t="inlineStr">
        <is>
          <t>The Gram-determinant identity is outside the usual practised set (idea availability), then a numeric triple product; PDF's answer needs a corrected row.</t>
        </is>
      </c>
      <c r="O17" s="3" t="inlineStr">
        <is>
          <t>2023-P2-Q4 (L1) and 2021-P1-Q19 (L3)</t>
        </is>
      </c>
      <c r="P17" s="2" t="inlineStr">
        <is>
          <t>Medium</t>
        </is>
      </c>
    </row>
    <row r="18">
      <c r="A18" s="2" t="n">
        <v>17</v>
      </c>
      <c r="B18" s="2" t="inlineStr"/>
      <c r="C18" s="2" t="inlineStr">
        <is>
          <t>Q17</t>
        </is>
      </c>
      <c r="D18" s="2" t="inlineStr">
        <is>
          <t>SCQ</t>
        </is>
      </c>
      <c r="E18" s="3" t="inlineStr">
        <is>
          <t>Vector &amp; 3D Geometry</t>
        </is>
      </c>
      <c r="F18" s="2" t="n">
        <v>4</v>
      </c>
      <c r="G18" s="7" t="n">
        <v>1</v>
      </c>
      <c r="H18" s="7" t="inlineStr">
        <is>
          <t>JEE Main level</t>
        </is>
      </c>
      <c r="I18" s="5" t="n">
        <v>0</v>
      </c>
      <c r="J18" s="5" t="n">
        <v>0</v>
      </c>
      <c r="K18" s="5">
        <f>MIN(5,MAX(G18+I18,J18))</f>
        <v/>
      </c>
      <c r="L18" s="5">
        <f>F18*K18</f>
        <v/>
      </c>
      <c r="M18" s="3" t="inlineStr">
        <is>
          <t>For unit vectors |a+b|^2 - |a-b|^2 over their sum is just cos(theta).</t>
        </is>
      </c>
      <c r="N18" s="3" t="inlineStr">
        <is>
          <t>One familiar move (parallelogram law / half-angle formulas) applied once, like 2026-P2-Q4 or 2023-P2-Q4.</t>
        </is>
      </c>
      <c r="O18" s="3" t="inlineStr">
        <is>
          <t>2023-P2-Q4 (L1)</t>
        </is>
      </c>
      <c r="P18" s="2" t="inlineStr">
        <is>
          <t>High</t>
        </is>
      </c>
    </row>
    <row r="19">
      <c r="A19" s="2" t="n">
        <v>18</v>
      </c>
      <c r="B19" s="2" t="inlineStr"/>
      <c r="C19" s="2" t="inlineStr">
        <is>
          <t>Q18</t>
        </is>
      </c>
      <c r="D19" s="2" t="inlineStr">
        <is>
          <t>MCQ</t>
        </is>
      </c>
      <c r="E19" s="3" t="inlineStr">
        <is>
          <t>Vector &amp; 3D Geometry</t>
        </is>
      </c>
      <c r="F19" s="2" t="n">
        <v>4</v>
      </c>
      <c r="G19" s="8" t="n">
        <v>4</v>
      </c>
      <c r="H19" s="8" t="inlineStr">
        <is>
          <t>Slightly difficult</t>
        </is>
      </c>
      <c r="I19" s="5" t="n">
        <v>0</v>
      </c>
      <c r="J19" s="5" t="n">
        <v>2.5</v>
      </c>
      <c r="K19" s="5">
        <f>MIN(5,MAX(G19+I19,J19))</f>
        <v/>
      </c>
      <c r="L19" s="5">
        <f>F19*K19</f>
        <v/>
      </c>
      <c r="M19" s="3" t="inlineStr">
        <is>
          <t>Express |p|^2 and [p q r] in terms of sin^2(theta) by squaring the given relation, then take the range of sin^2(theta)/(1+sin^2(theta)).</t>
        </is>
      </c>
      <c r="N19" s="3" t="inlineStr">
        <is>
          <t>Several statements each needing a derivation; the squaring/triple-product chain with a range check is multi-stage (like 2025-P1-Q5 at L3 but with more algebra).</t>
        </is>
      </c>
      <c r="O19" s="3" t="inlineStr">
        <is>
          <t>2025-P1-Q5 (L3) and 2026-P1-Q6 (L3)</t>
        </is>
      </c>
      <c r="P19" s="2" t="inlineStr">
        <is>
          <t>Medium</t>
        </is>
      </c>
    </row>
    <row r="20">
      <c r="A20" s="2" t="n">
        <v>19</v>
      </c>
      <c r="B20" s="2" t="inlineStr"/>
      <c r="C20" s="2" t="inlineStr">
        <is>
          <t>Q19</t>
        </is>
      </c>
      <c r="D20" s="2" t="inlineStr">
        <is>
          <t>MCQ</t>
        </is>
      </c>
      <c r="E20" s="3" t="inlineStr">
        <is>
          <t>Vector &amp; 3D Geometry</t>
        </is>
      </c>
      <c r="F20" s="2" t="n">
        <v>4</v>
      </c>
      <c r="G20" s="4" t="n">
        <v>2</v>
      </c>
      <c r="H20" s="4" t="inlineStr">
        <is>
          <t>Easier than Advanced</t>
        </is>
      </c>
      <c r="I20" s="5" t="n">
        <v>0</v>
      </c>
      <c r="J20" s="5" t="n">
        <v>0</v>
      </c>
      <c r="K20" s="5">
        <f>MIN(5,MAX(G20+I20,J20))</f>
        <v/>
      </c>
      <c r="L20" s="5">
        <f>F20*K20</f>
        <v/>
      </c>
      <c r="M20" s="3" t="inlineStr">
        <is>
          <t>Gram determinant gives [a b c]^2 = 32; then height = volume / base area.</t>
        </is>
      </c>
      <c r="N20" s="3" t="inlineStr">
        <is>
          <t>Routine Gram determinant plus volume = base x height; each option follows directly, no hidden idea.</t>
        </is>
      </c>
      <c r="O20" s="3" t="inlineStr">
        <is>
          <t>2023-P1-Q5 (L3) and 2021-P1-Q19 (L3)</t>
        </is>
      </c>
      <c r="P20" s="2" t="inlineStr">
        <is>
          <t>Medium</t>
        </is>
      </c>
    </row>
    <row r="21">
      <c r="A21" s="2" t="n">
        <v>20</v>
      </c>
      <c r="B21" s="2" t="inlineStr"/>
      <c r="C21" s="2" t="inlineStr">
        <is>
          <t>Q20</t>
        </is>
      </c>
      <c r="D21" s="2" t="inlineStr">
        <is>
          <t>MCQ</t>
        </is>
      </c>
      <c r="E21" s="3" t="inlineStr">
        <is>
          <t>Vector &amp; 3D Geometry</t>
        </is>
      </c>
      <c r="F21" s="2" t="n">
        <v>4</v>
      </c>
      <c r="G21" s="8" t="n">
        <v>4</v>
      </c>
      <c r="H21" s="8" t="inlineStr">
        <is>
          <t>Slightly difficult</t>
        </is>
      </c>
      <c r="I21" s="5" t="n">
        <v>0</v>
      </c>
      <c r="J21" s="5" t="n">
        <v>2.5</v>
      </c>
      <c r="K21" s="5">
        <f>MIN(5,MAX(G21+I21,J21))</f>
        <v/>
      </c>
      <c r="L21" s="5">
        <f>F21*K21</f>
        <v/>
      </c>
      <c r="M21" s="3" t="inlineStr">
        <is>
          <t>Volume is 24[a b c]^2, so [a b c] = +-sqrt3/2; reduce the determinant with product-to-sum formulas.</t>
        </is>
      </c>
      <c r="N21" s="3" t="inlineStr">
        <is>
          <t>Heavy trigonometric determinant (precision risk) but options allow checking; level comparable to long-computation questions rated 4 on this scale.</t>
        </is>
      </c>
      <c r="O21" s="3" t="inlineStr">
        <is>
          <t>2021-P1-Q19 (L3) and 2023-P1-Q12 (L5)</t>
        </is>
      </c>
      <c r="P21" s="2" t="inlineStr">
        <is>
          <t>Low</t>
        </is>
      </c>
    </row>
    <row r="22">
      <c r="A22" s="2" t="n">
        <v>21</v>
      </c>
      <c r="B22" s="2" t="inlineStr"/>
      <c r="C22" s="2" t="inlineStr">
        <is>
          <t>Q21</t>
        </is>
      </c>
      <c r="D22" s="2" t="inlineStr">
        <is>
          <t>MCQ</t>
        </is>
      </c>
      <c r="E22" s="3" t="inlineStr">
        <is>
          <t>Vector &amp; 3D Geometry</t>
        </is>
      </c>
      <c r="F22" s="2" t="n">
        <v>4</v>
      </c>
      <c r="G22" s="6" t="n">
        <v>3</v>
      </c>
      <c r="H22" s="6" t="inlineStr">
        <is>
          <t>Average Advanced</t>
        </is>
      </c>
      <c r="I22" s="5" t="n">
        <v>0</v>
      </c>
      <c r="J22" s="5" t="n">
        <v>2.5</v>
      </c>
      <c r="K22" s="5">
        <f>MIN(5,MAX(G22+I22,J22))</f>
        <v/>
      </c>
      <c r="L22" s="5">
        <f>F22*K22</f>
        <v/>
      </c>
      <c r="M22" s="3" t="inlineStr">
        <is>
          <t>The coefficients ab cos(...) are dot products, so p + q = (a.b)c - (a.c)b = a x (c x b).</t>
        </is>
      </c>
      <c r="N22" s="3" t="inlineStr">
        <is>
          <t>Familiar BAC-CAB structure once the trig coefficients are read as dot products; each statement is a short check.</t>
        </is>
      </c>
      <c r="O22" s="3" t="inlineStr">
        <is>
          <t>2024-P2-Q6 (L1) and 2025-P1-Q5 (L3)</t>
        </is>
      </c>
      <c r="P22" s="2" t="inlineStr">
        <is>
          <t>Medium</t>
        </is>
      </c>
    </row>
    <row r="23">
      <c r="A23" s="2" t="n">
        <v>22</v>
      </c>
      <c r="B23" s="2" t="inlineStr"/>
      <c r="C23" s="2" t="inlineStr">
        <is>
          <t>Q22</t>
        </is>
      </c>
      <c r="D23" s="2" t="inlineStr">
        <is>
          <t>MCQ</t>
        </is>
      </c>
      <c r="E23" s="3" t="inlineStr">
        <is>
          <t>Vector &amp; 3D Geometry</t>
        </is>
      </c>
      <c r="F23" s="2" t="n">
        <v>4</v>
      </c>
      <c r="G23" s="4" t="n">
        <v>2</v>
      </c>
      <c r="H23" s="4" t="inlineStr">
        <is>
          <t>Easier than Advanced</t>
        </is>
      </c>
      <c r="I23" s="5" t="n">
        <v>0</v>
      </c>
      <c r="J23" s="5" t="n">
        <v>2.5</v>
      </c>
      <c r="K23" s="5">
        <f>MIN(5,MAX(G23+I23,J23))</f>
        <v/>
      </c>
      <c r="L23" s="5">
        <f>F23*K23</f>
        <v/>
      </c>
      <c r="M23" s="3" t="inlineStr">
        <is>
          <t>All four conditions are standard equivalent forms of collinearity of three points.</t>
        </is>
      </c>
      <c r="N23" s="3" t="inlineStr">
        <is>
          <t>Recall-level equivalences; each statement is a standard form, but four statements must be verified (so above level 1, with the 2.5 floor for several concepts).</t>
        </is>
      </c>
      <c r="O23" s="3" t="inlineStr">
        <is>
          <t>2023-P2-Q4 (L1)</t>
        </is>
      </c>
      <c r="P23" s="2" t="inlineStr">
        <is>
          <t>Medium</t>
        </is>
      </c>
    </row>
    <row r="24">
      <c r="A24" s="2" t="n">
        <v>23</v>
      </c>
      <c r="B24" s="2" t="inlineStr"/>
      <c r="C24" s="2" t="inlineStr">
        <is>
          <t>Q23</t>
        </is>
      </c>
      <c r="D24" s="2" t="inlineStr">
        <is>
          <t>MCQ</t>
        </is>
      </c>
      <c r="E24" s="3" t="inlineStr">
        <is>
          <t>Vector &amp; 3D Geometry</t>
        </is>
      </c>
      <c r="F24" s="2" t="n">
        <v>4</v>
      </c>
      <c r="G24" s="6" t="n">
        <v>3</v>
      </c>
      <c r="H24" s="6" t="inlineStr">
        <is>
          <t>Average Advanced</t>
        </is>
      </c>
      <c r="I24" s="5" t="n">
        <v>0</v>
      </c>
      <c r="J24" s="5" t="n">
        <v>2.5</v>
      </c>
      <c r="K24" s="5">
        <f>MIN(5,MAX(G24+I24,J24))</f>
        <v/>
      </c>
      <c r="L24" s="5">
        <f>F24*K24</f>
        <v/>
      </c>
      <c r="M24" s="3" t="inlineStr">
        <is>
          <t>r lies in the plane of a and b, so r.(a x b) = 0 and the given value 2 is impossible.</t>
        </is>
      </c>
      <c r="N24" s="3" t="inlineStr">
        <is>
          <t>Resolution of a vector with several conditions, but the problem itself is inconsistent; rated by the intended demand (dot products, then a magnitude/triple-product check).</t>
        </is>
      </c>
      <c r="O24" s="3" t="inlineStr">
        <is>
          <t>2026-P2-Q1 (L2) and 2025-P1-Q5 (L3)</t>
        </is>
      </c>
      <c r="P24" s="2" t="inlineStr">
        <is>
          <t>Low</t>
        </is>
      </c>
    </row>
    <row r="25">
      <c r="A25" s="2" t="n">
        <v>24</v>
      </c>
      <c r="B25" s="2" t="inlineStr"/>
      <c r="C25" s="2" t="inlineStr">
        <is>
          <t>Q24</t>
        </is>
      </c>
      <c r="D25" s="2" t="inlineStr">
        <is>
          <t>MCQ</t>
        </is>
      </c>
      <c r="E25" s="3" t="inlineStr">
        <is>
          <t>Vector &amp; 3D Geometry</t>
        </is>
      </c>
      <c r="F25" s="2" t="n">
        <v>4</v>
      </c>
      <c r="G25" s="6" t="n">
        <v>3</v>
      </c>
      <c r="H25" s="6" t="inlineStr">
        <is>
          <t>Average Advanced</t>
        </is>
      </c>
      <c r="I25" s="5" t="n">
        <v>0</v>
      </c>
      <c r="J25" s="5" t="n">
        <v>2.5</v>
      </c>
      <c r="K25" s="5">
        <f>MIN(5,MAX(G25+I25,J25))</f>
        <v/>
      </c>
      <c r="L25" s="5">
        <f>F25*K25</f>
        <v/>
      </c>
      <c r="M25" s="3" t="inlineStr">
        <is>
          <t>The base lies in the plane x = 1, so the foot of the altitude from P is (1, 2, 2 sqrt3) = D.</t>
        </is>
      </c>
      <c r="N25" s="3" t="inlineStr">
        <is>
          <t>Plane-and-foot setup with a hexagon, routine once the base plane is spotted; the PDF solution contains a conceptual slip.</t>
        </is>
      </c>
      <c r="O25" s="3" t="inlineStr">
        <is>
          <t>2024-P2-Q6 (L1) and 2025-P1-Q5 (L3)</t>
        </is>
      </c>
      <c r="P25" s="2" t="inlineStr">
        <is>
          <t>Medium</t>
        </is>
      </c>
    </row>
    <row r="26">
      <c r="A26" s="2" t="n">
        <v>25</v>
      </c>
      <c r="B26" s="2" t="inlineStr"/>
      <c r="C26" s="2" t="inlineStr">
        <is>
          <t>Q25</t>
        </is>
      </c>
      <c r="D26" s="2" t="inlineStr">
        <is>
          <t>MCQ</t>
        </is>
      </c>
      <c r="E26" s="3" t="inlineStr">
        <is>
          <t>Vector &amp; 3D Geometry</t>
        </is>
      </c>
      <c r="F26" s="2" t="n">
        <v>4</v>
      </c>
      <c r="G26" s="6" t="n">
        <v>3</v>
      </c>
      <c r="H26" s="6" t="inlineStr">
        <is>
          <t>Average Advanced</t>
        </is>
      </c>
      <c r="I26" s="5" t="n">
        <v>0</v>
      </c>
      <c r="J26" s="5" t="n">
        <v>2.5</v>
      </c>
      <c r="K26" s="5">
        <f>MIN(5,MAX(G26+I26,J26))</f>
        <v/>
      </c>
      <c r="L26" s="5">
        <f>F26*K26</f>
        <v/>
      </c>
      <c r="M26" s="3" t="inlineStr">
        <is>
          <t>Equal cross products with b mean c - d is parallel to b, so d = c + mu b and b, c, d are coplanar.</t>
        </is>
      </c>
      <c r="N26" s="3" t="inlineStr">
        <is>
          <t>Short interplay of cross-product equality and coplanarity; each statement is a quick check once d = c + mu b is known.</t>
        </is>
      </c>
      <c r="O26" s="3" t="inlineStr">
        <is>
          <t>2024-P2-Q6 (L1) and 2023-P2-Q4 (L1)</t>
        </is>
      </c>
      <c r="P26" s="2" t="inlineStr">
        <is>
          <t>Medium</t>
        </is>
      </c>
    </row>
    <row r="27">
      <c r="A27" s="2" t="n">
        <v>26</v>
      </c>
      <c r="B27" s="2" t="inlineStr"/>
      <c r="C27" s="2" t="inlineStr">
        <is>
          <t>Q26</t>
        </is>
      </c>
      <c r="D27" s="2" t="inlineStr">
        <is>
          <t>MCQ</t>
        </is>
      </c>
      <c r="E27" s="3" t="inlineStr">
        <is>
          <t>Vector &amp; 3D Geometry</t>
        </is>
      </c>
      <c r="F27" s="2" t="n">
        <v>4</v>
      </c>
      <c r="G27" s="6" t="n">
        <v>3</v>
      </c>
      <c r="H27" s="6" t="inlineStr">
        <is>
          <t>Average Advanced</t>
        </is>
      </c>
      <c r="I27" s="5" t="n">
        <v>0</v>
      </c>
      <c r="J27" s="5" t="n">
        <v>2.5</v>
      </c>
      <c r="K27" s="5">
        <f>MIN(5,MAX(G27+I27,J27))</f>
        <v/>
      </c>
      <c r="L27" s="5">
        <f>F27*K27</f>
        <v/>
      </c>
      <c r="M27" s="3" t="inlineStr">
        <is>
          <t>Dotting with a, b, c gives three equations (x = y = -z); the volume comes from the Gram determinant 27/2.</t>
        </is>
      </c>
      <c r="N27" s="3" t="inlineStr">
        <is>
          <t>Gram determinant, three simultaneous dot-product equations and a lattice-point count: four statements each needing a genuine check (level 3 like other multi-statement vector MCQs).</t>
        </is>
      </c>
      <c r="O27" s="3" t="inlineStr">
        <is>
          <t>2025-P1-Q5 (L3) and 2026-P1-Q6 (L3)</t>
        </is>
      </c>
      <c r="P27" s="2" t="inlineStr">
        <is>
          <t>Medium</t>
        </is>
      </c>
    </row>
    <row r="28">
      <c r="A28" s="2" t="n">
        <v>27</v>
      </c>
      <c r="B28" s="2" t="inlineStr"/>
      <c r="C28" s="2" t="inlineStr">
        <is>
          <t>Q27</t>
        </is>
      </c>
      <c r="D28" s="2" t="inlineStr">
        <is>
          <t>MCQ</t>
        </is>
      </c>
      <c r="E28" s="3" t="inlineStr">
        <is>
          <t>Vector &amp; 3D Geometry</t>
        </is>
      </c>
      <c r="F28" s="2" t="n">
        <v>4</v>
      </c>
      <c r="G28" s="6" t="n">
        <v>3</v>
      </c>
      <c r="H28" s="6" t="inlineStr">
        <is>
          <t>Average Advanced</t>
        </is>
      </c>
      <c r="I28" s="5" t="n">
        <v>0</v>
      </c>
      <c r="J28" s="5" t="n">
        <v>2.5</v>
      </c>
      <c r="K28" s="5">
        <f>MIN(5,MAX(G28+I28,J28))</f>
        <v/>
      </c>
      <c r="L28" s="5">
        <f>F28*K28</f>
        <v/>
      </c>
      <c r="M28" s="3" t="inlineStr">
        <is>
          <t>The cross-product relation gives (a - c) x b = 0, i.e. a = lambda b + c, so a, b, c are coplanar.</t>
        </is>
      </c>
      <c r="N28" s="3" t="inlineStr">
        <is>
          <t>One short deduction, then four quick checks (one is an identity, one a counterexample); a few ideas across statements.</t>
        </is>
      </c>
      <c r="O28" s="3" t="inlineStr">
        <is>
          <t>2024-P2-Q6 (L1) and 2023-P2-Q4 (L1)</t>
        </is>
      </c>
      <c r="P28" s="2" t="inlineStr">
        <is>
          <t>Medium</t>
        </is>
      </c>
    </row>
    <row r="29">
      <c r="A29" s="2" t="n">
        <v>28</v>
      </c>
      <c r="B29" s="2" t="inlineStr"/>
      <c r="C29" s="2" t="inlineStr">
        <is>
          <t>Q28</t>
        </is>
      </c>
      <c r="D29" s="2" t="inlineStr">
        <is>
          <t>MCQ</t>
        </is>
      </c>
      <c r="E29" s="3" t="inlineStr">
        <is>
          <t>Vector &amp; 3D Geometry</t>
        </is>
      </c>
      <c r="F29" s="2" t="n">
        <v>4</v>
      </c>
      <c r="G29" s="6" t="n">
        <v>3</v>
      </c>
      <c r="H29" s="6" t="inlineStr">
        <is>
          <t>Average Advanced</t>
        </is>
      </c>
      <c r="I29" s="5" t="n">
        <v>0</v>
      </c>
      <c r="J29" s="5" t="n">
        <v>2.5</v>
      </c>
      <c r="K29" s="5">
        <f>MIN(5,MAX(G29+I29,J29))</f>
        <v/>
      </c>
      <c r="L29" s="5">
        <f>F29*K29</f>
        <v/>
      </c>
      <c r="M29" s="3" t="inlineStr">
        <is>
          <t>The normals are the vectors from each point to its foot; then P3 = P1 + lambda P2 fixed by the mid-point.</t>
        </is>
      </c>
      <c r="N29" s="3" t="inlineStr">
        <is>
          <t>Standard plane-pencil work with several checks; a few routine stages but no insight (cf. 2024-P2-Q6 L1 and 2026-P1-Q6 L3).</t>
        </is>
      </c>
      <c r="O29" s="3" t="inlineStr">
        <is>
          <t>2026-P1-Q6 (L3) and 2025-P1-Q5 (L3)</t>
        </is>
      </c>
      <c r="P29" s="2" t="inlineStr">
        <is>
          <t>Medium</t>
        </is>
      </c>
    </row>
    <row r="30">
      <c r="A30" s="2" t="n">
        <v>29</v>
      </c>
      <c r="B30" s="2" t="inlineStr"/>
      <c r="C30" s="2" t="inlineStr">
        <is>
          <t>Q29</t>
        </is>
      </c>
      <c r="D30" s="2" t="inlineStr">
        <is>
          <t>MCQ</t>
        </is>
      </c>
      <c r="E30" s="3" t="inlineStr">
        <is>
          <t>Vector &amp; 3D Geometry</t>
        </is>
      </c>
      <c r="F30" s="2" t="n">
        <v>4</v>
      </c>
      <c r="G30" s="4" t="n">
        <v>2</v>
      </c>
      <c r="H30" s="4" t="inlineStr">
        <is>
          <t>Easier than Advanced</t>
        </is>
      </c>
      <c r="I30" s="5" t="n">
        <v>0</v>
      </c>
      <c r="J30" s="5" t="n">
        <v>2.5</v>
      </c>
      <c r="K30" s="5">
        <f>MIN(5,MAX(G30+I30,J30))</f>
        <v/>
      </c>
      <c r="L30" s="5">
        <f>F30*K30</f>
        <v/>
      </c>
      <c r="M30" s="3" t="inlineStr">
        <is>
          <t>The identity for all x gives a1 + a2 = 0 and a3 = 2 a2, so a is a multiple of (-1, 1, 2).</t>
        </is>
      </c>
      <c r="N30" s="3" t="inlineStr">
        <is>
          <t>Easy coefficient comparison then four short numerical checks; routine multi-concept MCQ (cf. 2024-P2-Q6 L1, floor 2.5 applies).</t>
        </is>
      </c>
      <c r="O30" s="3" t="inlineStr">
        <is>
          <t>2024-P2-Q6 (L1)</t>
        </is>
      </c>
      <c r="P30" s="2" t="inlineStr">
        <is>
          <t>Medium</t>
        </is>
      </c>
    </row>
    <row r="31">
      <c r="A31" s="2" t="n">
        <v>30</v>
      </c>
      <c r="B31" s="2" t="inlineStr"/>
      <c r="C31" s="2" t="inlineStr">
        <is>
          <t>Q30</t>
        </is>
      </c>
      <c r="D31" s="2" t="inlineStr">
        <is>
          <t>MCQ</t>
        </is>
      </c>
      <c r="E31" s="3" t="inlineStr">
        <is>
          <t>Vector &amp; 3D Geometry</t>
        </is>
      </c>
      <c r="F31" s="2" t="n">
        <v>4</v>
      </c>
      <c r="G31" s="6" t="n">
        <v>3</v>
      </c>
      <c r="H31" s="6" t="inlineStr">
        <is>
          <t>Average Advanced</t>
        </is>
      </c>
      <c r="I31" s="5" t="n">
        <v>0</v>
      </c>
      <c r="J31" s="5" t="n">
        <v>2.5</v>
      </c>
      <c r="K31" s="5">
        <f>MIN(5,MAX(G31+I31,J31))</f>
        <v/>
      </c>
      <c r="L31" s="5">
        <f>F31*K31</f>
        <v/>
      </c>
      <c r="M31" s="3" t="inlineStr">
        <is>
          <t>The altitude is 2 (from the volume), so AE = 2 sqrt3 by Pythagoras and E lies on both sides of A on the median.</t>
        </is>
      </c>
      <c r="N31" s="3" t="inlineStr">
        <is>
          <t>Standard tetrahedron facts then a distance condition giving two solutions; four statements each need checking.</t>
        </is>
      </c>
      <c r="O31" s="3" t="inlineStr">
        <is>
          <t>2025-P1-Q5 (L3) and 2024-P2-Q6 (L1)</t>
        </is>
      </c>
      <c r="P31" s="2" t="inlineStr">
        <is>
          <t>Medium</t>
        </is>
      </c>
    </row>
    <row r="32">
      <c r="A32" s="2" t="n">
        <v>31</v>
      </c>
      <c r="B32" s="2" t="inlineStr"/>
      <c r="C32" s="2" t="inlineStr">
        <is>
          <t>Q31</t>
        </is>
      </c>
      <c r="D32" s="2" t="inlineStr">
        <is>
          <t>MCQ</t>
        </is>
      </c>
      <c r="E32" s="3" t="inlineStr">
        <is>
          <t>Vector &amp; 3D Geometry</t>
        </is>
      </c>
      <c r="F32" s="2" t="n">
        <v>4</v>
      </c>
      <c r="G32" s="6" t="n">
        <v>3</v>
      </c>
      <c r="H32" s="6" t="inlineStr">
        <is>
          <t>Average Advanced</t>
        </is>
      </c>
      <c r="I32" s="5" t="n">
        <v>0</v>
      </c>
      <c r="J32" s="5" t="n">
        <v>0</v>
      </c>
      <c r="K32" s="5">
        <f>MIN(5,MAX(G32+I32,J32))</f>
        <v/>
      </c>
      <c r="L32" s="5">
        <f>F32*K32</f>
        <v/>
      </c>
      <c r="M32" s="3" t="inlineStr">
        <is>
          <t>Each factor is a combination of a x b, b x c, c x a, so the triple product is the 3x3 coefficient determinant (7) times [a b c]^2.</t>
        </is>
      </c>
      <c r="N32" s="3" t="inlineStr">
        <is>
          <t>One standard identity (triple product of combinations) plus a determinant, with two correct options to verify; direct but multi-step.</t>
        </is>
      </c>
      <c r="O32" s="3" t="inlineStr">
        <is>
          <t>2025-P2-Q12 (L4) and 2026-P1-Q6 (L3)</t>
        </is>
      </c>
      <c r="P32" s="2" t="inlineStr">
        <is>
          <t>Medium</t>
        </is>
      </c>
    </row>
    <row r="33">
      <c r="A33" s="2" t="n">
        <v>32</v>
      </c>
      <c r="B33" s="2" t="inlineStr"/>
      <c r="C33" s="2" t="inlineStr">
        <is>
          <t>Q32</t>
        </is>
      </c>
      <c r="D33" s="2" t="inlineStr">
        <is>
          <t>MCQ</t>
        </is>
      </c>
      <c r="E33" s="3" t="inlineStr">
        <is>
          <t>Vector &amp; 3D Geometry</t>
        </is>
      </c>
      <c r="F33" s="2" t="n">
        <v>4</v>
      </c>
      <c r="G33" s="4" t="n">
        <v>2</v>
      </c>
      <c r="H33" s="4" t="inlineStr">
        <is>
          <t>Easier than Advanced</t>
        </is>
      </c>
      <c r="I33" s="5" t="n">
        <v>0</v>
      </c>
      <c r="J33" s="5" t="n">
        <v>2.5</v>
      </c>
      <c r="K33" s="5">
        <f>MIN(5,MAX(G33+I33,J33))</f>
        <v/>
      </c>
      <c r="L33" s="5">
        <f>F33*K33</f>
        <v/>
      </c>
      <c r="M33" s="3" t="inlineStr">
        <is>
          <t>Compute r = 2i + j and s = -i + 2j; they are perpendicular and of equal length.</t>
        </is>
      </c>
      <c r="N33" s="3" t="inlineStr">
        <is>
          <t>Plain component computation with four routine checks; each is one or two lines.</t>
        </is>
      </c>
      <c r="O33" s="3" t="inlineStr">
        <is>
          <t>2024-P2-Q6 (L1)</t>
        </is>
      </c>
      <c r="P33" s="2" t="inlineStr">
        <is>
          <t>Medium</t>
        </is>
      </c>
    </row>
    <row r="34">
      <c r="A34" s="2" t="n">
        <v>33</v>
      </c>
      <c r="B34" s="2" t="inlineStr"/>
      <c r="C34" s="2" t="inlineStr">
        <is>
          <t>Q33</t>
        </is>
      </c>
      <c r="D34" s="2" t="inlineStr">
        <is>
          <t>MCQ</t>
        </is>
      </c>
      <c r="E34" s="3" t="inlineStr">
        <is>
          <t>Vector &amp; 3D Geometry</t>
        </is>
      </c>
      <c r="F34" s="2" t="n">
        <v>4</v>
      </c>
      <c r="G34" s="4" t="n">
        <v>2</v>
      </c>
      <c r="H34" s="4" t="inlineStr">
        <is>
          <t>Easier than Advanced</t>
        </is>
      </c>
      <c r="I34" s="5" t="n">
        <v>0</v>
      </c>
      <c r="J34" s="5" t="n">
        <v>2.5</v>
      </c>
      <c r="K34" s="5">
        <f>MIN(5,MAX(G34+I34,J34))</f>
        <v/>
      </c>
      <c r="L34" s="5">
        <f>F34*K34</f>
        <v/>
      </c>
      <c r="M34" s="3" t="inlineStr">
        <is>
          <t>Collinearity reduces to cos x = x, and an increasing function x - cos x has exactly one zero, between pi/6 and pi/3.</t>
        </is>
      </c>
      <c r="N34" s="3" t="inlineStr">
        <is>
          <t>Short reduction to one transcendental equation; monotonicity and two sign checks decide each option.</t>
        </is>
      </c>
      <c r="O34" s="3" t="inlineStr">
        <is>
          <t>2024-P2-Q6 (L1)</t>
        </is>
      </c>
      <c r="P34" s="2" t="inlineStr">
        <is>
          <t>Medium</t>
        </is>
      </c>
    </row>
    <row r="35">
      <c r="A35" s="2" t="n">
        <v>34</v>
      </c>
      <c r="B35" s="2" t="inlineStr"/>
      <c r="C35" s="2" t="inlineStr">
        <is>
          <t>Q34</t>
        </is>
      </c>
      <c r="D35" s="2" t="inlineStr">
        <is>
          <t>MCQ</t>
        </is>
      </c>
      <c r="E35" s="3" t="inlineStr">
        <is>
          <t>Vector &amp; 3D Geometry</t>
        </is>
      </c>
      <c r="F35" s="2" t="n">
        <v>4</v>
      </c>
      <c r="G35" s="4" t="n">
        <v>2</v>
      </c>
      <c r="H35" s="4" t="inlineStr">
        <is>
          <t>Easier than Advanced</t>
        </is>
      </c>
      <c r="I35" s="5" t="n">
        <v>0</v>
      </c>
      <c r="J35" s="5" t="n">
        <v>2.5</v>
      </c>
      <c r="K35" s="5">
        <f>MIN(5,MAX(G35+I35,J35))</f>
        <v/>
      </c>
      <c r="L35" s="5">
        <f>F35*K35</f>
        <v/>
      </c>
      <c r="M35" s="3" t="inlineStr">
        <is>
          <t>Non-coplanar vectors are independent, so equate coefficients of p, q, r to get a 3x3 linear system.</t>
        </is>
      </c>
      <c r="N35" s="3" t="inlineStr">
        <is>
          <t>Comparison of coefficients then an easy 3x3 system; routine, two ideas.</t>
        </is>
      </c>
      <c r="O35" s="3" t="inlineStr">
        <is>
          <t>2024-P2-Q6 (L1) and 2026-P2-Q3 (L2)</t>
        </is>
      </c>
      <c r="P35" s="2" t="inlineStr">
        <is>
          <t>Medium</t>
        </is>
      </c>
    </row>
    <row r="36">
      <c r="A36" s="2" t="n">
        <v>35</v>
      </c>
      <c r="B36" s="2" t="inlineStr"/>
      <c r="C36" s="2" t="inlineStr">
        <is>
          <t>Q35</t>
        </is>
      </c>
      <c r="D36" s="2" t="inlineStr">
        <is>
          <t>MCQ</t>
        </is>
      </c>
      <c r="E36" s="3" t="inlineStr">
        <is>
          <t>Vector &amp; 3D Geometry</t>
        </is>
      </c>
      <c r="F36" s="2" t="n">
        <v>4</v>
      </c>
      <c r="G36" s="8" t="n">
        <v>4</v>
      </c>
      <c r="H36" s="8" t="inlineStr">
        <is>
          <t>Slightly difficult</t>
        </is>
      </c>
      <c r="I36" s="5" t="n">
        <v>0</v>
      </c>
      <c r="J36" s="5" t="n">
        <v>2.5</v>
      </c>
      <c r="K36" s="5">
        <f>MIN(5,MAX(G36+I36,J36))</f>
        <v/>
      </c>
      <c r="L36" s="5">
        <f>F36*K36</f>
        <v/>
      </c>
      <c r="M36" s="3" t="inlineStr">
        <is>
          <t>Both the projection and the image pass through L intersect Pi; use d - k (d.n/|n|^2) n with k = 1 and 2, and d x n for the perpendicular plane.</t>
        </is>
      </c>
      <c r="N36" s="3" t="inlineStr">
        <is>
          <t>Long chain (intersection, projection, reflection, plane through line perpendicular to a plane, distance of a point from a line) with heavy exact arithmetic; four statements to settle.</t>
        </is>
      </c>
      <c r="O36" s="3" t="inlineStr">
        <is>
          <t>2026-P1-Q6 (L3) and 2025-P1-Q5 (L3)</t>
        </is>
      </c>
      <c r="P36" s="2" t="inlineStr">
        <is>
          <t>Low</t>
        </is>
      </c>
    </row>
    <row r="37">
      <c r="A37" s="2" t="n">
        <v>36</v>
      </c>
      <c r="B37" s="2" t="inlineStr"/>
      <c r="C37" s="2" t="inlineStr">
        <is>
          <t>Q36</t>
        </is>
      </c>
      <c r="D37" s="2" t="inlineStr">
        <is>
          <t>Para SCQ</t>
        </is>
      </c>
      <c r="E37" s="3" t="inlineStr">
        <is>
          <t>Vector &amp; 3D Geometry</t>
        </is>
      </c>
      <c r="F37" s="2" t="n">
        <v>3</v>
      </c>
      <c r="G37" s="4" t="n">
        <v>2</v>
      </c>
      <c r="H37" s="4" t="inlineStr">
        <is>
          <t>Easier than Advanced</t>
        </is>
      </c>
      <c r="I37" s="5" t="n">
        <v>0</v>
      </c>
      <c r="J37" s="5" t="n">
        <v>0</v>
      </c>
      <c r="K37" s="5">
        <f>MIN(5,MAX(G37+I37,J37))</f>
        <v/>
      </c>
      <c r="L37" s="5">
        <f>F37*K37</f>
        <v/>
      </c>
      <c r="M37" s="3" t="inlineStr">
        <is>
          <t>The triangle is isosceles with apex B, so H lies on the median BM; AH perpendicular to BC fixes the position.</t>
        </is>
      </c>
      <c r="N37" s="3" t="inlineStr">
        <is>
          <t>Short coordinate argument (isosceles, one perpendicularity), routine; cf. 2026-P2-Q7 L3 for a longer version.</t>
        </is>
      </c>
      <c r="O37" s="3" t="inlineStr">
        <is>
          <t>2026-P2-Q7 (L3) and 2026-P2-Q1 (L2)</t>
        </is>
      </c>
      <c r="P37" s="2" t="inlineStr">
        <is>
          <t>Medium</t>
        </is>
      </c>
    </row>
    <row r="38">
      <c r="A38" s="2" t="n">
        <v>37</v>
      </c>
      <c r="B38" s="2" t="inlineStr"/>
      <c r="C38" s="2" t="inlineStr">
        <is>
          <t>Q37</t>
        </is>
      </c>
      <c r="D38" s="2" t="inlineStr">
        <is>
          <t>Para SCQ</t>
        </is>
      </c>
      <c r="E38" s="3" t="inlineStr">
        <is>
          <t>Vector &amp; 3D Geometry</t>
        </is>
      </c>
      <c r="F38" s="2" t="n">
        <v>3</v>
      </c>
      <c r="G38" s="6" t="n">
        <v>3</v>
      </c>
      <c r="H38" s="6" t="inlineStr">
        <is>
          <t>Average Advanced</t>
        </is>
      </c>
      <c r="I38" s="5" t="n">
        <v>0</v>
      </c>
      <c r="J38" s="5" t="n">
        <v>0</v>
      </c>
      <c r="K38" s="5">
        <f>MIN(5,MAX(G38+I38,J38))</f>
        <v/>
      </c>
      <c r="L38" s="5">
        <f>F38*K38</f>
        <v/>
      </c>
      <c r="M38" s="3" t="inlineStr">
        <is>
          <t>Use the Euler line relation H = 3G - 2S to get S from the previous H and the centroid.</t>
        </is>
      </c>
      <c r="N38" s="3" t="inlineStr">
        <is>
          <t>Relies on the Euler-line idea (or direct three-equation solving); one extra concept beyond the previous part.</t>
        </is>
      </c>
      <c r="O38" s="3" t="inlineStr">
        <is>
          <t>2026-P2-Q7 (L3)</t>
        </is>
      </c>
      <c r="P38" s="2" t="inlineStr">
        <is>
          <t>Medium</t>
        </is>
      </c>
    </row>
    <row r="39">
      <c r="A39" s="2" t="n">
        <v>38</v>
      </c>
      <c r="B39" s="2" t="inlineStr"/>
      <c r="C39" s="2" t="inlineStr">
        <is>
          <t>Q38</t>
        </is>
      </c>
      <c r="D39" s="2" t="inlineStr">
        <is>
          <t>Para SCQ</t>
        </is>
      </c>
      <c r="E39" s="3" t="inlineStr">
        <is>
          <t>Vector &amp; 3D Geometry</t>
        </is>
      </c>
      <c r="F39" s="2" t="n">
        <v>3</v>
      </c>
      <c r="G39" s="4" t="n">
        <v>2</v>
      </c>
      <c r="H39" s="4" t="inlineStr">
        <is>
          <t>Easier than Advanced</t>
        </is>
      </c>
      <c r="I39" s="5" t="n">
        <v>0</v>
      </c>
      <c r="J39" s="5" t="n">
        <v>0</v>
      </c>
      <c r="K39" s="5">
        <f>MIN(5,MAX(G39+I39,J39))</f>
        <v/>
      </c>
      <c r="L39" s="5">
        <f>F39*K39</f>
        <v/>
      </c>
      <c r="M39" s="3" t="inlineStr">
        <is>
          <t>Equidistance from O and each vertex on an axis fixes each coordinate of P at half the intercept.</t>
        </is>
      </c>
      <c r="N39" s="3" t="inlineStr">
        <is>
          <t>Three one-line equations; routine.</t>
        </is>
      </c>
      <c r="O39" s="3" t="inlineStr">
        <is>
          <t>2026-P2-Q1 (L2)</t>
        </is>
      </c>
      <c r="P39" s="2" t="inlineStr">
        <is>
          <t>Medium</t>
        </is>
      </c>
    </row>
    <row r="40">
      <c r="A40" s="2" t="n">
        <v>39</v>
      </c>
      <c r="B40" s="2" t="inlineStr"/>
      <c r="C40" s="2" t="inlineStr">
        <is>
          <t>Q39</t>
        </is>
      </c>
      <c r="D40" s="2" t="inlineStr">
        <is>
          <t>Para SCQ</t>
        </is>
      </c>
      <c r="E40" s="3" t="inlineStr">
        <is>
          <t>Vector &amp; 3D Geometry</t>
        </is>
      </c>
      <c r="F40" s="2" t="n">
        <v>3</v>
      </c>
      <c r="G40" s="8" t="n">
        <v>4</v>
      </c>
      <c r="H40" s="8" t="inlineStr">
        <is>
          <t>Slightly difficult</t>
        </is>
      </c>
      <c r="I40" s="5" t="n">
        <v>0</v>
      </c>
      <c r="J40" s="5" t="n">
        <v>0</v>
      </c>
      <c r="K40" s="5">
        <f>MIN(5,MAX(G40+I40,J40))</f>
        <v/>
      </c>
      <c r="L40" s="5">
        <f>F40*K40</f>
        <v/>
      </c>
      <c r="M40" s="3" t="inlineStr">
        <is>
          <t>First get y = (a x b)/r from the product of the two cross-product equations; then cross (i) with y to isolate x.</t>
        </is>
      </c>
      <c r="N40" s="3" t="inlineStr">
        <is>
          <t>Long chain of vector-triple-product manipulations with non-routine identities; precision risk is high and the idea is less practised.</t>
        </is>
      </c>
      <c r="O40" s="3" t="inlineStr">
        <is>
          <t>2025-P2-Q12 (L4) and 2021-P1-Q19 (L3)</t>
        </is>
      </c>
      <c r="P40" s="2" t="inlineStr">
        <is>
          <t>Medium</t>
        </is>
      </c>
    </row>
    <row r="41">
      <c r="A41" s="2" t="n">
        <v>40</v>
      </c>
      <c r="B41" s="2" t="inlineStr"/>
      <c r="C41" s="2" t="inlineStr">
        <is>
          <t>Q40</t>
        </is>
      </c>
      <c r="D41" s="2" t="inlineStr">
        <is>
          <t>Para SCQ</t>
        </is>
      </c>
      <c r="E41" s="3" t="inlineStr">
        <is>
          <t>Vector &amp; 3D Geometry</t>
        </is>
      </c>
      <c r="F41" s="2" t="n">
        <v>3</v>
      </c>
      <c r="G41" s="6" t="n">
        <v>3</v>
      </c>
      <c r="H41" s="6" t="inlineStr">
        <is>
          <t>Average Advanced</t>
        </is>
      </c>
      <c r="I41" s="5" t="n">
        <v>0</v>
      </c>
      <c r="J41" s="5" t="n">
        <v>0</v>
      </c>
      <c r="K41" s="5">
        <f>MIN(5,MAX(G41+I41,J41))</f>
        <v/>
      </c>
      <c r="L41" s="5">
        <f>F41*K41</f>
        <v/>
      </c>
      <c r="M41" s="3" t="inlineStr">
        <is>
          <t>The product (x x y) x (y x z) of two cross products sharing y equals [x y z] y.</t>
        </is>
      </c>
      <c r="N41" s="3" t="inlineStr">
        <is>
          <t>One identity (cross of two cross products) does the job; a recognition of the pattern is needed, otherwise short.</t>
        </is>
      </c>
      <c r="O41" s="3" t="inlineStr">
        <is>
          <t>2024-P2-Q11 (L0) and 2025-P2-Q12 (L4)</t>
        </is>
      </c>
      <c r="P41" s="2" t="inlineStr">
        <is>
          <t>Low</t>
        </is>
      </c>
    </row>
    <row r="42">
      <c r="A42" s="2" t="n">
        <v>41</v>
      </c>
      <c r="B42" s="2" t="inlineStr"/>
      <c r="C42" s="2" t="inlineStr">
        <is>
          <t>Q41</t>
        </is>
      </c>
      <c r="D42" s="2" t="inlineStr">
        <is>
          <t>Para SCQ</t>
        </is>
      </c>
      <c r="E42" s="3" t="inlineStr">
        <is>
          <t>Vector &amp; 3D Geometry</t>
        </is>
      </c>
      <c r="F42" s="2" t="n">
        <v>3</v>
      </c>
      <c r="G42" s="8" t="n">
        <v>4</v>
      </c>
      <c r="H42" s="8" t="inlineStr">
        <is>
          <t>Slightly difficult</t>
        </is>
      </c>
      <c r="I42" s="5" t="n">
        <v>0</v>
      </c>
      <c r="J42" s="5" t="n">
        <v>0</v>
      </c>
      <c r="K42" s="5">
        <f>MIN(5,MAX(G42+I42,J42))</f>
        <v/>
      </c>
      <c r="L42" s="5">
        <f>F42*K42</f>
        <v/>
      </c>
      <c r="M42" s="3" t="inlineStr">
        <is>
          <t>Cross (ii) with y to express z through y and b x y, using y.z = 1 and |y|^2 known from the earlier part.</t>
        </is>
      </c>
      <c r="N42" s="3" t="inlineStr">
        <is>
          <t>Same non-routine triple-product manipulation as the previous part, one more stage with sign care; precision risk.</t>
        </is>
      </c>
      <c r="O42" s="3" t="inlineStr">
        <is>
          <t>2025-P2-Q12 (L4) and 2021-P1-Q19 (L3)</t>
        </is>
      </c>
      <c r="P42" s="2" t="inlineStr">
        <is>
          <t>Medium</t>
        </is>
      </c>
    </row>
    <row r="43">
      <c r="A43" s="2" t="n">
        <v>42</v>
      </c>
      <c r="B43" s="2" t="inlineStr"/>
      <c r="C43" s="2" t="inlineStr">
        <is>
          <t>Q42</t>
        </is>
      </c>
      <c r="D43" s="2" t="inlineStr">
        <is>
          <t>Para SCQ</t>
        </is>
      </c>
      <c r="E43" s="3" t="inlineStr">
        <is>
          <t>Vector &amp; 3D Geometry</t>
        </is>
      </c>
      <c r="F43" s="2" t="n">
        <v>3</v>
      </c>
      <c r="G43" s="4" t="n">
        <v>2</v>
      </c>
      <c r="H43" s="4" t="inlineStr">
        <is>
          <t>Easier than Advanced</t>
        </is>
      </c>
      <c r="I43" s="5" t="n">
        <v>0</v>
      </c>
      <c r="J43" s="5" t="n">
        <v>0</v>
      </c>
      <c r="K43" s="5">
        <f>MIN(5,MAX(G43+I43,J43))</f>
        <v/>
      </c>
      <c r="L43" s="5">
        <f>F43*K43</f>
        <v/>
      </c>
      <c r="M43" s="3" t="inlineStr">
        <is>
          <t>The squared direction cosine with the z-axis equals cos^2 60 = 1/4 for QP, giving x^2 + y^2 = 3 (z - 2)^2.</t>
        </is>
      </c>
      <c r="N43" s="3" t="inlineStr">
        <is>
          <t>Single standard locus (cone) derivation; two lines of algebra.</t>
        </is>
      </c>
      <c r="O43" s="3" t="inlineStr">
        <is>
          <t>2026-P2-Q1 (L2)</t>
        </is>
      </c>
      <c r="P43" s="2" t="inlineStr">
        <is>
          <t>Medium</t>
        </is>
      </c>
    </row>
    <row r="44">
      <c r="A44" s="2" t="n">
        <v>43</v>
      </c>
      <c r="B44" s="2" t="inlineStr"/>
      <c r="C44" s="2" t="inlineStr">
        <is>
          <t>Q43</t>
        </is>
      </c>
      <c r="D44" s="2" t="inlineStr">
        <is>
          <t>Para SCQ</t>
        </is>
      </c>
      <c r="E44" s="3" t="inlineStr">
        <is>
          <t>Vector &amp; 3D Geometry</t>
        </is>
      </c>
      <c r="F44" s="2" t="n">
        <v>3</v>
      </c>
      <c r="G44" s="6" t="n">
        <v>3</v>
      </c>
      <c r="H44" s="6" t="inlineStr">
        <is>
          <t>Average Advanced</t>
        </is>
      </c>
      <c r="I44" s="5" t="n">
        <v>0</v>
      </c>
      <c r="J44" s="5" t="n">
        <v>0</v>
      </c>
      <c r="K44" s="5">
        <f>MIN(5,MAX(G44+I44,J44))</f>
        <v/>
      </c>
      <c r="L44" s="5">
        <f>F44*K44</f>
        <v/>
      </c>
      <c r="M44" s="3" t="inlineStr">
        <is>
          <t>The plane passes through the vertex, so substituting it in the cone gives a homogeneous quadratic: a pair of lines when its discriminant is positive.</t>
        </is>
      </c>
      <c r="N44" s="3" t="inlineStr">
        <is>
          <t>Substitution plus a discriminant; an extra concept (plane through the vertex) beyond the previous part.</t>
        </is>
      </c>
      <c r="O44" s="3" t="inlineStr">
        <is>
          <t>2025-P2-Q4 (L3) and 2026-P2-Q1 (L2)</t>
        </is>
      </c>
      <c r="P44" s="2" t="inlineStr">
        <is>
          <t>Medium</t>
        </is>
      </c>
    </row>
    <row r="45">
      <c r="A45" s="2" t="n">
        <v>44</v>
      </c>
      <c r="B45" s="2" t="inlineStr"/>
      <c r="C45" s="2" t="inlineStr">
        <is>
          <t>Q44</t>
        </is>
      </c>
      <c r="D45" s="2" t="inlineStr">
        <is>
          <t>Para SCQ</t>
        </is>
      </c>
      <c r="E45" s="3" t="inlineStr">
        <is>
          <t>Vector &amp; 3D Geometry</t>
        </is>
      </c>
      <c r="F45" s="2" t="n">
        <v>3</v>
      </c>
      <c r="G45" s="4" t="n">
        <v>2</v>
      </c>
      <c r="H45" s="4" t="inlineStr">
        <is>
          <t>Easier than Advanced</t>
        </is>
      </c>
      <c r="I45" s="5" t="n">
        <v>0</v>
      </c>
      <c r="J45" s="5" t="n">
        <v>0</v>
      </c>
      <c r="K45" s="5">
        <f>MIN(5,MAX(G45+I45,J45))</f>
        <v/>
      </c>
      <c r="L45" s="5">
        <f>F45*K45</f>
        <v/>
      </c>
      <c r="M45" s="3" t="inlineStr">
        <is>
          <t>A plane parallel to the cone's axis and not through the vertex gives a hyperbola.</t>
        </is>
      </c>
      <c r="N45" s="3" t="inlineStr">
        <is>
          <t>Recall of the conic-section classification plus a quick check; routine.</t>
        </is>
      </c>
      <c r="O45" s="3" t="inlineStr">
        <is>
          <t>2025-P2-Q4 (L3) and 2026-P2-Q1 (L2)</t>
        </is>
      </c>
      <c r="P45" s="2" t="inlineStr">
        <is>
          <t>Medium</t>
        </is>
      </c>
    </row>
    <row r="46">
      <c r="A46" s="2" t="n">
        <v>45</v>
      </c>
      <c r="B46" s="2" t="inlineStr"/>
      <c r="C46" s="2" t="inlineStr">
        <is>
          <t>Q45</t>
        </is>
      </c>
      <c r="D46" s="2" t="inlineStr">
        <is>
          <t>Numerical</t>
        </is>
      </c>
      <c r="E46" s="3" t="inlineStr">
        <is>
          <t>Vector &amp; 3D Geometry</t>
        </is>
      </c>
      <c r="F46" s="2" t="n">
        <v>4</v>
      </c>
      <c r="G46" s="4" t="n">
        <v>2</v>
      </c>
      <c r="H46" s="4" t="inlineStr">
        <is>
          <t>Easier than Advanced</t>
        </is>
      </c>
      <c r="I46" s="5" t="n">
        <v>0</v>
      </c>
      <c r="J46" s="5" t="n">
        <v>0</v>
      </c>
      <c r="K46" s="5">
        <f>MIN(5,MAX(G46+I46,J46))</f>
        <v/>
      </c>
      <c r="L46" s="5">
        <f>F46*K46</f>
        <v/>
      </c>
      <c r="M46" s="3" t="inlineStr">
        <is>
          <t>Two successive cross products with gamma rotate by 90 degrees twice and scale by |gamma|^2, so |beta| = |gamma|^3 |alpha| sin(theta).</t>
        </is>
      </c>
      <c r="N46" s="3" t="inlineStr">
        <is>
          <t>Magnitudes only, using perpendicularity twice; short and not hidden if the geometry of cross products is known.</t>
        </is>
      </c>
      <c r="O46" s="3" t="inlineStr">
        <is>
          <t>2024-P2-Q11 (L0) and 2026-P2-Q1 (L2)</t>
        </is>
      </c>
      <c r="P46" s="2" t="inlineStr">
        <is>
          <t>Medium</t>
        </is>
      </c>
    </row>
    <row r="47">
      <c r="A47" s="2" t="n">
        <v>46</v>
      </c>
      <c r="B47" s="2" t="inlineStr"/>
      <c r="C47" s="2" t="inlineStr">
        <is>
          <t>Q46</t>
        </is>
      </c>
      <c r="D47" s="2" t="inlineStr">
        <is>
          <t>Numerical</t>
        </is>
      </c>
      <c r="E47" s="3" t="inlineStr">
        <is>
          <t>Vector &amp; 3D Geometry</t>
        </is>
      </c>
      <c r="F47" s="2" t="n">
        <v>4</v>
      </c>
      <c r="G47" s="4" t="n">
        <v>2</v>
      </c>
      <c r="H47" s="4" t="inlineStr">
        <is>
          <t>Easier than Advanced</t>
        </is>
      </c>
      <c r="I47" s="5" t="n">
        <v>0</v>
      </c>
      <c r="J47" s="5" t="n">
        <v>0</v>
      </c>
      <c r="K47" s="5">
        <f>MIN(5,MAX(G47+I47,J47))</f>
        <v/>
      </c>
      <c r="L47" s="5">
        <f>F47*K47</f>
        <v/>
      </c>
      <c r="M47" s="3" t="inlineStr">
        <is>
          <t>The plane contains the line direction (1,-1,0) and M = (1,2,3), giving x + y - 3z = -6 and intercepts -6, -6, 2.</t>
        </is>
      </c>
      <c r="N47" s="3" t="inlineStr">
        <is>
          <t>Routine plane through a line and a point, then intercepts and volume; a few standard steps.</t>
        </is>
      </c>
      <c r="O47" s="3" t="inlineStr">
        <is>
          <t>2026-P2-Q1 (L2) and 2024-P1-Q12 (L1)</t>
        </is>
      </c>
      <c r="P47" s="2" t="inlineStr">
        <is>
          <t>Medium</t>
        </is>
      </c>
    </row>
    <row r="48">
      <c r="A48" s="2" t="n">
        <v>47</v>
      </c>
      <c r="B48" s="2" t="inlineStr"/>
      <c r="C48" s="2" t="inlineStr">
        <is>
          <t>Q47</t>
        </is>
      </c>
      <c r="D48" s="2" t="inlineStr">
        <is>
          <t>Numerical</t>
        </is>
      </c>
      <c r="E48" s="3" t="inlineStr">
        <is>
          <t>Vector &amp; 3D Geometry</t>
        </is>
      </c>
      <c r="F48" s="2" t="n">
        <v>4</v>
      </c>
      <c r="G48" s="6" t="n">
        <v>3</v>
      </c>
      <c r="H48" s="6" t="inlineStr">
        <is>
          <t>Average Advanced</t>
        </is>
      </c>
      <c r="I48" s="5" t="n">
        <v>0</v>
      </c>
      <c r="J48" s="5" t="n">
        <v>0</v>
      </c>
      <c r="K48" s="5">
        <f>MIN(5,MAX(G48+I48,J48))</f>
        <v/>
      </c>
      <c r="L48" s="5">
        <f>F48*K48</f>
        <v/>
      </c>
      <c r="M48" s="3" t="inlineStr">
        <is>
          <t>Make AP parallel to the plane by dotting with the normal; for d2 intersect the line through A parallel to L with the plane.</t>
        </is>
      </c>
      <c r="N48" s="3" t="inlineStr">
        <is>
          <t>Two oblique-distance computations; requires clear handling of 'measured parallel to' (idea availability moderate), then routine algebra.</t>
        </is>
      </c>
      <c r="O48" s="3" t="inlineStr">
        <is>
          <t>2024-P1-Q12 (L1) and 2023-P1-Q5 (L3)</t>
        </is>
      </c>
      <c r="P48" s="2" t="inlineStr">
        <is>
          <t>Medium</t>
        </is>
      </c>
    </row>
    <row r="49">
      <c r="A49" s="2" t="n">
        <v>48</v>
      </c>
      <c r="B49" s="2" t="inlineStr"/>
      <c r="C49" s="2" t="inlineStr">
        <is>
          <t>Q48</t>
        </is>
      </c>
      <c r="D49" s="2" t="inlineStr">
        <is>
          <t>Numerical</t>
        </is>
      </c>
      <c r="E49" s="3" t="inlineStr">
        <is>
          <t>Vector &amp; 3D Geometry</t>
        </is>
      </c>
      <c r="F49" s="2" t="n">
        <v>4</v>
      </c>
      <c r="G49" s="6" t="n">
        <v>3</v>
      </c>
      <c r="H49" s="6" t="inlineStr">
        <is>
          <t>Average Advanced</t>
        </is>
      </c>
      <c r="I49" s="5" t="n">
        <v>0</v>
      </c>
      <c r="J49" s="5" t="n">
        <v>0</v>
      </c>
      <c r="K49" s="5">
        <f>MIN(5,MAX(G49+I49,J49))</f>
        <v/>
      </c>
      <c r="L49" s="5">
        <f>F49*K49</f>
        <v/>
      </c>
      <c r="M49" s="3" t="inlineStr">
        <is>
          <t>Common chord through the centre gives a + b = 50 so ab &lt;= 625; the right-angle rotation is the pencil member perpendicular to the original plane.</t>
        </is>
      </c>
      <c r="N49" s="3" t="inlineStr">
        <is>
          <t>Three stages (circle chord, AM-GM, plane pencil with perpendicularity); routine individually with a numeric final step.</t>
        </is>
      </c>
      <c r="O49" s="3" t="inlineStr">
        <is>
          <t>2025-P1-Q5 (L3) and 2026-P1-Q6 (L3)</t>
        </is>
      </c>
      <c r="P49" s="2" t="inlineStr">
        <is>
          <t>Medium</t>
        </is>
      </c>
    </row>
    <row r="50">
      <c r="A50" s="2" t="n">
        <v>49</v>
      </c>
      <c r="B50" s="2" t="inlineStr"/>
      <c r="C50" s="2" t="inlineStr">
        <is>
          <t>Q49</t>
        </is>
      </c>
      <c r="D50" s="2" t="inlineStr">
        <is>
          <t>Numerical</t>
        </is>
      </c>
      <c r="E50" s="3" t="inlineStr">
        <is>
          <t>Vector &amp; 3D Geometry</t>
        </is>
      </c>
      <c r="F50" s="2" t="n">
        <v>4</v>
      </c>
      <c r="G50" s="6" t="n">
        <v>3</v>
      </c>
      <c r="H50" s="6" t="inlineStr">
        <is>
          <t>Average Advanced</t>
        </is>
      </c>
      <c r="I50" s="5" t="n">
        <v>0</v>
      </c>
      <c r="J50" s="5" t="n">
        <v>0</v>
      </c>
      <c r="K50" s="5">
        <f>MIN(5,MAX(G50+I50,J50))</f>
        <v/>
      </c>
      <c r="L50" s="5">
        <f>F50*K50</f>
        <v/>
      </c>
      <c r="M50" s="3" t="inlineStr">
        <is>
          <t>For perpendicular vectors each double cross product gives minus |a|^2 times a vector, leaving mutually perpendicular cross products.</t>
        </is>
      </c>
      <c r="N50" s="3" t="inlineStr">
        <is>
          <t>Three double cross products with the same pattern, then a Pythagoras sum; a little arithmetic care (precision).</t>
        </is>
      </c>
      <c r="O50" s="3" t="inlineStr">
        <is>
          <t>2025-P2-Q12 (L4) and 2026-P2-Q1 (L2)</t>
        </is>
      </c>
      <c r="P50" s="2" t="inlineStr">
        <is>
          <t>Medium</t>
        </is>
      </c>
    </row>
    <row r="51">
      <c r="A51" s="2" t="n">
        <v>50</v>
      </c>
      <c r="B51" s="2" t="inlineStr"/>
      <c r="C51" s="2" t="inlineStr">
        <is>
          <t>Q50</t>
        </is>
      </c>
      <c r="D51" s="2" t="inlineStr">
        <is>
          <t>Numerical</t>
        </is>
      </c>
      <c r="E51" s="3" t="inlineStr">
        <is>
          <t>Vector &amp; 3D Geometry</t>
        </is>
      </c>
      <c r="F51" s="2" t="n">
        <v>4</v>
      </c>
      <c r="G51" s="4" t="n">
        <v>2</v>
      </c>
      <c r="H51" s="4" t="inlineStr">
        <is>
          <t>Easier than Advanced</t>
        </is>
      </c>
      <c r="I51" s="5" t="n">
        <v>0</v>
      </c>
      <c r="J51" s="5" t="n">
        <v>0</v>
      </c>
      <c r="K51" s="5">
        <f>MIN(5,MAX(G51+I51,J51))</f>
        <v/>
      </c>
      <c r="L51" s="5">
        <f>F51*K51</f>
        <v/>
      </c>
      <c r="M51" s="3" t="inlineStr">
        <is>
          <t>The median from P is the projection of PQ on the line direction (isosceles triangle PQQ').</t>
        </is>
      </c>
      <c r="N51" s="3" t="inlineStr">
        <is>
          <t>One familiar idea (reflection and projection); a few arithmetic lines.</t>
        </is>
      </c>
      <c r="O51" s="3" t="inlineStr">
        <is>
          <t>2024-P1-Q12 (L1) and 2026-P2-Q1 (L2)</t>
        </is>
      </c>
      <c r="P51" s="2" t="inlineStr">
        <is>
          <t>Medium</t>
        </is>
      </c>
    </row>
    <row r="52">
      <c r="A52" s="2" t="n">
        <v>51</v>
      </c>
      <c r="B52" s="2" t="inlineStr"/>
      <c r="C52" s="2" t="inlineStr">
        <is>
          <t>Q51</t>
        </is>
      </c>
      <c r="D52" s="2" t="inlineStr">
        <is>
          <t>Numerical</t>
        </is>
      </c>
      <c r="E52" s="3" t="inlineStr">
        <is>
          <t>Vector &amp; 3D Geometry</t>
        </is>
      </c>
      <c r="F52" s="2" t="n">
        <v>4</v>
      </c>
      <c r="G52" s="4" t="n">
        <v>2</v>
      </c>
      <c r="H52" s="4" t="inlineStr">
        <is>
          <t>Easier than Advanced</t>
        </is>
      </c>
      <c r="I52" s="5" t="n">
        <v>0</v>
      </c>
      <c r="J52" s="5" t="n">
        <v>0</v>
      </c>
      <c r="K52" s="5">
        <f>MIN(5,MAX(G52+I52,J52))</f>
        <v/>
      </c>
      <c r="L52" s="5">
        <f>F52*K52</f>
        <v/>
      </c>
      <c r="M52" s="3" t="inlineStr">
        <is>
          <t>Perpendicular directions give b^2 = ac; then cos B = (a/c + c/a)/2 - 1/2 &gt;= 1/2.</t>
        </is>
      </c>
      <c r="N52" s="3" t="inlineStr">
        <is>
          <t>Direction ratios, one condition and an AM-GM; standard cross-chapter question with a short path.</t>
        </is>
      </c>
      <c r="O52" s="3" t="inlineStr">
        <is>
          <t>2024-P1-Q12 (L1) and 2026-P2-Q1 (L2)</t>
        </is>
      </c>
      <c r="P52" s="2" t="inlineStr">
        <is>
          <t>Medium</t>
        </is>
      </c>
    </row>
    <row r="53">
      <c r="A53" s="2" t="n">
        <v>52</v>
      </c>
      <c r="B53" s="2" t="inlineStr"/>
      <c r="C53" s="2" t="inlineStr">
        <is>
          <t>Q52</t>
        </is>
      </c>
      <c r="D53" s="2" t="inlineStr">
        <is>
          <t>Numerical</t>
        </is>
      </c>
      <c r="E53" s="3" t="inlineStr">
        <is>
          <t>Vector &amp; 3D Geometry</t>
        </is>
      </c>
      <c r="F53" s="2" t="n">
        <v>4</v>
      </c>
      <c r="G53" s="6" t="n">
        <v>3</v>
      </c>
      <c r="H53" s="6" t="inlineStr">
        <is>
          <t>Average Advanced</t>
        </is>
      </c>
      <c r="I53" s="5" t="n">
        <v>0</v>
      </c>
      <c r="J53" s="5" t="n">
        <v>0</v>
      </c>
      <c r="K53" s="5">
        <f>MIN(5,MAX(G53+I53,J53))</f>
        <v/>
      </c>
      <c r="L53" s="5">
        <f>F53*K53</f>
        <v/>
      </c>
      <c r="M53" s="3" t="inlineStr">
        <is>
          <t>Dot with b gives a.b = 3; crossing with b and eliminating b x alpha gives alpha = (3b + a + b x a)/2.</t>
        </is>
      </c>
      <c r="N53" s="3" t="inlineStr">
        <is>
          <t>Cross and dot with the unknown's coefficient vector to solve a linear vector equation; moderate algebra with cross-product identities.</t>
        </is>
      </c>
      <c r="O53" s="3" t="inlineStr">
        <is>
          <t>2025-P2-Q12 (L4) and 2024-P2-Q11 (L0)</t>
        </is>
      </c>
      <c r="P53" s="2" t="inlineStr">
        <is>
          <t>Medium</t>
        </is>
      </c>
    </row>
    <row r="54">
      <c r="A54" s="2" t="n">
        <v>53</v>
      </c>
      <c r="B54" s="2" t="inlineStr"/>
      <c r="C54" s="2" t="inlineStr">
        <is>
          <t>Q53</t>
        </is>
      </c>
      <c r="D54" s="2" t="inlineStr">
        <is>
          <t>Numerical</t>
        </is>
      </c>
      <c r="E54" s="3" t="inlineStr">
        <is>
          <t>Vector &amp; 3D Geometry</t>
        </is>
      </c>
      <c r="F54" s="2" t="n">
        <v>4</v>
      </c>
      <c r="G54" s="6" t="n">
        <v>3</v>
      </c>
      <c r="H54" s="6" t="inlineStr">
        <is>
          <t>Average Advanced</t>
        </is>
      </c>
      <c r="I54" s="5" t="n">
        <v>0</v>
      </c>
      <c r="J54" s="5" t="n">
        <v>0</v>
      </c>
      <c r="K54" s="5">
        <f>MIN(5,MAX(G54+I54,J54))</f>
        <v/>
      </c>
      <c r="L54" s="5">
        <f>F54*K54</f>
        <v/>
      </c>
      <c r="M54" s="3" t="inlineStr">
        <is>
          <t>B is the mid-point of EF, so AE + AF = 2 AB, and the condition reduces to BC.AF = 0.</t>
        </is>
      </c>
      <c r="N54" s="3" t="inlineStr">
        <is>
          <t>The solution is two lines once AE + AF = 2AB is seen; the PDF's solution belonged to another question and the figure is missing.</t>
        </is>
      </c>
      <c r="O54" s="3" t="inlineStr">
        <is>
          <t>2025-P1-Q9 (L4) and 2024-P2-Q11 (L0)</t>
        </is>
      </c>
      <c r="P54" s="2" t="inlineStr">
        <is>
          <t>Low</t>
        </is>
      </c>
    </row>
    <row r="55">
      <c r="A55" s="2" t="n">
        <v>54</v>
      </c>
      <c r="B55" s="2" t="inlineStr"/>
      <c r="C55" s="2" t="inlineStr">
        <is>
          <t>Q54</t>
        </is>
      </c>
      <c r="D55" s="2" t="inlineStr">
        <is>
          <t>Numerical</t>
        </is>
      </c>
      <c r="E55" s="3" t="inlineStr">
        <is>
          <t>Vector &amp; 3D Geometry</t>
        </is>
      </c>
      <c r="F55" s="2" t="n">
        <v>4</v>
      </c>
      <c r="G55" s="4" t="n">
        <v>2</v>
      </c>
      <c r="H55" s="4" t="inlineStr">
        <is>
          <t>Easier than Advanced</t>
        </is>
      </c>
      <c r="I55" s="5" t="n">
        <v>0</v>
      </c>
      <c r="J55" s="5" t="n">
        <v>0</v>
      </c>
      <c r="K55" s="5">
        <f>MIN(5,MAX(G55+I55,J55))</f>
        <v/>
      </c>
      <c r="L55" s="5">
        <f>F55*K55</f>
        <v/>
      </c>
      <c r="M55" s="3" t="inlineStr">
        <is>
          <t>The edges at M are themselves the altitudes from L, N, O, so 1/h^2 = 1/4 + 1/9 + 1.</t>
        </is>
      </c>
      <c r="N55" s="3" t="inlineStr">
        <is>
          <t>Recognising that the given altitudes equal the edges, then one formula; short.</t>
        </is>
      </c>
      <c r="O55" s="3" t="inlineStr">
        <is>
          <t>2023-P1-Q5 (L3) and 2024-P2-Q11 (L0)</t>
        </is>
      </c>
      <c r="P55" s="2" t="inlineStr">
        <is>
          <t>Medium</t>
        </is>
      </c>
    </row>
    <row r="56">
      <c r="A56" s="2" t="n">
        <v>55</v>
      </c>
      <c r="B56" s="2" t="inlineStr"/>
      <c r="C56" s="2" t="inlineStr">
        <is>
          <t>Q55</t>
        </is>
      </c>
      <c r="D56" s="2" t="inlineStr">
        <is>
          <t>Numerical</t>
        </is>
      </c>
      <c r="E56" s="3" t="inlineStr">
        <is>
          <t>Vector &amp; 3D Geometry</t>
        </is>
      </c>
      <c r="F56" s="2" t="n">
        <v>4</v>
      </c>
      <c r="G56" s="6" t="n">
        <v>3</v>
      </c>
      <c r="H56" s="6" t="inlineStr">
        <is>
          <t>Average Advanced</t>
        </is>
      </c>
      <c r="I56" s="5" t="n">
        <v>0</v>
      </c>
      <c r="J56" s="5" t="n">
        <v>0</v>
      </c>
      <c r="K56" s="5">
        <f>MIN(5,MAX(G56+I56,J56))</f>
        <v/>
      </c>
      <c r="L56" s="5">
        <f>F56*K56</f>
        <v/>
      </c>
      <c r="M56" s="3" t="inlineStr">
        <is>
          <t>The matrix of 1 + a_i.a_j is M M^T with M having rows (1, a_i), so the determinant is (2 x area)^2.</t>
        </is>
      </c>
      <c r="N56" s="3" t="inlineStr">
        <is>
          <t>Needs the recognition that the dot-product determinant equals a squared area (idea availability), then a quick triangle area.</t>
        </is>
      </c>
      <c r="O56" s="3" t="inlineStr">
        <is>
          <t>2025-P2-Q12 (L4) and 2023-P1-Q5 (L3)</t>
        </is>
      </c>
      <c r="P56" s="2" t="inlineStr">
        <is>
          <t>Medium</t>
        </is>
      </c>
    </row>
    <row r="57">
      <c r="A57" s="2" t="n">
        <v>56</v>
      </c>
      <c r="B57" s="2" t="inlineStr"/>
      <c r="C57" s="2" t="inlineStr">
        <is>
          <t>Q56</t>
        </is>
      </c>
      <c r="D57" s="2" t="inlineStr">
        <is>
          <t>Numerical</t>
        </is>
      </c>
      <c r="E57" s="3" t="inlineStr">
        <is>
          <t>Vector &amp; 3D Geometry</t>
        </is>
      </c>
      <c r="F57" s="2" t="n">
        <v>4</v>
      </c>
      <c r="G57" s="4" t="n">
        <v>2</v>
      </c>
      <c r="H57" s="4" t="inlineStr">
        <is>
          <t>Easier than Advanced</t>
        </is>
      </c>
      <c r="I57" s="5" t="n">
        <v>0</v>
      </c>
      <c r="J57" s="5" t="n">
        <v>0</v>
      </c>
      <c r="K57" s="5">
        <f>MIN(5,MAX(G57+I57,J57))</f>
        <v/>
      </c>
      <c r="L57" s="5">
        <f>F57*K57</f>
        <v/>
      </c>
      <c r="M57" s="3" t="inlineStr">
        <is>
          <t>With pairwise angles given, V^2 = det(Gram)/36 where the Gram entries are a.b = 6, b.c = 6, c.a = -1.</t>
        </is>
      </c>
      <c r="N57" s="3" t="inlineStr">
        <is>
          <t>Standard Gram determinant evaluation with careful arithmetic and a prime factorisation; precision risk moderate.</t>
        </is>
      </c>
      <c r="O57" s="3" t="inlineStr">
        <is>
          <t>2021-P1-Q19 (L3) and 2023-P1-Q5 (L3)</t>
        </is>
      </c>
      <c r="P57" s="2" t="inlineStr">
        <is>
          <t>Medium</t>
        </is>
      </c>
    </row>
    <row r="58">
      <c r="A58" s="2" t="n">
        <v>57</v>
      </c>
      <c r="B58" s="2" t="inlineStr"/>
      <c r="C58" s="2" t="inlineStr">
        <is>
          <t>Q57</t>
        </is>
      </c>
      <c r="D58" s="2" t="inlineStr">
        <is>
          <t>Numerical</t>
        </is>
      </c>
      <c r="E58" s="3" t="inlineStr">
        <is>
          <t>Vector &amp; 3D Geometry</t>
        </is>
      </c>
      <c r="F58" s="2" t="n">
        <v>4</v>
      </c>
      <c r="G58" s="4" t="n">
        <v>2</v>
      </c>
      <c r="H58" s="4" t="inlineStr">
        <is>
          <t>Easier than Advanced</t>
        </is>
      </c>
      <c r="I58" s="5" t="n">
        <v>0</v>
      </c>
      <c r="J58" s="5" t="n">
        <v>0</v>
      </c>
      <c r="K58" s="5">
        <f>MIN(5,MAX(G58+I58,J58))</f>
        <v/>
      </c>
      <c r="L58" s="5">
        <f>F58*K58</f>
        <v/>
      </c>
      <c r="M58" s="3" t="inlineStr">
        <is>
          <t>The sum of the four pyramid volumes with apex at the incentre equals the tetrahedron's volume: r = 3V / total surface area.</t>
        </is>
      </c>
      <c r="N58" s="3" t="inlineStr">
        <is>
          <t>Standard inscribed-sphere formula with a few area computations; routine, an integer-type answer.</t>
        </is>
      </c>
      <c r="O58" s="3" t="inlineStr">
        <is>
          <t>2023-P1-Q5 (L3) and 2024-P2-Q11 (L0)</t>
        </is>
      </c>
      <c r="P58" s="2" t="inlineStr">
        <is>
          <t>Medium</t>
        </is>
      </c>
    </row>
    <row r="59">
      <c r="A59" s="2" t="n">
        <v>58</v>
      </c>
      <c r="B59" s="2" t="inlineStr"/>
      <c r="C59" s="2" t="inlineStr">
        <is>
          <t>Q58</t>
        </is>
      </c>
      <c r="D59" s="2" t="inlineStr">
        <is>
          <t>Numerical</t>
        </is>
      </c>
      <c r="E59" s="3" t="inlineStr">
        <is>
          <t>Vector &amp; 3D Geometry</t>
        </is>
      </c>
      <c r="F59" s="2" t="n">
        <v>4</v>
      </c>
      <c r="G59" s="4" t="n">
        <v>2</v>
      </c>
      <c r="H59" s="4" t="inlineStr">
        <is>
          <t>Easier than Advanced</t>
        </is>
      </c>
      <c r="I59" s="5" t="n">
        <v>0</v>
      </c>
      <c r="J59" s="5" t="n">
        <v>0</v>
      </c>
      <c r="K59" s="5">
        <f>MIN(5,MAX(G59+I59,J59))</f>
        <v/>
      </c>
      <c r="L59" s="5">
        <f>F59*K59</f>
        <v/>
      </c>
      <c r="M59" s="3" t="inlineStr">
        <is>
          <t>The condition is the equality case of Cauchy-Schwarz with a minus sign: (alpha, beta, gamma) is anti-parallel to (x, y, z).</t>
        </is>
      </c>
      <c r="N59" s="3" t="inlineStr">
        <is>
          <t>One recognition (equality in Cauchy-Schwarz); the rest is immediate.</t>
        </is>
      </c>
      <c r="O59" s="3" t="inlineStr">
        <is>
          <t>2024-P2-Q3 (L1)</t>
        </is>
      </c>
      <c r="P59" s="2" t="inlineStr">
        <is>
          <t>Medium</t>
        </is>
      </c>
    </row>
    <row r="60">
      <c r="A60" s="2" t="n">
        <v>59</v>
      </c>
      <c r="B60" s="2" t="inlineStr"/>
      <c r="C60" s="2" t="inlineStr">
        <is>
          <t>Q59</t>
        </is>
      </c>
      <c r="D60" s="2" t="inlineStr">
        <is>
          <t>Numerical</t>
        </is>
      </c>
      <c r="E60" s="3" t="inlineStr">
        <is>
          <t>Vector &amp; 3D Geometry</t>
        </is>
      </c>
      <c r="F60" s="2" t="n">
        <v>4</v>
      </c>
      <c r="G60" s="6" t="n">
        <v>3</v>
      </c>
      <c r="H60" s="6" t="inlineStr">
        <is>
          <t>Average Advanced</t>
        </is>
      </c>
      <c r="I60" s="5" t="n">
        <v>0</v>
      </c>
      <c r="J60" s="5" t="n">
        <v>0</v>
      </c>
      <c r="K60" s="5">
        <f>MIN(5,MAX(G60+I60,J60))</f>
        <v/>
      </c>
      <c r="L60" s="5">
        <f>F60*K60</f>
        <v/>
      </c>
      <c r="M60" s="3" t="inlineStr">
        <is>
          <t>L is parallel to the plane, so PQ = AB and R is at the constant distance 1/5 from L1; area = half of sqrt26 x 1/5.</t>
        </is>
      </c>
      <c r="N60" s="3" t="inlineStr">
        <is>
          <t>Needs the observation that the line is parallel to the plane; then a short area; the 'least value' phrase adds a small trap.</t>
        </is>
      </c>
      <c r="O60" s="3" t="inlineStr">
        <is>
          <t>2025-P1-Q5 (L3) and 2023-P1-Q5 (L3)</t>
        </is>
      </c>
      <c r="P60" s="2" t="inlineStr">
        <is>
          <t>Medium</t>
        </is>
      </c>
    </row>
    <row r="61">
      <c r="A61" s="2" t="n">
        <v>60</v>
      </c>
      <c r="B61" s="2" t="inlineStr"/>
      <c r="C61" s="2" t="inlineStr">
        <is>
          <t>Q60</t>
        </is>
      </c>
      <c r="D61" s="2" t="inlineStr">
        <is>
          <t>Numerical</t>
        </is>
      </c>
      <c r="E61" s="3" t="inlineStr">
        <is>
          <t>Vector &amp; 3D Geometry</t>
        </is>
      </c>
      <c r="F61" s="2" t="n">
        <v>4</v>
      </c>
      <c r="G61" s="4" t="n">
        <v>2</v>
      </c>
      <c r="H61" s="4" t="inlineStr">
        <is>
          <t>Easier than Advanced</t>
        </is>
      </c>
      <c r="I61" s="5" t="n">
        <v>0</v>
      </c>
      <c r="J61" s="5" t="n">
        <v>0</v>
      </c>
      <c r="K61" s="5">
        <f>MIN(5,MAX(G61+I61,J61))</f>
        <v/>
      </c>
      <c r="L61" s="5">
        <f>F61*K61</f>
        <v/>
      </c>
      <c r="M61" s="3" t="inlineStr">
        <is>
          <t>Fix z (1 to 4) and count the positive solutions of x + 2y = 15 - 3z.</t>
        </is>
      </c>
      <c r="N61" s="3" t="inlineStr">
        <is>
          <t>Small casework with no insight; precision care only.</t>
        </is>
      </c>
      <c r="O61" s="3" t="inlineStr">
        <is>
          <t>2024-P2-Q11 (L0) and 2025-P1-Q9 (L4)</t>
        </is>
      </c>
      <c r="P61" s="2" t="inlineStr">
        <is>
          <t>Medium</t>
        </is>
      </c>
    </row>
    <row r="62">
      <c r="A62" s="2" t="n">
        <v>61</v>
      </c>
      <c r="B62" s="2" t="inlineStr"/>
      <c r="C62" s="2" t="inlineStr">
        <is>
          <t>Q61</t>
        </is>
      </c>
      <c r="D62" s="2" t="inlineStr">
        <is>
          <t>Numerical</t>
        </is>
      </c>
      <c r="E62" s="3" t="inlineStr">
        <is>
          <t>Vector &amp; 3D Geometry</t>
        </is>
      </c>
      <c r="F62" s="2" t="n">
        <v>4</v>
      </c>
      <c r="G62" s="6" t="n">
        <v>3</v>
      </c>
      <c r="H62" s="6" t="inlineStr">
        <is>
          <t>Average Advanced</t>
        </is>
      </c>
      <c r="I62" s="5" t="n">
        <v>0</v>
      </c>
      <c r="J62" s="5" t="n">
        <v>0</v>
      </c>
      <c r="K62" s="5">
        <f>MIN(5,MAX(G62+I62,J62))</f>
        <v/>
      </c>
      <c r="L62" s="5">
        <f>F62*K62</f>
        <v/>
      </c>
      <c r="M62" s="3" t="inlineStr">
        <is>
          <t>The shortest distance from an edge to its skew diagonal gives 1/l^2 = 1/b^2 + 1/c^2, so the sum is twice 1/OA^2 + 1/OB^2 + 1/OC^2.</t>
        </is>
      </c>
      <c r="N62" s="3" t="inlineStr">
        <is>
          <t>Standard skew-line distance in a cuboid, repeated cyclically; the PDF stops after one sentence, the work itself is routine. (cf. 2023-P1-Q5 L3, which is harder.)</t>
        </is>
      </c>
      <c r="O62" s="3" t="inlineStr">
        <is>
          <t>2023-P1-Q5 (L3)</t>
        </is>
      </c>
      <c r="P62" s="2" t="inlineStr">
        <is>
          <t>Medium</t>
        </is>
      </c>
    </row>
    <row r="63">
      <c r="A63" s="2" t="n">
        <v>62</v>
      </c>
      <c r="B63" s="2" t="inlineStr"/>
      <c r="C63" s="2" t="inlineStr">
        <is>
          <t>Q62</t>
        </is>
      </c>
      <c r="D63" s="2" t="inlineStr">
        <is>
          <t>Numerical</t>
        </is>
      </c>
      <c r="E63" s="3" t="inlineStr">
        <is>
          <t>Vector &amp; 3D Geometry</t>
        </is>
      </c>
      <c r="F63" s="2" t="n">
        <v>4</v>
      </c>
      <c r="G63" s="4" t="n">
        <v>2</v>
      </c>
      <c r="H63" s="4" t="inlineStr">
        <is>
          <t>Easier than Advanced</t>
        </is>
      </c>
      <c r="I63" s="5" t="n">
        <v>0</v>
      </c>
      <c r="J63" s="5" t="n">
        <v>0</v>
      </c>
      <c r="K63" s="5">
        <f>MIN(5,MAX(G63+I63,J63))</f>
        <v/>
      </c>
      <c r="L63" s="5">
        <f>F63*K63</f>
        <v/>
      </c>
      <c r="M63" s="3" t="inlineStr">
        <is>
          <t>Perpendicular means a + b + c = 0; count the non-zero triples from {-2,...,2}.</t>
        </is>
      </c>
      <c r="N63" s="3" t="inlineStr">
        <is>
          <t>Short casework or stars-and-bars; one small trap (zero vector). Routine counting.</t>
        </is>
      </c>
      <c r="O63" s="3" t="inlineStr">
        <is>
          <t>2021-P2-Q1 (L2) and 2024-P2-Q11 (L0)</t>
        </is>
      </c>
      <c r="P63" s="2" t="inlineStr">
        <is>
          <t>Medium</t>
        </is>
      </c>
    </row>
    <row r="64">
      <c r="A64" s="2" t="n">
        <v>63</v>
      </c>
      <c r="B64" s="2" t="inlineStr"/>
      <c r="C64" s="2" t="inlineStr">
        <is>
          <t>Q63</t>
        </is>
      </c>
      <c r="D64" s="2" t="inlineStr">
        <is>
          <t>Numerical</t>
        </is>
      </c>
      <c r="E64" s="3" t="inlineStr">
        <is>
          <t>Vector &amp; 3D Geometry</t>
        </is>
      </c>
      <c r="F64" s="2" t="n">
        <v>4</v>
      </c>
      <c r="G64" s="7" t="n">
        <v>1</v>
      </c>
      <c r="H64" s="7" t="inlineStr">
        <is>
          <t>JEE Main level</t>
        </is>
      </c>
      <c r="I64" s="5" t="n">
        <v>0</v>
      </c>
      <c r="J64" s="5" t="n">
        <v>0</v>
      </c>
      <c r="K64" s="5">
        <f>MIN(5,MAX(G64+I64,J64))</f>
        <v/>
      </c>
      <c r="L64" s="5">
        <f>F64*K64</f>
        <v/>
      </c>
      <c r="M64" s="3" t="inlineStr">
        <is>
          <t>The odd part of the polynomial cancels in f(2) + f(-2), leaving twice the constant term.</t>
        </is>
      </c>
      <c r="N64" s="3" t="inlineStr">
        <is>
          <t>One familiar move (odd function) applied once.</t>
        </is>
      </c>
      <c r="O64" s="3" t="inlineStr">
        <is>
          <t>2024-P2-Q3 (L1)</t>
        </is>
      </c>
      <c r="P64" s="2" t="inlineStr">
        <is>
          <t>High</t>
        </is>
      </c>
    </row>
    <row r="65">
      <c r="A65" s="2" t="n">
        <v>64</v>
      </c>
      <c r="B65" s="2" t="inlineStr"/>
      <c r="C65" s="2" t="inlineStr">
        <is>
          <t>Q64</t>
        </is>
      </c>
      <c r="D65" s="2" t="inlineStr">
        <is>
          <t>Numerical</t>
        </is>
      </c>
      <c r="E65" s="3" t="inlineStr">
        <is>
          <t>Vector &amp; 3D Geometry</t>
        </is>
      </c>
      <c r="F65" s="2" t="n">
        <v>4</v>
      </c>
      <c r="G65" s="7" t="n">
        <v>1</v>
      </c>
      <c r="H65" s="7" t="inlineStr">
        <is>
          <t>JEE Main level</t>
        </is>
      </c>
      <c r="I65" s="5" t="n">
        <v>0</v>
      </c>
      <c r="J65" s="5" t="n">
        <v>0</v>
      </c>
      <c r="K65" s="5">
        <f>MIN(5,MAX(G65+I65,J65))</f>
        <v/>
      </c>
      <c r="L65" s="5">
        <f>F65*K65</f>
        <v/>
      </c>
      <c r="M65" s="3" t="inlineStr">
        <is>
          <t>Opposite edges AB and CD of a regular tetrahedron are perpendicular, so the triangle on them is right-angled with legs a.</t>
        </is>
      </c>
      <c r="N65" s="3" t="inlineStr">
        <is>
          <t>Direct property of the regular tetrahedron and two area formulas; one familiar move.</t>
        </is>
      </c>
      <c r="O65" s="3" t="inlineStr">
        <is>
          <t>2024-P2-Q11 (L0) and 2024-P1-Q12 (L1)</t>
        </is>
      </c>
      <c r="P65" s="2" t="inlineStr">
        <is>
          <t>High</t>
        </is>
      </c>
    </row>
    <row r="66">
      <c r="A66" s="2" t="n">
        <v>65</v>
      </c>
      <c r="B66" s="2" t="inlineStr"/>
      <c r="C66" s="2" t="inlineStr">
        <is>
          <t>Q65</t>
        </is>
      </c>
      <c r="D66" s="2" t="inlineStr">
        <is>
          <t>Numerical</t>
        </is>
      </c>
      <c r="E66" s="3" t="inlineStr">
        <is>
          <t>Vector &amp; 3D Geometry</t>
        </is>
      </c>
      <c r="F66" s="2" t="n">
        <v>4</v>
      </c>
      <c r="G66" s="6" t="n">
        <v>3</v>
      </c>
      <c r="H66" s="6" t="inlineStr">
        <is>
          <t>Average Advanced</t>
        </is>
      </c>
      <c r="I66" s="5" t="n">
        <v>0</v>
      </c>
      <c r="J66" s="5" t="n">
        <v>0</v>
      </c>
      <c r="K66" s="5">
        <f>MIN(5,MAX(G66+I66,J66))</f>
        <v/>
      </c>
      <c r="L66" s="5">
        <f>F66*K66</f>
        <v/>
      </c>
      <c r="M66" s="3" t="inlineStr">
        <is>
          <t>Dot the relation with b to get b.c = 1 - [a b c]; squaring it gives 2[a b c] = 1 - |c|^2 cos^2(theta).</t>
        </is>
      </c>
      <c r="N66" s="3" t="inlineStr">
        <is>
          <t>Two linked identities then a bound; the existence of equality must be checked; moderate chain.</t>
        </is>
      </c>
      <c r="O66" s="3" t="inlineStr">
        <is>
          <t>2025-P2-Q12 (L4) and 2021-P1-Q19 (L3)</t>
        </is>
      </c>
      <c r="P66" s="2" t="inlineStr">
        <is>
          <t>Medium</t>
        </is>
      </c>
    </row>
    <row r="67">
      <c r="A67" s="2" t="n">
        <v>66</v>
      </c>
      <c r="B67" s="2" t="inlineStr"/>
      <c r="C67" s="2" t="inlineStr">
        <is>
          <t>Q66</t>
        </is>
      </c>
      <c r="D67" s="2" t="inlineStr">
        <is>
          <t>Numerical</t>
        </is>
      </c>
      <c r="E67" s="3" t="inlineStr">
        <is>
          <t>Vector &amp; 3D Geometry</t>
        </is>
      </c>
      <c r="F67" s="2" t="n">
        <v>4</v>
      </c>
      <c r="G67" s="6" t="n">
        <v>3</v>
      </c>
      <c r="H67" s="6" t="inlineStr">
        <is>
          <t>Average Advanced</t>
        </is>
      </c>
      <c r="I67" s="5" t="n">
        <v>0</v>
      </c>
      <c r="J67" s="5" t="n">
        <v>0</v>
      </c>
      <c r="K67" s="5">
        <f>MIN(5,MAX(G67+I67,J67))</f>
        <v/>
      </c>
      <c r="L67" s="5">
        <f>F67*K67</f>
        <v/>
      </c>
      <c r="M67" s="3" t="inlineStr">
        <is>
          <t>Expand each double cross product with the four-vector identity; the three leftover pieces sum to [a b c] d.</t>
        </is>
      </c>
      <c r="N67" s="3" t="inlineStr">
        <is>
          <t>Needs the (a x b) x (c x d) identity and the resolution of d in a basis; moderate algebra and idea availability.</t>
        </is>
      </c>
      <c r="O67" s="3" t="inlineStr">
        <is>
          <t>2025-P2-Q12 (L4) and 2021-P1-Q19 (L3)</t>
        </is>
      </c>
      <c r="P67" s="2" t="inlineStr">
        <is>
          <t>Medium</t>
        </is>
      </c>
    </row>
    <row r="68">
      <c r="A68" s="2" t="n">
        <v>67</v>
      </c>
      <c r="B68" s="2" t="inlineStr"/>
      <c r="C68" s="2" t="inlineStr">
        <is>
          <t>Q67</t>
        </is>
      </c>
      <c r="D68" s="2" t="inlineStr">
        <is>
          <t>Numerical</t>
        </is>
      </c>
      <c r="E68" s="3" t="inlineStr">
        <is>
          <t>Vector &amp; 3D Geometry</t>
        </is>
      </c>
      <c r="F68" s="2" t="n">
        <v>4</v>
      </c>
      <c r="G68" s="7" t="n">
        <v>1</v>
      </c>
      <c r="H68" s="7" t="inlineStr">
        <is>
          <t>JEE Main level</t>
        </is>
      </c>
      <c r="I68" s="5" t="n">
        <v>0</v>
      </c>
      <c r="J68" s="5" t="n">
        <v>0</v>
      </c>
      <c r="K68" s="5">
        <f>MIN(5,MAX(G68+I68,J68))</f>
        <v/>
      </c>
      <c r="L68" s="5">
        <f>F68*K68</f>
        <v/>
      </c>
      <c r="M68" s="3" t="inlineStr">
        <is>
          <t>a is perpendicular to b and (as given) equal in length, so v1 and v2 are perpendicular: the integrand is the constant pi/2.</t>
        </is>
      </c>
      <c r="N68" s="3" t="inlineStr">
        <is>
          <t>One recognition (perpendicular equal vectors keep the combinations perpendicular), then a trivial integral; the printed data have a flaw but the intended route is short.</t>
        </is>
      </c>
      <c r="O68" s="3" t="inlineStr">
        <is>
          <t>2024-P2-Q11 (L0) and 2023-P2-Q4 (L1)</t>
        </is>
      </c>
      <c r="P68" s="2" t="inlineStr">
        <is>
          <t>Medium</t>
        </is>
      </c>
    </row>
    <row r="69">
      <c r="A69" s="2" t="n">
        <v>68</v>
      </c>
      <c r="B69" s="2" t="inlineStr"/>
      <c r="C69" s="2" t="inlineStr">
        <is>
          <t>Q68</t>
        </is>
      </c>
      <c r="D69" s="2" t="inlineStr">
        <is>
          <t>Numerical</t>
        </is>
      </c>
      <c r="E69" s="3" t="inlineStr">
        <is>
          <t>Vector &amp; 3D Geometry</t>
        </is>
      </c>
      <c r="F69" s="2" t="n">
        <v>4</v>
      </c>
      <c r="G69" s="6" t="n">
        <v>3</v>
      </c>
      <c r="H69" s="6" t="inlineStr">
        <is>
          <t>Average Advanced</t>
        </is>
      </c>
      <c r="I69" s="5" t="n">
        <v>0</v>
      </c>
      <c r="J69" s="5" t="n">
        <v>0</v>
      </c>
      <c r="K69" s="5">
        <f>MIN(5,MAX(G69+I69,J69))</f>
        <v/>
      </c>
      <c r="L69" s="5">
        <f>F69*K69</f>
        <v/>
      </c>
      <c r="M69" s="3" t="inlineStr">
        <is>
          <t>3 p.q + 1 has the form a^3 + b^3 + c^3 - 3abc, so it is non-negative, zero iff sin x = tan x = 0.</t>
        </is>
      </c>
      <c r="N69" s="3" t="inlineStr">
        <is>
          <t>Recognising the hidden $a^3+b^3+c^3-3abc$ pattern is a non-routine idea; then standard summation.</t>
        </is>
      </c>
      <c r="O69" s="3" t="inlineStr">
        <is>
          <t>2025-P2-Q16 (L4) and 2026-P2-Q3 (L2)</t>
        </is>
      </c>
      <c r="P69" s="2" t="inlineStr">
        <is>
          <t>Medium</t>
        </is>
      </c>
    </row>
    <row r="70">
      <c r="A70" s="2" t="n">
        <v>69</v>
      </c>
      <c r="B70" s="2" t="inlineStr"/>
      <c r="C70" s="2" t="inlineStr">
        <is>
          <t>Q69</t>
        </is>
      </c>
      <c r="D70" s="2" t="inlineStr">
        <is>
          <t>Numerical</t>
        </is>
      </c>
      <c r="E70" s="3" t="inlineStr">
        <is>
          <t>Vector &amp; 3D Geometry</t>
        </is>
      </c>
      <c r="F70" s="2" t="n">
        <v>4</v>
      </c>
      <c r="G70" s="6" t="n">
        <v>3</v>
      </c>
      <c r="H70" s="6" t="inlineStr">
        <is>
          <t>Average Advanced</t>
        </is>
      </c>
      <c r="I70" s="5" t="n">
        <v>0</v>
      </c>
      <c r="J70" s="5" t="n">
        <v>0</v>
      </c>
      <c r="K70" s="5">
        <f>MIN(5,MAX(G70+I70,J70))</f>
        <v/>
      </c>
      <c r="L70" s="5">
        <f>F70*K70</f>
        <v/>
      </c>
      <c r="M70" s="3" t="inlineStr">
        <is>
          <t>Rotate V1 in the plane of V1 and j by 60 degrees; V3 is V1 rotated 90 degrees in the XOZ plane, so V1, V2, V3 are simple in an orthonormal frame.</t>
        </is>
      </c>
      <c r="N70" s="3" t="inlineStr">
        <is>
          <t>Rotation geometry with three vectors then a determinant; a few stages with sign choices, routine for a prepared student.</t>
        </is>
      </c>
      <c r="O70" s="3" t="inlineStr">
        <is>
          <t>2024-P1-Q12 (L1) and 2023-P1-Q12 (L5)</t>
        </is>
      </c>
      <c r="P70" s="2" t="inlineStr">
        <is>
          <t>Medium</t>
        </is>
      </c>
    </row>
    <row r="71">
      <c r="A71" s="2" t="n">
        <v>70</v>
      </c>
      <c r="B71" s="2" t="inlineStr"/>
      <c r="C71" s="2" t="inlineStr">
        <is>
          <t>Q70</t>
        </is>
      </c>
      <c r="D71" s="2" t="inlineStr">
        <is>
          <t>Numerical</t>
        </is>
      </c>
      <c r="E71" s="3" t="inlineStr">
        <is>
          <t>Vector &amp; 3D Geometry</t>
        </is>
      </c>
      <c r="F71" s="2" t="n">
        <v>4</v>
      </c>
      <c r="G71" s="4" t="n">
        <v>2</v>
      </c>
      <c r="H71" s="4" t="inlineStr">
        <is>
          <t>Easier than Advanced</t>
        </is>
      </c>
      <c r="I71" s="5" t="n">
        <v>0</v>
      </c>
      <c r="J71" s="5" t="n">
        <v>0</v>
      </c>
      <c r="K71" s="5">
        <f>MIN(5,MAX(G71+I71,J71))</f>
        <v/>
      </c>
      <c r="L71" s="5">
        <f>F71*K71</f>
        <v/>
      </c>
      <c r="M71" s="3" t="inlineStr">
        <is>
          <t>Interior points mean x, y, z &gt;= 1 and x + y + z &lt;= 7; a slack variable turns this into a stars-and-bars count C(7,3).</t>
        </is>
      </c>
      <c r="N71" s="3" t="inlineStr">
        <is>
          <t>One counting trick (stars and bars with a slack variable); straightforward.</t>
        </is>
      </c>
      <c r="O71" s="3" t="inlineStr">
        <is>
          <t>2021-P2-Q1 (L2)</t>
        </is>
      </c>
      <c r="P71" s="2" t="inlineStr">
        <is>
          <t>Medium</t>
        </is>
      </c>
    </row>
    <row r="72">
      <c r="A72" s="2" t="n">
        <v>71</v>
      </c>
      <c r="B72" s="2" t="inlineStr"/>
      <c r="C72" s="2" t="inlineStr">
        <is>
          <t>Q71</t>
        </is>
      </c>
      <c r="D72" s="2" t="inlineStr">
        <is>
          <t>Numerical</t>
        </is>
      </c>
      <c r="E72" s="3" t="inlineStr">
        <is>
          <t>Vector &amp; 3D Geometry</t>
        </is>
      </c>
      <c r="F72" s="2" t="n">
        <v>4</v>
      </c>
      <c r="G72" s="4" t="n">
        <v>2</v>
      </c>
      <c r="H72" s="4" t="inlineStr">
        <is>
          <t>Easier than Advanced</t>
        </is>
      </c>
      <c r="I72" s="5" t="n">
        <v>0</v>
      </c>
      <c r="J72" s="5" t="n">
        <v>0</v>
      </c>
      <c r="K72" s="5">
        <f>MIN(5,MAX(G72+I72,J72))</f>
        <v/>
      </c>
      <c r="L72" s="5">
        <f>F72*K72</f>
        <v/>
      </c>
      <c r="M72" s="3" t="inlineStr">
        <is>
          <t>The locus of M is the plane spanned by the two line directions through the weighted point of the base points.</t>
        </is>
      </c>
      <c r="N72" s="3" t="inlineStr">
        <is>
          <t>Section formula, elimination of two parameters; routine two-stage 3D question.</t>
        </is>
      </c>
      <c r="O72" s="3" t="inlineStr">
        <is>
          <t>2025-P1-Q5 (L3) and 2024-P1-Q12 (L1)</t>
        </is>
      </c>
      <c r="P72" s="2" t="inlineStr">
        <is>
          <t>Medium</t>
        </is>
      </c>
    </row>
    <row r="73">
      <c r="A73" s="2" t="n">
        <v>72</v>
      </c>
      <c r="B73" s="2" t="inlineStr"/>
      <c r="C73" s="2" t="inlineStr">
        <is>
          <t>Q72</t>
        </is>
      </c>
      <c r="D73" s="2" t="inlineStr">
        <is>
          <t>Numerical</t>
        </is>
      </c>
      <c r="E73" s="3" t="inlineStr">
        <is>
          <t>Vector &amp; 3D Geometry</t>
        </is>
      </c>
      <c r="F73" s="2" t="n">
        <v>4</v>
      </c>
      <c r="G73" s="6" t="n">
        <v>3</v>
      </c>
      <c r="H73" s="6" t="inlineStr">
        <is>
          <t>Average Advanced</t>
        </is>
      </c>
      <c r="I73" s="5" t="n">
        <v>0</v>
      </c>
      <c r="J73" s="5" t="n">
        <v>0</v>
      </c>
      <c r="K73" s="5">
        <f>MIN(5,MAX(G73+I73,J73))</f>
        <v/>
      </c>
      <c r="L73" s="5">
        <f>F73*K73</f>
        <v/>
      </c>
      <c r="M73" s="3" t="inlineStr">
        <is>
          <t>Express the three cross products through the reciprocal vectors (inverse Gram matrix) to read off the coefficient rows.</t>
        </is>
      </c>
      <c r="N73" s="3" t="inlineStr">
        <is>
          <t>Needs the reciprocal-basis idea and two 3x3 determinants with exact fractions; precision risk, though each step is mechanical.</t>
        </is>
      </c>
      <c r="O73" s="3" t="inlineStr">
        <is>
          <t>2025-P2-Q12 (L4) and 2021-P1-Q19 (L3)</t>
        </is>
      </c>
      <c r="P73" s="2" t="inlineStr">
        <is>
          <t>Low</t>
        </is>
      </c>
    </row>
    <row r="74">
      <c r="A74" s="2" t="n">
        <v>73</v>
      </c>
      <c r="B74" s="2" t="inlineStr"/>
      <c r="C74" s="2" t="inlineStr">
        <is>
          <t>Q73</t>
        </is>
      </c>
      <c r="D74" s="2" t="inlineStr">
        <is>
          <t>Numerical</t>
        </is>
      </c>
      <c r="E74" s="3" t="inlineStr">
        <is>
          <t>Vector &amp; 3D Geometry</t>
        </is>
      </c>
      <c r="F74" s="2" t="n">
        <v>4</v>
      </c>
      <c r="G74" s="4" t="n">
        <v>2</v>
      </c>
      <c r="H74" s="4" t="inlineStr">
        <is>
          <t>Easier than Advanced</t>
        </is>
      </c>
      <c r="I74" s="5" t="n">
        <v>0</v>
      </c>
      <c r="J74" s="5" t="n">
        <v>0</v>
      </c>
      <c r="K74" s="5">
        <f>MIN(5,MAX(G74+I74,J74))</f>
        <v/>
      </c>
      <c r="L74" s="5">
        <f>F74*K74</f>
        <v/>
      </c>
      <c r="M74" s="3" t="inlineStr">
        <is>
          <t>Express P, Q, R in the independent vectors AB and AD and use that Q = (1 - t)P + tR.</t>
        </is>
      </c>
      <c r="N74" s="3" t="inlineStr">
        <is>
          <t>Standard vector proof of a collinearity relation; one idea, short algebra.</t>
        </is>
      </c>
      <c r="O74" s="3" t="inlineStr">
        <is>
          <t>2023-P2-Q4 (L1)</t>
        </is>
      </c>
      <c r="P74" s="2" t="inlineStr">
        <is>
          <t>Medium</t>
        </is>
      </c>
    </row>
    <row r="75">
      <c r="A75" s="2" t="n">
        <v>74</v>
      </c>
      <c r="B75" s="2" t="inlineStr"/>
      <c r="C75" s="2" t="inlineStr">
        <is>
          <t>Q74</t>
        </is>
      </c>
      <c r="D75" s="2" t="inlineStr">
        <is>
          <t>Numerical</t>
        </is>
      </c>
      <c r="E75" s="3" t="inlineStr">
        <is>
          <t>Vector &amp; 3D Geometry</t>
        </is>
      </c>
      <c r="F75" s="2" t="n">
        <v>4</v>
      </c>
      <c r="G75" s="4" t="n">
        <v>2</v>
      </c>
      <c r="H75" s="4" t="inlineStr">
        <is>
          <t>Easier than Advanced</t>
        </is>
      </c>
      <c r="I75" s="5" t="n">
        <v>0</v>
      </c>
      <c r="J75" s="5" t="n">
        <v>0</v>
      </c>
      <c r="K75" s="5">
        <f>MIN(5,MAX(G75+I75,J75))</f>
        <v/>
      </c>
      <c r="L75" s="5">
        <f>F75*K75</f>
        <v/>
      </c>
      <c r="M75" s="3" t="inlineStr">
        <is>
          <t>Find the point Q on the given line with PQ perpendicular to the plane's normal.</t>
        </is>
      </c>
      <c r="N75" s="3" t="inlineStr">
        <is>
          <t>Two routine parts (radical centre, then line through a point meeting a line); short with a one-parameter solve.</t>
        </is>
      </c>
      <c r="O75" s="3" t="inlineStr">
        <is>
          <t>2024-P1-Q16 (L0) and 2025-P1-Q5 (L3)</t>
        </is>
      </c>
      <c r="P75" s="2" t="inlineStr">
        <is>
          <t>Medium</t>
        </is>
      </c>
    </row>
    <row r="76">
      <c r="A76" s="2" t="n">
        <v>75</v>
      </c>
      <c r="B76" s="2" t="inlineStr"/>
      <c r="C76" s="2" t="inlineStr">
        <is>
          <t>Q75</t>
        </is>
      </c>
      <c r="D76" s="2" t="inlineStr">
        <is>
          <t>Numerical</t>
        </is>
      </c>
      <c r="E76" s="3" t="inlineStr">
        <is>
          <t>Vector &amp; 3D Geometry</t>
        </is>
      </c>
      <c r="F76" s="2" t="n">
        <v>4</v>
      </c>
      <c r="G76" s="6" t="n">
        <v>3</v>
      </c>
      <c r="H76" s="6" t="inlineStr">
        <is>
          <t>Average Advanced</t>
        </is>
      </c>
      <c r="I76" s="5" t="n">
        <v>0</v>
      </c>
      <c r="J76" s="5" t="n">
        <v>0</v>
      </c>
      <c r="K76" s="5">
        <f>MIN(5,MAX(G76+I76,J76))</f>
        <v/>
      </c>
      <c r="L76" s="5">
        <f>F76*K76</f>
        <v/>
      </c>
      <c r="M76" s="3" t="inlineStr">
        <is>
          <t>The triple product of cross products is the square of [x y z], which reduces to sin(alpha/2) via the bisector formula.</t>
        </is>
      </c>
      <c r="N76" s="3" t="inlineStr">
        <is>
          <t>Two identities (bisector formula and triple product of cross products) plus a short trig step; a few stages, standard.</t>
        </is>
      </c>
      <c r="O76" s="3" t="inlineStr">
        <is>
          <t>2025-P2-Q12 (L4) and 2021-P1-Q19 (L3)</t>
        </is>
      </c>
      <c r="P76" s="2" t="inlineStr">
        <is>
          <t>Medium</t>
        </is>
      </c>
    </row>
    <row r="77">
      <c r="A77" s="2" t="n">
        <v>76</v>
      </c>
      <c r="B77" s="2" t="inlineStr"/>
      <c r="C77" s="2" t="inlineStr">
        <is>
          <t>Q76</t>
        </is>
      </c>
      <c r="D77" s="2" t="inlineStr">
        <is>
          <t>Numerical</t>
        </is>
      </c>
      <c r="E77" s="3" t="inlineStr">
        <is>
          <t>Vector &amp; 3D Geometry</t>
        </is>
      </c>
      <c r="F77" s="2" t="n">
        <v>4</v>
      </c>
      <c r="G77" s="7" t="n">
        <v>1</v>
      </c>
      <c r="H77" s="7" t="inlineStr">
        <is>
          <t>JEE Main level</t>
        </is>
      </c>
      <c r="I77" s="5" t="n">
        <v>0</v>
      </c>
      <c r="J77" s="5" t="n">
        <v>0</v>
      </c>
      <c r="K77" s="5">
        <f>MIN(5,MAX(G77+I77,J77))</f>
        <v/>
      </c>
      <c r="L77" s="5">
        <f>F77*K77</f>
        <v/>
      </c>
      <c r="M77" s="3" t="inlineStr">
        <is>
          <t>The three sides are equal, so IA is perpendicular to BC and r is parallel to BC.</t>
        </is>
      </c>
      <c r="N77" s="3" t="inlineStr">
        <is>
          <t>Single observation (equilateral triangle) and normalisation.</t>
        </is>
      </c>
      <c r="O77" s="3" t="inlineStr">
        <is>
          <t>2024-P2-Q11 (L0) and 2024-P1-Q16 (L0)</t>
        </is>
      </c>
      <c r="P77" s="2" t="inlineStr">
        <is>
          <t>High</t>
        </is>
      </c>
    </row>
    <row r="78">
      <c r="A78" s="2" t="n">
        <v>77</v>
      </c>
      <c r="B78" s="2" t="inlineStr"/>
      <c r="C78" s="2" t="inlineStr">
        <is>
          <t>Q77</t>
        </is>
      </c>
      <c r="D78" s="2" t="inlineStr">
        <is>
          <t>Numerical</t>
        </is>
      </c>
      <c r="E78" s="3" t="inlineStr">
        <is>
          <t>Vector &amp; 3D Geometry</t>
        </is>
      </c>
      <c r="F78" s="2" t="n">
        <v>4</v>
      </c>
      <c r="G78" s="6" t="n">
        <v>3</v>
      </c>
      <c r="H78" s="6" t="inlineStr">
        <is>
          <t>Average Advanced</t>
        </is>
      </c>
      <c r="I78" s="5" t="n">
        <v>0</v>
      </c>
      <c r="J78" s="5" t="n">
        <v>0</v>
      </c>
      <c r="K78" s="5">
        <f>MIN(5,MAX(G78+I78,J78))</f>
        <v/>
      </c>
      <c r="L78" s="5">
        <f>F78*K78</f>
        <v/>
      </c>
      <c r="M78" s="3" t="inlineStr">
        <is>
          <t>Coplanarity forces the coefficients to sum to zero, then Cauchy-Schwarz gives the minimum 1/14.</t>
        </is>
      </c>
      <c r="N78" s="3" t="inlineStr">
        <is>
          <t>Coplanarity condition plus a Cauchy-Schwarz minimum; two linked ideas but both standard.</t>
        </is>
      </c>
      <c r="O78" s="3" t="inlineStr">
        <is>
          <t>2025-P2-Q12 (L4) and 2021-P1-Q19 (L3)</t>
        </is>
      </c>
      <c r="P78" s="2" t="inlineStr">
        <is>
          <t>Medium</t>
        </is>
      </c>
    </row>
    <row r="79">
      <c r="A79" s="2" t="n">
        <v>78</v>
      </c>
      <c r="B79" s="2" t="inlineStr"/>
      <c r="C79" s="2" t="inlineStr">
        <is>
          <t>Q78</t>
        </is>
      </c>
      <c r="D79" s="2" t="inlineStr">
        <is>
          <t>MTC SCQ</t>
        </is>
      </c>
      <c r="E79" s="3" t="inlineStr">
        <is>
          <t>Vector &amp; 3D Geometry</t>
        </is>
      </c>
      <c r="F79" s="2" t="n">
        <v>3</v>
      </c>
      <c r="G79" s="6" t="n">
        <v>3</v>
      </c>
      <c r="H79" s="6" t="inlineStr">
        <is>
          <t>Average Advanced</t>
        </is>
      </c>
      <c r="I79" s="5" t="n">
        <v>0</v>
      </c>
      <c r="J79" s="5" t="n">
        <v>0</v>
      </c>
      <c r="K79" s="5">
        <f>MIN(5,MAX(G79+I79,J79))</f>
        <v/>
      </c>
      <c r="L79" s="5">
        <f>F79*K79</f>
        <v/>
      </c>
      <c r="M79" s="3" t="inlineStr">
        <is>
          <t>Evaluate each item once: sin(theta) = 1/2, determinant 7, sin x = cos y = -1, and the reflection formula; the first item already selects option A.</t>
        </is>
      </c>
      <c r="N79" s="3" t="inlineStr">
        <is>
          <t>Four short items each with a standard formula; elimination is possible, but each item is a different concept (similar to 2024-P1-Q16 at L0 and 2023-P1-Q16 at L3).</t>
        </is>
      </c>
      <c r="O79" s="3" t="inlineStr">
        <is>
          <t>2023-P1-Q16 (L3) and 2024-P1-Q16 (L0)</t>
        </is>
      </c>
      <c r="P79" s="2" t="inlineStr">
        <is>
          <t>Medium</t>
        </is>
      </c>
    </row>
    <row r="80">
      <c r="A80" s="2" t="n">
        <v>79</v>
      </c>
      <c r="B80" s="2" t="inlineStr"/>
      <c r="C80" s="2" t="inlineStr">
        <is>
          <t>Q79</t>
        </is>
      </c>
      <c r="D80" s="2" t="inlineStr">
        <is>
          <t>MTC SCQ</t>
        </is>
      </c>
      <c r="E80" s="3" t="inlineStr">
        <is>
          <t>Vector &amp; 3D Geometry</t>
        </is>
      </c>
      <c r="F80" s="2" t="n">
        <v>3</v>
      </c>
      <c r="G80" s="6" t="n">
        <v>3</v>
      </c>
      <c r="H80" s="6" t="inlineStr">
        <is>
          <t>Average Advanced</t>
        </is>
      </c>
      <c r="I80" s="5" t="n">
        <v>0</v>
      </c>
      <c r="J80" s="5" t="n">
        <v>0</v>
      </c>
      <c r="K80" s="5">
        <f>MIN(5,MAX(G80+I80,J80))</f>
        <v/>
      </c>
      <c r="L80" s="5">
        <f>F80*K80</f>
        <v/>
      </c>
      <c r="M80" s="3" t="inlineStr">
        <is>
          <t>Centroid tetrahedron has 1/27 of the volume; the locus is the cylinder 3|r|^2 - (x+y+z)^2 = 27.</t>
        </is>
      </c>
      <c r="N80" s="3" t="inlineStr">
        <is>
          <t>Four short items on volumes, reflection, a cylinder locus and a triple-product angle; each is standard but the items cover different ideas.</t>
        </is>
      </c>
      <c r="O80" s="3" t="inlineStr">
        <is>
          <t>2023-P1-Q16 (L3) and 2024-P1-Q16 (L0)</t>
        </is>
      </c>
      <c r="P80" s="2" t="inlineStr">
        <is>
          <t>Medium</t>
        </is>
      </c>
    </row>
    <row r="81">
      <c r="A81" s="2" t="n">
        <v>80</v>
      </c>
      <c r="B81" s="2" t="inlineStr"/>
      <c r="C81" s="2" t="inlineStr">
        <is>
          <t>Q80</t>
        </is>
      </c>
      <c r="D81" s="2" t="inlineStr">
        <is>
          <t>MTC SCQ</t>
        </is>
      </c>
      <c r="E81" s="3" t="inlineStr">
        <is>
          <t>Vector &amp; 3D Geometry</t>
        </is>
      </c>
      <c r="F81" s="2" t="n">
        <v>3</v>
      </c>
      <c r="G81" s="6" t="n">
        <v>3</v>
      </c>
      <c r="H81" s="6" t="inlineStr">
        <is>
          <t>Average Advanced</t>
        </is>
      </c>
      <c r="I81" s="5" t="n">
        <v>0</v>
      </c>
      <c r="J81" s="5" t="n">
        <v>0</v>
      </c>
      <c r="K81" s="5">
        <f>MIN(5,MAX(G81+I81,J81))</f>
        <v/>
      </c>
      <c r="L81" s="5">
        <f>F81*K81</f>
        <v/>
      </c>
      <c r="M81" s="3" t="inlineStr">
        <is>
          <t>Item (a) is the squared triple product 16, which alone selects option D; (b) and (d) confirm it.</t>
        </is>
      </c>
      <c r="N81" s="3" t="inlineStr">
        <is>
          <t>Four independent short items (Gram determinant, plane distance via triple product, line segment, centroid-tetrahedron ratio); one item is misprinted, but the others are routine.</t>
        </is>
      </c>
      <c r="O81" s="3" t="inlineStr">
        <is>
          <t>2023-P1-Q16 (L3) and 2024-P1-Q16 (L0)</t>
        </is>
      </c>
      <c r="P81" s="2" t="inlineStr">
        <is>
          <t>Medium</t>
        </is>
      </c>
    </row>
    <row r="83">
      <c r="A83" s="9" t="inlineStr">
        <is>
          <t>Adjusted level = min(5, max(level + equivalence-relation adj, MCQ floor)). Equivalence adj +0.5 when the key step tests equivalence relations/classes; MCQ floor 2.5 for one-or-more-correct questions involving several concepts. Edit columns I-J to change them.</t>
        </is>
      </c>
    </row>
  </sheetData>
  <autoFilter ref="A1:P8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11" customWidth="1" min="3" max="3"/>
    <col width="9" customWidth="1" min="4" max="4"/>
    <col width="11" customWidth="1" min="5" max="5"/>
  </cols>
  <sheetData>
    <row r="1">
      <c r="A1" s="10" t="inlineStr">
        <is>
          <t>Difficulty summary</t>
        </is>
      </c>
    </row>
    <row r="2">
      <c r="A2" s="9" t="inlineStr">
        <is>
          <t>Source: B1 Assignment Vector 3D.pdf   |   Evaluated on: 2026-10-12</t>
        </is>
      </c>
    </row>
    <row r="4">
      <c r="A4" s="1" t="inlineStr">
        <is>
          <t>Level</t>
        </is>
      </c>
      <c r="B4" s="1" t="inlineStr">
        <is>
          <t>Label</t>
        </is>
      </c>
      <c r="C4" s="1" t="inlineStr">
        <is>
          <t>Questions</t>
        </is>
      </c>
      <c r="D4" s="1" t="inlineStr">
        <is>
          <t>Marks</t>
        </is>
      </c>
      <c r="E4" s="1" t="inlineStr">
        <is>
          <t>% of marks</t>
        </is>
      </c>
    </row>
    <row r="5">
      <c r="A5" s="11" t="n">
        <v>0</v>
      </c>
      <c r="B5" s="11" t="inlineStr">
        <is>
          <t>Easier than JEE Main</t>
        </is>
      </c>
      <c r="C5" s="11">
        <f>COUNTIF(Evaluation!$G$2:$G$81,A5)</f>
        <v/>
      </c>
      <c r="D5" s="11">
        <f>SUMIF(Evaluation!$G$2:$G$81,A5,Evaluation!$F$2:$F$81)</f>
        <v/>
      </c>
      <c r="E5" s="12">
        <f>IF(SUM($D$5:$D$10)=0,0,D5/SUM($D$5:$D$10))</f>
        <v/>
      </c>
    </row>
    <row r="6">
      <c r="A6" s="13" t="n">
        <v>1</v>
      </c>
      <c r="B6" s="13" t="inlineStr">
        <is>
          <t>JEE Main level</t>
        </is>
      </c>
      <c r="C6" s="13">
        <f>COUNTIF(Evaluation!$G$2:$G$81,A6)</f>
        <v/>
      </c>
      <c r="D6" s="13">
        <f>SUMIF(Evaluation!$G$2:$G$81,A6,Evaluation!$F$2:$F$81)</f>
        <v/>
      </c>
      <c r="E6" s="14">
        <f>IF(SUM($D$5:$D$10)=0,0,D6/SUM($D$5:$D$10))</f>
        <v/>
      </c>
    </row>
    <row r="7">
      <c r="A7" s="15" t="n">
        <v>2</v>
      </c>
      <c r="B7" s="15" t="inlineStr">
        <is>
          <t>Easier than Advanced</t>
        </is>
      </c>
      <c r="C7" s="15">
        <f>COUNTIF(Evaluation!$G$2:$G$81,A7)</f>
        <v/>
      </c>
      <c r="D7" s="15">
        <f>SUMIF(Evaluation!$G$2:$G$81,A7,Evaluation!$F$2:$F$81)</f>
        <v/>
      </c>
      <c r="E7" s="16">
        <f>IF(SUM($D$5:$D$10)=0,0,D7/SUM($D$5:$D$10))</f>
        <v/>
      </c>
    </row>
    <row r="8">
      <c r="A8" s="17" t="n">
        <v>3</v>
      </c>
      <c r="B8" s="17" t="inlineStr">
        <is>
          <t>Average Advanced</t>
        </is>
      </c>
      <c r="C8" s="17">
        <f>COUNTIF(Evaluation!$G$2:$G$81,A8)</f>
        <v/>
      </c>
      <c r="D8" s="17">
        <f>SUMIF(Evaluation!$G$2:$G$81,A8,Evaluation!$F$2:$F$81)</f>
        <v/>
      </c>
      <c r="E8" s="18">
        <f>IF(SUM($D$5:$D$10)=0,0,D8/SUM($D$5:$D$10))</f>
        <v/>
      </c>
    </row>
    <row r="9">
      <c r="A9" s="19" t="n">
        <v>4</v>
      </c>
      <c r="B9" s="19" t="inlineStr">
        <is>
          <t>Slightly difficult</t>
        </is>
      </c>
      <c r="C9" s="19">
        <f>COUNTIF(Evaluation!$G$2:$G$81,A9)</f>
        <v/>
      </c>
      <c r="D9" s="19">
        <f>SUMIF(Evaluation!$G$2:$G$81,A9,Evaluation!$F$2:$F$81)</f>
        <v/>
      </c>
      <c r="E9" s="20">
        <f>IF(SUM($D$5:$D$10)=0,0,D9/SUM($D$5:$D$10))</f>
        <v/>
      </c>
    </row>
    <row r="10">
      <c r="A10" s="21" t="n">
        <v>5</v>
      </c>
      <c r="B10" s="21" t="inlineStr">
        <is>
          <t>Very difficult</t>
        </is>
      </c>
      <c r="C10" s="21">
        <f>COUNTIF(Evaluation!$G$2:$G$81,A10)</f>
        <v/>
      </c>
      <c r="D10" s="21">
        <f>SUMIF(Evaluation!$G$2:$G$81,A10,Evaluation!$F$2:$F$81)</f>
        <v/>
      </c>
      <c r="E10" s="22">
        <f>IF(SUM($D$5:$D$10)=0,0,D10/SUM($D$5:$D$10))</f>
        <v/>
      </c>
    </row>
    <row r="11">
      <c r="A11" s="23" t="inlineStr">
        <is>
          <t>Total</t>
        </is>
      </c>
      <c r="C11" s="23">
        <f>SUM(C5:C10)</f>
        <v/>
      </c>
      <c r="D11" s="23">
        <f>SUM(D5:D10)</f>
        <v/>
      </c>
    </row>
    <row r="13">
      <c r="A13" s="1" t="inlineStr">
        <is>
          <t>Scope</t>
        </is>
      </c>
      <c r="B13" s="1" t="inlineStr">
        <is>
          <t>Weighted index (adjusted)</t>
        </is>
      </c>
      <c r="C13" s="1" t="inlineStr">
        <is>
          <t>Weighted index (unadjusted)</t>
        </is>
      </c>
      <c r="D13" s="1" t="inlineStr">
        <is>
          <t>Marks</t>
        </is>
      </c>
      <c r="E13" s="1" t="inlineStr">
        <is>
          <t>Mean level</t>
        </is>
      </c>
    </row>
    <row r="14">
      <c r="A14" s="23" t="inlineStr">
        <is>
          <t>Overall</t>
        </is>
      </c>
      <c r="B14" s="24">
        <f>SUM(Evaluation!$L$2:$L$81)/SUM(Evaluation!$F$2:$F$81)</f>
        <v/>
      </c>
      <c r="C14" s="24">
        <f>SUMPRODUCT(Evaluation!$F$2:$F$81,Evaluation!$G$2:$G$81)/SUM(Evaluation!$F$2:$F$81)</f>
        <v/>
      </c>
      <c r="D14" s="23">
        <f>SUM(Evaluation!$F$2:$F$81)</f>
        <v/>
      </c>
      <c r="E14" s="24">
        <f>AVERAGE(Evaluation!$G$2:$G$81)</f>
        <v/>
      </c>
    </row>
    <row r="16">
      <c r="A16" s="9" t="inlineStr">
        <is>
          <t>Weighted index = sum(marks x level) / sum(marks), scale 0-5. 'Adjusted' uses the adjusted level (equivalence-relation adjustment and MCQ floor); 'unadjusted' uses the integer level.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1" customWidth="1" min="3" max="3"/>
    <col width="13" customWidth="1" min="4" max="4"/>
    <col width="13" customWidth="1" min="5" max="5"/>
    <col width="15" customWidth="1" min="6" max="6"/>
  </cols>
  <sheetData>
    <row r="1">
      <c r="A1" s="10" t="inlineStr">
        <is>
          <t>User's own ratings of official JEE Advanced maths papers</t>
        </is>
      </c>
    </row>
    <row r="3">
      <c r="A3" s="1" t="inlineStr">
        <is>
          <t>Year</t>
        </is>
      </c>
      <c r="B3" s="1" t="inlineStr">
        <is>
          <t>Weighted index</t>
        </is>
      </c>
      <c r="C3" s="1" t="inlineStr">
        <is>
          <t>Mean level</t>
        </is>
      </c>
      <c r="D3" s="1" t="inlineStr">
        <is>
          <t>Marks at L0-1</t>
        </is>
      </c>
      <c r="E3" s="1" t="inlineStr">
        <is>
          <t>Marks at L4-5</t>
        </is>
      </c>
      <c r="F3" s="1" t="inlineStr">
        <is>
          <t>Level-5 questions</t>
        </is>
      </c>
    </row>
    <row r="4">
      <c r="A4" s="25" t="n">
        <v>2021</v>
      </c>
      <c r="B4" s="26" t="n">
        <v>2.758333333333333</v>
      </c>
      <c r="C4" s="26" t="n">
        <v>2.894736842105263</v>
      </c>
      <c r="D4" s="25" t="n">
        <v>16</v>
      </c>
      <c r="E4" s="25" t="n">
        <v>34</v>
      </c>
      <c r="F4" s="25" t="n">
        <v>1</v>
      </c>
    </row>
    <row r="5">
      <c r="A5" s="25" t="n">
        <v>2023</v>
      </c>
      <c r="B5" s="26" t="n">
        <v>3.191666666666667</v>
      </c>
      <c r="C5" s="26" t="n">
        <v>3.147058823529412</v>
      </c>
      <c r="D5" s="25" t="n">
        <v>13</v>
      </c>
      <c r="E5" s="25" t="n">
        <v>47</v>
      </c>
      <c r="F5" s="25" t="n">
        <v>5</v>
      </c>
    </row>
    <row r="6">
      <c r="A6" s="25" t="n">
        <v>2024</v>
      </c>
      <c r="B6" s="26" t="n">
        <v>2.591666666666667</v>
      </c>
      <c r="C6" s="26" t="n">
        <v>2.558823529411764</v>
      </c>
      <c r="D6" s="25" t="n">
        <v>28</v>
      </c>
      <c r="E6" s="25" t="n">
        <v>40</v>
      </c>
      <c r="F6" s="25" t="n">
        <v>1</v>
      </c>
    </row>
    <row r="7">
      <c r="A7" s="25" t="n">
        <v>2025</v>
      </c>
      <c r="B7" s="26" t="n">
        <v>3.208333333333333</v>
      </c>
      <c r="C7" s="26" t="n">
        <v>3.1875</v>
      </c>
      <c r="D7" s="25" t="n">
        <v>8</v>
      </c>
      <c r="E7" s="25" t="n">
        <v>65</v>
      </c>
      <c r="F7" s="25" t="n">
        <v>1</v>
      </c>
    </row>
    <row r="8">
      <c r="A8" s="25" t="n">
        <v>2026</v>
      </c>
      <c r="B8" s="26" t="n">
        <v>3.025</v>
      </c>
      <c r="C8" s="26" t="n">
        <v>2.941176470588236</v>
      </c>
      <c r="D8" s="25" t="n">
        <v>6</v>
      </c>
      <c r="E8" s="25" t="n">
        <v>38</v>
      </c>
      <c r="F8" s="25" t="n">
        <v>2</v>
      </c>
    </row>
    <row r="9">
      <c r="A9" s="23" t="inlineStr">
        <is>
          <t>This paper</t>
        </is>
      </c>
      <c r="B9" s="24">
        <f>Summary!B14</f>
        <v/>
      </c>
      <c r="C9" s="24">
        <f>Summary!E14</f>
        <v/>
      </c>
      <c r="D9" s="23">
        <f>Summary!D5+Summary!D6</f>
        <v/>
      </c>
      <c r="E9" s="23">
        <f>Summary!D9+Summary!D10</f>
        <v/>
      </c>
      <c r="F9" s="23">
        <f>Summary!C10</f>
        <v/>
      </c>
    </row>
    <row r="11">
      <c r="A11" s="9" t="inlineStr">
        <is>
          <t>Source: the user's ratings in references/anchors.csv, used as given (they already reflect format and topic). 'This paper' uses the adjusted index. Official papers are 120 marks; compare the marks-at-level columns only for full-length papers.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2026-10-12T09:26:00Z</dcterms:created>
  <dcterms:modified xmlns:dcterms="http://purl.org/dc/terms/" xmlns:xsi="http://www.w3.org/2001/XMLSchema-instance" xsi:type="dcterms:W3CDTF">2026-10-12T09:26:00Z</dcterms:modified>
</cp:coreProperties>
</file>