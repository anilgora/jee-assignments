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Mathematical Reasoning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Rewrite the conditional as ~p v (q-&gt;p) and see that the statement is a tautology; choose the tautologous option.</t>
        </is>
      </c>
      <c r="N2" s="3" t="inlineStr">
        <is>
          <t>Two applications of p-&gt;q = ~p v q give a tautology; the only choice is to test options. Same one-trick manipulation as 2024-P2-Q3 (L1) in spirit; a strong student does it at sight.</t>
        </is>
      </c>
      <c r="O2" s="3" t="inlineStr">
        <is>
          <t>2024-P2-Q3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Mathematical Reasoning</t>
        </is>
      </c>
      <c r="F3" s="2" t="n">
        <v>4</v>
      </c>
      <c r="G3" s="4" t="n">
        <v>1</v>
      </c>
      <c r="H3" s="4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Identify r as p&lt;-&gt;q and compare truth tables with q v p and ~(p&lt;-&gt;~q).</t>
        </is>
      </c>
      <c r="N3" s="3" t="inlineStr">
        <is>
          <t>Four-row truth table with a two-statement 'assertion-reason' format; routine, one known fact (negating one side of &lt;-&gt; flips it). Anchored near the easy end.</t>
        </is>
      </c>
      <c r="O3" s="3" t="inlineStr">
        <is>
          <t>2024-P2-Q1 (L0) / 2021-P2-Q17 (L1)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Mathematical Reasoning</t>
        </is>
      </c>
      <c r="F4" s="2" t="n">
        <v>4</v>
      </c>
      <c r="G4" s="4" t="n">
        <v>1</v>
      </c>
      <c r="H4" s="4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Truth table shows ~(p&lt;-&gt;~q) equals p&lt;-&gt;q, which is not a tautology.</t>
        </is>
      </c>
      <c r="N4" s="3" t="inlineStr">
        <is>
          <t>One four-row table, one known identity; no real decision. Same demand as Q2.</t>
        </is>
      </c>
      <c r="O4" s="3" t="inlineStr">
        <is>
          <t>2024-P2-Q1 (L0) / 2021-P2-Q17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Mathematical Reasoning</t>
        </is>
      </c>
      <c r="F5" s="2" t="n">
        <v>4</v>
      </c>
      <c r="G5" s="4" t="n">
        <v>1</v>
      </c>
      <c r="H5" s="4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Negate 'there exists' to 'for all' and flip the inequality.</t>
        </is>
      </c>
      <c r="N5" s="3" t="inlineStr">
        <is>
          <t>One familiar move (quantifier negation); matches the very routine invertibility-style anchor 2026-P1-Q3 (L1).</t>
        </is>
      </c>
      <c r="O5" s="3" t="inlineStr">
        <is>
          <t>2026-P1-Q3 (L1)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Mathematical Reasoning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Translate to (P^~R)&lt;-&gt;Q and use ~(X&lt;-&gt;Y) = ~X&lt;-&gt;Y.</t>
        </is>
      </c>
      <c r="N6" s="3" t="inlineStr">
        <is>
          <t>Translation plus one identity; wording trap (dishonest) and three-variable options push it slightly above a pure one-trick question.</t>
        </is>
      </c>
      <c r="O6" s="3" t="inlineStr">
        <is>
          <t>2026-P2-Q17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Mathematical Reasoning</t>
        </is>
      </c>
      <c r="F7" s="2" t="n">
        <v>4</v>
      </c>
      <c r="G7" s="4" t="n">
        <v>1</v>
      </c>
      <c r="H7" s="4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Recognise modus ponens.</t>
        </is>
      </c>
      <c r="N7" s="3" t="inlineStr">
        <is>
          <t>Standard tautology recognition; one four-row table, same as 2026-P2-Q4 in demand.</t>
        </is>
      </c>
      <c r="O7" s="3" t="inlineStr">
        <is>
          <t>2026-P2-Q4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Mathematical Reasoning</t>
        </is>
      </c>
      <c r="F8" s="2" t="n">
        <v>4</v>
      </c>
      <c r="G8" s="4" t="n">
        <v>1</v>
      </c>
      <c r="H8" s="4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Negation of an implication is p ^ ~q.</t>
        </is>
      </c>
      <c r="N8" s="3" t="inlineStr">
        <is>
          <t>Direct recall of the negation of an implication.</t>
        </is>
      </c>
      <c r="O8" s="3" t="inlineStr">
        <is>
          <t>2026-P1-Q3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Mathematical Reasoning</t>
        </is>
      </c>
      <c r="F9" s="2" t="n">
        <v>4</v>
      </c>
      <c r="G9" s="4" t="n">
        <v>1</v>
      </c>
      <c r="H9" s="4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Contradiction p^~p inside a conjunction; contrapositive equivalence.</t>
        </is>
      </c>
      <c r="N9" s="3" t="inlineStr">
        <is>
          <t>Two textbook facts, each one step; assertion-reason format only adds a bookkeeping check.</t>
        </is>
      </c>
      <c r="O9" s="3" t="inlineStr">
        <is>
          <t>2026-P2-Q4 (L1)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Mathematical Reasoning</t>
        </is>
      </c>
      <c r="F10" s="2" t="n">
        <v>4</v>
      </c>
      <c r="G10" s="4" t="n">
        <v>1</v>
      </c>
      <c r="H10" s="4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Same identity as Q3.</t>
        </is>
      </c>
      <c r="N10" s="3" t="inlineStr">
        <is>
          <t>Same one-step identity as Q3.</t>
        </is>
      </c>
      <c r="O10" s="3" t="inlineStr">
        <is>
          <t>2024-P2-Q1 (L0) / 2021-P2-Q17 (L1)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Mathematical Reasoning</t>
        </is>
      </c>
      <c r="F11" s="2" t="n">
        <v>4</v>
      </c>
      <c r="G11" s="4" t="n">
        <v>1</v>
      </c>
      <c r="H11" s="4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Two De Morgan steps, then s ^ ~s = contradiction.</t>
        </is>
      </c>
      <c r="N11" s="3" t="inlineStr">
        <is>
          <t>Routine chain of De Morgan and distribution, but only one familiar tool; options are easy to test.</t>
        </is>
      </c>
      <c r="O11" s="3" t="inlineStr">
        <is>
          <t>2026-P2-Q4 (L1)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Mathematical Reasoning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Group terms and apply (X ^ ~Y) v Y = X v Y.</t>
        </is>
      </c>
      <c r="N12" s="3" t="inlineStr">
        <is>
          <t>Three routine Boolean-algebra steps; no insight but not a single move (Level 2).</t>
        </is>
      </c>
      <c r="O12" s="3" t="inlineStr">
        <is>
          <t>2026-P2-Q3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Mathematical Reasoning</t>
        </is>
      </c>
      <c r="F13" s="2" t="n">
        <v>4</v>
      </c>
      <c r="G13" s="4" t="n">
        <v>1</v>
      </c>
      <c r="H13" s="4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Recognise that (~p-&gt;q)-&gt;q equals p-&gt;q (or tabulate).</t>
        </is>
      </c>
      <c r="N13" s="3" t="inlineStr">
        <is>
          <t>One table or two short simplifications.</t>
        </is>
      </c>
      <c r="O13" s="3" t="inlineStr">
        <is>
          <t>2026-P2-Q4 (L1)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Mathematical Reasoning</t>
        </is>
      </c>
      <c r="F14" s="2" t="n">
        <v>4</v>
      </c>
      <c r="G14" s="4" t="n">
        <v>1</v>
      </c>
      <c r="H14" s="4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De Morgan and the splitting law (X^Y)v(X^~Y)=X.</t>
        </is>
      </c>
      <c r="N14" s="3" t="inlineStr">
        <is>
          <t>Single familiar identity.</t>
        </is>
      </c>
      <c r="O14" s="3" t="inlineStr">
        <is>
          <t>2026-P2-Q4 (L1)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Mathematical Reasoning</t>
        </is>
      </c>
      <c r="F15" s="2" t="n">
        <v>4</v>
      </c>
      <c r="G15" s="4" t="n">
        <v>1</v>
      </c>
      <c r="H15" s="4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Recognise modus ponens.</t>
        </is>
      </c>
      <c r="N15" s="3" t="inlineStr">
        <is>
          <t>Same item as Q6 with shuffled options.</t>
        </is>
      </c>
      <c r="O15" s="3" t="inlineStr">
        <is>
          <t>2026-P2-Q4 (L1)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Mathematical Reasoning</t>
        </is>
      </c>
      <c r="F16" s="2" t="n">
        <v>4</v>
      </c>
      <c r="G16" s="4" t="n">
        <v>1</v>
      </c>
      <c r="H16" s="4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Simplify ~p ^ (p v q) = ~p ^ q.</t>
        </is>
      </c>
      <c r="N16" s="3" t="inlineStr">
        <is>
          <t>One identity plus De Morgan.</t>
        </is>
      </c>
      <c r="O16" s="3" t="inlineStr">
        <is>
          <t>2026-P2-Q4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Mathematical Reasoning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Both statements are valid inference rules.</t>
        </is>
      </c>
      <c r="N17" s="3" t="inlineStr">
        <is>
          <t>Two statements each needing a short chain; standard recognised forms.</t>
        </is>
      </c>
      <c r="O17" s="3" t="inlineStr">
        <is>
          <t>2026-P2-Q3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Mathematical Reasoning</t>
        </is>
      </c>
      <c r="F18" s="2" t="n">
        <v>4</v>
      </c>
      <c r="G18" s="4" t="n">
        <v>1</v>
      </c>
      <c r="H18" s="4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Show A-&gt;(B-&gt;A) is a tautology; pick the tautologous option.</t>
        </is>
      </c>
      <c r="N18" s="3" t="inlineStr">
        <is>
          <t>Same item as Q1; one familiar manipulation.</t>
        </is>
      </c>
      <c r="O18" s="3" t="inlineStr">
        <is>
          <t>2024-P2-Q3 (L1)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Mathematical Reasoning</t>
        </is>
      </c>
      <c r="F19" s="2" t="n">
        <v>4</v>
      </c>
      <c r="G19" s="4" t="n">
        <v>1</v>
      </c>
      <c r="H19" s="4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Contrapositive = negate both and swap.</t>
        </is>
      </c>
      <c r="N19" s="3" t="inlineStr">
        <is>
          <t>Pure recall.</t>
        </is>
      </c>
      <c r="O19" s="3" t="inlineStr">
        <is>
          <t>2024-P2-Q1 (L0)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Mathematical Reasoning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Find the falsifying row for F1, spot A v ~A in F2.</t>
        </is>
      </c>
      <c r="N20" s="3" t="inlineStr">
        <is>
          <t>Two expressions, one needing a search over 3 variables; routine.</t>
        </is>
      </c>
      <c r="O20" s="3" t="inlineStr">
        <is>
          <t>2026-P2-Q3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Mathematical Reasoning</t>
        </is>
      </c>
      <c r="F21" s="2" t="n">
        <v>4</v>
      </c>
      <c r="G21" s="4" t="n">
        <v>1</v>
      </c>
      <c r="H21" s="4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Recognise modus tollens.</t>
        </is>
      </c>
      <c r="N21" s="3" t="inlineStr">
        <is>
          <t>Same as Q16(a).</t>
        </is>
      </c>
      <c r="O21" s="3" t="inlineStr">
        <is>
          <t>2026-P2-Q4 (L1)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Mathematical Reasoning</t>
        </is>
      </c>
      <c r="F22" s="2" t="n">
        <v>4</v>
      </c>
      <c r="G22" s="4" t="n">
        <v>1</v>
      </c>
      <c r="H22" s="4" t="inlineStr">
        <is>
          <t>JEE Main level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Only (p^q)-&gt;(p-&gt;q) is a tautology.</t>
        </is>
      </c>
      <c r="N22" s="3" t="inlineStr">
        <is>
          <t>Four options tested mentally.</t>
        </is>
      </c>
      <c r="O22" s="3" t="inlineStr">
        <is>
          <t>2026-P2-Q4 (L1)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Mathematical Reasoning</t>
        </is>
      </c>
      <c r="F23" s="2" t="n">
        <v>4</v>
      </c>
      <c r="G23" s="6" t="n">
        <v>2</v>
      </c>
      <c r="H23" s="6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Identify * as OR from the tautology condition, then rewrite p v ~q as q-&gt;p.</t>
        </is>
      </c>
      <c r="N23" s="3" t="inlineStr">
        <is>
          <t>Two small steps; the unknown connective adds a decision. Level 2.</t>
        </is>
      </c>
      <c r="O23" s="3" t="inlineStr">
        <is>
          <t>2026-P2-Q3 (L2)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Mathematical Reasoning</t>
        </is>
      </c>
      <c r="F24" s="2" t="n">
        <v>4</v>
      </c>
      <c r="G24" s="4" t="n">
        <v>1</v>
      </c>
      <c r="H24" s="4" t="inlineStr">
        <is>
          <t>JEE Main level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(p^q)-&gt;(p-&gt;q) is trivially true.</t>
        </is>
      </c>
      <c r="N24" s="3" t="inlineStr">
        <is>
          <t>Four options each a one-line check.</t>
        </is>
      </c>
      <c r="O24" s="3" t="inlineStr">
        <is>
          <t>2026-P2-Q4 (L1)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Mathematical Reasoning</t>
        </is>
      </c>
      <c r="F25" s="2" t="n">
        <v>4</v>
      </c>
      <c r="G25" s="4" t="n">
        <v>1</v>
      </c>
      <c r="H25" s="4" t="inlineStr">
        <is>
          <t>JEE Main level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Rewrite via ~(p^~q) = ~p v q.</t>
        </is>
      </c>
      <c r="N25" s="3" t="inlineStr">
        <is>
          <t>One-step simplification.</t>
        </is>
      </c>
      <c r="O25" s="3" t="inlineStr">
        <is>
          <t>2026-P2-Q4 (L1)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Mathematical Reasoning</t>
        </is>
      </c>
      <c r="F26" s="2" t="n">
        <v>4</v>
      </c>
      <c r="G26" s="4" t="n">
        <v>1</v>
      </c>
      <c r="H26" s="4" t="inlineStr">
        <is>
          <t>JEE Main level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Apply the truth table of the conditional to each statement.</t>
        </is>
      </c>
      <c r="N26" s="3" t="inlineStr">
        <is>
          <t>Three direct evaluations of a conditional; no decision beyond vacuous truth.</t>
        </is>
      </c>
      <c r="O26" s="3" t="inlineStr">
        <is>
          <t>2024-P2-Q1 (L0)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Mathematical Reasoning</t>
        </is>
      </c>
      <c r="F27" s="2" t="n">
        <v>4</v>
      </c>
      <c r="G27" s="6" t="n">
        <v>2</v>
      </c>
      <c r="H27" s="6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Rewrite each option as a disjunction and spot complementary pairs (C gives p v q).</t>
        </is>
      </c>
      <c r="N27" s="3" t="inlineStr">
        <is>
          <t>Four routine rewrites; slip-prone but no hidden idea.</t>
        </is>
      </c>
      <c r="O27" s="3" t="inlineStr">
        <is>
          <t>2026-P2-Q3 (L2)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Mathematical Reasoning</t>
        </is>
      </c>
      <c r="F28" s="2" t="n">
        <v>4</v>
      </c>
      <c r="G28" s="6" t="n">
        <v>2</v>
      </c>
      <c r="H28" s="6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Contrapose q-&gt;~p to p-&gt;~q: p implies both q and ~q, so p is false.</t>
        </is>
      </c>
      <c r="N28" s="3" t="inlineStr">
        <is>
          <t>Short but needs the contrapositive/reductio move.</t>
        </is>
      </c>
      <c r="O28" s="3" t="inlineStr">
        <is>
          <t>2026-P2-Q3 (L2)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Mathematical Reasoning</t>
        </is>
      </c>
      <c r="F29" s="2" t="n">
        <v>4</v>
      </c>
      <c r="G29" s="6" t="n">
        <v>2</v>
      </c>
      <c r="H29" s="6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'Only if' translation, then De Morgan.</t>
        </is>
      </c>
      <c r="N29" s="3" t="inlineStr">
        <is>
          <t>Wording trap on 'only if' plus a De Morgan; Level 2.</t>
        </is>
      </c>
      <c r="O29" s="3" t="inlineStr">
        <is>
          <t>2026-P2-Q17 (L2)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Mathematical Reasoning</t>
        </is>
      </c>
      <c r="F30" s="2" t="n">
        <v>4</v>
      </c>
      <c r="G30" s="6" t="n">
        <v>2</v>
      </c>
      <c r="H30" s="6" t="inlineStr">
        <is>
          <t>Easier than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Recognise a tautology, then find the only tautologous option.</t>
        </is>
      </c>
      <c r="N30" s="3" t="inlineStr">
        <is>
          <t>Chain of two ideas (tautology recognition and the negated implication identity) with an unusual 'equivalent to' form.</t>
        </is>
      </c>
      <c r="O30" s="3" t="inlineStr">
        <is>
          <t>2026-P2-Q3 (L2)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Mathematical Reasoning</t>
        </is>
      </c>
      <c r="F31" s="2" t="n">
        <v>4</v>
      </c>
      <c r="G31" s="4" t="n">
        <v>1</v>
      </c>
      <c r="H31" s="4" t="inlineStr">
        <is>
          <t>JEE Main level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Flip each quantifier and the inequality.</t>
        </is>
      </c>
      <c r="N31" s="3" t="inlineStr">
        <is>
          <t>Two quantifiers flipped; familiar move (unbounded-above negation).</t>
        </is>
      </c>
      <c r="O31" s="3" t="inlineStr">
        <is>
          <t>2026-P1-Q3 (L1)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SCQ</t>
        </is>
      </c>
      <c r="E32" s="3" t="inlineStr">
        <is>
          <t>Mathematical Reasoning</t>
        </is>
      </c>
      <c r="F32" s="2" t="n">
        <v>4</v>
      </c>
      <c r="G32" s="6" t="n">
        <v>2</v>
      </c>
      <c r="H32" s="6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Force r, then q, then p from the single falsifying condition.</t>
        </is>
      </c>
      <c r="N32" s="3" t="inlineStr">
        <is>
          <t>Routine forcing chain, three small steps.</t>
        </is>
      </c>
      <c r="O32" s="3" t="inlineStr">
        <is>
          <t>2026-P2-Q3 (L2)</t>
        </is>
      </c>
      <c r="P32" s="2" t="inlineStr">
        <is>
          <t>High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Mathematical Reasoning</t>
        </is>
      </c>
      <c r="F33" s="2" t="n">
        <v>4</v>
      </c>
      <c r="G33" s="4" t="n">
        <v>1</v>
      </c>
      <c r="H33" s="4" t="inlineStr">
        <is>
          <t>JEE Main level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(S2) is X ^ ~X with X = p-&gt;q.</t>
        </is>
      </c>
      <c r="N33" s="3" t="inlineStr">
        <is>
          <t>Two quick checks, standard forms.</t>
        </is>
      </c>
      <c r="O33" s="3" t="inlineStr">
        <is>
          <t>2026-P2-Q4 (L1)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Mathematical Reasoning</t>
        </is>
      </c>
      <c r="F34" s="2" t="n">
        <v>4</v>
      </c>
      <c r="G34" s="6" t="n">
        <v>2</v>
      </c>
      <c r="H34" s="6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Two modus-ponens steps, or reduce the premise to p^q^r.</t>
        </is>
      </c>
      <c r="N34" s="3" t="inlineStr">
        <is>
          <t>Longer chain than the basic modus ponens items; still one recognised idea.</t>
        </is>
      </c>
      <c r="O34" s="3" t="inlineStr">
        <is>
          <t>2026-P2-Q3 (L2)</t>
        </is>
      </c>
      <c r="P34" s="2" t="inlineStr">
        <is>
          <t>High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SCQ</t>
        </is>
      </c>
      <c r="E35" s="3" t="inlineStr">
        <is>
          <t>Mathematical Reasoning</t>
        </is>
      </c>
      <c r="F35" s="2" t="n">
        <v>4</v>
      </c>
      <c r="G35" s="6" t="n">
        <v>2</v>
      </c>
      <c r="H35" s="6" t="inlineStr">
        <is>
          <t>Easier than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Premise already contains p and q, so drop them from the conclusion.</t>
        </is>
      </c>
      <c r="N35" s="3" t="inlineStr">
        <is>
          <t>Three-variable options but one cleaning idea.</t>
        </is>
      </c>
      <c r="O35" s="3" t="inlineStr">
        <is>
          <t>2026-P2-Q3 (L2)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Mathematical Reasoning</t>
        </is>
      </c>
      <c r="F36" s="2" t="n">
        <v>4</v>
      </c>
      <c r="G36" s="6" t="n">
        <v>2</v>
      </c>
      <c r="H36" s="6" t="inlineStr">
        <is>
          <t>Easier than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Premise p^~q forces p, so conclusion p v q holds.</t>
        </is>
      </c>
      <c r="N36" s="3" t="inlineStr">
        <is>
          <t>Four small cases; one key observation.</t>
        </is>
      </c>
      <c r="O36" s="3" t="inlineStr">
        <is>
          <t>2026-P2-Q3 (L2)</t>
        </is>
      </c>
      <c r="P36" s="2" t="inlineStr">
        <is>
          <t>High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SCQ</t>
        </is>
      </c>
      <c r="E37" s="3" t="inlineStr">
        <is>
          <t>Mathematical Reasoning</t>
        </is>
      </c>
      <c r="F37" s="2" t="n">
        <v>4</v>
      </c>
      <c r="G37" s="6" t="n">
        <v>2</v>
      </c>
      <c r="H37" s="6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Negation of a conditional, then absorb r using ~r.</t>
        </is>
      </c>
      <c r="N37" s="3" t="inlineStr">
        <is>
          <t>Three-variable negation with a simplification step.</t>
        </is>
      </c>
      <c r="O37" s="3" t="inlineStr">
        <is>
          <t>2026-P2-Q3 (L2)</t>
        </is>
      </c>
      <c r="P37" s="2" t="inlineStr">
        <is>
          <t>High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SCQ</t>
        </is>
      </c>
      <c r="E38" s="3" t="inlineStr">
        <is>
          <t>Mathematical Reasoning</t>
        </is>
      </c>
      <c r="F38" s="2" t="n">
        <v>4</v>
      </c>
      <c r="G38" s="4" t="n">
        <v>1</v>
      </c>
      <c r="H38" s="4" t="inlineStr">
        <is>
          <t>JEE Main level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Negation of the conditional.</t>
        </is>
      </c>
      <c r="N38" s="3" t="inlineStr">
        <is>
          <t>One standard identity, four quick options.</t>
        </is>
      </c>
      <c r="O38" s="3" t="inlineStr">
        <is>
          <t>2026-P1-Q3 (L1)</t>
        </is>
      </c>
      <c r="P38" s="2" t="inlineStr">
        <is>
          <t>High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SCQ</t>
        </is>
      </c>
      <c r="E39" s="3" t="inlineStr">
        <is>
          <t>Mathematical Reasoning</t>
        </is>
      </c>
      <c r="F39" s="2" t="n">
        <v>4</v>
      </c>
      <c r="G39" s="6" t="n">
        <v>2</v>
      </c>
      <c r="H39" s="6" t="inlineStr">
        <is>
          <t>Easier than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Test the four connectives; two give a tautology.</t>
        </is>
      </c>
      <c r="N39" s="3" t="inlineStr">
        <is>
          <t>Four-case check with an unusual 'number of choices' format.</t>
        </is>
      </c>
      <c r="O39" s="3" t="inlineStr">
        <is>
          <t>2026-P2-Q3 (L2)</t>
        </is>
      </c>
      <c r="P39" s="2" t="inlineStr">
        <is>
          <t>High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Mathematical Reasoning</t>
        </is>
      </c>
      <c r="F40" s="2" t="n">
        <v>4</v>
      </c>
      <c r="G40" s="4" t="n">
        <v>1</v>
      </c>
      <c r="H40" s="4" t="inlineStr">
        <is>
          <t>JEE Main level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Negation of an implication is X ^ ~Y.</t>
        </is>
      </c>
      <c r="N40" s="3" t="inlineStr">
        <is>
          <t>Direct recall of negation of an implication.</t>
        </is>
      </c>
      <c r="O40" s="3" t="inlineStr">
        <is>
          <t>2026-P1-Q3 (L1)</t>
        </is>
      </c>
      <c r="P40" s="2" t="inlineStr">
        <is>
          <t>High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Mathematical Reasoning</t>
        </is>
      </c>
      <c r="F41" s="2" t="n">
        <v>4</v>
      </c>
      <c r="G41" s="6" t="n">
        <v>2</v>
      </c>
      <c r="H41" s="6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Solve for the unique falsifying row (T,F), then evaluate both propositions.</t>
        </is>
      </c>
      <c r="N41" s="3" t="inlineStr">
        <is>
          <t>Two short evaluations after forcing the values.</t>
        </is>
      </c>
      <c r="O41" s="3" t="inlineStr">
        <is>
          <t>2026-P2-Q3 (L2)</t>
        </is>
      </c>
      <c r="P41" s="2" t="inlineStr">
        <is>
          <t>High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SCQ</t>
        </is>
      </c>
      <c r="E42" s="3" t="inlineStr">
        <is>
          <t>Mathematical Reasoning</t>
        </is>
      </c>
      <c r="F42" s="2" t="n">
        <v>4</v>
      </c>
      <c r="G42" s="4" t="n">
        <v>1</v>
      </c>
      <c r="H42" s="4" t="inlineStr">
        <is>
          <t>JEE Main level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Premise equals ~(p-&gt;q), conclusion equals p-&gt;q.</t>
        </is>
      </c>
      <c r="N42" s="3" t="inlineStr">
        <is>
          <t>Short simplification with a classic pattern.</t>
        </is>
      </c>
      <c r="O42" s="3" t="inlineStr">
        <is>
          <t>2026-P1-Q3 (L1)</t>
        </is>
      </c>
      <c r="P42" s="2" t="inlineStr">
        <is>
          <t>High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SCQ</t>
        </is>
      </c>
      <c r="E43" s="3" t="inlineStr">
        <is>
          <t>Mathematical Reasoning</t>
        </is>
      </c>
      <c r="F43" s="2" t="n">
        <v>4</v>
      </c>
      <c r="G43" s="6" t="n">
        <v>2</v>
      </c>
      <c r="H43" s="6" t="inlineStr">
        <is>
          <t>Easier than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Test the four connective pairs; only (v, v) works.</t>
        </is>
      </c>
      <c r="N43" s="3" t="inlineStr">
        <is>
          <t>Four pairs to test plus one regrouping; routine.</t>
        </is>
      </c>
      <c r="O43" s="3" t="inlineStr">
        <is>
          <t>2026-P2-Q3 (L2)</t>
        </is>
      </c>
      <c r="P43" s="2" t="inlineStr">
        <is>
          <t>High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SCQ</t>
        </is>
      </c>
      <c r="E44" s="3" t="inlineStr">
        <is>
          <t>Mathematical Reasoning</t>
        </is>
      </c>
      <c r="F44" s="2" t="n">
        <v>4</v>
      </c>
      <c r="G44" s="6" t="n">
        <v>2</v>
      </c>
      <c r="H44" s="6" t="inlineStr">
        <is>
          <t>Easier than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Test the four candidates; r = ~p gives X -&gt; (X v q).</t>
        </is>
      </c>
      <c r="N44" s="3" t="inlineStr">
        <is>
          <t>Four candidates to test, three variable choices; routine.</t>
        </is>
      </c>
      <c r="O44" s="3" t="inlineStr">
        <is>
          <t>2026-P2-Q3 (L2)</t>
        </is>
      </c>
      <c r="P44" s="2" t="inlineStr">
        <is>
          <t>High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SCQ</t>
        </is>
      </c>
      <c r="E45" s="3" t="inlineStr">
        <is>
          <t>Mathematical Reasoning</t>
        </is>
      </c>
      <c r="F45" s="2" t="n">
        <v>4</v>
      </c>
      <c r="G45" s="4" t="n">
        <v>1</v>
      </c>
      <c r="H45" s="4" t="inlineStr">
        <is>
          <t>JEE Main level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Expression is a tautology.</t>
        </is>
      </c>
      <c r="N45" s="3" t="inlineStr">
        <is>
          <t>Single observation (tautology), simple option check.</t>
        </is>
      </c>
      <c r="O45" s="3" t="inlineStr">
        <is>
          <t>2026-P1-Q3 (L1)</t>
        </is>
      </c>
      <c r="P45" s="2" t="inlineStr">
        <is>
          <t>High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SCQ</t>
        </is>
      </c>
      <c r="E46" s="3" t="inlineStr">
        <is>
          <t>Mathematical Reasoning</t>
        </is>
      </c>
      <c r="F46" s="2" t="n">
        <v>4</v>
      </c>
      <c r="G46" s="4" t="n">
        <v>1</v>
      </c>
      <c r="H46" s="4" t="inlineStr">
        <is>
          <t>JEE Main level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Look for complementary pairs: a disjunction with p v ~p is true.</t>
        </is>
      </c>
      <c r="N46" s="3" t="inlineStr">
        <is>
          <t>Single observation, four options.</t>
        </is>
      </c>
      <c r="O46" s="3" t="inlineStr">
        <is>
          <t>2026-P2-Q4 (L1)</t>
        </is>
      </c>
      <c r="P46" s="2" t="inlineStr">
        <is>
          <t>High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SCQ</t>
        </is>
      </c>
      <c r="E47" s="3" t="inlineStr">
        <is>
          <t>Mathematical Reasoning</t>
        </is>
      </c>
      <c r="F47" s="2" t="n">
        <v>4</v>
      </c>
      <c r="G47" s="6" t="n">
        <v>2</v>
      </c>
      <c r="H47" s="6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S1 and S2 are equivalent.</t>
        </is>
      </c>
      <c r="N47" s="3" t="inlineStr">
        <is>
          <t>One simplification then four implication-of-truth-values statements to judge.</t>
        </is>
      </c>
      <c r="O47" s="3" t="inlineStr">
        <is>
          <t>2026-P2-Q3 (L2)</t>
        </is>
      </c>
      <c r="P47" s="2" t="inlineStr">
        <is>
          <t>High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SCQ</t>
        </is>
      </c>
      <c r="E48" s="3" t="inlineStr">
        <is>
          <t>Mathematical Reasoning</t>
        </is>
      </c>
      <c r="F48" s="2" t="n">
        <v>4</v>
      </c>
      <c r="G48" s="6" t="n">
        <v>2</v>
      </c>
      <c r="H48" s="6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Test the four connectives; only the conditional works.</t>
        </is>
      </c>
      <c r="N48" s="3" t="inlineStr">
        <is>
          <t>Four short checks.</t>
        </is>
      </c>
      <c r="O48" s="3" t="inlineStr">
        <is>
          <t>2026-P2-Q3 (L2)</t>
        </is>
      </c>
      <c r="P48" s="2" t="inlineStr">
        <is>
          <t>High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SCQ</t>
        </is>
      </c>
      <c r="E49" s="3" t="inlineStr">
        <is>
          <t>Mathematical Reasoning</t>
        </is>
      </c>
      <c r="F49" s="2" t="n">
        <v>4</v>
      </c>
      <c r="G49" s="6" t="n">
        <v>2</v>
      </c>
      <c r="H49" s="6" t="inlineStr">
        <is>
          <t>Easier than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Negation of a conditional and the falsifying row.</t>
        </is>
      </c>
      <c r="N49" s="3" t="inlineStr">
        <is>
          <t>Routine negation with one absorption.</t>
        </is>
      </c>
      <c r="O49" s="3" t="inlineStr">
        <is>
          <t>2026-P2-Q3 (L2)</t>
        </is>
      </c>
      <c r="P49" s="2" t="inlineStr">
        <is>
          <t>High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Numerical</t>
        </is>
      </c>
      <c r="E50" s="3" t="inlineStr">
        <is>
          <t>Mathematical Reasoning</t>
        </is>
      </c>
      <c r="F50" s="2" t="n">
        <v>4</v>
      </c>
      <c r="G50" s="7" t="n">
        <v>3</v>
      </c>
      <c r="H50" s="7" t="inlineStr">
        <is>
          <t>Average Advanced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Set s false to satisfy six clauses at once, then fix p and r for the other three.</t>
        </is>
      </c>
      <c r="N50" s="3" t="inlineStr">
        <is>
          <t>Constraint-satisfaction with nine clauses and no options; the assignment is found by one smart choice, and a slip would give 8 or less.</t>
        </is>
      </c>
      <c r="O50" s="3" t="inlineStr">
        <is>
          <t>2026-P1-Q11 (L3)</t>
        </is>
      </c>
      <c r="P50" s="2" t="inlineStr">
        <is>
          <t>Medium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SCQ</t>
        </is>
      </c>
      <c r="E51" s="3" t="inlineStr">
        <is>
          <t>Mathematical Reasoning</t>
        </is>
      </c>
      <c r="F51" s="2" t="n">
        <v>4</v>
      </c>
      <c r="G51" s="4" t="n">
        <v>1</v>
      </c>
      <c r="H51" s="4" t="inlineStr">
        <is>
          <t>JEE Main level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Recognise addition: q implies anything-or-q.</t>
        </is>
      </c>
      <c r="N51" s="3" t="inlineStr">
        <is>
          <t>Four quick row checks.</t>
        </is>
      </c>
      <c r="O51" s="3" t="inlineStr">
        <is>
          <t>2026-P2-Q4 (L1)</t>
        </is>
      </c>
      <c r="P51" s="2" t="inlineStr">
        <is>
          <t>High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SCQ</t>
        </is>
      </c>
      <c r="E52" s="3" t="inlineStr">
        <is>
          <t>Mathematical Reasoning</t>
        </is>
      </c>
      <c r="F52" s="2" t="n">
        <v>4</v>
      </c>
      <c r="G52" s="6" t="n">
        <v>2</v>
      </c>
      <c r="H52" s="6" t="inlineStr">
        <is>
          <t>Easier than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Honest is ~R; negate the biconditional into (X^~Y)v(~X^Y).</t>
        </is>
      </c>
      <c r="N52" s="3" t="inlineStr">
        <is>
          <t>Translation trap plus expansion of the negated biconditional; Level 2.</t>
        </is>
      </c>
      <c r="O52" s="3" t="inlineStr">
        <is>
          <t>2026-P2-Q17 (L2)</t>
        </is>
      </c>
      <c r="P52" s="2" t="inlineStr">
        <is>
          <t>Medium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SCQ</t>
        </is>
      </c>
      <c r="E53" s="3" t="inlineStr">
        <is>
          <t>Mathematical Reasoning</t>
        </is>
      </c>
      <c r="F53" s="2" t="n">
        <v>4</v>
      </c>
      <c r="G53" s="4" t="n">
        <v>1</v>
      </c>
      <c r="H53" s="4" t="inlineStr">
        <is>
          <t>JEE Main level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Strip ~(p&lt;-&gt;~q) to p&lt;-&gt;q, then (p&lt;-&gt;q)^q = p^q = (p-&gt;q)^p.</t>
        </is>
      </c>
      <c r="N53" s="3" t="inlineStr">
        <is>
          <t>One familiar identity and a four-row table.</t>
        </is>
      </c>
      <c r="O53" s="3" t="inlineStr">
        <is>
          <t>2024-P2-Q1 (L0) / 2021-P2-Q17 (L1)</t>
        </is>
      </c>
      <c r="P53" s="2" t="inlineStr">
        <is>
          <t>High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SCQ</t>
        </is>
      </c>
      <c r="E54" s="3" t="inlineStr">
        <is>
          <t>Mathematical Reasoning</t>
        </is>
      </c>
      <c r="F54" s="2" t="n">
        <v>4</v>
      </c>
      <c r="G54" s="6" t="n">
        <v>2</v>
      </c>
      <c r="H54" s="6" t="inlineStr">
        <is>
          <t>Easier than Advanced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Case split on p, or expand the negated biconditional.</t>
        </is>
      </c>
      <c r="N54" s="3" t="inlineStr">
        <is>
          <t>Biconditional negation with a conditional inside.</t>
        </is>
      </c>
      <c r="O54" s="3" t="inlineStr">
        <is>
          <t>2026-P2-Q3 (L2)</t>
        </is>
      </c>
      <c r="P54" s="2" t="inlineStr">
        <is>
          <t>High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SCQ</t>
        </is>
      </c>
      <c r="E55" s="3" t="inlineStr">
        <is>
          <t>Mathematical Reasoning</t>
        </is>
      </c>
      <c r="F55" s="2" t="n">
        <v>4</v>
      </c>
      <c r="G55" s="6" t="n">
        <v>2</v>
      </c>
      <c r="H55" s="6" t="inlineStr">
        <is>
          <t>Easier than Advanced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Case p=T: need r&lt;-&gt;~q to be always false, so r=q.</t>
        </is>
      </c>
      <c r="N55" s="3" t="inlineStr">
        <is>
          <t>Unknown-statement identification; four candidates.</t>
        </is>
      </c>
      <c r="O55" s="3" t="inlineStr">
        <is>
          <t>2026-P2-Q3 (L2)</t>
        </is>
      </c>
      <c r="P55" s="2" t="inlineStr">
        <is>
          <t>High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SCQ</t>
        </is>
      </c>
      <c r="E56" s="3" t="inlineStr">
        <is>
          <t>Mathematical Reasoning</t>
        </is>
      </c>
      <c r="F56" s="2" t="n">
        <v>4</v>
      </c>
      <c r="G56" s="6" t="n">
        <v>2</v>
      </c>
      <c r="H56" s="6" t="inlineStr">
        <is>
          <t>Easier than Advanced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False conditional fixes P=T, Q=F, R=F.</t>
        </is>
      </c>
      <c r="N56" s="3" t="inlineStr">
        <is>
          <t>Forcing chain of three values plus four evaluations.</t>
        </is>
      </c>
      <c r="O56" s="3" t="inlineStr">
        <is>
          <t>2026-P2-Q3 (L2)</t>
        </is>
      </c>
      <c r="P56" s="2" t="inlineStr">
        <is>
          <t>High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SCQ</t>
        </is>
      </c>
      <c r="E57" s="3" t="inlineStr">
        <is>
          <t>Mathematical Reasoning</t>
        </is>
      </c>
      <c r="F57" s="2" t="n">
        <v>4</v>
      </c>
      <c r="G57" s="6" t="n">
        <v>2</v>
      </c>
      <c r="H57" s="6" t="inlineStr">
        <is>
          <t>Easier than Advanced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Only (v, v) gives p v (q v ~q).</t>
        </is>
      </c>
      <c r="N57" s="3" t="inlineStr">
        <is>
          <t>Four combinations; a short algebraic check each.</t>
        </is>
      </c>
      <c r="O57" s="3" t="inlineStr">
        <is>
          <t>2026-P2-Q3 (L2)</t>
        </is>
      </c>
      <c r="P57" s="2" t="inlineStr">
        <is>
          <t>High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SCQ</t>
        </is>
      </c>
      <c r="E58" s="3" t="inlineStr">
        <is>
          <t>Mathematical Reasoning</t>
        </is>
      </c>
      <c r="F58" s="2" t="n">
        <v>4</v>
      </c>
      <c r="G58" s="4" t="n">
        <v>1</v>
      </c>
      <c r="H58" s="4" t="inlineStr">
        <is>
          <t>JEE Main level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'Only if' gives p -&gt; (...); 'in the village' is ~q.</t>
        </is>
      </c>
      <c r="N58" s="3" t="inlineStr">
        <is>
          <t>Pure translation with two wording traps.</t>
        </is>
      </c>
      <c r="O58" s="3" t="inlineStr">
        <is>
          <t>2026-P1-Q3 (L1)</t>
        </is>
      </c>
      <c r="P58" s="2" t="inlineStr">
        <is>
          <t>High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SCQ</t>
        </is>
      </c>
      <c r="E59" s="3" t="inlineStr">
        <is>
          <t>Mathematical Reasoning</t>
        </is>
      </c>
      <c r="F59" s="2" t="n">
        <v>4</v>
      </c>
      <c r="G59" s="6" t="n">
        <v>2</v>
      </c>
      <c r="H59" s="6" t="inlineStr">
        <is>
          <t>Easier than Advanced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The premise already gives p, so the conclusion p ^ r reduces to r.</t>
        </is>
      </c>
      <c r="N59" s="3" t="inlineStr">
        <is>
          <t>One cleaning idea, three variables.</t>
        </is>
      </c>
      <c r="O59" s="3" t="inlineStr">
        <is>
          <t>2026-P2-Q3 (L2)</t>
        </is>
      </c>
      <c r="P59" s="2" t="inlineStr">
        <is>
          <t>High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SCQ</t>
        </is>
      </c>
      <c r="E60" s="3" t="inlineStr">
        <is>
          <t>Mathematical Reasoning</t>
        </is>
      </c>
      <c r="F60" s="2" t="n">
        <v>4</v>
      </c>
      <c r="G60" s="6" t="n">
        <v>2</v>
      </c>
      <c r="H60" s="6" t="inlineStr">
        <is>
          <t>Easier than Advanced</t>
        </is>
      </c>
      <c r="I60" s="5" t="n">
        <v>0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Reduce to ~p v q v r; (B) has p and ~r instead.</t>
        </is>
      </c>
      <c r="N60" s="3" t="inlineStr">
        <is>
          <t>Four options reduced to a single disjunction; the odd one out must be spotted.</t>
        </is>
      </c>
      <c r="O60" s="3" t="inlineStr">
        <is>
          <t>2026-P2-Q3 (L2)</t>
        </is>
      </c>
      <c r="P60" s="2" t="inlineStr">
        <is>
          <t>High</t>
        </is>
      </c>
    </row>
    <row r="61">
      <c r="A61" s="2" t="n">
        <v>60</v>
      </c>
      <c r="B61" s="2" t="inlineStr"/>
      <c r="C61" s="2" t="inlineStr">
        <is>
          <t>Q60</t>
        </is>
      </c>
      <c r="D61" s="2" t="inlineStr">
        <is>
          <t>SCQ</t>
        </is>
      </c>
      <c r="E61" s="3" t="inlineStr">
        <is>
          <t>Mathematical Reasoning</t>
        </is>
      </c>
      <c r="F61" s="2" t="n">
        <v>4</v>
      </c>
      <c r="G61" s="6" t="n">
        <v>2</v>
      </c>
      <c r="H61" s="6" t="inlineStr">
        <is>
          <t>Easier than Advanced</t>
        </is>
      </c>
      <c r="I61" s="5" t="n">
        <v>0</v>
      </c>
      <c r="J61" s="5" t="n">
        <v>0</v>
      </c>
      <c r="K61" s="5">
        <f>MIN(5,MAX(G61+I61,J61))</f>
        <v/>
      </c>
      <c r="L61" s="5">
        <f>F61*K61</f>
        <v/>
      </c>
      <c r="M61" s="3" t="inlineStr">
        <is>
          <t>Premise reduces to ~(P^Q); the conditional becomes (P^Q) v (~P^~Q) = P&lt;-&gt;Q.</t>
        </is>
      </c>
      <c r="N61" s="3" t="inlineStr">
        <is>
          <t>Two-variable simplification ending in the biconditional form; Level 2.</t>
        </is>
      </c>
      <c r="O61" s="3" t="inlineStr">
        <is>
          <t>2026-P2-Q3 (L2)</t>
        </is>
      </c>
      <c r="P61" s="2" t="inlineStr">
        <is>
          <t>High</t>
        </is>
      </c>
    </row>
    <row r="62">
      <c r="A62" s="2" t="n">
        <v>61</v>
      </c>
      <c r="B62" s="2" t="inlineStr"/>
      <c r="C62" s="2" t="inlineStr">
        <is>
          <t>Q61</t>
        </is>
      </c>
      <c r="D62" s="2" t="inlineStr">
        <is>
          <t>SCQ</t>
        </is>
      </c>
      <c r="E62" s="3" t="inlineStr">
        <is>
          <t>Mathematical Reasoning</t>
        </is>
      </c>
      <c r="F62" s="2" t="n">
        <v>4</v>
      </c>
      <c r="G62" s="4" t="n">
        <v>1</v>
      </c>
      <c r="H62" s="4" t="inlineStr">
        <is>
          <t>JEE Main level</t>
        </is>
      </c>
      <c r="I62" s="5" t="n">
        <v>0</v>
      </c>
      <c r="J62" s="5" t="n">
        <v>0</v>
      </c>
      <c r="K62" s="5">
        <f>MIN(5,MAX(G62+I62,J62))</f>
        <v/>
      </c>
      <c r="L62" s="5">
        <f>F62*K62</f>
        <v/>
      </c>
      <c r="M62" s="3" t="inlineStr">
        <is>
          <t>p ^ (p -&gt; ~q) = p ^ ~q.</t>
        </is>
      </c>
      <c r="N62" s="3" t="inlineStr">
        <is>
          <t>One simplification identity plus a negation.</t>
        </is>
      </c>
      <c r="O62" s="3" t="inlineStr">
        <is>
          <t>2026-P1-Q3 (L1)</t>
        </is>
      </c>
      <c r="P62" s="2" t="inlineStr">
        <is>
          <t>High</t>
        </is>
      </c>
    </row>
    <row r="63">
      <c r="A63" s="2" t="n">
        <v>62</v>
      </c>
      <c r="B63" s="2" t="inlineStr"/>
      <c r="C63" s="2" t="inlineStr">
        <is>
          <t>Q62</t>
        </is>
      </c>
      <c r="D63" s="2" t="inlineStr">
        <is>
          <t>SCQ</t>
        </is>
      </c>
      <c r="E63" s="3" t="inlineStr">
        <is>
          <t>Mathematical Reasoning</t>
        </is>
      </c>
      <c r="F63" s="2" t="n">
        <v>4</v>
      </c>
      <c r="G63" s="4" t="n">
        <v>1</v>
      </c>
      <c r="H63" s="4" t="inlineStr">
        <is>
          <t>JEE Main level</t>
        </is>
      </c>
      <c r="I63" s="5" t="n">
        <v>0</v>
      </c>
      <c r="J63" s="5" t="n">
        <v>0</v>
      </c>
      <c r="K63" s="5">
        <f>MIN(5,MAX(G63+I63,J63))</f>
        <v/>
      </c>
      <c r="L63" s="5">
        <f>F63*K63</f>
        <v/>
      </c>
      <c r="M63" s="3" t="inlineStr">
        <is>
          <t>Case split on q.</t>
        </is>
      </c>
      <c r="N63" s="3" t="inlineStr">
        <is>
          <t>Short, single idea.</t>
        </is>
      </c>
      <c r="O63" s="3" t="inlineStr">
        <is>
          <t>2026-P2-Q4 (L1)</t>
        </is>
      </c>
      <c r="P63" s="2" t="inlineStr">
        <is>
          <t>High</t>
        </is>
      </c>
    </row>
    <row r="64">
      <c r="A64" s="2" t="n">
        <v>63</v>
      </c>
      <c r="B64" s="2" t="inlineStr"/>
      <c r="C64" s="2" t="inlineStr">
        <is>
          <t>Q63</t>
        </is>
      </c>
      <c r="D64" s="2" t="inlineStr">
        <is>
          <t>SCQ</t>
        </is>
      </c>
      <c r="E64" s="3" t="inlineStr">
        <is>
          <t>Mathematical Reasoning</t>
        </is>
      </c>
      <c r="F64" s="2" t="n">
        <v>4</v>
      </c>
      <c r="G64" s="4" t="n">
        <v>1</v>
      </c>
      <c r="H64" s="4" t="inlineStr">
        <is>
          <t>JEE Main level</t>
        </is>
      </c>
      <c r="I64" s="5" t="n">
        <v>0</v>
      </c>
      <c r="J64" s="5" t="n">
        <v>0</v>
      </c>
      <c r="K64" s="5">
        <f>MIN(5,MAX(G64+I64,J64))</f>
        <v/>
      </c>
      <c r="L64" s="5">
        <f>F64*K64</f>
        <v/>
      </c>
      <c r="M64" s="3" t="inlineStr">
        <is>
          <t>Only a disjunction of p-&gt;q with p v q covers the row (T,F).</t>
        </is>
      </c>
      <c r="N64" s="3" t="inlineStr">
        <is>
          <t>Four combinations; single-row argument.</t>
        </is>
      </c>
      <c r="O64" s="3" t="inlineStr">
        <is>
          <t>2026-P2-Q4 (L1)</t>
        </is>
      </c>
      <c r="P64" s="2" t="inlineStr">
        <is>
          <t>High</t>
        </is>
      </c>
    </row>
    <row r="65">
      <c r="A65" s="2" t="n">
        <v>64</v>
      </c>
      <c r="B65" s="2" t="inlineStr"/>
      <c r="C65" s="2" t="inlineStr">
        <is>
          <t>Q64</t>
        </is>
      </c>
      <c r="D65" s="2" t="inlineStr">
        <is>
          <t>SCQ</t>
        </is>
      </c>
      <c r="E65" s="3" t="inlineStr">
        <is>
          <t>Mathematical Reasoning</t>
        </is>
      </c>
      <c r="F65" s="2" t="n">
        <v>4</v>
      </c>
      <c r="G65" s="6" t="n">
        <v>2</v>
      </c>
      <c r="H65" s="6" t="inlineStr">
        <is>
          <t>Easier than Advanced</t>
        </is>
      </c>
      <c r="I65" s="5" t="n">
        <v>0</v>
      </c>
      <c r="J65" s="5" t="n">
        <v>0</v>
      </c>
      <c r="K65" s="5">
        <f>MIN(5,MAX(G65+I65,J65))</f>
        <v/>
      </c>
      <c r="L65" s="5">
        <f>F65*K65</f>
        <v/>
      </c>
      <c r="M65" s="3" t="inlineStr">
        <is>
          <t>Force q=T, r=F from the conclusion, then p=F from the premise.</t>
        </is>
      </c>
      <c r="N65" s="3" t="inlineStr">
        <is>
          <t>Forcing chain with four options to cross-check.</t>
        </is>
      </c>
      <c r="O65" s="3" t="inlineStr">
        <is>
          <t>2026-P2-Q3 (L2)</t>
        </is>
      </c>
      <c r="P65" s="2" t="inlineStr">
        <is>
          <t>High</t>
        </is>
      </c>
    </row>
    <row r="66">
      <c r="A66" s="2" t="n">
        <v>65</v>
      </c>
      <c r="B66" s="2" t="inlineStr"/>
      <c r="C66" s="2" t="inlineStr">
        <is>
          <t>Q65</t>
        </is>
      </c>
      <c r="D66" s="2" t="inlineStr">
        <is>
          <t>MCQ</t>
        </is>
      </c>
      <c r="E66" s="3" t="inlineStr">
        <is>
          <t>Mathematical Reasoning</t>
        </is>
      </c>
      <c r="F66" s="2" t="n">
        <v>4</v>
      </c>
      <c r="G66" s="6" t="n">
        <v>2</v>
      </c>
      <c r="H66" s="6" t="inlineStr">
        <is>
          <t>Easier than Advanced</t>
        </is>
      </c>
      <c r="I66" s="5" t="n">
        <v>0</v>
      </c>
      <c r="J66" s="5" t="n">
        <v>0</v>
      </c>
      <c r="K66" s="5">
        <f>MIN(5,MAX(G66+I66,J66))</f>
        <v/>
      </c>
      <c r="L66" s="5">
        <f>F66*K66</f>
        <v/>
      </c>
      <c r="M66" s="3" t="inlineStr">
        <is>
          <t>Given statement is a tautology; find every tautologous option.</t>
        </is>
      </c>
      <c r="N66" s="3" t="inlineStr">
        <is>
          <t>Four independent tautology checks; one-or-more-correct format gives a slight edge.</t>
        </is>
      </c>
      <c r="O66" s="3" t="inlineStr">
        <is>
          <t>2026-P2-Q3 (L2)</t>
        </is>
      </c>
      <c r="P66" s="2" t="inlineStr">
        <is>
          <t>High</t>
        </is>
      </c>
    </row>
    <row r="67">
      <c r="A67" s="2" t="n">
        <v>66</v>
      </c>
      <c r="B67" s="2" t="inlineStr"/>
      <c r="C67" s="2" t="inlineStr">
        <is>
          <t>Q66</t>
        </is>
      </c>
      <c r="D67" s="2" t="inlineStr">
        <is>
          <t>SCQ</t>
        </is>
      </c>
      <c r="E67" s="3" t="inlineStr">
        <is>
          <t>Mathematical Reasoning</t>
        </is>
      </c>
      <c r="F67" s="2" t="n">
        <v>4</v>
      </c>
      <c r="G67" s="6" t="n">
        <v>2</v>
      </c>
      <c r="H67" s="6" t="inlineStr">
        <is>
          <t>Easier than Advanced</t>
        </is>
      </c>
      <c r="I67" s="5" t="n">
        <v>0</v>
      </c>
      <c r="J67" s="5" t="n">
        <v>0</v>
      </c>
      <c r="K67" s="5">
        <f>MIN(5,MAX(G67+I67,J67))</f>
        <v/>
      </c>
      <c r="L67" s="5">
        <f>F67*K67</f>
        <v/>
      </c>
      <c r="M67" s="3" t="inlineStr">
        <is>
          <t>One counter-row for both statements.</t>
        </is>
      </c>
      <c r="N67" s="3" t="inlineStr">
        <is>
          <t>Two statements, one well-chosen row; the identity behind it is standard.</t>
        </is>
      </c>
      <c r="O67" s="3" t="inlineStr">
        <is>
          <t>2026-P2-Q3 (L2)</t>
        </is>
      </c>
      <c r="P67" s="2" t="inlineStr">
        <is>
          <t>High</t>
        </is>
      </c>
    </row>
    <row r="68">
      <c r="A68" s="2" t="n">
        <v>67</v>
      </c>
      <c r="B68" s="2" t="inlineStr"/>
      <c r="C68" s="2" t="inlineStr">
        <is>
          <t>Q67</t>
        </is>
      </c>
      <c r="D68" s="2" t="inlineStr">
        <is>
          <t>SCQ</t>
        </is>
      </c>
      <c r="E68" s="3" t="inlineStr">
        <is>
          <t>Mathematical Reasoning</t>
        </is>
      </c>
      <c r="F68" s="2" t="n">
        <v>4</v>
      </c>
      <c r="G68" s="6" t="n">
        <v>2</v>
      </c>
      <c r="H68" s="6" t="inlineStr">
        <is>
          <t>Easier than Advanced</t>
        </is>
      </c>
      <c r="I68" s="5" t="n">
        <v>0</v>
      </c>
      <c r="J68" s="5" t="n">
        <v>0</v>
      </c>
      <c r="K68" s="5">
        <f>MIN(5,MAX(G68+I68,J68))</f>
        <v/>
      </c>
      <c r="L68" s="5">
        <f>F68*K68</f>
        <v/>
      </c>
      <c r="M68" s="3" t="inlineStr">
        <is>
          <t>'Take medicine' is ~Q; distribute ~P v (~Q ^ R).</t>
        </is>
      </c>
      <c r="N68" s="3" t="inlineStr">
        <is>
          <t>Translation with a negative given statement; distribution.</t>
        </is>
      </c>
      <c r="O68" s="3" t="inlineStr">
        <is>
          <t>2026-P2-Q17 (L2)</t>
        </is>
      </c>
      <c r="P68" s="2" t="inlineStr">
        <is>
          <t>High</t>
        </is>
      </c>
    </row>
    <row r="69">
      <c r="A69" s="2" t="n">
        <v>68</v>
      </c>
      <c r="B69" s="2" t="inlineStr"/>
      <c r="C69" s="2" t="inlineStr">
        <is>
          <t>Q68</t>
        </is>
      </c>
      <c r="D69" s="2" t="inlineStr">
        <is>
          <t>SCQ</t>
        </is>
      </c>
      <c r="E69" s="3" t="inlineStr">
        <is>
          <t>Mathematical Reasoning</t>
        </is>
      </c>
      <c r="F69" s="2" t="n">
        <v>4</v>
      </c>
      <c r="G69" s="6" t="n">
        <v>2</v>
      </c>
      <c r="H69" s="6" t="inlineStr">
        <is>
          <t>Easier than Advanced</t>
        </is>
      </c>
      <c r="I69" s="5" t="n">
        <v>0</v>
      </c>
      <c r="J69" s="5" t="n">
        <v>0</v>
      </c>
      <c r="K69" s="5">
        <f>MIN(5,MAX(G69+I69,J69))</f>
        <v/>
      </c>
      <c r="L69" s="5">
        <f>F69*K69</f>
        <v/>
      </c>
      <c r="M69" s="3" t="inlineStr">
        <is>
          <t>(S1) is X v ~X; (S2) is p&lt;-&gt;q, not a contradiction.</t>
        </is>
      </c>
      <c r="N69" s="3" t="inlineStr">
        <is>
          <t>Two checks, standard forms; the key is the only trap.</t>
        </is>
      </c>
      <c r="O69" s="3" t="inlineStr">
        <is>
          <t>2026-P2-Q3 (L2)</t>
        </is>
      </c>
      <c r="P69" s="2" t="inlineStr">
        <is>
          <t>High</t>
        </is>
      </c>
    </row>
    <row r="70">
      <c r="A70" s="2" t="n">
        <v>69</v>
      </c>
      <c r="B70" s="2" t="inlineStr"/>
      <c r="C70" s="2" t="inlineStr">
        <is>
          <t>Q69</t>
        </is>
      </c>
      <c r="D70" s="2" t="inlineStr">
        <is>
          <t>SCQ</t>
        </is>
      </c>
      <c r="E70" s="3" t="inlineStr">
        <is>
          <t>Mathematical Reasoning</t>
        </is>
      </c>
      <c r="F70" s="2" t="n">
        <v>4</v>
      </c>
      <c r="G70" s="6" t="n">
        <v>2</v>
      </c>
      <c r="H70" s="6" t="inlineStr">
        <is>
          <t>Easier than Advanced</t>
        </is>
      </c>
      <c r="I70" s="5" t="n">
        <v>0</v>
      </c>
      <c r="J70" s="5" t="n">
        <v>0</v>
      </c>
      <c r="K70" s="5">
        <f>MIN(5,MAX(G70+I70,J70))</f>
        <v/>
      </c>
      <c r="L70" s="5">
        <f>F70*K70</f>
        <v/>
      </c>
      <c r="M70" s="3" t="inlineStr">
        <is>
          <t>First conjunct is always true; second fails only at (p,q)=(T,F) with r true.</t>
        </is>
      </c>
      <c r="N70" s="3" t="inlineStr">
        <is>
          <t>Counting valid choices with a hidden always-true factor; slight precision risk.</t>
        </is>
      </c>
      <c r="O70" s="3" t="inlineStr">
        <is>
          <t>2026-P2-Q3 (L2)</t>
        </is>
      </c>
      <c r="P70" s="2" t="inlineStr">
        <is>
          <t>High</t>
        </is>
      </c>
    </row>
    <row r="71">
      <c r="A71" s="2" t="n">
        <v>70</v>
      </c>
      <c r="B71" s="2" t="inlineStr"/>
      <c r="C71" s="2" t="inlineStr">
        <is>
          <t>Q70</t>
        </is>
      </c>
      <c r="D71" s="2" t="inlineStr">
        <is>
          <t>SCQ</t>
        </is>
      </c>
      <c r="E71" s="3" t="inlineStr">
        <is>
          <t>Mathematical Reasoning</t>
        </is>
      </c>
      <c r="F71" s="2" t="n">
        <v>4</v>
      </c>
      <c r="G71" s="4" t="n">
        <v>1</v>
      </c>
      <c r="H71" s="4" t="inlineStr">
        <is>
          <t>JEE Main level</t>
        </is>
      </c>
      <c r="I71" s="5" t="n">
        <v>0</v>
      </c>
      <c r="J71" s="5" t="n">
        <v>0</v>
      </c>
      <c r="K71" s="5">
        <f>MIN(5,MAX(G71+I71,J71))</f>
        <v/>
      </c>
      <c r="L71" s="5">
        <f>F71*K71</f>
        <v/>
      </c>
      <c r="M71" s="3" t="inlineStr">
        <is>
          <t>Absorption X v (~X ^ Y) = X v Y.</t>
        </is>
      </c>
      <c r="N71" s="3" t="inlineStr">
        <is>
          <t>Single identity, one negation.</t>
        </is>
      </c>
      <c r="O71" s="3" t="inlineStr">
        <is>
          <t>2026-P1-Q3 (L1)</t>
        </is>
      </c>
      <c r="P71" s="2" t="inlineStr">
        <is>
          <t>High</t>
        </is>
      </c>
    </row>
    <row r="72">
      <c r="A72" s="2" t="n">
        <v>71</v>
      </c>
      <c r="B72" s="2" t="inlineStr"/>
      <c r="C72" s="2" t="inlineStr">
        <is>
          <t>Q71</t>
        </is>
      </c>
      <c r="D72" s="2" t="inlineStr">
        <is>
          <t>SCQ</t>
        </is>
      </c>
      <c r="E72" s="3" t="inlineStr">
        <is>
          <t>Mathematical Reasoning</t>
        </is>
      </c>
      <c r="F72" s="2" t="n">
        <v>4</v>
      </c>
      <c r="G72" s="6" t="n">
        <v>2</v>
      </c>
      <c r="H72" s="6" t="inlineStr">
        <is>
          <t>Easier than Advanced</t>
        </is>
      </c>
      <c r="I72" s="5" t="n">
        <v>0</v>
      </c>
      <c r="J72" s="5" t="n">
        <v>0</v>
      </c>
      <c r="K72" s="5">
        <f>MIN(5,MAX(G72+I72,J72))</f>
        <v/>
      </c>
      <c r="L72" s="5">
        <f>F72*K72</f>
        <v/>
      </c>
      <c r="M72" s="3" t="inlineStr">
        <is>
          <t>(p^q) implies (p v q).</t>
        </is>
      </c>
      <c r="N72" s="3" t="inlineStr">
        <is>
          <t>Four short simplifications.</t>
        </is>
      </c>
      <c r="O72" s="3" t="inlineStr">
        <is>
          <t>2026-P2-Q3 (L2)</t>
        </is>
      </c>
      <c r="P72" s="2" t="inlineStr">
        <is>
          <t>High</t>
        </is>
      </c>
    </row>
    <row r="73">
      <c r="A73" s="2" t="n">
        <v>72</v>
      </c>
      <c r="B73" s="2" t="inlineStr"/>
      <c r="C73" s="2" t="inlineStr">
        <is>
          <t>Q72</t>
        </is>
      </c>
      <c r="D73" s="2" t="inlineStr">
        <is>
          <t>SCQ</t>
        </is>
      </c>
      <c r="E73" s="3" t="inlineStr">
        <is>
          <t>Mathematical Reasoning</t>
        </is>
      </c>
      <c r="F73" s="2" t="n">
        <v>4</v>
      </c>
      <c r="G73" s="4" t="n">
        <v>1</v>
      </c>
      <c r="H73" s="4" t="inlineStr">
        <is>
          <t>JEE Main level</t>
        </is>
      </c>
      <c r="I73" s="5" t="n">
        <v>0</v>
      </c>
      <c r="J73" s="5" t="n">
        <v>0</v>
      </c>
      <c r="K73" s="5">
        <f>MIN(5,MAX(G73+I73,J73))</f>
        <v/>
      </c>
      <c r="L73" s="5">
        <f>F73*K73</f>
        <v/>
      </c>
      <c r="M73" s="3" t="inlineStr">
        <is>
          <t>Common conclusion: (~P v Q) ^ (~R v Q) = ~(P v R) v Q.</t>
        </is>
      </c>
      <c r="N73" s="3" t="inlineStr">
        <is>
          <t>One familiar factoring pattern.</t>
        </is>
      </c>
      <c r="O73" s="3" t="inlineStr">
        <is>
          <t>2026-P2-Q4 (L1)</t>
        </is>
      </c>
      <c r="P73" s="2" t="inlineStr">
        <is>
          <t>High</t>
        </is>
      </c>
    </row>
    <row r="74">
      <c r="A74" s="2" t="n">
        <v>73</v>
      </c>
      <c r="B74" s="2" t="inlineStr"/>
      <c r="C74" s="2" t="inlineStr">
        <is>
          <t>Q73</t>
        </is>
      </c>
      <c r="D74" s="2" t="inlineStr">
        <is>
          <t>SCQ</t>
        </is>
      </c>
      <c r="E74" s="3" t="inlineStr">
        <is>
          <t>Mathematical Reasoning</t>
        </is>
      </c>
      <c r="F74" s="2" t="n">
        <v>4</v>
      </c>
      <c r="G74" s="6" t="n">
        <v>2</v>
      </c>
      <c r="H74" s="6" t="inlineStr">
        <is>
          <t>Easier than Advanced</t>
        </is>
      </c>
      <c r="I74" s="5" t="n">
        <v>0</v>
      </c>
      <c r="J74" s="5" t="n">
        <v>0</v>
      </c>
      <c r="K74" s="5">
        <f>MIN(5,MAX(G74+I74,J74))</f>
        <v/>
      </c>
      <c r="L74" s="5">
        <f>F74*K74</f>
        <v/>
      </c>
      <c r="M74" s="3" t="inlineStr">
        <is>
          <t>One counter-row each (T,F) and (F,T).</t>
        </is>
      </c>
      <c r="N74" s="3" t="inlineStr">
        <is>
          <t>Two statements, one counter-row each.</t>
        </is>
      </c>
      <c r="O74" s="3" t="inlineStr">
        <is>
          <t>2026-P2-Q3 (L2)</t>
        </is>
      </c>
      <c r="P74" s="2" t="inlineStr">
        <is>
          <t>High</t>
        </is>
      </c>
    </row>
    <row r="75">
      <c r="A75" s="2" t="n">
        <v>74</v>
      </c>
      <c r="B75" s="2" t="inlineStr"/>
      <c r="C75" s="2" t="inlineStr">
        <is>
          <t>Q74</t>
        </is>
      </c>
      <c r="D75" s="2" t="inlineStr">
        <is>
          <t>SCQ</t>
        </is>
      </c>
      <c r="E75" s="3" t="inlineStr">
        <is>
          <t>Mathematical Reasoning</t>
        </is>
      </c>
      <c r="F75" s="2" t="n">
        <v>4</v>
      </c>
      <c r="G75" s="6" t="n">
        <v>2</v>
      </c>
      <c r="H75" s="6" t="inlineStr">
        <is>
          <t>Easier than Advanced</t>
        </is>
      </c>
      <c r="I75" s="5" t="n">
        <v>0</v>
      </c>
      <c r="J75" s="5" t="n">
        <v>0</v>
      </c>
      <c r="K75" s="5">
        <f>MIN(5,MAX(G75+I75,J75))</f>
        <v/>
      </c>
      <c r="L75" s="5">
        <f>F75*K75</f>
        <v/>
      </c>
      <c r="M75" s="3" t="inlineStr">
        <is>
          <t>Only row (p,q)=(F,T) makes the conditional false.</t>
        </is>
      </c>
      <c r="N75" s="3" t="inlineStr">
        <is>
          <t>Two-step simplification, then a negation.</t>
        </is>
      </c>
      <c r="O75" s="3" t="inlineStr">
        <is>
          <t>2026-P2-Q3 (L2)</t>
        </is>
      </c>
      <c r="P75" s="2" t="inlineStr">
        <is>
          <t>High</t>
        </is>
      </c>
    </row>
    <row r="76">
      <c r="A76" s="2" t="n">
        <v>75</v>
      </c>
      <c r="B76" s="2" t="inlineStr"/>
      <c r="C76" s="2" t="inlineStr">
        <is>
          <t>Q75</t>
        </is>
      </c>
      <c r="D76" s="2" t="inlineStr">
        <is>
          <t>SCQ</t>
        </is>
      </c>
      <c r="E76" s="3" t="inlineStr">
        <is>
          <t>Mathematical Reasoning</t>
        </is>
      </c>
      <c r="F76" s="2" t="n">
        <v>4</v>
      </c>
      <c r="G76" s="4" t="n">
        <v>1</v>
      </c>
      <c r="H76" s="4" t="inlineStr">
        <is>
          <t>JEE Main level</t>
        </is>
      </c>
      <c r="I76" s="5" t="n">
        <v>0</v>
      </c>
      <c r="J76" s="5" t="n">
        <v>0</v>
      </c>
      <c r="K76" s="5">
        <f>MIN(5,MAX(G76+I76,J76))</f>
        <v/>
      </c>
      <c r="L76" s="5">
        <f>F76*K76</f>
        <v/>
      </c>
      <c r="M76" s="3" t="inlineStr">
        <is>
          <t>De Morgan once and p ^ ~p = contradiction.</t>
        </is>
      </c>
      <c r="N76" s="3" t="inlineStr">
        <is>
          <t>Two-step negation.</t>
        </is>
      </c>
      <c r="O76" s="3" t="inlineStr">
        <is>
          <t>2026-P1-Q3 (L1)</t>
        </is>
      </c>
      <c r="P76" s="2" t="inlineStr">
        <is>
          <t>High</t>
        </is>
      </c>
    </row>
    <row r="77">
      <c r="A77" s="2" t="n">
        <v>76</v>
      </c>
      <c r="B77" s="2" t="inlineStr"/>
      <c r="C77" s="2" t="inlineStr">
        <is>
          <t>Q76</t>
        </is>
      </c>
      <c r="D77" s="2" t="inlineStr">
        <is>
          <t>SCQ</t>
        </is>
      </c>
      <c r="E77" s="3" t="inlineStr">
        <is>
          <t>Mathematical Reasoning</t>
        </is>
      </c>
      <c r="F77" s="2" t="n">
        <v>4</v>
      </c>
      <c r="G77" s="6" t="n">
        <v>2</v>
      </c>
      <c r="H77" s="6" t="inlineStr">
        <is>
          <t>Easier than Advanced</t>
        </is>
      </c>
      <c r="I77" s="5" t="n">
        <v>0</v>
      </c>
      <c r="J77" s="5" t="n">
        <v>0</v>
      </c>
      <c r="K77" s="5">
        <f>MIN(5,MAX(G77+I77,J77))</f>
        <v/>
      </c>
      <c r="L77" s="5">
        <f>F77*K77</f>
        <v/>
      </c>
      <c r="M77" s="3" t="inlineStr">
        <is>
          <t>De Morgan then factor out the common ~q.</t>
        </is>
      </c>
      <c r="N77" s="3" t="inlineStr">
        <is>
          <t>De Morgan and factoring on three variables.</t>
        </is>
      </c>
      <c r="O77" s="3" t="inlineStr">
        <is>
          <t>2026-P2-Q3 (L2)</t>
        </is>
      </c>
      <c r="P77" s="2" t="inlineStr">
        <is>
          <t>High</t>
        </is>
      </c>
    </row>
    <row r="78">
      <c r="A78" s="2" t="n">
        <v>77</v>
      </c>
      <c r="B78" s="2" t="inlineStr"/>
      <c r="C78" s="2" t="inlineStr">
        <is>
          <t>Q77</t>
        </is>
      </c>
      <c r="D78" s="2" t="inlineStr">
        <is>
          <t>SCQ</t>
        </is>
      </c>
      <c r="E78" s="3" t="inlineStr">
        <is>
          <t>Mathematical Reasoning</t>
        </is>
      </c>
      <c r="F78" s="2" t="n">
        <v>4</v>
      </c>
      <c r="G78" s="4" t="n">
        <v>1</v>
      </c>
      <c r="H78" s="4" t="inlineStr">
        <is>
          <t>JEE Main level</t>
        </is>
      </c>
      <c r="I78" s="5" t="n">
        <v>0</v>
      </c>
      <c r="J78" s="5" t="n">
        <v>0</v>
      </c>
      <c r="K78" s="5">
        <f>MIN(5,MAX(G78+I78,J78))</f>
        <v/>
      </c>
      <c r="L78" s="5">
        <f>F78*K78</f>
        <v/>
      </c>
      <c r="M78" s="3" t="inlineStr">
        <is>
          <t>The inner statement is a tautology.</t>
        </is>
      </c>
      <c r="N78" s="3" t="inlineStr">
        <is>
          <t>One De Morgan.</t>
        </is>
      </c>
      <c r="O78" s="3" t="inlineStr">
        <is>
          <t>2026-P1-Q3 (L1)</t>
        </is>
      </c>
      <c r="P78" s="2" t="inlineStr">
        <is>
          <t>High</t>
        </is>
      </c>
    </row>
    <row r="79">
      <c r="A79" s="2" t="n">
        <v>78</v>
      </c>
      <c r="B79" s="2" t="inlineStr"/>
      <c r="C79" s="2" t="inlineStr">
        <is>
          <t>Q78</t>
        </is>
      </c>
      <c r="D79" s="2" t="inlineStr">
        <is>
          <t>SCQ</t>
        </is>
      </c>
      <c r="E79" s="3" t="inlineStr">
        <is>
          <t>Mathematical Reasoning</t>
        </is>
      </c>
      <c r="F79" s="2" t="n">
        <v>4</v>
      </c>
      <c r="G79" s="6" t="n">
        <v>2</v>
      </c>
      <c r="H79" s="6" t="inlineStr">
        <is>
          <t>Easier than Advanced</t>
        </is>
      </c>
      <c r="I79" s="5" t="n">
        <v>0</v>
      </c>
      <c r="J79" s="5" t="n">
        <v>0</v>
      </c>
      <c r="K79" s="5">
        <f>MIN(5,MAX(G79+I79,J79))</f>
        <v/>
      </c>
      <c r="L79" s="5">
        <f>F79*K79</f>
        <v/>
      </c>
      <c r="M79" s="3" t="inlineStr">
        <is>
          <t>Converse = r -&gt; X; match it with its contrapositive form.</t>
        </is>
      </c>
      <c r="N79" s="3" t="inlineStr">
        <is>
          <t>Terminology plus identification of a disguised option.</t>
        </is>
      </c>
      <c r="O79" s="3" t="inlineStr">
        <is>
          <t>2026-P2-Q3 (L2)</t>
        </is>
      </c>
      <c r="P79" s="2" t="inlineStr">
        <is>
          <t>Medium</t>
        </is>
      </c>
    </row>
    <row r="80">
      <c r="A80" s="2" t="n">
        <v>79</v>
      </c>
      <c r="B80" s="2" t="inlineStr"/>
      <c r="C80" s="2" t="inlineStr">
        <is>
          <t>Q79</t>
        </is>
      </c>
      <c r="D80" s="2" t="inlineStr">
        <is>
          <t>SCQ</t>
        </is>
      </c>
      <c r="E80" s="3" t="inlineStr">
        <is>
          <t>Mathematical Reasoning</t>
        </is>
      </c>
      <c r="F80" s="2" t="n">
        <v>4</v>
      </c>
      <c r="G80" s="6" t="n">
        <v>2</v>
      </c>
      <c r="H80" s="6" t="inlineStr">
        <is>
          <t>Easier than Advanced</t>
        </is>
      </c>
      <c r="I80" s="5" t="n">
        <v>0</v>
      </c>
      <c r="J80" s="5" t="n">
        <v>0</v>
      </c>
      <c r="K80" s="5">
        <f>MIN(5,MAX(G80+I80,J80))</f>
        <v/>
      </c>
      <c r="L80" s="5">
        <f>F80*K80</f>
        <v/>
      </c>
      <c r="M80" s="3" t="inlineStr">
        <is>
          <t>(S1): X ^ ~X; (S2): all four minterms.</t>
        </is>
      </c>
      <c r="N80" s="3" t="inlineStr">
        <is>
          <t>Two quick structural recognitions.</t>
        </is>
      </c>
      <c r="O80" s="3" t="inlineStr">
        <is>
          <t>2026-P2-Q3 (L2)</t>
        </is>
      </c>
      <c r="P80" s="2" t="inlineStr">
        <is>
          <t>High</t>
        </is>
      </c>
    </row>
    <row r="81">
      <c r="A81" s="2" t="n">
        <v>80</v>
      </c>
      <c r="B81" s="2" t="inlineStr"/>
      <c r="C81" s="2" t="inlineStr">
        <is>
          <t>Q80</t>
        </is>
      </c>
      <c r="D81" s="2" t="inlineStr">
        <is>
          <t>SCQ</t>
        </is>
      </c>
      <c r="E81" s="3" t="inlineStr">
        <is>
          <t>Mathematical Reasoning</t>
        </is>
      </c>
      <c r="F81" s="2" t="n">
        <v>4</v>
      </c>
      <c r="G81" s="6" t="n">
        <v>2</v>
      </c>
      <c r="H81" s="6" t="inlineStr">
        <is>
          <t>Easier than Advanced</t>
        </is>
      </c>
      <c r="I81" s="5" t="n">
        <v>0</v>
      </c>
      <c r="J81" s="5" t="n">
        <v>0</v>
      </c>
      <c r="K81" s="5">
        <f>MIN(5,MAX(G81+I81,J81))</f>
        <v/>
      </c>
      <c r="L81" s="5">
        <f>F81*K81</f>
        <v/>
      </c>
      <c r="M81" s="3" t="inlineStr">
        <is>
          <t>Inner conditional is a tautology.</t>
        </is>
      </c>
      <c r="N81" s="3" t="inlineStr">
        <is>
          <t>Long expression but one structural observation.</t>
        </is>
      </c>
      <c r="O81" s="3" t="inlineStr">
        <is>
          <t>2026-P2-Q3 (L2)</t>
        </is>
      </c>
      <c r="P81" s="2" t="inlineStr">
        <is>
          <t>High</t>
        </is>
      </c>
    </row>
    <row r="82">
      <c r="A82" s="2" t="n">
        <v>81</v>
      </c>
      <c r="B82" s="2" t="inlineStr"/>
      <c r="C82" s="2" t="inlineStr">
        <is>
          <t>Q81</t>
        </is>
      </c>
      <c r="D82" s="2" t="inlineStr">
        <is>
          <t>SCQ</t>
        </is>
      </c>
      <c r="E82" s="3" t="inlineStr">
        <is>
          <t>Mathematical Reasoning</t>
        </is>
      </c>
      <c r="F82" s="2" t="n">
        <v>4</v>
      </c>
      <c r="G82" s="6" t="n">
        <v>2</v>
      </c>
      <c r="H82" s="6" t="inlineStr">
        <is>
          <t>Easier than Advanced</t>
        </is>
      </c>
      <c r="I82" s="5" t="n">
        <v>0</v>
      </c>
      <c r="J82" s="5" t="n">
        <v>0</v>
      </c>
      <c r="K82" s="5">
        <f>MIN(5,MAX(G82+I82,J82))</f>
        <v/>
      </c>
      <c r="L82" s="5">
        <f>F82*K82</f>
        <v/>
      </c>
      <c r="M82" s="3" t="inlineStr">
        <is>
          <t>(~p^q) v (~p^~q) = ~p, then absorption.</t>
        </is>
      </c>
      <c r="N82" s="3" t="inlineStr">
        <is>
          <t>Two routine identities.</t>
        </is>
      </c>
      <c r="O82" s="3" t="inlineStr">
        <is>
          <t>2026-P2-Q3 (L2)</t>
        </is>
      </c>
      <c r="P82" s="2" t="inlineStr">
        <is>
          <t>High</t>
        </is>
      </c>
    </row>
    <row r="83">
      <c r="A83" s="2" t="n">
        <v>82</v>
      </c>
      <c r="B83" s="2" t="inlineStr"/>
      <c r="C83" s="2" t="inlineStr">
        <is>
          <t>Q82</t>
        </is>
      </c>
      <c r="D83" s="2" t="inlineStr">
        <is>
          <t>SCQ</t>
        </is>
      </c>
      <c r="E83" s="3" t="inlineStr">
        <is>
          <t>Mathematical Reasoning</t>
        </is>
      </c>
      <c r="F83" s="2" t="n">
        <v>4</v>
      </c>
      <c r="G83" s="4" t="n">
        <v>1</v>
      </c>
      <c r="H83" s="4" t="inlineStr">
        <is>
          <t>JEE Main level</t>
        </is>
      </c>
      <c r="I83" s="5" t="n">
        <v>0</v>
      </c>
      <c r="J83" s="5" t="n">
        <v>0</v>
      </c>
      <c r="K83" s="5">
        <f>MIN(5,MAX(G83+I83,J83))</f>
        <v/>
      </c>
      <c r="L83" s="5">
        <f>F83*K83</f>
        <v/>
      </c>
      <c r="M83" s="3" t="inlineStr">
        <is>
          <t>The statement is a contradiction, so its negation is a tautology.</t>
        </is>
      </c>
      <c r="N83" s="3" t="inlineStr">
        <is>
          <t>One structural observation.</t>
        </is>
      </c>
      <c r="O83" s="3" t="inlineStr">
        <is>
          <t>2026-P1-Q3 (L1)</t>
        </is>
      </c>
      <c r="P83" s="2" t="inlineStr">
        <is>
          <t>High</t>
        </is>
      </c>
    </row>
    <row r="84">
      <c r="A84" s="2" t="n">
        <v>83</v>
      </c>
      <c r="B84" s="2" t="inlineStr"/>
      <c r="C84" s="2" t="inlineStr">
        <is>
          <t>Q83</t>
        </is>
      </c>
      <c r="D84" s="2" t="inlineStr">
        <is>
          <t>Numerical</t>
        </is>
      </c>
      <c r="E84" s="3" t="inlineStr">
        <is>
          <t>Mathematical Reasoning</t>
        </is>
      </c>
      <c r="F84" s="2" t="n">
        <v>4</v>
      </c>
      <c r="G84" s="6" t="n">
        <v>2</v>
      </c>
      <c r="H84" s="6" t="inlineStr">
        <is>
          <t>Easier than Advanced</t>
        </is>
      </c>
      <c r="I84" s="5" t="n">
        <v>0</v>
      </c>
      <c r="J84" s="5" t="n">
        <v>0</v>
      </c>
      <c r="K84" s="5">
        <f>MIN(5,MAX(G84+I84,J84))</f>
        <v/>
      </c>
      <c r="L84" s="5">
        <f>F84*K84</f>
        <v/>
      </c>
      <c r="M84" s="3" t="inlineStr">
        <is>
          <t>Count only the failing rows: q = r = F and p = T.</t>
        </is>
      </c>
      <c r="N84" s="3" t="inlineStr">
        <is>
          <t>Short count; precision risk is low (8 rows).</t>
        </is>
      </c>
      <c r="O84" s="3" t="inlineStr">
        <is>
          <t>2026-P2-Q12 (L2)</t>
        </is>
      </c>
      <c r="P84" s="2" t="inlineStr">
        <is>
          <t>High</t>
        </is>
      </c>
    </row>
    <row r="86">
      <c r="A86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SHEET_MATHEMATICAL_REASONING_FCopy_JM.pdf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COUNTIF(Evaluation!$G$2:$G$84,A5)</f>
        <v/>
      </c>
      <c r="D5" s="10">
        <f>SUMIF(Evaluation!$G$2:$G$84,A5,Evaluation!$F$2:$F$84)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COUNTIF(Evaluation!$G$2:$G$84,A6)</f>
        <v/>
      </c>
      <c r="D6" s="12">
        <f>SUMIF(Evaluation!$G$2:$G$84,A6,Evaluation!$F$2:$F$84)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COUNTIF(Evaluation!$G$2:$G$84,A7)</f>
        <v/>
      </c>
      <c r="D7" s="14">
        <f>SUMIF(Evaluation!$G$2:$G$84,A7,Evaluation!$F$2:$F$84)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COUNTIF(Evaluation!$G$2:$G$84,A8)</f>
        <v/>
      </c>
      <c r="D8" s="16">
        <f>SUMIF(Evaluation!$G$2:$G$84,A8,Evaluation!$F$2:$F$84)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COUNTIF(Evaluation!$G$2:$G$84,A9)</f>
        <v/>
      </c>
      <c r="D9" s="18">
        <f>SUMIF(Evaluation!$G$2:$G$84,A9,Evaluation!$F$2:$F$84)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COUNTIF(Evaluation!$G$2:$G$84,A10)</f>
        <v/>
      </c>
      <c r="D10" s="20">
        <f>SUMIF(Evaluation!$G$2:$G$84,A10,Evaluation!$F$2:$F$84)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SUM(Evaluation!$L$2:$L$84)/SUM(Evaluation!$F$2:$F$84)</f>
        <v/>
      </c>
      <c r="C14" s="23">
        <f>SUMPRODUCT(Evaluation!$F$2:$F$84,Evaluation!$G$2:$G$84)/SUM(Evaluation!$F$2:$F$84)</f>
        <v/>
      </c>
      <c r="D14" s="22">
        <f>SUM(Evaluation!$F$2:$F$84)</f>
        <v/>
      </c>
      <c r="E14" s="23">
        <f>AVERAGE(Evaluation!$G$2:$G$84)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2026-10-14T16:31:53Z</dcterms:created>
  <dcterms:modified xmlns:dcterms="http://purl.org/dc/terms/" xmlns:xsi="http://www.w3.org/2001/XMLSchema-instance" xsi:type="dcterms:W3CDTF">2026-10-14T16:31:53Z</dcterms:modified>
</cp:coreProperties>
</file>