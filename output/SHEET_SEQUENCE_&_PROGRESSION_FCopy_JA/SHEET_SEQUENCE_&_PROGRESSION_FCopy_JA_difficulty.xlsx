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Sequence &amp; Progression</t>
        </is>
      </c>
      <c r="F2" s="2" t="n">
        <v>3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Reciprocal A.P. and a sign condition</t>
        </is>
      </c>
      <c r="N2" s="3" t="inlineStr">
        <is>
          <t>Same single move (a reduction to an A.P. then an inequality), few steps.</t>
        </is>
      </c>
      <c r="O2" s="3" t="inlineStr">
        <is>
          <t>2026-P1-Q3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INT</t>
        </is>
      </c>
      <c r="E3" s="3" t="inlineStr">
        <is>
          <t>Sequence &amp; Progression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Factor n^2+n-2450=4k and prune with divisibility / k&lt;n</t>
        </is>
      </c>
      <c r="N3" s="3" t="inlineStr">
        <is>
          <t>Setup, factorisation, a mod-4 parity argument and a bound; a slip changes the answer and there are no options.</t>
        </is>
      </c>
      <c r="O3" s="3" t="inlineStr">
        <is>
          <t>2026-P2-Q6 (L4)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MCQ</t>
        </is>
      </c>
      <c r="E4" s="3" t="inlineStr">
        <is>
          <t>Sequence &amp; Progression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Group the sign pattern -,-,+,+ in fours</t>
        </is>
      </c>
      <c r="N4" s="3" t="inlineStr">
        <is>
          <t>Spot the period-4 sign pattern, sum two A.P.s, then check four values.</t>
        </is>
      </c>
      <c r="O4" s="3" t="inlineStr">
        <is>
          <t>2021-P1-Q15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INT</t>
        </is>
      </c>
      <c r="E5" s="3" t="inlineStr">
        <is>
          <t>Sequence &amp; Progression</t>
        </is>
      </c>
      <c r="F5" s="2" t="n">
        <v>4</v>
      </c>
      <c r="G5" s="7" t="n">
        <v>2</v>
      </c>
      <c r="H5" s="7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G.P. with integer ratio gives a(r-1)^2=6</t>
        </is>
      </c>
      <c r="N5" s="3" t="inlineStr">
        <is>
          <t>Routine chain: parametrise, simplify to a(r-1)^2=6, divisor argument.</t>
        </is>
      </c>
      <c r="O5" s="3" t="inlineStr">
        <is>
          <t>2026-P2-Q2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INT</t>
        </is>
      </c>
      <c r="E6" s="3" t="inlineStr">
        <is>
          <t>Sequence &amp; Progression</t>
        </is>
      </c>
      <c r="F6" s="2" t="n">
        <v>4</v>
      </c>
      <c r="G6" s="7" t="n">
        <v>2</v>
      </c>
      <c r="H6" s="7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S7/S11 gives a=9d then 130&lt;15d&lt;140</t>
        </is>
      </c>
      <c r="N6" s="3" t="inlineStr">
        <is>
          <t>Two standard sum formulas and one inequality; no insight needed.</t>
        </is>
      </c>
      <c r="O6" s="3" t="inlineStr">
        <is>
          <t>2026-P2-Q1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Sequence &amp; Progression</t>
        </is>
      </c>
      <c r="F7" s="2" t="n">
        <v>3</v>
      </c>
      <c r="G7" s="7" t="n">
        <v>2</v>
      </c>
      <c r="H7" s="7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Split 1/x into 1/(2x)+1/(2x) for A.M.-G.M.</t>
        </is>
      </c>
      <c r="N7" s="3" t="inlineStr">
        <is>
          <t>Familiar A.M.-G.M. weighted-splitting trick; options available.</t>
        </is>
      </c>
      <c r="O7" s="3" t="inlineStr">
        <is>
          <t>2026-P2-Q12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Sequence &amp; Progression</t>
        </is>
      </c>
      <c r="F8" s="2" t="n">
        <v>3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A.P. vs G.P. through two common points (weighted A.M.&gt;G.M.)</t>
        </is>
      </c>
      <c r="N8" s="3" t="inlineStr">
        <is>
          <t>Needs the convexity / A.M.&gt;G.M. idea applied to inserted terms and extrapolation; two parts to check.</t>
        </is>
      </c>
      <c r="O8" s="3" t="inlineStr">
        <is>
          <t>2026-P1-Q7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Sequence &amp; Progression</t>
        </is>
      </c>
      <c r="F9" s="2" t="n">
        <v>4</v>
      </c>
      <c r="G9" s="7" t="n">
        <v>2</v>
      </c>
      <c r="H9" s="7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Common terms form an A.P. of difference lcm(5,7); count to 10086</t>
        </is>
      </c>
      <c r="N9" s="3" t="inlineStr">
        <is>
          <t>Standard common-terms idea plus an exact count with an upper-limit decision; a slip changes the numerical answer.</t>
        </is>
      </c>
      <c r="O9" s="3" t="inlineStr">
        <is>
          <t>2023-P2-Q9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MCQ</t>
        </is>
      </c>
      <c r="E10" s="3" t="inlineStr">
        <is>
          <t>Sequence &amp; Progression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2.5</v>
      </c>
      <c r="K10" s="5">
        <f>MIN(5,MAX(G10+I10,J10))</f>
        <v/>
      </c>
      <c r="L10" s="5">
        <f>F10*K10</f>
        <v/>
      </c>
      <c r="M10" s="3" t="inlineStr">
        <is>
          <t>alpha^2=alpha+1 for A; telescoping for B; geometric series for C, D</t>
        </is>
      </c>
      <c r="N10" s="3" t="inlineStr">
        <is>
          <t>Four statements, each a short derivation on Fibonacci/Lucas numbers; (D) needs an exact evaluation.</t>
        </is>
      </c>
      <c r="O10" s="3" t="inlineStr">
        <is>
          <t>2021-P1-Q15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Sequence &amp; Progression</t>
        </is>
      </c>
      <c r="F11" s="2" t="n">
        <v>4</v>
      </c>
      <c r="G11" s="7" t="n">
        <v>2</v>
      </c>
      <c r="H11" s="7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Intersection of A.P.s has difference lcm(3,5,7); find first term 52</t>
        </is>
      </c>
      <c r="N11" s="3" t="inlineStr">
        <is>
          <t>Short search / CRT with a known idea; numerical answer.</t>
        </is>
      </c>
      <c r="O11" s="3" t="inlineStr">
        <is>
          <t>2023-P2-Q9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INT</t>
        </is>
      </c>
      <c r="E12" s="3" t="inlineStr">
        <is>
          <t>Sequence &amp; Progression</t>
        </is>
      </c>
      <c r="F12" s="2" t="n">
        <v>4</v>
      </c>
      <c r="G12" s="7" t="n">
        <v>2</v>
      </c>
      <c r="H12" s="7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A.M.-G.M. twice (sum of exponents; product with fixed sum)</t>
        </is>
      </c>
      <c r="N12" s="3" t="inlineStr">
        <is>
          <t>Two direct A.M.-G.M. applications and log evaluation.</t>
        </is>
      </c>
      <c r="O12" s="3" t="inlineStr">
        <is>
          <t>2026-P2-Q12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INT</t>
        </is>
      </c>
      <c r="E13" s="3" t="inlineStr">
        <is>
          <t>Sequence &amp; Progression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c=2n(n-1)/(2^n-2n-1); bound n and test n=1..6</t>
        </is>
      </c>
      <c r="N13" s="3" t="inlineStr">
        <is>
          <t>Setup, an exponential bound argument and careful enumeration; no options to check.</t>
        </is>
      </c>
      <c r="O13" s="3" t="inlineStr">
        <is>
          <t>2026-P1-Q11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Sequence &amp; Progression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Expand both differences in l1d2+w1d1 and d1d2</t>
        </is>
      </c>
      <c r="N14" s="3" t="inlineStr">
        <is>
          <t>Algebraic expansion with an elimination of the combination l1d2+w1d1; moderate precision.</t>
        </is>
      </c>
      <c r="O14" s="3" t="inlineStr">
        <is>
          <t>2023-P2-Q2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MCQ</t>
        </is>
      </c>
      <c r="E15" s="3" t="inlineStr">
        <is>
          <t>Sequence &amp; Progression</t>
        </is>
      </c>
      <c r="F15" s="2" t="n">
        <v>4</v>
      </c>
      <c r="G15" s="7" t="n">
        <v>2</v>
      </c>
      <c r="H15" s="7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T_n=T_1+sum a_k, then sums with standard formulas</t>
        </is>
      </c>
      <c r="N15" s="3" t="inlineStr">
        <is>
          <t>Four statements needing exact arithmetic but only routine formulas.</t>
        </is>
      </c>
      <c r="O15" s="3" t="inlineStr">
        <is>
          <t>2026-P2-Q3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Sequence &amp; Progression</t>
        </is>
      </c>
      <c r="F16" s="2" t="n">
        <v>4</v>
      </c>
      <c r="G16" s="8" t="n">
        <v>4</v>
      </c>
      <c r="H16" s="8" t="inlineStr">
        <is>
          <t>Slightly difficult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Write terms as 7*10^(r+1)+50R_r+7 and sum repunits</t>
        </is>
      </c>
      <c r="N16" s="3" t="inlineStr">
        <is>
          <t>Same question as the rated 2023-P1-Q10 (L4): heavy exact manipulation of repdigit sums with no options.</t>
        </is>
      </c>
      <c r="O16" s="3" t="inlineStr">
        <is>
          <t>2023-P1-Q10 (L4)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MCQ</t>
        </is>
      </c>
      <c r="E17" s="3" t="inlineStr">
        <is>
          <t>Sequence &amp; Progression</t>
        </is>
      </c>
      <c r="F17" s="2" t="n">
        <v>4</v>
      </c>
      <c r="G17" s="8" t="n">
        <v>4</v>
      </c>
      <c r="H17" s="8" t="inlineStr">
        <is>
          <t>Slightly difficult</t>
        </is>
      </c>
      <c r="I17" s="5" t="n">
        <v>0</v>
      </c>
      <c r="J17" s="5" t="n">
        <v>2.5</v>
      </c>
      <c r="K17" s="5">
        <f>MIN(5,MAX(G17+I17,J17))</f>
        <v/>
      </c>
      <c r="L17" s="5">
        <f>F17*K17</f>
        <v/>
      </c>
      <c r="M17" s="3" t="inlineStr">
        <is>
          <t>x=-2 and 2b=a+c give (alpha+2)(beta+2)=3</t>
        </is>
      </c>
      <c r="N17" s="3" t="inlineStr">
        <is>
          <t>Same question as the rated 2026-P2-Q6 (L4): unfamiliar substitution then four statements.</t>
        </is>
      </c>
      <c r="O17" s="3" t="inlineStr">
        <is>
          <t>2026-P2-Q6 (L4)</t>
        </is>
      </c>
      <c r="P17" s="2" t="inlineStr">
        <is>
          <t>High</t>
        </is>
      </c>
    </row>
    <row r="19">
      <c r="A19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SHEET_SEQUENCE_&amp;_PROGRESSION_FCopy_JA.pdf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COUNTIF(Evaluation!$G$2:$G$17,A5)</f>
        <v/>
      </c>
      <c r="D5" s="11">
        <f>SUMIF(Evaluation!$G$2:$G$17,A5,Evaluation!$F$2:$F$17)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COUNTIF(Evaluation!$G$2:$G$17,A6)</f>
        <v/>
      </c>
      <c r="D6" s="13">
        <f>SUMIF(Evaluation!$G$2:$G$17,A6,Evaluation!$F$2:$F$17)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COUNTIF(Evaluation!$G$2:$G$17,A7)</f>
        <v/>
      </c>
      <c r="D7" s="15">
        <f>SUMIF(Evaluation!$G$2:$G$17,A7,Evaluation!$F$2:$F$17)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COUNTIF(Evaluation!$G$2:$G$17,A8)</f>
        <v/>
      </c>
      <c r="D8" s="17">
        <f>SUMIF(Evaluation!$G$2:$G$17,A8,Evaluation!$F$2:$F$17)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COUNTIF(Evaluation!$G$2:$G$17,A9)</f>
        <v/>
      </c>
      <c r="D9" s="19">
        <f>SUMIF(Evaluation!$G$2:$G$17,A9,Evaluation!$F$2:$F$17)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COUNTIF(Evaluation!$G$2:$G$17,A10)</f>
        <v/>
      </c>
      <c r="D10" s="21">
        <f>SUMIF(Evaluation!$G$2:$G$17,A10,Evaluation!$F$2:$F$17)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SUM(Evaluation!$L$2:$L$17)/SUM(Evaluation!$F$2:$F$17)</f>
        <v/>
      </c>
      <c r="C14" s="24">
        <f>SUMPRODUCT(Evaluation!$F$2:$F$17,Evaluation!$G$2:$G$17)/SUM(Evaluation!$F$2:$F$17)</f>
        <v/>
      </c>
      <c r="D14" s="23">
        <f>SUM(Evaluation!$F$2:$F$17)</f>
        <v/>
      </c>
      <c r="E14" s="24">
        <f>AVERAGE(Evaluation!$G$2:$G$17)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2026-10-15T03:07:20Z</dcterms:created>
  <dcterms:modified xmlns:dcterms="http://purl.org/dc/terms/" xmlns:xsi="http://www.w3.org/2001/XMLSchema-instance" xsi:type="dcterms:W3CDTF">2026-10-15T03:07:20Z</dcterms:modified>
</cp:coreProperties>
</file>