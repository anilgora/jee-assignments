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Straight Line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Orthocentre condition fixes C; tangent from C to the parabola.</t>
        </is>
      </c>
      <c r="N2" s="3" t="inlineStr">
        <is>
          <t>Four routine stages (lambda, A, C, tangent) with the standard tangent form; no hidden idea. Chain length puts it at 2.</t>
        </is>
      </c>
      <c r="O2" s="3" t="inlineStr">
        <is>
          <t>2026-P2-Q2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Straight Line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Origin is the midpoint of BC, so A lies on y=x.</t>
        </is>
      </c>
      <c r="N3" s="3" t="inlineStr">
        <is>
          <t>One symmetry observation then the equilateral-triangle area formula; routine.</t>
        </is>
      </c>
      <c r="O3" s="3" t="inlineStr">
        <is>
          <t>2026-P2-Q1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Straight Line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Image of the source in the mirror lies on the reflected ray.</t>
        </is>
      </c>
      <c r="N4" s="3" t="inlineStr">
        <is>
          <t>Single familiar reflection move followed by a line intersection.</t>
        </is>
      </c>
      <c r="O4" s="3" t="inlineStr">
        <is>
          <t>2024-P2-Q3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Straight Line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Normal form vs intercept form of the line.</t>
        </is>
      </c>
      <c r="N5" s="3" t="inlineStr">
        <is>
          <t>Compare two forms, then area; three standard steps.</t>
        </is>
      </c>
      <c r="O5" s="3" t="inlineStr">
        <is>
          <t>2021-P1-Q9 (L4, harder locus)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Straight Line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Intersect two altitudes, then sum/product of roots.</t>
        </is>
      </c>
      <c r="N6" s="3" t="inlineStr">
        <is>
          <t>Mechanical orthocentre followed by a quadratic; single familiar move chained twice.</t>
        </is>
      </c>
      <c r="O6" s="3" t="inlineStr">
        <is>
          <t>2026-P2-Q2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Straight Line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Apply the bisector formula (x^2-y^2)/(a-b)=xy/h.</t>
        </is>
      </c>
      <c r="N7" s="3" t="inlineStr">
        <is>
          <t>Direct formula, one move.</t>
        </is>
      </c>
      <c r="O7" s="3" t="inlineStr">
        <is>
          <t>2024-P2-Q3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Straight Line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Vertices on known sides with one parameter each; centroid gives two equations.</t>
        </is>
      </c>
      <c r="N8" s="3" t="inlineStr">
        <is>
          <t>Numerical answer, four linked stages (A, B, C parameters, centroid, then p and a) with no options to check.</t>
        </is>
      </c>
      <c r="O8" s="3" t="inlineStr">
        <is>
          <t>2021-P1-Q9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Straight Line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Strict-inside lattice count with b a multiple of a.</t>
        </is>
      </c>
      <c r="N9" s="3" t="inlineStr">
        <is>
          <t>Casework with strict boundaries; one slip changes the count and there are no options.</t>
        </is>
      </c>
      <c r="O9" s="3" t="inlineStr">
        <is>
          <t>2025-P1-Q10 (L5, harder casework)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Straight Line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Trisection points give slopes; intersect y=(m1+m2)x with L.</t>
        </is>
      </c>
      <c r="N10" s="3" t="inlineStr">
        <is>
          <t>Section formula, slopes, intersection; routine chain with options.</t>
        </is>
      </c>
      <c r="O10" s="3" t="inlineStr">
        <is>
          <t>2026-P2-Q2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Straight Line</t>
        </is>
      </c>
      <c r="F11" s="2" t="n">
        <v>4</v>
      </c>
      <c r="G11" s="6" t="n">
        <v>1</v>
      </c>
      <c r="H11" s="6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Perpendicular lines make a right triangle: circumcentre is midpoint of hypotenuse.</t>
        </is>
      </c>
      <c r="N11" s="3" t="inlineStr">
        <is>
          <t>Two intersections and a midpoint; one familiar observation.</t>
        </is>
      </c>
      <c r="O11" s="3" t="inlineStr">
        <is>
          <t>2024-P2-Q3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Straight Line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Corner-triangle area fixes alpha*beta; midpoint locus is xy=1.</t>
        </is>
      </c>
      <c r="N12" s="3" t="inlineStr">
        <is>
          <t>Area ratio, then locus of the midpoint; standard but two linked steps.</t>
        </is>
      </c>
      <c r="O12" s="3" t="inlineStr">
        <is>
          <t>2026-P2-Q2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Straight Line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Midpoint of intercepts and elimination of theta.</t>
        </is>
      </c>
      <c r="N13" s="3" t="inlineStr">
        <is>
          <t>Parametric midpoint then identity sin^2+cos^2; routine locus.</t>
        </is>
      </c>
      <c r="O13" s="3" t="inlineStr">
        <is>
          <t>2026-P2-Q2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Straight Line</t>
        </is>
      </c>
      <c r="F14" s="2" t="n">
        <v>4</v>
      </c>
      <c r="G14" s="6" t="n">
        <v>1</v>
      </c>
      <c r="H14" s="6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Pairwise intersections, centroid, quadratic.</t>
        </is>
      </c>
      <c r="N14" s="3" t="inlineStr">
        <is>
          <t>Pure computation with no decision.</t>
        </is>
      </c>
      <c r="O14" s="3" t="inlineStr">
        <is>
          <t>2024-P2-Q3 (L1)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Straight Line</t>
        </is>
      </c>
      <c r="F15" s="2" t="n">
        <v>4</v>
      </c>
      <c r="G15" s="6" t="n">
        <v>1</v>
      </c>
      <c r="H15" s="6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Two altitudes give the orthocentre.</t>
        </is>
      </c>
      <c r="N15" s="3" t="inlineStr">
        <is>
          <t>Mechanical; only the fractions are heavy.</t>
        </is>
      </c>
      <c r="O15" s="3" t="inlineStr">
        <is>
          <t>2024-P2-Q3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Straight Line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Midpoint of AC and B give diagonal BD; distance of A.</t>
        </is>
      </c>
      <c r="N16" s="3" t="inlineStr">
        <is>
          <t>Numerical answer; several routine stages (A, C, midpoint, BD, distance).</t>
        </is>
      </c>
      <c r="O16" s="3" t="inlineStr">
        <is>
          <t>2026-P2-Q1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Straight Line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l1 reflects l2 into l3: image of a point of l2 lies on l3.</t>
        </is>
      </c>
      <c r="N17" s="3" t="inlineStr">
        <is>
          <t>Numerical, needs the reflection-in-bisector idea plus concurrency and image formula.</t>
        </is>
      </c>
      <c r="O17" s="3" t="inlineStr">
        <is>
          <t>2021-P1-Q1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Straight Line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Reflection gives the minimum; convexity gives the maximum at an endpoint.</t>
        </is>
      </c>
      <c r="N18" s="3" t="inlineStr">
        <is>
          <t>Two different ideas (reflection principle, endpoint maximum) and no options; the maximum is easy to justify wrongly.</t>
        </is>
      </c>
      <c r="O18" s="3" t="inlineStr">
        <is>
          <t>2021-P1-Q1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Straight Line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Trisection points and tan of angle between lines.</t>
        </is>
      </c>
      <c r="N19" s="3" t="inlineStr">
        <is>
          <t>Routine chain, option based.</t>
        </is>
      </c>
      <c r="O19" s="3" t="inlineStr">
        <is>
          <t>2026-P2-Q2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Straight Line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Same-side test with the origin for both lines.</t>
        </is>
      </c>
      <c r="N20" s="3" t="inlineStr">
        <is>
          <t>Two inequalities and an intersection of intervals; standard.</t>
        </is>
      </c>
      <c r="O20" s="3" t="inlineStr">
        <is>
          <t>2026-P2-Q2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Straight Line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Perpendicular bisector of AB fixes a; right triangle values.</t>
        </is>
      </c>
      <c r="N21" s="3" t="inlineStr">
        <is>
          <t>Short chain with a visible right angle.</t>
        </is>
      </c>
      <c r="O21" s="3" t="inlineStr">
        <is>
          <t>2026-P2-Q1 (L2)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Straight Line</t>
        </is>
      </c>
      <c r="F22" s="2" t="n">
        <v>4</v>
      </c>
      <c r="G22" s="7" t="n">
        <v>3</v>
      </c>
      <c r="H22" s="7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Angle bisector theorem plus reflection of A in the bisector.</t>
        </is>
      </c>
      <c r="N22" s="3" t="inlineStr">
        <is>
          <t>Two linked ideas, algebra with a degenerate extra root to reject.</t>
        </is>
      </c>
      <c r="O22" s="3" t="inlineStr">
        <is>
          <t>2021-P1-Q1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Straight Line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Parametric point (distance along a direction).</t>
        </is>
      </c>
      <c r="N23" s="3" t="inlineStr">
        <is>
          <t>Standard parametric form; routine.</t>
        </is>
      </c>
      <c r="O23" s="3" t="inlineStr">
        <is>
          <t>2026-P2-Q2 (L2)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Straight Line</t>
        </is>
      </c>
      <c r="F24" s="2" t="n">
        <v>4</v>
      </c>
      <c r="G24" s="6" t="n">
        <v>1</v>
      </c>
      <c r="H24" s="6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Two intersections, line AB, distance.</t>
        </is>
      </c>
      <c r="N24" s="3" t="inlineStr">
        <is>
          <t>Mechanical.</t>
        </is>
      </c>
      <c r="O24" s="3" t="inlineStr">
        <is>
          <t>2024-P2-Q3 (L1)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Straight Line</t>
        </is>
      </c>
      <c r="F25" s="2" t="n">
        <v>4</v>
      </c>
      <c r="G25" s="6" t="n">
        <v>1</v>
      </c>
      <c r="H25" s="6" t="inlineStr">
        <is>
          <t>JEE Main level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Inclination decreases by 15 degrees; tan15=2-sqrt3.</t>
        </is>
      </c>
      <c r="N25" s="3" t="inlineStr">
        <is>
          <t>One familiar move.</t>
        </is>
      </c>
      <c r="O25" s="3" t="inlineStr">
        <is>
          <t>2024-P2-Q3 (L1)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Straight Line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Equidistance gives a pair of lines; compare with the general form.</t>
        </is>
      </c>
      <c r="N26" s="3" t="inlineStr">
        <is>
          <t>Expansion and comparison; routine multi-step.</t>
        </is>
      </c>
      <c r="O26" s="3" t="inlineStr">
        <is>
          <t>2025-P2-Q4 (L3, harder conic)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Straight Line</t>
        </is>
      </c>
      <c r="F27" s="2" t="n">
        <v>4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Diagonals of a parallelogram bisect each other.</t>
        </is>
      </c>
      <c r="N27" s="3" t="inlineStr">
        <is>
          <t>One observation answers the question; the extra data is a distractor.</t>
        </is>
      </c>
      <c r="O27" s="3" t="inlineStr">
        <is>
          <t>2024-P2-Q3 (L1)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Straight Line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Euler line gives the centroid; distance along a direction.</t>
        </is>
      </c>
      <c r="N28" s="3" t="inlineStr">
        <is>
          <t>Two standard results chained.</t>
        </is>
      </c>
      <c r="O28" s="3" t="inlineStr">
        <is>
          <t>2026-P2-Q2 (L2)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Numerical</t>
        </is>
      </c>
      <c r="E29" s="3" t="inlineStr">
        <is>
          <t>Straight Line</t>
        </is>
      </c>
      <c r="F29" s="2" t="n">
        <v>4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Three lines form no triangle: concurrent or parallel.</t>
        </is>
      </c>
      <c r="N29" s="3" t="inlineStr">
        <is>
          <t>Numerical but only two case checks and a floor.</t>
        </is>
      </c>
      <c r="O29" s="3" t="inlineStr">
        <is>
          <t>2026-P2-Q3 (L2)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Numerical</t>
        </is>
      </c>
      <c r="E30" s="3" t="inlineStr">
        <is>
          <t>Straight Line</t>
        </is>
      </c>
      <c r="F30" s="2" t="n">
        <v>4</v>
      </c>
      <c r="G30" s="7" t="n">
        <v>3</v>
      </c>
      <c r="H30" s="7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a-2b+c=0 gives a fixed point; infinite solutions needs all determinants zero.</t>
        </is>
      </c>
      <c r="N30" s="3" t="inlineStr">
        <is>
          <t>Two chapters (lines, determinants) linked, numerical.</t>
        </is>
      </c>
      <c r="O30" s="3" t="inlineStr">
        <is>
          <t>2021-P1-Q1 (L3)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Numerical</t>
        </is>
      </c>
      <c r="E31" s="3" t="inlineStr">
        <is>
          <t>Straight Line</t>
        </is>
      </c>
      <c r="F31" s="2" t="n">
        <v>4</v>
      </c>
      <c r="G31" s="4" t="n">
        <v>2</v>
      </c>
      <c r="H31" s="4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Parallelogram relations with two lines.</t>
        </is>
      </c>
      <c r="N31" s="3" t="inlineStr">
        <is>
          <t>Routine algebra, numerical.</t>
        </is>
      </c>
      <c r="O31" s="3" t="inlineStr">
        <is>
          <t>2026-P2-Q1 (L2)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Straight Line</t>
        </is>
      </c>
      <c r="F32" s="2" t="n">
        <v>4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Base angles 30 degrees; place B and C, then intersect lines; simplify surds.</t>
        </is>
      </c>
      <c r="N32" s="3" t="inlineStr">
        <is>
          <t>Numerical, geometry set-up plus surd simplification with no options.</t>
        </is>
      </c>
      <c r="O32" s="3" t="inlineStr">
        <is>
          <t>2021-P1-Q1 (L3)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Straight Line</t>
        </is>
      </c>
      <c r="F33" s="2" t="n">
        <v>4</v>
      </c>
      <c r="G33" s="7" t="n">
        <v>3</v>
      </c>
      <c r="H33" s="7" t="inlineStr">
        <is>
          <t>Average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Shift each side inward by 1 (choose the sign by the interior) and compare distances.</t>
        </is>
      </c>
      <c r="N33" s="3" t="inlineStr">
        <is>
          <t>Sign choice and comparison of three shifted lines; one slip changes the option.</t>
        </is>
      </c>
      <c r="O33" s="3" t="inlineStr">
        <is>
          <t>2021-P1-Q1 (L3)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Straight Line</t>
        </is>
      </c>
      <c r="F34" s="2" t="n">
        <v>4</v>
      </c>
      <c r="G34" s="7" t="n">
        <v>3</v>
      </c>
      <c r="H34" s="7" t="inlineStr">
        <is>
          <t>Average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45 degree condition gives two slopes (1/7 and -7); right isosceles triangle.</t>
        </is>
      </c>
      <c r="N34" s="3" t="inlineStr">
        <is>
          <t>Both roots must be found; heavy fractions without a shortcut.</t>
        </is>
      </c>
      <c r="O34" s="3" t="inlineStr">
        <is>
          <t>2021-P1-Q1 (L3)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Straight Line</t>
        </is>
      </c>
      <c r="F35" s="2" t="n">
        <v>4</v>
      </c>
      <c r="G35" s="4" t="n">
        <v>2</v>
      </c>
      <c r="H35" s="4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Area determinant and the correct sign branch for 'above AB'.</t>
        </is>
      </c>
      <c r="N35" s="3" t="inlineStr">
        <is>
          <t>Routine but the modulus sign is a trap.</t>
        </is>
      </c>
      <c r="O35" s="3" t="inlineStr">
        <is>
          <t>2026-P2-Q2 (L2)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Straight Line</t>
        </is>
      </c>
      <c r="F36" s="2" t="n">
        <v>4</v>
      </c>
      <c r="G36" s="4" t="n">
        <v>2</v>
      </c>
      <c r="H36" s="4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OA+OB=13+4m+9/m, then AM-GM.</t>
        </is>
      </c>
      <c r="N36" s="3" t="inlineStr">
        <is>
          <t>Standard minimisation.</t>
        </is>
      </c>
      <c r="O36" s="3" t="inlineStr">
        <is>
          <t>2026-P2-Q2 (L2)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Straight Line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Two perpendicularity conditions fix C.</t>
        </is>
      </c>
      <c r="N37" s="3" t="inlineStr">
        <is>
          <t>Standard orthocentre inverse problem.</t>
        </is>
      </c>
      <c r="O37" s="3" t="inlineStr">
        <is>
          <t>2026-P2-Q1 (L2)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Straight Line</t>
        </is>
      </c>
      <c r="F38" s="2" t="n">
        <v>4</v>
      </c>
      <c r="G38" s="6" t="n">
        <v>1</v>
      </c>
      <c r="H38" s="6" t="inlineStr">
        <is>
          <t>JEE Main level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Squared ratio gives the locus; read the coefficients.</t>
        </is>
      </c>
      <c r="N38" s="3" t="inlineStr">
        <is>
          <t>Expansion only.</t>
        </is>
      </c>
      <c r="O38" s="3" t="inlineStr">
        <is>
          <t>2024-P2-Q3 (L1)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Straight Line</t>
        </is>
      </c>
      <c r="F39" s="2" t="n">
        <v>4</v>
      </c>
      <c r="G39" s="4" t="n">
        <v>2</v>
      </c>
      <c r="H39" s="4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Section formula with B and C on given sides.</t>
        </is>
      </c>
      <c r="N39" s="3" t="inlineStr">
        <is>
          <t>Four-variable linear system, routine.</t>
        </is>
      </c>
      <c r="O39" s="3" t="inlineStr">
        <is>
          <t>2026-P2-Q1 (L2)</t>
        </is>
      </c>
      <c r="P39" s="2" t="inlineStr">
        <is>
          <t>High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Straight Line</t>
        </is>
      </c>
      <c r="F40" s="2" t="n">
        <v>4</v>
      </c>
      <c r="G40" s="4" t="n">
        <v>2</v>
      </c>
      <c r="H40" s="4" t="inlineStr">
        <is>
          <t>Easier than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Slopes of OA and OB with tan45; both signs.</t>
        </is>
      </c>
      <c r="N40" s="3" t="inlineStr">
        <is>
          <t>Standard angle formula with the second branch easy to miss.</t>
        </is>
      </c>
      <c r="O40" s="3" t="inlineStr">
        <is>
          <t>2026-P2-Q2 (L2)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Straight Line</t>
        </is>
      </c>
      <c r="F41" s="2" t="n">
        <v>4</v>
      </c>
      <c r="G41" s="4" t="n">
        <v>2</v>
      </c>
      <c r="H41" s="4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Reflection point Q then parallelogram.</t>
        </is>
      </c>
      <c r="N41" s="3" t="inlineStr">
        <is>
          <t>Standard reflection plus midpoint relation.</t>
        </is>
      </c>
      <c r="O41" s="3" t="inlineStr">
        <is>
          <t>2026-P2-Q1 (L2)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Straight Line</t>
        </is>
      </c>
      <c r="F42" s="2" t="n">
        <v>4</v>
      </c>
      <c r="G42" s="4" t="n">
        <v>2</v>
      </c>
      <c r="H42" s="4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Two perpendicularity conditions and two perpendicular bisectors.</t>
        </is>
      </c>
      <c r="N42" s="3" t="inlineStr">
        <is>
          <t>Long computation but all routine.</t>
        </is>
      </c>
      <c r="O42" s="3" t="inlineStr">
        <is>
          <t>2021-P1-Q1 (L3, harder)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Numerical</t>
        </is>
      </c>
      <c r="E43" s="3" t="inlineStr">
        <is>
          <t>Straight Line</t>
        </is>
      </c>
      <c r="F43" s="2" t="n">
        <v>4</v>
      </c>
      <c r="G43" s="7" t="n">
        <v>3</v>
      </c>
      <c r="H43" s="7" t="inlineStr">
        <is>
          <t>Average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Both AB and AC make 30 degrees with BC; slopes by tan formula.</t>
        </is>
      </c>
      <c r="N43" s="3" t="inlineStr">
        <is>
          <t>Numerical, needs the third angle and both slopes, with surds.</t>
        </is>
      </c>
      <c r="O43" s="3" t="inlineStr">
        <is>
          <t>2021-P1-Q1 (L3)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Numerical</t>
        </is>
      </c>
      <c r="E44" s="3" t="inlineStr">
        <is>
          <t>Straight Line</t>
        </is>
      </c>
      <c r="F44" s="2" t="n">
        <v>4</v>
      </c>
      <c r="G44" s="7" t="n">
        <v>3</v>
      </c>
      <c r="H44" s="7" t="inlineStr">
        <is>
          <t>Average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Centroid fixes the orthocentre at the origin; two altitudes through it.</t>
        </is>
      </c>
      <c r="N44" s="3" t="inlineStr">
        <is>
          <t>Numerical, Euler line plus altitudes, several stages.</t>
        </is>
      </c>
      <c r="O44" s="3" t="inlineStr">
        <is>
          <t>2021-P1-Q1 (L3)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Numerical</t>
        </is>
      </c>
      <c r="E45" s="3" t="inlineStr">
        <is>
          <t>Straight Line</t>
        </is>
      </c>
      <c r="F45" s="2" t="n">
        <v>4</v>
      </c>
      <c r="G45" s="4" t="n">
        <v>2</v>
      </c>
      <c r="H45" s="4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Image of the source in the mirror.</t>
        </is>
      </c>
      <c r="N45" s="3" t="inlineStr">
        <is>
          <t>One reflection and a line; routine.</t>
        </is>
      </c>
      <c r="O45" s="3" t="inlineStr">
        <is>
          <t>2024-P2-Q3 (L1)</t>
        </is>
      </c>
      <c r="P45" s="2" t="inlineStr">
        <is>
          <t>High</t>
        </is>
      </c>
    </row>
    <row r="47">
      <c r="A47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SHEET_STRAIGHT_LINE_FCopy_JM.pdf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COUNTIF(Evaluation!$G$2:$G$45,A5)</f>
        <v/>
      </c>
      <c r="D5" s="10">
        <f>SUMIF(Evaluation!$G$2:$G$45,A5,Evaluation!$F$2:$F$45)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COUNTIF(Evaluation!$G$2:$G$45,A6)</f>
        <v/>
      </c>
      <c r="D6" s="12">
        <f>SUMIF(Evaluation!$G$2:$G$45,A6,Evaluation!$F$2:$F$45)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COUNTIF(Evaluation!$G$2:$G$45,A7)</f>
        <v/>
      </c>
      <c r="D7" s="14">
        <f>SUMIF(Evaluation!$G$2:$G$45,A7,Evaluation!$F$2:$F$45)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COUNTIF(Evaluation!$G$2:$G$45,A8)</f>
        <v/>
      </c>
      <c r="D8" s="16">
        <f>SUMIF(Evaluation!$G$2:$G$45,A8,Evaluation!$F$2:$F$45)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COUNTIF(Evaluation!$G$2:$G$45,A9)</f>
        <v/>
      </c>
      <c r="D9" s="18">
        <f>SUMIF(Evaluation!$G$2:$G$45,A9,Evaluation!$F$2:$F$45)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COUNTIF(Evaluation!$G$2:$G$45,A10)</f>
        <v/>
      </c>
      <c r="D10" s="20">
        <f>SUMIF(Evaluation!$G$2:$G$45,A10,Evaluation!$F$2:$F$45)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SUM(Evaluation!$L$2:$L$45)/SUM(Evaluation!$F$2:$F$45)</f>
        <v/>
      </c>
      <c r="C14" s="23">
        <f>SUMPRODUCT(Evaluation!$F$2:$F$45,Evaluation!$G$2:$G$45)/SUM(Evaluation!$F$2:$F$45)</f>
        <v/>
      </c>
      <c r="D14" s="22">
        <f>SUM(Evaluation!$F$2:$F$45)</f>
        <v/>
      </c>
      <c r="E14" s="23">
        <f>AVERAGE(Evaluation!$G$2:$G$45)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2026-10-15T08:45:53Z</dcterms:created>
  <dcterms:modified xmlns:dcterms="http://purl.org/dc/terms/" xmlns:xsi="http://www.w3.org/2001/XMLSchema-instance" xsi:type="dcterms:W3CDTF">2026-10-15T08:45:53Z</dcterms:modified>
</cp:coreProperties>
</file>