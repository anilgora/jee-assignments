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MCQ</t>
        </is>
      </c>
      <c r="E2" s="3" t="inlineStr">
        <is>
          <t>Area Under Curve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2.5</v>
      </c>
      <c r="K2" s="5">
        <f>MIN(5,MAX(G2+I2,J2))</f>
        <v/>
      </c>
      <c r="L2" s="5">
        <f>F2*K2</f>
        <v/>
      </c>
      <c r="M2" s="3" t="inlineStr">
        <is>
          <t>Bound S by a rectangle, a concave-chord trapezium and step rectangles; judge four inequalities.</t>
        </is>
      </c>
      <c r="N2" s="3" t="inlineStr">
        <is>
          <t>Four statements each needing a different bounding idea (monotone comparison, concavity, step rectangles); no integration possible, so each needs a genuine check. Comparable to 2023-P1-Q3 (L4) but only bounds, so one lower.</t>
        </is>
      </c>
      <c r="O2" s="3" t="inlineStr">
        <is>
          <t>2021-P1-Q2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Area Under Curve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Split at pi/4 where |cos-sin| changes form; gap is 2 sin x / 2 cos x.</t>
        </is>
      </c>
      <c r="N3" s="3" t="inlineStr">
        <is>
          <t>Routine split-and-integrate of two trigonometric curves with a modulus; options to check against.</t>
        </is>
      </c>
      <c r="O3" s="3" t="inlineStr">
        <is>
          <t>2021-P1-Q2 (L3), easier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Definite Integration</t>
        </is>
      </c>
      <c r="F4" s="2" t="n">
        <v>4</v>
      </c>
      <c r="G4" s="4" t="n">
        <v>3</v>
      </c>
      <c r="H4" s="4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e^{-2x}f(x) is decreasing, so f&lt;e^{2x-1}; integrate.</t>
        </is>
      </c>
      <c r="N4" s="3" t="inlineStr">
        <is>
          <t>Two linked ideas (integrating factor for a differential inequality, then integral bound); idea is familiar but the inequality route is not routine.</t>
        </is>
      </c>
      <c r="O4" s="3" t="inlineStr">
        <is>
          <t>2023-P2-Q1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Definite Integration</t>
        </is>
      </c>
      <c r="F5" s="2" t="n">
        <v>4</v>
      </c>
      <c r="G5" s="4" t="n">
        <v>3</v>
      </c>
      <c r="H5" s="4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Differentiate the area identity once more: f(a)=F''(a).</t>
        </is>
      </c>
      <c r="N5" s="3" t="inlineStr">
        <is>
          <t>Leibniz rule with variable limits twice, with a numerical answer; unfamiliar to see 'area = F'(a)+2' as an identity in a. Slightly harder than a plain chain.</t>
        </is>
      </c>
      <c r="O5" s="3" t="inlineStr">
        <is>
          <t>2023-P2-Q1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MTC SCQ</t>
        </is>
      </c>
      <c r="E6" s="3" t="inlineStr">
        <is>
          <t>Area Under Curve</t>
        </is>
      </c>
      <c r="F6" s="2" t="n">
        <v>3</v>
      </c>
      <c r="G6" s="4" t="n">
        <v>3</v>
      </c>
      <c r="H6" s="4" t="inlineStr">
        <is>
          <t>Average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Four unrelated short items: sine-rule identity, quadratic in ratio, point-line distance, area with modulus.</t>
        </is>
      </c>
      <c r="N6" s="3" t="inlineStr">
        <is>
          <t>Four items from three chapters, each short; the (D) area with a modulus and the (A) identity need care. Matching format allows elimination but several items must all be right.</t>
        </is>
      </c>
      <c r="O6" s="3" t="inlineStr">
        <is>
          <t>2023-P1-Q3 (L4)</t>
        </is>
      </c>
      <c r="P6" s="2" t="inlineStr">
        <is>
          <t>Low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Area Under Curve</t>
        </is>
      </c>
      <c r="F7" s="2" t="n">
        <v>4</v>
      </c>
      <c r="G7" s="6" t="n">
        <v>2</v>
      </c>
      <c r="H7" s="6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Shift origin to (-3,0); trapezium minus two curve-areas.</t>
        </is>
      </c>
      <c r="N7" s="3" t="inlineStr">
        <is>
          <t>Standard region bounded by sqrt|u| and a line; a few routine steps with a sketch.</t>
        </is>
      </c>
      <c r="O7" s="3" t="inlineStr">
        <is>
          <t>2025-P2-Q2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MCQ</t>
        </is>
      </c>
      <c r="E8" s="3" t="inlineStr">
        <is>
          <t>Area Under Curve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Equate the area to the left of x=alpha to 1/8; quartic in alpha.</t>
        </is>
      </c>
      <c r="N8" s="3" t="inlineStr">
        <is>
          <t>Direct bisection of an area leads to a biquadratic; checking four options is routine.</t>
        </is>
      </c>
      <c r="O8" s="3" t="inlineStr">
        <is>
          <t>2023-P2-Q1 (L3)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MCQ</t>
        </is>
      </c>
      <c r="E9" s="3" t="inlineStr">
        <is>
          <t>Differential Equation</t>
        </is>
      </c>
      <c r="F9" s="2" t="n">
        <v>4</v>
      </c>
      <c r="G9" s="4" t="n">
        <v>3</v>
      </c>
      <c r="H9" s="4" t="inlineStr">
        <is>
          <t>Average Advanced</t>
        </is>
      </c>
      <c r="I9" s="5" t="n">
        <v>0</v>
      </c>
      <c r="J9" s="5" t="n">
        <v>2.5</v>
      </c>
      <c r="K9" s="5">
        <f>MIN(5,MAX(G9+I9,J9))</f>
        <v/>
      </c>
      <c r="L9" s="5">
        <f>F9*K9</f>
        <v/>
      </c>
      <c r="M9" s="3" t="inlineStr">
        <is>
          <t>Differentiate the integral equation to the linear ODE f'-2f=2x-3; then area.</t>
        </is>
      </c>
      <c r="N9" s="3" t="inlineStr">
        <is>
          <t>Integral equation to linear DE to solution, then an area between a circle and a line; two chapters, four statements.</t>
        </is>
      </c>
      <c r="O9" s="3" t="inlineStr">
        <is>
          <t>2023-P2-Q1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Area Under Curve</t>
        </is>
      </c>
      <c r="F10" s="2" t="n">
        <v>4</v>
      </c>
      <c r="G10" s="7" t="n">
        <v>1</v>
      </c>
      <c r="H10" s="7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Area between y=x and y=x^n is 1/2-1/(n+1).</t>
        </is>
      </c>
      <c r="N10" s="3" t="inlineStr">
        <is>
          <t>One familiar move (single integral set equal to 3/10).</t>
        </is>
      </c>
      <c r="O10" s="3" t="inlineStr">
        <is>
          <t>2024-P2-Q2 (L3), easier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Area Under Curve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Split at x=2 where y=x^2 meets xy=8.</t>
        </is>
      </c>
      <c r="N11" s="3" t="inlineStr">
        <is>
          <t>Routine two-piece integral including a log; no insight needed.</t>
        </is>
      </c>
      <c r="O11" s="3" t="inlineStr">
        <is>
          <t>2025-P2-Q2 (L3), easier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Area Under Curve</t>
        </is>
      </c>
      <c r="F12" s="2" t="n">
        <v>4</v>
      </c>
      <c r="G12" s="4" t="n">
        <v>3</v>
      </c>
      <c r="H12" s="4" t="inlineStr">
        <is>
          <t>Average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For x&lt;1 f=0; the curves meet where e^{2(x-1)}=3.</t>
        </is>
      </c>
      <c r="N12" s="3" t="inlineStr">
        <is>
          <t>Piecewise exponentials with a modulus, intersection via e^{2t}=3 and two integrals; more exact computation than a routine area question.</t>
        </is>
      </c>
      <c r="O12" s="3" t="inlineStr">
        <is>
          <t>2024-P2-Q2 (L3)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Area Under Curve</t>
        </is>
      </c>
      <c r="F13" s="2" t="n">
        <v>4</v>
      </c>
      <c r="G13" s="4" t="n">
        <v>3</v>
      </c>
      <c r="H13" s="4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Locate the vertices; split into triangle and trapezium.</t>
        </is>
      </c>
      <c r="N13" s="3" t="inlineStr">
        <is>
          <t>Same question as 2021-P1-Q2, rated 3 by the user.</t>
        </is>
      </c>
      <c r="O13" s="3" t="inlineStr">
        <is>
          <t>2021-P1-Q2 (L3)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Area Under Curve</t>
        </is>
      </c>
      <c r="F14" s="2" t="n">
        <v>4</v>
      </c>
      <c r="G14" s="4" t="n">
        <v>3</v>
      </c>
      <c r="H14" s="4" t="inlineStr">
        <is>
          <t>Average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Find where f=g; area under min(f,g) = parabola part + tent triangle.</t>
        </is>
      </c>
      <c r="N14" s="3" t="inlineStr">
        <is>
          <t>Min of two functions, intersection quadratic, exact fraction without options.</t>
        </is>
      </c>
      <c r="O14" s="3" t="inlineStr">
        <is>
          <t>2024-P2-Q2 (L3)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MCQ</t>
        </is>
      </c>
      <c r="E15" s="3" t="inlineStr">
        <is>
          <t>Area Under Curve</t>
        </is>
      </c>
      <c r="F15" s="2" t="n">
        <v>4</v>
      </c>
      <c r="G15" s="8" t="n">
        <v>4</v>
      </c>
      <c r="H15" s="8" t="inlineStr">
        <is>
          <t>Slightly difficult</t>
        </is>
      </c>
      <c r="I15" s="5" t="n">
        <v>0</v>
      </c>
      <c r="J15" s="5" t="n">
        <v>2.5</v>
      </c>
      <c r="K15" s="5">
        <f>MIN(5,MAX(G15+I15,J15))</f>
        <v/>
      </c>
      <c r="L15" s="5">
        <f>F15*K15</f>
        <v/>
      </c>
      <c r="M15" s="3" t="inlineStr">
        <is>
          <t>R_a-G_b=1/2-h, or IVT at the two extreme h values.</t>
        </is>
      </c>
      <c r="N15" s="3" t="inlineStr">
        <is>
          <t>Same question as 2023-P1-Q3, rated 4 by the user (IVT reasoning on balancing areas).</t>
        </is>
      </c>
      <c r="O15" s="3" t="inlineStr">
        <is>
          <t>2023-P1-Q3 (L4)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Area Under Curve</t>
        </is>
      </c>
      <c r="F16" s="2" t="n">
        <v>4</v>
      </c>
      <c r="G16" s="8" t="n">
        <v>4</v>
      </c>
      <c r="H16" s="8" t="inlineStr">
        <is>
          <t>Slightly difficult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Three triangles of height n whose bases add to 1: area n/2.</t>
        </is>
      </c>
      <c r="N16" s="3" t="inlineStr">
        <is>
          <t>Same question as 2023-P1-Q9, rated 4 by the user.</t>
        </is>
      </c>
      <c r="O16" s="3" t="inlineStr">
        <is>
          <t>2023-P1-Q9 (L4)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Area Under Curve</t>
        </is>
      </c>
      <c r="F17" s="2" t="n">
        <v>4</v>
      </c>
      <c r="G17" s="4" t="n">
        <v>3</v>
      </c>
      <c r="H17" s="4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Line passes through the parabolas' intersection and (5,0); area = under y=2sqrt x + triangle.</t>
        </is>
      </c>
      <c r="N17" s="3" t="inlineStr">
        <is>
          <t>Same question as 2024-P2-Q2, rated 3 by the user.</t>
        </is>
      </c>
      <c r="O17" s="3" t="inlineStr">
        <is>
          <t>2024-P2-Q2 (L3)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Area Under Curve</t>
        </is>
      </c>
      <c r="F18" s="2" t="n">
        <v>4</v>
      </c>
      <c r="G18" s="4" t="n">
        <v>3</v>
      </c>
      <c r="H18" s="4" t="inlineStr">
        <is>
          <t>Average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Vertices (1,1),(2,9/4),(4,1/4); trapezia minus ln 4.</t>
        </is>
      </c>
      <c r="N18" s="3" t="inlineStr">
        <is>
          <t>Same question as 2025-P2-Q2, rated 3 by the user.</t>
        </is>
      </c>
      <c r="O18" s="3" t="inlineStr">
        <is>
          <t>2025-P2-Q2 (L3)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MCQ</t>
        </is>
      </c>
      <c r="E19" s="3" t="inlineStr">
        <is>
          <t>Parabola</t>
        </is>
      </c>
      <c r="F19" s="2" t="n">
        <v>4</v>
      </c>
      <c r="G19" s="8" t="n">
        <v>4</v>
      </c>
      <c r="H19" s="8" t="inlineStr">
        <is>
          <t>Slightly difficult</t>
        </is>
      </c>
      <c r="I19" s="5" t="n">
        <v>0</v>
      </c>
      <c r="J19" s="5" t="n">
        <v>2.5</v>
      </c>
      <c r="K19" s="5">
        <f>MIN(5,MAX(G19+I19,J19))</f>
        <v/>
      </c>
      <c r="L19" s="5">
        <f>F19*K19</f>
        <v/>
      </c>
      <c r="M19" s="3" t="inlineStr">
        <is>
          <t>Chord area d^3/6 gives h-k^2=1, so S is x=y^2+1.</t>
        </is>
      </c>
      <c r="N19" s="3" t="inlineStr">
        <is>
          <t>Same question as 2025-P2-Q6, rated 4 by the user.</t>
        </is>
      </c>
      <c r="O19" s="3" t="inlineStr">
        <is>
          <t>2025-P2-Q6 (L4)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Q Stem</t>
        </is>
      </c>
      <c r="E20" s="3" t="inlineStr">
        <is>
          <t>Area Under Curve</t>
        </is>
      </c>
      <c r="F20" s="2" t="n">
        <v>4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Cancel e^{-x}; solve sin x+cos x=1 and count in [0,10pi].</t>
        </is>
      </c>
      <c r="N20" s="3" t="inlineStr">
        <is>
          <t>Same part as 2026-P2-Q15, rated 2 by the user.</t>
        </is>
      </c>
      <c r="O20" s="3" t="inlineStr">
        <is>
          <t>2026-P2-Q15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Q Stem</t>
        </is>
      </c>
      <c r="E21" s="3" t="inlineStr">
        <is>
          <t>Area Under Curve</t>
        </is>
      </c>
      <c r="F21" s="2" t="n">
        <v>4</v>
      </c>
      <c r="G21" s="6" t="n">
        <v>2</v>
      </c>
      <c r="H21" s="6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Antiderivative e^{-x}(1-cos x); add absolute changes between roots.</t>
        </is>
      </c>
      <c r="N21" s="3" t="inlineStr">
        <is>
          <t>Same part as 2026-P2-Q16, rated 2 by the user.</t>
        </is>
      </c>
      <c r="O21" s="3" t="inlineStr">
        <is>
          <t>2026-P2-Q16 (L2)</t>
        </is>
      </c>
      <c r="P21" s="2" t="inlineStr">
        <is>
          <t>High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Q Stem</t>
        </is>
      </c>
      <c r="E22" s="3" t="inlineStr">
        <is>
          <t>Ellipse</t>
        </is>
      </c>
      <c r="F22" s="2" t="n">
        <v>4</v>
      </c>
      <c r="G22" s="6" t="n">
        <v>2</v>
      </c>
      <c r="H22" s="6" t="inlineStr">
        <is>
          <t>Easier than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Meet on y=x; tangent slopes -1/4 and -4; angle formula.</t>
        </is>
      </c>
      <c r="N22" s="3" t="inlineStr">
        <is>
          <t>Routine chain; similar to 2026-P2-Q17 (L2) tangents angle.</t>
        </is>
      </c>
      <c r="O22" s="3" t="inlineStr">
        <is>
          <t>2026-P2-Q17 (L2)</t>
        </is>
      </c>
      <c r="P22" s="2" t="inlineStr">
        <is>
          <t>High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Q Stem</t>
        </is>
      </c>
      <c r="E23" s="3" t="inlineStr">
        <is>
          <t>Area Under Curve</t>
        </is>
      </c>
      <c r="F23" s="2" t="n">
        <v>4</v>
      </c>
      <c r="G23" s="6" t="n">
        <v>2</v>
      </c>
      <c r="H23" s="6" t="inlineStr">
        <is>
          <t>Easier than Advanced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Polar form; t=tan(theta) turns the integral into 4/(4+t^2).</t>
        </is>
      </c>
      <c r="N23" s="3" t="inlineStr">
        <is>
          <t>Same part as 2026-P2-Q18, rated 2 by the user.</t>
        </is>
      </c>
      <c r="O23" s="3" t="inlineStr">
        <is>
          <t>2026-P2-Q18 (L2)</t>
        </is>
      </c>
      <c r="P23" s="2" t="inlineStr">
        <is>
          <t>High</t>
        </is>
      </c>
    </row>
    <row r="25">
      <c r="A25" s="9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10" t="inlineStr">
        <is>
          <t>Difficulty summary</t>
        </is>
      </c>
    </row>
    <row r="2">
      <c r="A2" s="9" t="inlineStr">
        <is>
          <t>Source: papers/SHEET AREA UNDER CURVE_FCopy JA.pdf   |   Evaluated on: 2026-10-13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1" t="n">
        <v>0</v>
      </c>
      <c r="B5" s="11" t="inlineStr">
        <is>
          <t>Easier than JEE Main</t>
        </is>
      </c>
      <c r="C5" s="11">
        <f>COUNTIF(Evaluation!$G$2:$G$23,A5)</f>
        <v/>
      </c>
      <c r="D5" s="11">
        <f>SUMIF(Evaluation!$G$2:$G$23,A5,Evaluation!$F$2:$F$23)</f>
        <v/>
      </c>
      <c r="E5" s="12">
        <f>IF(SUM($D$5:$D$10)=0,0,D5/SUM($D$5:$D$10))</f>
        <v/>
      </c>
    </row>
    <row r="6">
      <c r="A6" s="13" t="n">
        <v>1</v>
      </c>
      <c r="B6" s="13" t="inlineStr">
        <is>
          <t>JEE Main level</t>
        </is>
      </c>
      <c r="C6" s="13">
        <f>COUNTIF(Evaluation!$G$2:$G$23,A6)</f>
        <v/>
      </c>
      <c r="D6" s="13">
        <f>SUMIF(Evaluation!$G$2:$G$23,A6,Evaluation!$F$2:$F$23)</f>
        <v/>
      </c>
      <c r="E6" s="14">
        <f>IF(SUM($D$5:$D$10)=0,0,D6/SUM($D$5:$D$10))</f>
        <v/>
      </c>
    </row>
    <row r="7">
      <c r="A7" s="15" t="n">
        <v>2</v>
      </c>
      <c r="B7" s="15" t="inlineStr">
        <is>
          <t>Easier than Advanced</t>
        </is>
      </c>
      <c r="C7" s="15">
        <f>COUNTIF(Evaluation!$G$2:$G$23,A7)</f>
        <v/>
      </c>
      <c r="D7" s="15">
        <f>SUMIF(Evaluation!$G$2:$G$23,A7,Evaluation!$F$2:$F$23)</f>
        <v/>
      </c>
      <c r="E7" s="16">
        <f>IF(SUM($D$5:$D$10)=0,0,D7/SUM($D$5:$D$10))</f>
        <v/>
      </c>
    </row>
    <row r="8">
      <c r="A8" s="17" t="n">
        <v>3</v>
      </c>
      <c r="B8" s="17" t="inlineStr">
        <is>
          <t>Average Advanced</t>
        </is>
      </c>
      <c r="C8" s="17">
        <f>COUNTIF(Evaluation!$G$2:$G$23,A8)</f>
        <v/>
      </c>
      <c r="D8" s="17">
        <f>SUMIF(Evaluation!$G$2:$G$23,A8,Evaluation!$F$2:$F$23)</f>
        <v/>
      </c>
      <c r="E8" s="18">
        <f>IF(SUM($D$5:$D$10)=0,0,D8/SUM($D$5:$D$10))</f>
        <v/>
      </c>
    </row>
    <row r="9">
      <c r="A9" s="19" t="n">
        <v>4</v>
      </c>
      <c r="B9" s="19" t="inlineStr">
        <is>
          <t>Slightly difficult</t>
        </is>
      </c>
      <c r="C9" s="19">
        <f>COUNTIF(Evaluation!$G$2:$G$23,A9)</f>
        <v/>
      </c>
      <c r="D9" s="19">
        <f>SUMIF(Evaluation!$G$2:$G$23,A9,Evaluation!$F$2:$F$23)</f>
        <v/>
      </c>
      <c r="E9" s="20">
        <f>IF(SUM($D$5:$D$10)=0,0,D9/SUM($D$5:$D$10))</f>
        <v/>
      </c>
    </row>
    <row r="10">
      <c r="A10" s="21" t="n">
        <v>5</v>
      </c>
      <c r="B10" s="21" t="inlineStr">
        <is>
          <t>Very difficult</t>
        </is>
      </c>
      <c r="C10" s="21">
        <f>COUNTIF(Evaluation!$G$2:$G$23,A10)</f>
        <v/>
      </c>
      <c r="D10" s="21">
        <f>SUMIF(Evaluation!$G$2:$G$23,A10,Evaluation!$F$2:$F$23)</f>
        <v/>
      </c>
      <c r="E10" s="22">
        <f>IF(SUM($D$5:$D$10)=0,0,D10/SUM($D$5:$D$10))</f>
        <v/>
      </c>
    </row>
    <row r="11">
      <c r="A11" s="23" t="inlineStr">
        <is>
          <t>Total</t>
        </is>
      </c>
      <c r="C11" s="23">
        <f>SUM(C5:C10)</f>
        <v/>
      </c>
      <c r="D11" s="23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3" t="inlineStr">
        <is>
          <t>Overall</t>
        </is>
      </c>
      <c r="B14" s="24">
        <f>SUM(Evaluation!$L$2:$L$23)/SUM(Evaluation!$F$2:$F$23)</f>
        <v/>
      </c>
      <c r="C14" s="24">
        <f>SUMPRODUCT(Evaluation!$F$2:$F$23,Evaluation!$G$2:$G$23)/SUM(Evaluation!$F$2:$F$23)</f>
        <v/>
      </c>
      <c r="D14" s="23">
        <f>SUM(Evaluation!$F$2:$F$23)</f>
        <v/>
      </c>
      <c r="E14" s="24">
        <f>AVERAGE(Evaluation!$G$2:$G$23)</f>
        <v/>
      </c>
    </row>
    <row r="16">
      <c r="A16" s="9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10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5" t="n">
        <v>2021</v>
      </c>
      <c r="B4" s="26" t="n">
        <v>2.758333333333333</v>
      </c>
      <c r="C4" s="26" t="n">
        <v>2.894736842105263</v>
      </c>
      <c r="D4" s="25" t="n">
        <v>16</v>
      </c>
      <c r="E4" s="25" t="n">
        <v>34</v>
      </c>
      <c r="F4" s="25" t="n">
        <v>1</v>
      </c>
    </row>
    <row r="5">
      <c r="A5" s="25" t="n">
        <v>2023</v>
      </c>
      <c r="B5" s="26" t="n">
        <v>3.191666666666667</v>
      </c>
      <c r="C5" s="26" t="n">
        <v>3.147058823529412</v>
      </c>
      <c r="D5" s="25" t="n">
        <v>13</v>
      </c>
      <c r="E5" s="25" t="n">
        <v>47</v>
      </c>
      <c r="F5" s="25" t="n">
        <v>5</v>
      </c>
    </row>
    <row r="6">
      <c r="A6" s="25" t="n">
        <v>2024</v>
      </c>
      <c r="B6" s="26" t="n">
        <v>2.591666666666667</v>
      </c>
      <c r="C6" s="26" t="n">
        <v>2.558823529411764</v>
      </c>
      <c r="D6" s="25" t="n">
        <v>28</v>
      </c>
      <c r="E6" s="25" t="n">
        <v>40</v>
      </c>
      <c r="F6" s="25" t="n">
        <v>1</v>
      </c>
    </row>
    <row r="7">
      <c r="A7" s="25" t="n">
        <v>2025</v>
      </c>
      <c r="B7" s="26" t="n">
        <v>3.208333333333333</v>
      </c>
      <c r="C7" s="26" t="n">
        <v>3.1875</v>
      </c>
      <c r="D7" s="25" t="n">
        <v>8</v>
      </c>
      <c r="E7" s="25" t="n">
        <v>65</v>
      </c>
      <c r="F7" s="25" t="n">
        <v>1</v>
      </c>
    </row>
    <row r="8">
      <c r="A8" s="25" t="n">
        <v>2026</v>
      </c>
      <c r="B8" s="26" t="n">
        <v>3.025</v>
      </c>
      <c r="C8" s="26" t="n">
        <v>2.941176470588236</v>
      </c>
      <c r="D8" s="25" t="n">
        <v>6</v>
      </c>
      <c r="E8" s="25" t="n">
        <v>38</v>
      </c>
      <c r="F8" s="25" t="n">
        <v>2</v>
      </c>
    </row>
    <row r="9">
      <c r="A9" s="23" t="inlineStr">
        <is>
          <t>This paper</t>
        </is>
      </c>
      <c r="B9" s="24">
        <f>Summary!B14</f>
        <v/>
      </c>
      <c r="C9" s="24">
        <f>Summary!E14</f>
        <v/>
      </c>
      <c r="D9" s="23">
        <f>Summary!D5+Summary!D6</f>
        <v/>
      </c>
      <c r="E9" s="23">
        <f>Summary!D9+Summary!D10</f>
        <v/>
      </c>
      <c r="F9" s="23">
        <f>Summary!C10</f>
        <v/>
      </c>
    </row>
    <row r="11">
      <c r="A11" s="9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2026-10-13T09:58:48Z</dcterms:created>
  <dcterms:modified xmlns:dcterms="http://purl.org/dc/terms/" xmlns:xsi="http://www.w3.org/2001/XMLSchema-instance" xsi:type="dcterms:W3CDTF">2026-10-13T09:58:48Z</dcterms:modified>
</cp:coreProperties>
</file>