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E8F0D8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Determinants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Assertion-reason on a 3x3 system: Delta=0, then decide consistency from one determinant.</t>
        </is>
      </c>
      <c r="N2" s="3" t="inlineStr">
        <is>
          <t>Routine two-step chain (evaluate Delta, evaluate the constants determinant, link them); no insight beyond Cramer's rule criterion. Close to 2023-P1-Q14 but with one system and no parameters.</t>
        </is>
      </c>
      <c r="O2" s="3" t="inlineStr">
        <is>
          <t>2023-P1-Q14 (L3, harder)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INT</t>
        </is>
      </c>
      <c r="E3" s="3" t="inlineStr">
        <is>
          <t>Determinants</t>
        </is>
      </c>
      <c r="F3" s="2" t="n">
        <v>4</v>
      </c>
      <c r="G3" s="6" t="n">
        <v>3</v>
      </c>
      <c r="H3" s="6" t="inlineStr">
        <is>
          <t>Average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Eliminate xyz sin3θ between the equations to reach y+z=0, x=0, tan3θ=1 and count roots; reject sin3θ=0.</t>
        </is>
      </c>
      <c r="N3" s="3" t="inlineStr">
        <is>
          <t>Needs a non-obvious elimination of a common expression, then a case check and a root count with no options; one slip changes the integer. Level 3 as a single short chain.</t>
        </is>
      </c>
      <c r="O3" s="3" t="inlineStr">
        <is>
          <t>2023-P1-Q14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MCQ</t>
        </is>
      </c>
      <c r="E4" s="3" t="inlineStr">
        <is>
          <t>Determinants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Row and column differences make the determinant triangular, giving -8α^3.</t>
        </is>
      </c>
      <c r="N4" s="3" t="inlineStr">
        <is>
          <t>Two rounds of operations on squared entries then a cubic; options let a student check, but sign care is needed and the 3x3 of squares is less familiar than plain ones.</t>
        </is>
      </c>
      <c r="O4" s="3" t="inlineStr">
        <is>
          <t>2026-P1-Q3 (L3)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INT</t>
        </is>
      </c>
      <c r="E5" s="3" t="inlineStr">
        <is>
          <t>Determinants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Split the third column; both pieces are Vandermonde-type.</t>
        </is>
      </c>
      <c r="N5" s="3" t="inlineStr">
        <is>
          <t>Splitting by linearity plus the (a-b)(b-c)(c-a) lemma plus a quadratic in x^3 and counting real cube roots; numerical answer, no options.</t>
        </is>
      </c>
      <c r="O5" s="3" t="inlineStr">
        <is>
          <t>2023-P1-Q14 (L3)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MCQ</t>
        </is>
      </c>
      <c r="E6" s="3" t="inlineStr">
        <is>
          <t>Determinants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Compare ratios a/3, 2/(-2), λ/μ for four statements.</t>
        </is>
      </c>
      <c r="N6" s="3" t="inlineStr">
        <is>
          <t>Four short statements on a 2x2 system, each a one-line check with the standard ratio test; one concept only, so no multi-concept floor.</t>
        </is>
      </c>
      <c r="O6" s="3" t="inlineStr">
        <is>
          <t>2026-P1-Q3 (L3, easier)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MTC SCQ</t>
        </is>
      </c>
      <c r="E7" s="3" t="inlineStr">
        <is>
          <t>Determinants</t>
        </is>
      </c>
      <c r="F7" s="2" t="n">
        <v>3</v>
      </c>
      <c r="G7" s="7" t="n">
        <v>4</v>
      </c>
      <c r="H7" s="7" t="inlineStr">
        <is>
          <t>Slightly difficult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Reciprocals in AP make the third equation a combination of the first two, so consistency means a=d.</t>
        </is>
      </c>
      <c r="N7" s="3" t="inlineStr">
        <is>
          <t>HP to AP conversion, four conditions, matching with a solution check; the dependency of the third equation is non-obvious and Cramer's route is long.</t>
        </is>
      </c>
      <c r="O7" s="3" t="inlineStr">
        <is>
          <t>2023-P1-Q14 (L3, harder)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MTC SCQ</t>
        </is>
      </c>
      <c r="E8" s="3" t="inlineStr">
        <is>
          <t>Determinants</t>
        </is>
      </c>
      <c r="F8" s="2" t="n">
        <v>3</v>
      </c>
      <c r="G8" s="6" t="n">
        <v>3</v>
      </c>
      <c r="H8" s="6" t="inlineStr">
        <is>
          <t>Average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D=7α-2β-3, then check D_z for γ and use y=-2 when α=1.</t>
        </is>
      </c>
      <c r="N8" s="3" t="inlineStr">
        <is>
          <t>Same style and length as 2023-P1-Q14 (which is rated L3): unique / none / infinite / particular solution matching with parameters.</t>
        </is>
      </c>
      <c r="O8" s="3" t="inlineStr">
        <is>
          <t>2023-P1-Q14 (L3)</t>
        </is>
      </c>
      <c r="P8" s="2" t="inlineStr">
        <is>
          <t>High</t>
        </is>
      </c>
    </row>
    <row r="10">
      <c r="A10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papers/SHEET DETERMINANT_FCopy JA.pdf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COUNTIF(Evaluation!$G$2:$G$8,A5)</f>
        <v/>
      </c>
      <c r="D5" s="10">
        <f>SUMIF(Evaluation!$G$2:$G$8,A5,Evaluation!$F$2:$F$8)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COUNTIF(Evaluation!$G$2:$G$8,A6)</f>
        <v/>
      </c>
      <c r="D6" s="12">
        <f>SUMIF(Evaluation!$G$2:$G$8,A6,Evaluation!$F$2:$F$8)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COUNTIF(Evaluation!$G$2:$G$8,A7)</f>
        <v/>
      </c>
      <c r="D7" s="14">
        <f>SUMIF(Evaluation!$G$2:$G$8,A7,Evaluation!$F$2:$F$8)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COUNTIF(Evaluation!$G$2:$G$8,A8)</f>
        <v/>
      </c>
      <c r="D8" s="16">
        <f>SUMIF(Evaluation!$G$2:$G$8,A8,Evaluation!$F$2:$F$8)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COUNTIF(Evaluation!$G$2:$G$8,A9)</f>
        <v/>
      </c>
      <c r="D9" s="18">
        <f>SUMIF(Evaluation!$G$2:$G$8,A9,Evaluation!$F$2:$F$8)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COUNTIF(Evaluation!$G$2:$G$8,A10)</f>
        <v/>
      </c>
      <c r="D10" s="20">
        <f>SUMIF(Evaluation!$G$2:$G$8,A10,Evaluation!$F$2:$F$8)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SUM(Evaluation!$L$2:$L$8)/SUM(Evaluation!$F$2:$F$8)</f>
        <v/>
      </c>
      <c r="C14" s="23">
        <f>SUMPRODUCT(Evaluation!$F$2:$F$8,Evaluation!$G$2:$G$8)/SUM(Evaluation!$F$2:$F$8)</f>
        <v/>
      </c>
      <c r="D14" s="22">
        <f>SUM(Evaluation!$F$2:$F$8)</f>
        <v/>
      </c>
      <c r="E14" s="23">
        <f>AVERAGE(Evaluation!$G$2:$G$8)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2026-10-14T02:39:29Z</dcterms:created>
  <dcterms:modified xmlns:dcterms="http://purl.org/dc/terms/" xmlns:xsi="http://www.w3.org/2001/XMLSchema-instance" xsi:type="dcterms:W3CDTF">2026-10-14T02:39:29Z</dcterms:modified>
</cp:coreProperties>
</file>