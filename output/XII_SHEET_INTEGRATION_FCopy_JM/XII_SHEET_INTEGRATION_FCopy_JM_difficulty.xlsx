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Partial Fractions (Algebra)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Cover-up values A_k as signed factorial products, then ratio cancellation.</t>
        </is>
      </c>
      <c r="N2" s="3" t="inlineStr">
        <is>
          <t>Routine chain of cover-up residues and factorial cancellation; numerical format means no options to check, but every step is standard. Closest anchor is 2026-P2-Q3 (L2, routine chain with careful finish).</t>
        </is>
      </c>
      <c r="O2" s="3" t="inlineStr">
        <is>
          <t>2026-P2-Q3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Definite Integration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Periodic integrand: [a] full periods of e-1 plus a partial period.</t>
        </is>
      </c>
      <c r="N3" s="3" t="inlineStr">
        <is>
          <t>One familiar periodicity move followed by a short equation to solve for {a}; options allow a check. Similar in demand to 2023-P2-Q1 (L2, integral equation then evaluate) and above the pure one-trick L1 of 2021-P2-Q11.</t>
        </is>
      </c>
      <c r="O3" s="3" t="inlineStr">
        <is>
          <t>2023-P2-Q1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Definite Integration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Square the root sum to get ln(2+2sqrt(1-x^2)), then by parts and t-substitution.</t>
        </is>
      </c>
      <c r="N4" s="3" t="inlineStr">
        <is>
          <t>Four linked stages (evenness, log-square trick, by parts, substitution to an inverse-sine integral) with no shortcut and several places for a slip; the log-square idea is not a stock coaching pattern. Heavier than 2024-P2-Q16 (L2, king property) and comparable to 2021-P2-Q16 (L3).</t>
        </is>
      </c>
      <c r="O4" s="3" t="inlineStr">
        <is>
          <t>2024-P2-Q16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Definite Integration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[[x]-sin x]=[x]+[-sin x] and [t]+[-t]=-1 over a symmetric interval.</t>
        </is>
      </c>
      <c r="N5" s="3" t="inlineStr">
        <is>
          <t>Two familiar greatest-integer facts combined with the f(x)+f(-x) property; only a short chain. Same single-trick-with-routine-setup flavour as 2026-P2-Q4 (L1) plus an extra step, hence L2.</t>
        </is>
      </c>
      <c r="O5" s="3" t="inlineStr">
        <is>
          <t>2026-P2-Q4 (L1)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Definite Integration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f(x)=asinh x is odd, so the sin f part integrates to zero.</t>
        </is>
      </c>
      <c r="N6" s="3" t="inlineStr">
        <is>
          <t>One parity observation after a cosine addition formula; the oddness of log(x+sqrt(x^2+1)) must be recognised. Three routine steps, no insight beyond parity, so above the one-move L1 of 2021-P2-Q11 and in line with 2023-P2-Q1 (L2).</t>
        </is>
      </c>
      <c r="O6" s="3" t="inlineStr">
        <is>
          <t>2023-P2-Q1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Definite Integration</t>
        </is>
      </c>
      <c r="F7" s="2" t="n">
        <v>4</v>
      </c>
      <c r="G7" s="7" t="n">
        <v>1</v>
      </c>
      <c r="H7" s="7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Recognise a Riemann sum and convert it to the integral of f(5x) on [0,1].</t>
        </is>
      </c>
      <c r="N7" s="3" t="inlineStr">
        <is>
          <t>A single standard recognition (limit of a sum to an integral) with a linear integrand. Comparable to 2021-P2-Q11 (L1, one direct integral).</t>
        </is>
      </c>
      <c r="O7" s="3" t="inlineStr">
        <is>
          <t>2021-P2-Q11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Definite Integration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Period pi reduces 100 periods to one; then integrate e^{-t} sin^2(pi t) by the standard exponential-trig formula.</t>
        </is>
      </c>
      <c r="N8" s="3" t="inlineStr">
        <is>
          <t>Two standard ideas (periodicity of a fractional-part integrand, exponential times cosine integral) chained with exact algebra and a final match to the given form; options help. Slightly heavier than 2023-P2-Q1 (L2) but without any non-routine idea.</t>
        </is>
      </c>
      <c r="O8" s="3" t="inlineStr">
        <is>
          <t>2023-P2-Q1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Definite Integration</t>
        </is>
      </c>
      <c r="F9" s="2" t="n">
        <v>4</v>
      </c>
      <c r="G9" s="7" t="n">
        <v>1</v>
      </c>
      <c r="H9" s="7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King property with x -&gt; pi/4 - x turns tan 2x into cot 2x; the two forms add to 1.</t>
        </is>
      </c>
      <c r="N9" s="3" t="inlineStr">
        <is>
          <t>Textbook king-property question where the reflection is easy to spot. Same as 2026-P2-Q4 (L1, king property on 1/(3^x+3)).</t>
        </is>
      </c>
      <c r="O9" s="3" t="inlineStr">
        <is>
          <t>2026-P2-Q4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Definite Integration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f(x)=integral of [y] is continuous with f'=[x] away from integers; one-sided derivatives differ at integers.</t>
        </is>
      </c>
      <c r="N10" s="3" t="inlineStr">
        <is>
          <t>Standard integral-function-of-greatest-integer question: compute (or use FTC), then check continuity and one-sided derivatives. Statements are coarse so options help. Easier than 2024-P2-Q13 (L3, piecewise g with zeros and right-derivative).</t>
        </is>
      </c>
      <c r="O10" s="3" t="inlineStr">
        <is>
          <t>2024-P2-Q13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Definite Integration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Split |1-t| at t=1 to get f(x) for x&gt;2; compare values and one-sided derivatives at 2.</t>
        </is>
      </c>
      <c r="N11" s="3" t="inlineStr">
        <is>
          <t>Routine split of a modulus integral then a continuity/differentiability check at one point with all four options available. Comparable in kind to 2024-P2-Q13 (L3) but much shorter and with options, hence L2.</t>
        </is>
      </c>
      <c r="O11" s="3" t="inlineStr">
        <is>
          <t>2024-P2-Q13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Definite Integration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Recognise $\log(x+\sqrt{x^2+1})$ as odd (pair $f(x)+f(-x)=\log1$).</t>
        </is>
      </c>
      <c r="N12" s="3" t="inlineStr">
        <is>
          <t>One familiar move (odd-function property) applied once, with a mild disguise in the inverse-hyperbolic form. Same level as the simple king-property integral 2026-P2-Q4 (L1).</t>
        </is>
      </c>
      <c r="O12" s="3" t="inlineStr">
        <is>
          <t>2026-P2-Q4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Definite Integration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Divide by $n$ to read $f(j/n)$, convert to $\int_0^1\frac{2x+8}{2x+4}dx$, split into $1+\frac{2}{x+2}$.</t>
        </is>
      </c>
      <c r="N13" s="3" t="inlineStr">
        <is>
          <t>Three routine stages (Riemann sum to integral, division of the fraction, log evaluation) with no new idea and options to check against, like the routine chain of 2023-P2-Q9 (L2).</t>
        </is>
      </c>
      <c r="O13" s="3" t="inlineStr">
        <is>
          <t>2023-P2-Q9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Definite Integration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Reflection $x\to-x$ kills $e^{x\cos x}$; then $\int_0^{\pi/4}\frac{dx}{\sin^4x+\cos^4x}$ via $t=\tan x$ and $t-\frac1t$.</t>
        </is>
      </c>
      <c r="N14" s="3" t="inlineStr">
        <is>
          <t>Two well-practised tricks chained (king property with $e^{g}$, then the standard $\sin^4+\cos^4$ integral), no unusual idea, options available. Comparable to the king-property chain of 2024-P2-Q16 (L2).</t>
        </is>
      </c>
      <c r="O14" s="3" t="inlineStr">
        <is>
          <t>2024-P2-Q16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Definite Integration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$g=f'$, $g'=f''$; Rolle twice gives $4+3=7$ distinct zeros.</t>
        </is>
      </c>
      <c r="N15" s="3" t="inlineStr">
        <is>
          <t>Single familiar theorem (Rolle) applied twice with FTC to translate, plus the distinctness check; short and option-based. Below the multi-statement Rolle/IVT question 2021-P2-Q3 (L4); level of a routine chained question like 2023-P2-Q1 (L2).</t>
        </is>
      </c>
      <c r="O15" s="3" t="inlineStr">
        <is>
          <t>2023-P2-Q1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Definite Integration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Nested-log domain reduces to $18x-x^2-77&gt;3$, i.e. $(8,10)$; then $a+b-x$ pairing gives $\frac{b-a}2$.</t>
        </is>
      </c>
      <c r="N16" s="3" t="inlineStr">
        <is>
          <t>Two stages, each routine: domain of nested logs (careful but standard) then the king property on $\frac{f}{f+f(a+b-x)}$. No options, but short. One step above the bare king-property question 2026-P2-Q4 (L1) because of the domain stage.</t>
        </is>
      </c>
      <c r="O16" s="3" t="inlineStr">
        <is>
          <t>2026-P2-Q4 (L1)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Definite Integration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Do not differentiate blindly: use $\int_3^x F'=F(x)-F(3)=F(x)$ to solve for $F(4)$, and differentiate $e^xF$ for $F'(4)$.</t>
        </is>
      </c>
      <c r="N17" s="3" t="inlineStr">
        <is>
          <t>Integral equation with $F$ and $F'$ inside, so the usual differentiate-and-solve-DE route is not enough; one must see that the $4F'$ part integrates exactly. Same family as 2023-P2-Q1 (L2, integral equation to linear DE) with a twist and a numerical answer, so one level higher.</t>
        </is>
      </c>
      <c r="O17" s="3" t="inlineStr">
        <is>
          <t>2023-P2-Q1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Definite Integration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Symmetry about $\pi/2$, substitution $\cos^2x=t$, and by parts on $t^{-1/2}e^t$ to produce $\int\sqrt t\,e^t$.</t>
        </is>
      </c>
      <c r="N18" s="3" t="inlineStr">
        <is>
          <t>Four stages (symmetry, substitution, split, by parts) with the target form given only implicitly, numerical answer. Heavier than the L2 king-property integral 2024-P2-Q16 but each move is standard, so it stays at 3 rather than the L4 of 2025-P2-Q16.</t>
        </is>
      </c>
      <c r="O18" s="3" t="inlineStr">
        <is>
          <t>2024-P2-Q16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Indefinite Integration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Factor $(x-1)^8$ out of the root so the integrand is $(x-1)^{-2}\left(\frac{x+2}{x-1}\right)^{-5/4}$; then $t=\frac{x+2}{x-1}$.</t>
        </is>
      </c>
      <c r="N19" s="3" t="inlineStr">
        <is>
          <t>Two routine moves (rewrite under the root, ratio substitution) with options to differentiate-check; a well-known JEE Main pattern. Similar routine chain to 2026-P2-Q3 (L2, separable DE with finish).</t>
        </is>
      </c>
      <c r="O19" s="3" t="inlineStr">
        <is>
          <t>2026-P2-Q3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Indefinite Integration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Shift to $x+\frac12=\frac{\sqrt3}2\tan\theta$, reduce to $\cos^2\theta$, convert $\sin2\theta$ back.</t>
        </is>
      </c>
      <c r="N20" s="3" t="inlineStr">
        <is>
          <t>Standard trig substitution chain of five or six routine steps with algebraic back-conversion; no insight but numerical with no options, so slip-prone. Routine-chain level like 2023-P2-Q9 (L2).</t>
        </is>
      </c>
      <c r="O20" s="3" t="inlineStr">
        <is>
          <t>2023-P2-Q9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Indefinite Integration</t>
        </is>
      </c>
      <c r="F21" s="2" t="n">
        <v>4</v>
      </c>
      <c r="G21" s="7" t="n">
        <v>1</v>
      </c>
      <c r="H21" s="7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Write numerator as $A\cdot D+B\cdot D'$ and integrate to $Ax+B\ln D$.</t>
        </is>
      </c>
      <c r="N21" s="3" t="inlineStr">
        <is>
          <t>One familiar trick (numerator = A*denominator + B*derivative) applied once, followed by two linear equations. Same level of a single standard move as 2026-P2-Q4 (L1).</t>
        </is>
      </c>
      <c r="O21" s="3" t="inlineStr">
        <is>
          <t>2026-P2-Q4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Indefinite Integration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t=tan x after dividing by cos^3 x, then partial fractions of t/(t^3+1)</t>
        </is>
      </c>
      <c r="N22" s="3" t="inlineStr">
        <is>
          <t>Four routine stages (tan substitution, cubic factorisation, partial fractions, completing the square for the arctan) with no options to check against, but every step is a coaching standard and no insight is needed (F3, F5). Sits with 2023-P2-Q1 (L2).</t>
        </is>
      </c>
      <c r="O22" s="3" t="inlineStr">
        <is>
          <t>2023-P2-Q1 (L2)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Definite Integration</t>
        </is>
      </c>
      <c r="F23" s="2" t="n">
        <v>4</v>
      </c>
      <c r="G23" s="7" t="n">
        <v>1</v>
      </c>
      <c r="H23" s="7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Read the sum as a Riemann sum with limits 0 to 2</t>
        </is>
      </c>
      <c r="N23" s="3" t="inlineStr">
        <is>
          <t>One familiar move (limit of a sum as an integral) followed by a standard arctan integral. Same single-move level as 2026-P2-Q4 (king property, L1), with options available.</t>
        </is>
      </c>
      <c r="O23" s="3" t="inlineStr">
        <is>
          <t>2026-P2-Q4 (L1)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Definite Integration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Perfect square under the root, fix modulus sign, use evenness</t>
        </is>
      </c>
      <c r="N24" s="3" t="inlineStr">
        <is>
          <t>Three small routine steps (perfect square with modulus, sign check, even function) then a log integral; a chain without a new idea, like 2026-P2-Q3 (L2).</t>
        </is>
      </c>
      <c r="O24" s="3" t="inlineStr">
        <is>
          <t>2026-P2-Q3 (L2)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Definite Integration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Shift each unit interval to [0,1]; add the five integrals</t>
        </is>
      </c>
      <c r="N25" s="3" t="inlineStr">
        <is>
          <t>Greatest-integer splitting into five unit pieces, a shift to a common interval and two by-parts integrals; routine but with arithmetic risk, and much easier than 2021-P2-Q19 (L4), which needs breakpoint location.</t>
        </is>
      </c>
      <c r="O25" s="3" t="inlineStr">
        <is>
          <t>2021-P2-Q19 (L4, easier)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Definite Integration</t>
        </is>
      </c>
      <c r="F26" s="2" t="n">
        <v>4</v>
      </c>
      <c r="G26" s="7" t="n">
        <v>1</v>
      </c>
      <c r="H26" s="7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King property x to -x makes the denominators complementary</t>
        </is>
      </c>
      <c r="N26" s="3" t="inlineStr">
        <is>
          <t>Single well-known trick on an even numerator, then a trivial integral; same as 2026-P2-Q4 (king property, L1).</t>
        </is>
      </c>
      <c r="O26" s="3" t="inlineStr">
        <is>
          <t>2026-P2-Q4 (L1)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Definite Integration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Log of the product gives Riemann sum for -4 int x ln(1+x^2)</t>
        </is>
      </c>
      <c r="N27" s="3" t="inlineStr">
        <is>
          <t>Limit of a product via logs, then a Riemann sum, then substitution and ln t by parts: three standard stages with options to check; comparable to 2023-P2-Q1 (L2).</t>
        </is>
      </c>
      <c r="O27" s="3" t="inlineStr">
        <is>
          <t>2023-P2-Q1 (L2)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Definite Integration</t>
        </is>
      </c>
      <c r="F28" s="2" t="n">
        <v>4</v>
      </c>
      <c r="G28" s="7" t="n">
        <v>1</v>
      </c>
      <c r="H28" s="7" t="inlineStr">
        <is>
          <t>JEE Main level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x^2-44x+484=(22-x)^2 so king property with a+b=22</t>
        </is>
      </c>
      <c r="N28" s="3" t="inlineStr">
        <is>
          <t>One familiar trick once the hidden square is spotted; standard f(x)/(f(x)+f(a+b-x)) structure, like 2026-P2-Q4 (L1).</t>
        </is>
      </c>
      <c r="O28" s="3" t="inlineStr">
        <is>
          <t>2026-P2-Q4 (L1)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Definite Integration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x=t^2 then 2t^2=(3t^2+1)-(t^2+1) to split the fraction</t>
        </is>
      </c>
      <c r="N29" s="3" t="inlineStr">
        <is>
          <t>Substitution, a clever split, two partial-fraction layers and three arctan values; long but routine algebra with options to check, no non-routine idea (F3); like 2026-P2-Q3 (L2).</t>
        </is>
      </c>
      <c r="O29" s="3" t="inlineStr">
        <is>
          <t>2026-P2-Q3 (L2)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Definite Integration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Exponent [x] is 0 on [0,1) and 1 on [1,2)</t>
        </is>
      </c>
      <c r="N30" s="3" t="inlineStr">
        <is>
          <t>Piecewise reduction on two unit intervals and one by-parts integral; routine chain with a mild trap (zero exponent), L2 like 2023-P2-Q1.</t>
        </is>
      </c>
      <c r="O30" s="3" t="inlineStr">
        <is>
          <t>2023-P2-Q1 (L2)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Definite Integration</t>
        </is>
      </c>
      <c r="F31" s="2" t="n">
        <v>4</v>
      </c>
      <c r="G31" s="7" t="n">
        <v>1</v>
      </c>
      <c r="H31" s="7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Leibniz rule inside L'Hopital with sec^2(pi/4)=2</t>
        </is>
      </c>
      <c r="N31" s="3" t="inlineStr">
        <is>
          <t>Single direct application of L'Hopital with Leibniz and a substitution; one familiar move, like 2026-P2-Q4 (L1).</t>
        </is>
      </c>
      <c r="O31" s="3" t="inlineStr">
        <is>
          <t>2026-P2-Q4 (L1)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Definite Integration</t>
        </is>
      </c>
      <c r="F32" s="2" t="n">
        <v>4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Telescoping the two integrals via $x^{6+i}-x^{3+i}=x^{3+i}(x^3-1)$, then triangular determinant and $|adj(A^{-1})|=|A|^{-2}$</t>
        </is>
      </c>
      <c r="N32" s="3" t="inlineStr">
        <is>
          <t>Spotting the cancellation is one easy trick; the rest is a triangular determinant and a standard adjoint identity, a routine chain of three standard results with no real insight. Same level as the integral-equation chain 2023-P2-Q1 (L2).</t>
        </is>
      </c>
      <c r="O32" s="3" t="inlineStr">
        <is>
          <t>2023-P2-Q1 (L2)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Definite Integration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Pull $\sin x$ out of the integral so $f=x+A\sin x$; solve for the constant $A$</t>
        </is>
      </c>
      <c r="N33" s="3" t="inlineStr">
        <is>
          <t>Separable-kernel integral equation: one standard idea followed by an integration by parts and a linear equation for $A$. Comparable to 2023-P2-Q1 (L2), integral equation solved by routine steps; options let the student check.</t>
        </is>
      </c>
      <c r="O33" s="3" t="inlineStr">
        <is>
          <t>2023-P2-Q1 (L2)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Definite Integration</t>
        </is>
      </c>
      <c r="F34" s="2" t="n">
        <v>4</v>
      </c>
      <c r="G34" s="7" t="n">
        <v>1</v>
      </c>
      <c r="H34" s="7" t="inlineStr">
        <is>
          <t>JEE Main level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Split at the breakpoints of $[2x]$ and $|x|$ and integrate piecewise</t>
        </is>
      </c>
      <c r="N34" s="3" t="inlineStr">
        <is>
          <t>Single familiar move (piecewise integration of greatest-integer and modulus), tiny arithmetic. Close to 2021-P2-Q11 (L1), a direct integral evaluation; numerical format keeps it from being 0.</t>
        </is>
      </c>
      <c r="O34" s="3" t="inlineStr">
        <is>
          <t>2021-P2-Q11 (L1)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Indefinite Integration - Differentiation under the identity / Monotonicity</t>
        </is>
      </c>
      <c r="F35" s="2" t="n">
        <v>4</v>
      </c>
      <c r="G35" s="6" t="n">
        <v>3</v>
      </c>
      <c r="H35" s="6" t="inlineStr">
        <is>
          <t>Average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Differentiate both sides to cancel $g$ and get $g'=\cos x-\sin x$, then judge four monotonicity statements</t>
        </is>
      </c>
      <c r="N35" s="3" t="inlineStr">
        <is>
          <t>Two linked ideas (derivative identity with an unknown function, then monotonicity of $g$, $g'$, $g\pm g'$) and four statements each needing a genuine sign check, with several traps. Comparable to 2026-P1-Q7 (L3, implications needing checks).</t>
        </is>
      </c>
      <c r="O35" s="3" t="inlineStr">
        <is>
          <t>2026-P1-Q7 (L3)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Indefinite Integration</t>
        </is>
      </c>
      <c r="F36" s="2" t="n">
        <v>4</v>
      </c>
      <c r="G36" s="4" t="n">
        <v>2</v>
      </c>
      <c r="H36" s="4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$x=\cos\theta$ gives $\tan\frac\theta2$, then $\int\sec\theta\,d\theta$; evaluate and simplify the log</t>
        </is>
      </c>
      <c r="N36" s="3" t="inlineStr">
        <is>
          <t>A routine chain: trigonometric substitution, half-angle simplification, secant integral, constant from $g(1)=0$ and log simplification to match the option. No unfamiliar idea; the exact-value simplification is the only slip risk. Level of 2024-P2-Q16 (L2).</t>
        </is>
      </c>
      <c r="O36" s="3" t="inlineStr">
        <is>
          <t>2024-P2-Q16 (L2)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Indefinite Integration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Rewrite the rational factor as $\varphi+\varphi'$ so that $\int e^x(\varphi+\varphi')=e^x\varphi$, then differentiate thrice</t>
        </is>
      </c>
      <c r="N37" s="3" t="inlineStr">
        <is>
          <t>A very familiar pattern, but the splitting needs a few algebraic steps and then three derivatives; routine chain without insight, so L2 rather than L1. Similar demand to 2026-P2-Q3 (L2).</t>
        </is>
      </c>
      <c r="O37" s="3" t="inlineStr">
        <is>
          <t>2026-P2-Q3 (L2)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Definite Integration</t>
        </is>
      </c>
      <c r="F38" s="2" t="n">
        <v>4</v>
      </c>
      <c r="G38" s="4" t="n">
        <v>2</v>
      </c>
      <c r="H38" s="4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King property to remove $1+e^x$, then $\sin^6+\cos^6$ and $t=\tan2x$ over $(0,\infty)$</t>
        </is>
      </c>
      <c r="N38" s="3" t="inlineStr">
        <is>
          <t>Three standard tricks in a row (king property with $e^x$, $\sin^6+\cos^6$ reduction, tan substitution to an infinite-limit arctan), each familiar; chain length lifts it above 2026-P2-Q4 (L1) to L2, similar to 2024-P2-Q16 (L2).</t>
        </is>
      </c>
      <c r="O38" s="3" t="inlineStr">
        <is>
          <t>2024-P2-Q16 (L2)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Definite Integration (limit of a sum)</t>
        </is>
      </c>
      <c r="F39" s="2" t="n">
        <v>4</v>
      </c>
      <c r="G39" s="4" t="n">
        <v>2</v>
      </c>
      <c r="H39" s="4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Recognise the Riemann sum $\int_0^1\frac{dx}{(1+x^2)(1+x)}$ and do partial fractions</t>
        </is>
      </c>
      <c r="N39" s="3" t="inlineStr">
        <is>
          <t>Riemann-sum recognition and a standard partial-fraction integral; multi-step but routine and options allow a check. Comparable to 2023-P2-Q1 (L2); not Level 3 since no second idea is linked.</t>
        </is>
      </c>
      <c r="O39" s="3" t="inlineStr">
        <is>
          <t>2023-P2-Q1 (L2)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Definite Integration</t>
        </is>
      </c>
      <c r="F40" s="2" t="n">
        <v>4</v>
      </c>
      <c r="G40" s="7" t="n">
        <v>1</v>
      </c>
      <c r="H40" s="7" t="inlineStr">
        <is>
          <t>JEE Main level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King property $x\to\pi-x$ makes the $e^{\pm\cos x}$ factors add to 1</t>
        </is>
      </c>
      <c r="N40" s="3" t="inlineStr">
        <is>
          <t>One familiar move (king property with $e^{c}/(e^c+e^{-c})$) followed by a one-line substitution. Same demand as 2026-P2-Q4 (L1), king property on $\frac{1}{3^x+3}$.</t>
        </is>
      </c>
      <c r="O40" s="3" t="inlineStr">
        <is>
          <t>2026-P2-Q4 (L1)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Definite Integration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Form $b_n-b_{n-1}$ via $\cos^2A-\cos^2B$ so $\sin x$ cancels, then test the A.P./G.P. options</t>
        </is>
      </c>
      <c r="N41" s="3" t="inlineStr">
        <is>
          <t>The key idea (take consecutive differences and use product-to-sum) is a known pattern for integral recurrences but not a one-liner; the rest is a standard integral and checking four A.P./G.P. options. Roughly the demand of 2021-P2-Q3 (L2).</t>
        </is>
      </c>
      <c r="O41" s="3" t="inlineStr">
        <is>
          <t>2021-P2-Q3 (L2)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Definite Integration</t>
        </is>
      </c>
      <c r="F42" s="2" t="n">
        <v>4</v>
      </c>
      <c r="G42" s="7" t="n">
        <v>1</v>
      </c>
      <c r="H42" s="7" t="inlineStr">
        <is>
          <t>JEE Main level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Apply the king property $x\to-x$ so the two exponential weights sum to 1, then integrate $x^3+x$.</t>
        </is>
      </c>
      <c r="N42" s="3" t="inlineStr">
        <is>
          <t>King property with an odd exponent on a symmetric interval is a single familiar move; the modulus of an even function and a polynomial integral add no real difficulty. Nearest anchor 2026-P2-Q4 (L1, king property on 1/(3^x+3)).</t>
        </is>
      </c>
      <c r="O42" s="3" t="inlineStr">
        <is>
          <t>2026-P2-Q4 (L1)</t>
        </is>
      </c>
      <c r="P42" s="2" t="inlineStr">
        <is>
          <t>High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Definite Integration</t>
        </is>
      </c>
      <c r="F43" s="2" t="n">
        <v>4</v>
      </c>
      <c r="G43" s="4" t="n">
        <v>2</v>
      </c>
      <c r="H43" s="4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Differentiate with Leibniz, factor into five simple roots and read maxima/minima from sign changes of $f'$.</t>
        </is>
      </c>
      <c r="N43" s="3" t="inlineStr">
        <is>
          <t>Three routine steps (Leibniz, factoring, sign scheme) with no insight, hence L2 rather than L1; counting minima at $x=-2,0,2$ requires care but options help. Similar to 2021-P2-Q9 (L2, extrema from signs of a product).</t>
        </is>
      </c>
      <c r="O43" s="3" t="inlineStr">
        <is>
          <t>2021-P2-Q9 (L2)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Definite Integration</t>
        </is>
      </c>
      <c r="F44" s="2" t="n">
        <v>4</v>
      </c>
      <c r="G44" s="4" t="n">
        <v>2</v>
      </c>
      <c r="H44" s="4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Differentiate the integral equation twice and evaluate at $\cos x=1/\sqrt3$.</t>
        </is>
      </c>
      <c r="N44" s="3" t="inlineStr">
        <is>
          <t>Two applications of Leibniz rule with chain rule and a careful value substitution; routine chain, no unfamiliar idea, options available. Nearest anchor 2023-P2-Q1 (L3, differentiate an integral equation and solve a linear DE) which has an extra DE stage, so one level lower.</t>
        </is>
      </c>
      <c r="O44" s="3" t="inlineStr">
        <is>
          <t>2023-P2-Q1 (L3)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Definite Integration</t>
        </is>
      </c>
      <c r="F45" s="2" t="n">
        <v>4</v>
      </c>
      <c r="G45" s="6" t="n">
        <v>3</v>
      </c>
      <c r="H45" s="6" t="inlineStr">
        <is>
          <t>Average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Partition $(0,1]$ by $[1/x]=n$ and sum $\sum 7^{-n}(1/n-1/(n+1))$ using the $-\ln(1-r)$ series.</t>
        </is>
      </c>
      <c r="N45" s="3" t="inlineStr">
        <is>
          <t>Needs the infinite partition, the telescoping-style split into two logarithmic series with an index shift, and exact algebra; the series idea is less drilled than standard integrals. Option format helps a little, so L3 against 2021-P2-Q19 (L4, greatest integer breakpoints in numerical format).</t>
        </is>
      </c>
      <c r="O45" s="3" t="inlineStr">
        <is>
          <t>2021-P2-Q19 (L4)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Definite Integration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Find where the parabola crosses the integers $0,-1,-2$ and integrate the step function piece by piece.</t>
        </is>
      </c>
      <c r="N46" s="3" t="inlineStr">
        <is>
          <t>Routine but multi-piece computation with one irrational breakpoint $\frac{3+\sqrt{17}}{8}$; no insight beyond reading the graph, and the options allow a check. Easier than 2021-P2-Q19 (L4, numerical greatest-integer integral), so L2.</t>
        </is>
      </c>
      <c r="O46" s="3" t="inlineStr">
        <is>
          <t>2021-P2-Q19 (L4)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Definite Integration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Recognise $f'\sec t+f\sec t\tan t$ as $(f\sec t)'$ and evaluate the limit by L'Hopital.</t>
        </is>
      </c>
      <c r="N47" s="3" t="inlineStr">
        <is>
          <t>One recognition (exact derivative) followed by a routine $0/0$ limit; the product-rule recognition is standard. Nearest anchor 2024-P2-Q16 (L3, king property plus an integral of a given function), which is a step heavier.</t>
        </is>
      </c>
      <c r="O47" s="3" t="inlineStr">
        <is>
          <t>2024-P2-Q16 (L3)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Definite Integration</t>
        </is>
      </c>
      <c r="F48" s="2" t="n">
        <v>4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Show $f$ has period $2k$ and that $\int_0^{2k}f=nk$.</t>
        </is>
      </c>
      <c r="N48" s="3" t="inlineStr">
        <is>
          <t>The pattern f(x)+f(x+k)=c is a standard coaching result: two linked steps (period, integral over a period) then counting periods. No heavy computation. Between 2026-P2-Q4 (L1) and 2023-P2-Q1 (L3).</t>
        </is>
      </c>
      <c r="O48" s="3" t="inlineStr">
        <is>
          <t>2026-P2-Q4 (L1)</t>
        </is>
      </c>
      <c r="P48" s="2" t="inlineStr">
        <is>
          <t>Medium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Definite Integration</t>
        </is>
      </c>
      <c r="F49" s="2" t="n">
        <v>4</v>
      </c>
      <c r="G49" s="6" t="n">
        <v>3</v>
      </c>
      <c r="H49" s="6" t="inlineStr">
        <is>
          <t>Average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Identify the running maximum of the cubic, then count non-differentiable points over five pieces including a greatest-integer jump.</t>
        </is>
      </c>
      <c r="N49" s="3" t="inlineStr">
        <is>
          <t>Several concepts chained: running max, greatest integer, continuity vs differentiability at four breakpoints (3 is continuous but has a kink, 5 is a jump), then an integral. Precision risk is real, though options exist. Nearest 2024-P2-Q13 (L4, piecewise function with a derived zero count, numerical).</t>
        </is>
      </c>
      <c r="O49" s="3" t="inlineStr">
        <is>
          <t>2024-P2-Q13 (L4)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Definite Integration</t>
        </is>
      </c>
      <c r="F50" s="2" t="n">
        <v>4</v>
      </c>
      <c r="G50" s="4" t="n">
        <v>2</v>
      </c>
      <c r="H50" s="4" t="inlineStr">
        <is>
          <t>Easier than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Freeze $[x/2]$ on $[0,2),[2,4),[4,5]$ and integrate three cosines to zero.</t>
        </is>
      </c>
      <c r="N50" s="3" t="inlineStr">
        <is>
          <t>Three-block splitting with a sign change from the integer shift; each integral is elementary. A routine chain with no unfamiliar idea; harder than a one-line king-property question (2026-P2-Q4, L1).</t>
        </is>
      </c>
      <c r="O50" s="3" t="inlineStr">
        <is>
          <t>2026-P2-Q4 (L1)</t>
        </is>
      </c>
      <c r="P50" s="2" t="inlineStr">
        <is>
          <t>High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Definite Integration</t>
        </is>
      </c>
      <c r="F51" s="2" t="n">
        <v>4</v>
      </c>
      <c r="G51" s="4" t="n">
        <v>2</v>
      </c>
      <c r="H51" s="4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Notice the two integrals are constants, so $f$ is linear, and solve the 2x2 moment system.</t>
        </is>
      </c>
      <c r="N51" s="3" t="inlineStr">
        <is>
          <t>Standard integral-equation setup with two constants and a small linear system; routine chain, no insight beyond recognising constants. One level below 2023-P2-Q1 (L3), which adds a differential equation.</t>
        </is>
      </c>
      <c r="O51" s="3" t="inlineStr">
        <is>
          <t>2023-P2-Q1 (L3)</t>
        </is>
      </c>
      <c r="P51" s="2" t="inlineStr">
        <is>
          <t>High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Definite Integration</t>
        </is>
      </c>
      <c r="F52" s="2" t="n">
        <v>4</v>
      </c>
      <c r="G52" s="4" t="n">
        <v>2</v>
      </c>
      <c r="H52" s="4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Recast both sides via J = int_0^1 sqrt(1-y^2) dy (quarter circle) and solve for I</t>
        </is>
      </c>
      <c r="N52" s="3" t="inlineStr">
        <is>
          <t>Several routine area evaluations (parabola area, semicircle symmetry, polynomial integral) chained, with one linear equation at the end and options to match; the only slightly non-routine move is reading dx- and dy-integrals as the same area. Like 2023-P2-Q1 (L2: routine chain with a small twist) and below 2021-P2-Q12 (L4).</t>
        </is>
      </c>
      <c r="O52" s="3" t="inlineStr">
        <is>
          <t>2023-P2-Q1 (L2)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Numerical</t>
        </is>
      </c>
      <c r="E53" s="3" t="inlineStr">
        <is>
          <t>Definite Integration</t>
        </is>
      </c>
      <c r="F53" s="2" t="n">
        <v>4</v>
      </c>
      <c r="G53" s="4" t="n">
        <v>2</v>
      </c>
      <c r="H53" s="4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Separable kernel: f=(A+1)sin+B cos with A=int f, B=int t f; solve 2 linear equations using odd/even</t>
        </is>
      </c>
      <c r="N53" s="3" t="inlineStr">
        <is>
          <t>Two constants, two parity-based linear equations and one final integral; a standard coaching pattern with no real insight but numerical format (no options). Comparable to 2023-P2-Q1 (L2, integral equation to a simple solve).</t>
        </is>
      </c>
      <c r="O53" s="3" t="inlineStr">
        <is>
          <t>2023-P2-Q1 (L2)</t>
        </is>
      </c>
      <c r="P53" s="2" t="inlineStr">
        <is>
          <t>High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Definite Integration</t>
        </is>
      </c>
      <c r="F54" s="2" t="n">
        <v>4</v>
      </c>
      <c r="G54" s="6" t="n">
        <v>3</v>
      </c>
      <c r="H54" s="6" t="inlineStr">
        <is>
          <t>Average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Limits from max/min of the Mobius expression; split max{f,x} at x=9/5; divide polynomial and integrate</t>
        </is>
      </c>
      <c r="N54" s="3" t="inlineStr">
        <is>
          <t>Four stages (derivative test, limits, crossing point, integral with polynomial division and logarithm) with exact arithmetic in a numerical answer, so one slip is fatal; no single hard idea. Above 2026-P2-Q3 (L2, SCQ DE with quartic finish) because of the numerical format and extra stage.</t>
        </is>
      </c>
      <c r="O54" s="3" t="inlineStr">
        <is>
          <t>2026-P2-Q3 (L2)</t>
        </is>
      </c>
      <c r="P54" s="2" t="inlineStr">
        <is>
          <t>Medium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Definite Integration</t>
        </is>
      </c>
      <c r="F55" s="2" t="n">
        <v>4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Partial fractions into two logs, then solve ln-equation for b</t>
        </is>
      </c>
      <c r="N55" s="3" t="inlineStr">
        <is>
          <t>Routine partial fractions and two standard log integrals followed by an algebraic equation solved by recognising 49/50 = (1/2)(7/5)^2. No insight, moderate algebra. Similar demand to 2023-P2-Q9 (L2, linear DE then optimisation).</t>
        </is>
      </c>
      <c r="O55" s="3" t="inlineStr">
        <is>
          <t>2023-P2-Q9 (L2)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Definite Integration</t>
        </is>
      </c>
      <c r="F56" s="2" t="n">
        <v>4</v>
      </c>
      <c r="G56" s="4" t="n">
        <v>2</v>
      </c>
      <c r="H56" s="4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King property: P(x)+P(pi-x)=pi^3/2 collapses the integrand</t>
        </is>
      </c>
      <c r="N56" s="3" t="inlineStr">
        <is>
          <t>One familiar move (king property) plus algebra to see that the cubic sums to a constant, then a standard arctan integral; numerical format nudges it above the simplest king-property anchor 2026-P2-Q4 (L1).</t>
        </is>
      </c>
      <c r="O56" s="3" t="inlineStr">
        <is>
          <t>2026-P2-Q4 (L1)</t>
        </is>
      </c>
      <c r="P56" s="2" t="inlineStr">
        <is>
          <t>High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Numerical</t>
        </is>
      </c>
      <c r="E57" s="3" t="inlineStr">
        <is>
          <t>Definite Integration</t>
        </is>
      </c>
      <c r="F57" s="2" t="n">
        <v>4</v>
      </c>
      <c r="G57" s="6" t="n">
        <v>3</v>
      </c>
      <c r="H57" s="6" t="inlineStr">
        <is>
          <t>Average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Divide by x^2, t=x+2/x, then int dt/(t sqrt(t^2-4)) = (1/2) sec^-1(t/2)</t>
        </is>
      </c>
      <c r="N57" s="3" t="inlineStr">
        <is>
          <t>The substitution x+c/x is a recognition trick students may or may not have drilled, followed by a less common sec^-1 antiderivative and an improper endpoint; numerical, so no options to check. Easier than the L4 anchor 2025-P2-Q16 (king-type substitution with tan^-1) but harder than the plain L1 king property 2026-P2-Q4.</t>
        </is>
      </c>
      <c r="O57" s="3" t="inlineStr">
        <is>
          <t>2025-P2-Q16 (L4)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SCQ</t>
        </is>
      </c>
      <c r="E58" s="3" t="inlineStr">
        <is>
          <t>Indefinite Integration</t>
        </is>
      </c>
      <c r="F58" s="2" t="n">
        <v>4</v>
      </c>
      <c r="G58" s="6" t="n">
        <v>3</v>
      </c>
      <c r="H58" s="6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Make the denominator sin60+sin2x and use sum-to-product so the integrand splits into cosec and sec</t>
        </is>
      </c>
      <c r="N58" s="3" t="inlineStr">
        <is>
          <t>Needs the multiplier sqrt3/2 insight, a sum-to-product and angle-addition decoding of the numerator, then csc/sec integrals converted to the tan form of the options; long but options help. Alternate u=sinx+cosx is more standard. Comparable to 2024-P1-Q1 (L2) with extra trig manipulation.</t>
        </is>
      </c>
      <c r="O58" s="3" t="inlineStr">
        <is>
          <t>2024-P1-Q1 (L2)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Indefinite Integration</t>
        </is>
      </c>
      <c r="F59" s="2" t="n">
        <v>4</v>
      </c>
      <c r="G59" s="4" t="n">
        <v>2</v>
      </c>
      <c r="H59" s="4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By parts on sec^2x sin^-2022 x: leftover integral cancels, giving I = tan x / sin^2022 x</t>
        </is>
      </c>
      <c r="N59" s="3" t="inlineStr">
        <is>
          <t>One recognition (by-parts with cancellation) and then routine evaluation of closed-form values with large exponents; options make it checkable. Like 2023-P2-Q1 (L2).</t>
        </is>
      </c>
      <c r="O59" s="3" t="inlineStr">
        <is>
          <t>2023-P2-Q1 (L2)</t>
        </is>
      </c>
      <c r="P59" s="2" t="inlineStr">
        <is>
          <t>Medium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Definite Integration</t>
        </is>
      </c>
      <c r="F60" s="2" t="n">
        <v>4</v>
      </c>
      <c r="G60" s="6" t="n">
        <v>3</v>
      </c>
      <c r="H60" s="6" t="inlineStr">
        <is>
          <t>Average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f is a period-2 triangle wave; reduce [-10,10] to one period and integrate by parts</t>
        </is>
      </c>
      <c r="N60" s="3" t="inlineStr">
        <is>
          <t>Decode a [x]-defined piecewise function, notice periodicity, shift the second half, then by parts; three ideas linked but each standard. Easier than 2021-P2-Q19 (L4, greatest-integer breakpoints numerical) because it is option-based and only one period is needed.</t>
        </is>
      </c>
      <c r="O60" s="3" t="inlineStr">
        <is>
          <t>2021-P2-Q19 (L4)</t>
        </is>
      </c>
      <c r="P60" s="2" t="inlineStr">
        <is>
          <t>Medium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Integration - Differential equation</t>
        </is>
      </c>
      <c r="F61" s="2" t="n">
        <v>4</v>
      </c>
      <c r="G61" s="6" t="n">
        <v>3</v>
      </c>
      <c r="H61" s="6" t="inlineStr">
        <is>
          <t>Average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Multiply by e^{2x} and split; u=e^x gives sqrt2 tan^-1; two points determine e^alpha</t>
        </is>
      </c>
      <c r="N61" s="3" t="inlineStr">
        <is>
          <t>Non-obvious algebraic rewrite, an arctan integral with a constant that is easy to get wrong, use of two conditions and tan addition; SCQ so some checking possible. Close to 2026-P2-Q3 (L2) in DE chain but with a longer integration and trig finishing.</t>
        </is>
      </c>
      <c r="O61" s="3" t="inlineStr">
        <is>
          <t>2026-P2-Q3 (L2)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SCQ</t>
        </is>
      </c>
      <c r="E62" s="3" t="inlineStr">
        <is>
          <t>Definite Integration</t>
        </is>
      </c>
      <c r="F62" s="2" t="n">
        <v>4</v>
      </c>
      <c r="G62" s="7" t="n">
        <v>1</v>
      </c>
      <c r="H62" s="7" t="inlineStr">
        <is>
          <t>JEE Main level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Riemann sum with t=2^n, improper integral of (1-x)^-1/2</t>
        </is>
      </c>
      <c r="N62" s="3" t="inlineStr">
        <is>
          <t>Recognising the sum as a Riemann sum with an integrable endpoint singularity; a single familiar move.</t>
        </is>
      </c>
      <c r="O62" s="3" t="inlineStr">
        <is>
          <t>2026-P2-Q4 (L1), 2021-P2-Q11 (L1)</t>
        </is>
      </c>
      <c r="P62" s="2" t="inlineStr">
        <is>
          <t>High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SCQ</t>
        </is>
      </c>
      <c r="E63" s="3" t="inlineStr">
        <is>
          <t>Definite Integration</t>
        </is>
      </c>
      <c r="F63" s="2" t="n">
        <v>4</v>
      </c>
      <c r="G63" s="4" t="n">
        <v>2</v>
      </c>
      <c r="H63" s="4" t="inlineStr">
        <is>
          <t>Easier than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Period 2 reduction; two floor functions on one period</t>
        </is>
      </c>
      <c r="N63" s="3" t="inlineStr">
        <is>
          <t>Two different greatest-integer layers must be tabulated on one period and the period of the sum identified; routine multi-step chain with option-based format, no unfamiliar idea. Nearest anchor 2021-P2-Q19 (L4) is a numerical question with unknown breakpoints, so this sits well below it.</t>
        </is>
      </c>
      <c r="O63" s="3" t="inlineStr">
        <is>
          <t>2021-P2-Q19 (L4), 2021-P2-Q11 (L1)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SCQ</t>
        </is>
      </c>
      <c r="E64" s="3" t="inlineStr">
        <is>
          <t>Definite Integration</t>
        </is>
      </c>
      <c r="F64" s="2" t="n">
        <v>4</v>
      </c>
      <c r="G64" s="4" t="n">
        <v>2</v>
      </c>
      <c r="H64" s="4" t="inlineStr">
        <is>
          <t>Easier than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Riemann sum gives a=pi/2; f=tan(x/2); evaluate at pi/4</t>
        </is>
      </c>
      <c r="N64" s="3" t="inlineStr">
        <is>
          <t>Three routine stages (limit of a sum, half-angle simplification, derivative and surd arithmetic) with no new idea and options to check against. Comparable to routine two-concept chains rated 2.</t>
        </is>
      </c>
      <c r="O64" s="3" t="inlineStr">
        <is>
          <t>2026-P2-Q3 (L2), 2021-P2-Q11 (L1)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SCQ</t>
        </is>
      </c>
      <c r="E65" s="3" t="inlineStr">
        <is>
          <t>Definite Integration</t>
        </is>
      </c>
      <c r="F65" s="2" t="n">
        <v>4</v>
      </c>
      <c r="G65" s="7" t="n">
        <v>1</v>
      </c>
      <c r="H65" s="7" t="inlineStr">
        <is>
          <t>JEE Main level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Period pi/2 reduces to (sin x+cos x)^2 on [0,pi/2]</t>
        </is>
      </c>
      <c r="N65" s="3" t="inlineStr">
        <is>
          <t>One familiar periodicity trick followed by a one-line integral. Equivalent to a king-property-style single move.</t>
        </is>
      </c>
      <c r="O65" s="3" t="inlineStr">
        <is>
          <t>2026-P2-Q4 (L1), 2021-P2-Q11 (L1)</t>
        </is>
      </c>
      <c r="P65" s="2" t="inlineStr">
        <is>
          <t>High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SCQ</t>
        </is>
      </c>
      <c r="E66" s="3" t="inlineStr">
        <is>
          <t>Definite Integration</t>
        </is>
      </c>
      <c r="F66" s="2" t="n">
        <v>4</v>
      </c>
      <c r="G66" s="4" t="n">
        <v>2</v>
      </c>
      <c r="H66" s="4" t="inlineStr">
        <is>
          <t>Easier than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a=-1 from one-sided limits; f is constant on unit intervals</t>
        </is>
      </c>
      <c r="N66" s="3" t="inlineStr">
        <is>
          <t>Needs the one-sided limits of two floor terms and then four unit-interval evaluations; routine multi-step with careful floor bookkeeping but no insight, with options.</t>
        </is>
      </c>
      <c r="O66" s="3" t="inlineStr">
        <is>
          <t>2021-P2-Q19 (L4), 2026-P2-Q3 (L2)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SCQ</t>
        </is>
      </c>
      <c r="E67" s="3" t="inlineStr">
        <is>
          <t>Definite Integration</t>
        </is>
      </c>
      <c r="F67" s="2" t="n">
        <v>4</v>
      </c>
      <c r="G67" s="6" t="n">
        <v>3</v>
      </c>
      <c r="H67" s="6" t="inlineStr">
        <is>
          <t>Average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Bound g(x)/x via concavity of g with g(0)=0 (monotone g/x)</t>
        </is>
      </c>
      <c r="N67" s="3" t="inlineStr">
        <is>
          <t>Bounding an integral needs the less-practised idea that g/x is monotone when g is concave with g(0)=0; the intended solution also hides an invalid step, so a careful student must check the options by actual bounds. Nearest anchor is the series-bound inequality statements (L3).</t>
        </is>
      </c>
      <c r="O67" s="3" t="inlineStr">
        <is>
          <t>2021-P2-Q16 (L3), 2023-P2-Q1 (L2)</t>
        </is>
      </c>
      <c r="P67" s="2" t="inlineStr">
        <is>
          <t>Medium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SCQ</t>
        </is>
      </c>
      <c r="E68" s="3" t="inlineStr">
        <is>
          <t>Definite Integration</t>
        </is>
      </c>
      <c r="F68" s="2" t="n">
        <v>4</v>
      </c>
      <c r="G68" s="4" t="n">
        <v>2</v>
      </c>
      <c r="H68" s="4" t="inlineStr">
        <is>
          <t>Easier than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Slopes of piecewise-linear f and trapezoid areas</t>
        </is>
      </c>
      <c r="N68" s="3" t="inlineStr">
        <is>
          <t>Two short statements, each a routine check (derivative of moduli, area of a polyline); needs both but neither needs an idea. Below the multi-correct statement anchors because it is single-correct.</t>
        </is>
      </c>
      <c r="O68" s="3" t="inlineStr">
        <is>
          <t>2021-P2-Q3 (L2), 2026-P2-Q3 (L2)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SCQ</t>
        </is>
      </c>
      <c r="E69" s="3" t="inlineStr">
        <is>
          <t>Definite Integration</t>
        </is>
      </c>
      <c r="F69" s="2" t="n">
        <v>4</v>
      </c>
      <c r="G69" s="4" t="n">
        <v>2</v>
      </c>
      <c r="H69" s="4" t="inlineStr">
        <is>
          <t>Easier than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Split at x=3/2; integrate [t] over unit intervals</t>
        </is>
      </c>
      <c r="N69" s="3" t="inlineStr">
        <is>
          <t>Modulus of a quadratic plus a shifted greatest-integer function; two independent routine computations summed, options available.</t>
        </is>
      </c>
      <c r="O69" s="3" t="inlineStr">
        <is>
          <t>2021-P2-Q19 (L4), 2024-P2-Q16 (L2)</t>
        </is>
      </c>
      <c r="P69" s="2" t="inlineStr">
        <is>
          <t>Medium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SCQ</t>
        </is>
      </c>
      <c r="E70" s="3" t="inlineStr">
        <is>
          <t>Definite Integration</t>
        </is>
      </c>
      <c r="F70" s="2" t="n">
        <v>4</v>
      </c>
      <c r="G70" s="4" t="n">
        <v>2</v>
      </c>
      <c r="H70" s="4" t="inlineStr">
        <is>
          <t>Easier than Advanced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By parts + t^2=(t^2+5)-5 gives the reduction formula; I_5'=(x^2+5)^-5</t>
        </is>
      </c>
      <c r="N70" s="3" t="inlineStr">
        <is>
          <t>Standard reduction-formula derivation (by parts, rewrite, rearrange) followed by recognising I_5' via FTC; long-ish but familiar chain with options. Rated 2 rather than 3 because the technique is heavily practised.</t>
        </is>
      </c>
      <c r="O70" s="3" t="inlineStr">
        <is>
          <t>2023-P2-Q1 (L2), 2026-P2-Q3 (L2)</t>
        </is>
      </c>
      <c r="P70" s="2" t="inlineStr">
        <is>
          <t>Medium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SCQ</t>
        </is>
      </c>
      <c r="E71" s="3" t="inlineStr">
        <is>
          <t>Definite Integration</t>
        </is>
      </c>
      <c r="F71" s="2" t="n">
        <v>4</v>
      </c>
      <c r="G71" s="7" t="n">
        <v>1</v>
      </c>
      <c r="H71" s="7" t="inlineStr">
        <is>
          <t>JEE Main level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t=tan(x/2) then complete the square</t>
        </is>
      </c>
      <c r="N71" s="3" t="inlineStr">
        <is>
          <t>One standard substitution leading to arctan; the tan(x/2) substitution is the single familiar move.</t>
        </is>
      </c>
      <c r="O71" s="3" t="inlineStr">
        <is>
          <t>2026-P2-Q4 (L1), 2024-P2-Q16 (L2)</t>
        </is>
      </c>
      <c r="P71" s="2" t="inlineStr">
        <is>
          <t>High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SCQ</t>
        </is>
      </c>
      <c r="E72" s="3" t="inlineStr">
        <is>
          <t>Definite Integration</t>
        </is>
      </c>
      <c r="F72" s="2" t="n">
        <v>4</v>
      </c>
      <c r="G72" s="4" t="n">
        <v>2</v>
      </c>
      <c r="H72" s="4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Reciprocal substitution $t\to1/t$ in $f(e^{-3})$, then add so the integrand collapses to $\ln t/t$.</t>
        </is>
      </c>
      <c r="N72" s="3" t="inlineStr">
        <is>
          <t>The reciprocal-substitution pairing $f(\alpha)+f(1/\alpha)$ is a well-practised Main trick, followed by two routine steps (log-derivative integral, base change). Single-correct with options. Comparable to 2026-P2-Q4 (king property, level 1) but with a longer chain, so 2.</t>
        </is>
      </c>
      <c r="O72" s="3" t="inlineStr">
        <is>
          <t>2026-P2-Q4 (1)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SCQ</t>
        </is>
      </c>
      <c r="E73" s="3" t="inlineStr">
        <is>
          <t>Definite Integration</t>
        </is>
      </c>
      <c r="F73" s="2" t="n">
        <v>4</v>
      </c>
      <c r="G73" s="6" t="n">
        <v>3</v>
      </c>
      <c r="H73" s="6" t="inlineStr">
        <is>
          <t>Average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Split $|3x^2-5x+2|$ at $x=2/3$ and locate integer-crossing points $\alpha,\beta$ of the quadratic (irrational roots).</t>
        </is>
      </c>
      <c r="N73" s="3" t="inlineStr">
        <is>
          <t>Greatest integer of a modulus quadratic needs two quadratic splits, four step regions, and irrational breakpoints; one slip changes the surds but options allow checking. Nearest 2021-P2-Q19 (greatest-integer integral, level 4, numerical with no options); with options this lands at 3.</t>
        </is>
      </c>
      <c r="O73" s="3" t="inlineStr">
        <is>
          <t>2021-P2-Q19 (4)</t>
        </is>
      </c>
      <c r="P73" s="2" t="inlineStr">
        <is>
          <t>Medium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Numerical</t>
        </is>
      </c>
      <c r="E74" s="3" t="inlineStr">
        <is>
          <t>Definite Integration</t>
        </is>
      </c>
      <c r="F74" s="2" t="n">
        <v>4</v>
      </c>
      <c r="G74" s="4" t="n">
        <v>2</v>
      </c>
      <c r="H74" s="4" t="inlineStr">
        <is>
          <t>Easier than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AP sum gives $k+1/2$ and the power-sum limit is $\int_0^1x^k=1/(k+1)$; solve the quadratic.</t>
        </is>
      </c>
      <c r="N74" s="3" t="inlineStr">
        <is>
          <t>Two standard limit evaluations and a quadratic: routine multi-step chain, no insight. Similar in demand to 2025-P1-Q11 (series/limit with integral, level 4) but much lighter, so 2.</t>
        </is>
      </c>
      <c r="O74" s="3" t="inlineStr">
        <is>
          <t>2025-P1-Q11 (4)</t>
        </is>
      </c>
      <c r="P74" s="2" t="inlineStr">
        <is>
          <t>Medium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Numerical</t>
        </is>
      </c>
      <c r="E75" s="3" t="inlineStr">
        <is>
          <t>Definite Integration</t>
        </is>
      </c>
      <c r="F75" s="2" t="n">
        <v>4</v>
      </c>
      <c r="G75" s="4" t="n">
        <v>2</v>
      </c>
      <c r="H75" s="4" t="inlineStr">
        <is>
          <t>Easier than Advanced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Differentiate (Leibniz) and put $x=0$: only $f'(0)=2/a$ survives.</t>
        </is>
      </c>
      <c r="N75" s="3" t="inlineStr">
        <is>
          <t>Short Leibniz-rule chain with an immediate evaluation at $0$; no ODE needs solving. Lighter than 2023-P2-Q1 (integral equation to linear DE, level 3), so 2.</t>
        </is>
      </c>
      <c r="O75" s="3" t="inlineStr">
        <is>
          <t>2023-P2-Q1 (3)</t>
        </is>
      </c>
      <c r="P75" s="2" t="inlineStr">
        <is>
          <t>High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Numerical</t>
        </is>
      </c>
      <c r="E76" s="3" t="inlineStr">
        <is>
          <t>Definite Integration</t>
        </is>
      </c>
      <c r="F76" s="2" t="n">
        <v>4</v>
      </c>
      <c r="G76" s="6" t="n">
        <v>3</v>
      </c>
      <c r="H76" s="6" t="inlineStr">
        <is>
          <t>Average Advanced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Integrate term by term to $\sum(n^k+(-1)^{k+1})/k^2$, check $n=1..4$ and bound $n\ge5$.</t>
        </is>
      </c>
      <c r="N76" s="3" t="inlineStr">
        <is>
          <t>Numerical with exact arithmetic of fractions where one slip changes membership of the set, plus a tail bound. Moderate precision risk but no hidden idea. Placed near 2024-P2-Q13 (4, integer answer with careful case checks) but easier, so 3.</t>
        </is>
      </c>
      <c r="O76" s="3" t="inlineStr">
        <is>
          <t>2024-P2-Q13 (4)</t>
        </is>
      </c>
      <c r="P76" s="2" t="inlineStr">
        <is>
          <t>Low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Numerical</t>
        </is>
      </c>
      <c r="E77" s="3" t="inlineStr">
        <is>
          <t>Definite Integration</t>
        </is>
      </c>
      <c r="F77" s="2" t="n">
        <v>4</v>
      </c>
      <c r="G77" s="6" t="n">
        <v>3</v>
      </c>
      <c r="H77" s="6" t="inlineStr">
        <is>
          <t>Average Advanced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By parts then $x^n=1-(1-x^n)$ to get $I_1/I_2=(2n^2+n+1)/(n(2n+1))$.</t>
        </is>
      </c>
      <c r="N77" s="3" t="inlineStr">
        <is>
          <t>The reduction trick is known (like the Beta/reduction patterns) but needs the $x^n=1-(1-x^n)$ rewrite and a parameter solved from a quadratic; no options. Comparable to 2024-P2-Q16 (king property, level 3).</t>
        </is>
      </c>
      <c r="O77" s="3" t="inlineStr">
        <is>
          <t>2024-P2-Q16 (3)</t>
        </is>
      </c>
      <c r="P77" s="2" t="inlineStr">
        <is>
          <t>Medium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Numerical</t>
        </is>
      </c>
      <c r="E78" s="3" t="inlineStr">
        <is>
          <t>Definite Integration</t>
        </is>
      </c>
      <c r="F78" s="2" t="n">
        <v>4</v>
      </c>
      <c r="G78" s="4" t="n">
        <v>2</v>
      </c>
      <c r="H78" s="4" t="inlineStr">
        <is>
          <t>Easier than Advanced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$\min[x-k]=[x]-10$, so $f$ is a unit-step staircase; sum of integers and squares.</t>
        </is>
      </c>
      <c r="N78" s="3" t="inlineStr">
        <is>
          <t>One simplification of the minimum then routine sums; no insight needed. Greatest-integer integral but with integer breakpoints, far easier than 2021-P2-Q19 (4). Level 2.</t>
        </is>
      </c>
      <c r="O78" s="3" t="inlineStr">
        <is>
          <t>2021-P2-Q19 (4)</t>
        </is>
      </c>
      <c r="P78" s="2" t="inlineStr">
        <is>
          <t>Medium</t>
        </is>
      </c>
    </row>
    <row r="79">
      <c r="A79" s="2" t="n">
        <v>78</v>
      </c>
      <c r="B79" s="2" t="inlineStr"/>
      <c r="C79" s="2" t="inlineStr">
        <is>
          <t>Q78</t>
        </is>
      </c>
      <c r="D79" s="2" t="inlineStr">
        <is>
          <t>Numerical</t>
        </is>
      </c>
      <c r="E79" s="3" t="inlineStr">
        <is>
          <t>Definite Integration</t>
        </is>
      </c>
      <c r="F79" s="2" t="n">
        <v>4</v>
      </c>
      <c r="G79" s="6" t="n">
        <v>3</v>
      </c>
      <c r="H79" s="6" t="inlineStr">
        <is>
          <t>Average Advanced</t>
        </is>
      </c>
      <c r="I79" s="5" t="n">
        <v>0</v>
      </c>
      <c r="J79" s="5" t="n">
        <v>0</v>
      </c>
      <c r="K79" s="5">
        <f>MIN(5,MAX(G79+I79,J79))</f>
        <v/>
      </c>
      <c r="L79" s="5">
        <f>F79*K79</f>
        <v/>
      </c>
      <c r="M79" s="3" t="inlineStr">
        <is>
          <t>Substitute $t=\lambda^2x/3$ to get $\sqrt xf=\int_0^xf/\sqrt t$, then differentiate to $f'/f=1/(2x)$.</t>
        </is>
      </c>
      <c r="N79" s="3" t="inlineStr">
        <is>
          <t>A scaled-argument integral equation needs a non-obvious substitution then a separable ODE and constant fit; chain of four stages. Matches 2023-P2-Q1 (integral equation to DE, level 3).</t>
        </is>
      </c>
      <c r="O79" s="3" t="inlineStr">
        <is>
          <t>2023-P2-Q1 (3)</t>
        </is>
      </c>
      <c r="P79" s="2" t="inlineStr">
        <is>
          <t>Medium</t>
        </is>
      </c>
    </row>
    <row r="80">
      <c r="A80" s="2" t="n">
        <v>79</v>
      </c>
      <c r="B80" s="2" t="inlineStr"/>
      <c r="C80" s="2" t="inlineStr">
        <is>
          <t>Q79</t>
        </is>
      </c>
      <c r="D80" s="2" t="inlineStr">
        <is>
          <t>Numerical</t>
        </is>
      </c>
      <c r="E80" s="3" t="inlineStr">
        <is>
          <t>Definite Integration</t>
        </is>
      </c>
      <c r="F80" s="2" t="n">
        <v>4</v>
      </c>
      <c r="G80" s="4" t="n">
        <v>2</v>
      </c>
      <c r="H80" s="4" t="inlineStr">
        <is>
          <t>Easier than Advanced</t>
        </is>
      </c>
      <c r="I80" s="5" t="n">
        <v>0</v>
      </c>
      <c r="J80" s="5" t="n">
        <v>0</v>
      </c>
      <c r="K80" s="5">
        <f>MIN(5,MAX(G80+I80,J80))</f>
        <v/>
      </c>
      <c r="L80" s="5">
        <f>F80*K80</f>
        <v/>
      </c>
      <c r="M80" s="3" t="inlineStr">
        <is>
          <t>Two successive substitutions ($t=\sqrt{1+x^2}$, $1+t=u^2$) making the integrand a polynomial; surd arithmetic.</t>
        </is>
      </c>
      <c r="N80" s="3" t="inlineStr">
        <is>
          <t>Both substitutions are standard; the effort is algebraic with surds, where slips are likely but no new idea is required. Routine chain: level 2.</t>
        </is>
      </c>
      <c r="O80" s="3" t="inlineStr">
        <is>
          <t>2021-P2-Q11 (2)</t>
        </is>
      </c>
      <c r="P80" s="2" t="inlineStr">
        <is>
          <t>Medium</t>
        </is>
      </c>
    </row>
    <row r="81">
      <c r="A81" s="2" t="n">
        <v>80</v>
      </c>
      <c r="B81" s="2" t="inlineStr"/>
      <c r="C81" s="2" t="inlineStr">
        <is>
          <t>Q80</t>
        </is>
      </c>
      <c r="D81" s="2" t="inlineStr">
        <is>
          <t>Numerical</t>
        </is>
      </c>
      <c r="E81" s="3" t="inlineStr">
        <is>
          <t>Definite Integration</t>
        </is>
      </c>
      <c r="F81" s="2" t="n">
        <v>4</v>
      </c>
      <c r="G81" s="7" t="n">
        <v>1</v>
      </c>
      <c r="H81" s="7" t="inlineStr">
        <is>
          <t>JEE Main level</t>
        </is>
      </c>
      <c r="I81" s="5" t="n">
        <v>0</v>
      </c>
      <c r="J81" s="5" t="n">
        <v>0</v>
      </c>
      <c r="K81" s="5">
        <f>MIN(5,MAX(G81+I81,J81))</f>
        <v/>
      </c>
      <c r="L81" s="5">
        <f>F81*K81</f>
        <v/>
      </c>
      <c r="M81" s="3" t="inlineStr">
        <is>
          <t>Telescope $\sin6x$ into $2\cos(\cdot)\sin x$ terms.</t>
        </is>
      </c>
      <c r="N81" s="3" t="inlineStr">
        <is>
          <t>One familiar identity ($\sin(2m x)/\sin x$ as a sum of cosines) then direct integration. Like 2026-P2-Q4 (king property, level 1): a single well-known move.</t>
        </is>
      </c>
      <c r="O81" s="3" t="inlineStr">
        <is>
          <t>2026-P2-Q4 (1)</t>
        </is>
      </c>
      <c r="P81" s="2" t="inlineStr">
        <is>
          <t>High</t>
        </is>
      </c>
    </row>
    <row r="83">
      <c r="A8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XII_SHEET_INTEGRATION_FCopy_JM.pdf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COUNTIF(Evaluation!$G$2:$G$81,A5)</f>
        <v/>
      </c>
      <c r="D5" s="10">
        <f>SUMIF(Evaluation!$G$2:$G$81,A5,Evaluation!$F$2:$F$81)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COUNTIF(Evaluation!$G$2:$G$81,A6)</f>
        <v/>
      </c>
      <c r="D6" s="12">
        <f>SUMIF(Evaluation!$G$2:$G$81,A6,Evaluation!$F$2:$F$81)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COUNTIF(Evaluation!$G$2:$G$81,A7)</f>
        <v/>
      </c>
      <c r="D7" s="14">
        <f>SUMIF(Evaluation!$G$2:$G$81,A7,Evaluation!$F$2:$F$81)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COUNTIF(Evaluation!$G$2:$G$81,A8)</f>
        <v/>
      </c>
      <c r="D8" s="16">
        <f>SUMIF(Evaluation!$G$2:$G$81,A8,Evaluation!$F$2:$F$81)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COUNTIF(Evaluation!$G$2:$G$81,A9)</f>
        <v/>
      </c>
      <c r="D9" s="18">
        <f>SUMIF(Evaluation!$G$2:$G$81,A9,Evaluation!$F$2:$F$81)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COUNTIF(Evaluation!$G$2:$G$81,A10)</f>
        <v/>
      </c>
      <c r="D10" s="20">
        <f>SUMIF(Evaluation!$G$2:$G$81,A10,Evaluation!$F$2:$F$81)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SUM(Evaluation!$L$2:$L$81)/SUM(Evaluation!$F$2:$F$81)</f>
        <v/>
      </c>
      <c r="C14" s="23">
        <f>SUMPRODUCT(Evaluation!$F$2:$F$81,Evaluation!$G$2:$G$81)/SUM(Evaluation!$F$2:$F$81)</f>
        <v/>
      </c>
      <c r="D14" s="22">
        <f>SUM(Evaluation!$F$2:$F$81)</f>
        <v/>
      </c>
      <c r="E14" s="23">
        <f>AVERAGE(Evaluation!$G$2:$G$81)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2026-10-15T16:09:00Z</dcterms:created>
  <dcterms:modified xmlns:dcterms="http://purl.org/dc/terms/" xmlns:xsi="http://www.w3.org/2001/XMLSchema-instance" xsi:type="dcterms:W3CDTF">2026-10-15T16:09:00Z</dcterms:modified>
</cp:coreProperties>
</file>