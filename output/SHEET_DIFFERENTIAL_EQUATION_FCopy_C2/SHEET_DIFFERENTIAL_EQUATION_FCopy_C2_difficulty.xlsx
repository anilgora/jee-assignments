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Differential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y^2+2=v makes the equation linear; three-fold parts for the integral.</t>
        </is>
      </c>
      <c r="N2" s="3" t="inlineStr">
        <is>
          <t>Routine substitution then a standard linear equation with a cubic times exponential integral; no insight, several steps. Same kind as 2026-P2-Q3 (L2).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Differential Equation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Factorise the quadratic in dy/dx.</t>
        </is>
      </c>
      <c r="N3" s="3" t="inlineStr">
        <is>
          <t>One familiar move: sum and product of roots are visible; two trivial integrations.</t>
        </is>
      </c>
      <c r="O3" s="3" t="inlineStr">
        <is>
          <t>2024-P1-Q1 (L2) - easier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Differential Equation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t=y^2 gives a linear equation; partial fractions.</t>
        </is>
      </c>
      <c r="N4" s="3" t="inlineStr">
        <is>
          <t>Hidden linear DE after t=y^2, an integrating factor and a short integral; routine chain.</t>
        </is>
      </c>
      <c r="O4" s="3" t="inlineStr">
        <is>
          <t>2023-P2-Q9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Differential Equation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t=xy separates the variables.</t>
        </is>
      </c>
      <c r="N5" s="3" t="inlineStr">
        <is>
          <t>Familiar substitution xy=t; one separation and an arctan integral.</t>
        </is>
      </c>
      <c r="O5" s="3" t="inlineStr">
        <is>
          <t>2025-P2-Q9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Differential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Treat x as dependent variable and put x^2=t.</t>
        </is>
      </c>
      <c r="N6" s="3" t="inlineStr">
        <is>
          <t>Swap of variables then linear equation; coaching-standard but a little less obvious than Q1/Q3.</t>
        </is>
      </c>
      <c r="O6" s="3" t="inlineStr">
        <is>
          <t>2023-P2-Q9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Differential Equation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Linear equation with substitution sin x - x = t; boundedness kills the constant.</t>
        </is>
      </c>
      <c r="N7" s="3" t="inlineStr">
        <is>
          <t>Linear equation, one substitution and a boundedness argument; routine.</t>
        </is>
      </c>
      <c r="O7" s="3" t="inlineStr">
        <is>
          <t>2023-P2-Q9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Differential Equation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Tangent intercept on the y-axis gives dy/dx; trigonometric substitution for the integral.</t>
        </is>
      </c>
      <c r="N8" s="3" t="inlineStr">
        <is>
          <t>Geometry set-up, a non-trivial integral (cosec - sin) and back-substitution; numerical/subjective format with no options adds precision risk.</t>
        </is>
      </c>
      <c r="O8" s="3" t="inlineStr">
        <is>
          <t>2025-P2-Q9 (L2) plus a longer set-up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Differential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d(xy) and d(arctan(y/x)).</t>
        </is>
      </c>
      <c r="N9" s="3" t="inlineStr">
        <is>
          <t>Two standard exact differentials; short but needs recognition of arctan differential.</t>
        </is>
      </c>
      <c r="O9" s="3" t="inlineStr">
        <is>
          <t>2025-P1-Q13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Differential Equation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Quotient differential d(y/(x-y)) hidden in the left side.</t>
        </is>
      </c>
      <c r="N10" s="3" t="inlineStr">
        <is>
          <t>Hidden exact differential with an unusual denominator; sign handling matters (the printed key itself is wrong).</t>
        </is>
      </c>
      <c r="O10" s="3" t="inlineStr">
        <is>
          <t>2021-P2-Q4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Differential Equation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Normal x-intercept formula and midpoint on parabola; linear equation in y^2.</t>
        </is>
      </c>
      <c r="N11" s="3" t="inlineStr">
        <is>
          <t>Modelling step with two constructions plus a linear DE with x e^{-2x} integral; one slip changes the curve.</t>
        </is>
      </c>
      <c r="O11" s="3" t="inlineStr">
        <is>
          <t>2021-P2-Q4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Differential Equation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Convolution rewrite and two differentiations to a linear DE; f(0) from the original equation.</t>
        </is>
      </c>
      <c r="N12" s="3" t="inlineStr">
        <is>
          <t>Idea of rewriting t f(x-t) as (x-t) f(t) is less common; chain of three stages.</t>
        </is>
      </c>
      <c r="O12" s="3" t="inlineStr">
        <is>
          <t>2024-P1-Q1 (L2) with an extra stage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Differential Equation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Equal x-intercepts of two tangents give g'/g = g''/g'.</t>
        </is>
      </c>
      <c r="N13" s="3" t="inlineStr">
        <is>
          <t>Modelling with an integral-defined second curve, then second-order log-derivative trick; two initial conditions.</t>
        </is>
      </c>
      <c r="O13" s="3" t="inlineStr">
        <is>
          <t>2021-P2-Q4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Differential Equation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Take x as the function of y, substitutions z=ln y and v=1/x.</t>
        </is>
      </c>
      <c r="N14" s="3" t="inlineStr">
        <is>
          <t>Two successive substitutions (Bernoulli then linear); idea of inverting variables is familiar but the chain is long.</t>
        </is>
      </c>
      <c r="O14" s="3" t="inlineStr">
        <is>
          <t>2021-P2-Q4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Differential Equation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y-axis bisects the tangent segment so Q=(-x,0); y'=y/(2x).</t>
        </is>
      </c>
      <c r="N15" s="3" t="inlineStr">
        <is>
          <t>Short modelling then a separable equation.</t>
        </is>
      </c>
      <c r="O15" s="3" t="inlineStr">
        <is>
          <t>2024-P1-Q1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Differential Equation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Subtangent and subnormal definitions reduce the condition to (y-xy')^2=xy; homogeneous.</t>
        </is>
      </c>
      <c r="N16" s="3" t="inlineStr">
        <is>
          <t>Needs correct subtangent/subnormal formulas, a square root and a homogeneous substitution; two families.</t>
        </is>
      </c>
      <c r="O16" s="3" t="inlineStr">
        <is>
          <t>2021-P2-Q4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Differential Equation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Both decays are exponential; ratio gives e^{k2-k1}=3/4.</t>
        </is>
      </c>
      <c r="N17" s="3" t="inlineStr">
        <is>
          <t>Setting up two decay equations and solving; routine.</t>
        </is>
      </c>
      <c r="O17" s="3" t="inlineStr">
        <is>
          <t>2025-P1-Q13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Differential Equation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dm/dt = inflow - m/(50+t).</t>
        </is>
      </c>
      <c r="N18" s="3" t="inlineStr">
        <is>
          <t>Standard mixture problem with a linear equation; routine.</t>
        </is>
      </c>
      <c r="O18" s="3" t="inlineStr">
        <is>
          <t>2023-P2-Q9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Differential Equation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y-intercept y - x y' = k x^3 gives a linear equation.</t>
        </is>
      </c>
      <c r="N19" s="3" t="inlineStr">
        <is>
          <t>Short modelling and a linear equation.</t>
        </is>
      </c>
      <c r="O19" s="3" t="inlineStr">
        <is>
          <t>2024-P1-Q1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Differential Equation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Linear equation with I.F. 1/(1+x^2); reduce (x^4-1)/(x^2+1)^2.</t>
        </is>
      </c>
      <c r="N20" s="3" t="inlineStr">
        <is>
          <t>Routine linear DE with a simple rational integral.</t>
        </is>
      </c>
      <c r="O20" s="3" t="inlineStr">
        <is>
          <t>2023-P2-Q9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Differential Equation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Cone geometry gives V = (pi/3) r^3 cot(theta); dV/dt = -k pi r^2.</t>
        </is>
      </c>
      <c r="N21" s="3" t="inlineStr">
        <is>
          <t>Related-rates geometry plus a separable equation; the shortcut dV=S dh is an insight.</t>
        </is>
      </c>
      <c r="O21" s="3" t="inlineStr">
        <is>
          <t>2025-P2-Q9 (L2) plus geometry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Differential Equation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Multiply P'-P&gt;0 by e^{-x}.</t>
        </is>
      </c>
      <c r="N22" s="3" t="inlineStr">
        <is>
          <t>One familiar trick (integrating factor in an inequality); short proof.</t>
        </is>
      </c>
      <c r="O22" s="3" t="inlineStr">
        <is>
          <t>2024-P1-Q1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INT</t>
        </is>
      </c>
      <c r="E23" s="3" t="inlineStr">
        <is>
          <t>Differential Equation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t=x+1+h converts the limit into the derivative; leads to f'(x^2+1)=2xf.</t>
        </is>
      </c>
      <c r="N23" s="3" t="inlineStr">
        <is>
          <t>Limit-to-DE step is the key (same kind as 2024-P1-Q1 which was L2) but here the limit is messier and an extra limit evaluation follows.</t>
        </is>
      </c>
      <c r="O23" s="3" t="inlineStr">
        <is>
          <t>2024-P1-Q1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INT</t>
        </is>
      </c>
      <c r="E24" s="3" t="inlineStr">
        <is>
          <t>Differential Equation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Only two independent constants A, B; eliminate.</t>
        </is>
      </c>
      <c r="N24" s="3" t="inlineStr">
        <is>
          <t>Family of curves elimination, routine differentiation twice.</t>
        </is>
      </c>
      <c r="O24" s="3" t="inlineStr">
        <is>
          <t>2024-P1-Q1 (L2)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INT</t>
        </is>
      </c>
      <c r="E25" s="3" t="inlineStr">
        <is>
          <t>Differential Equation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Separate and split 1/(y(1+y)).</t>
        </is>
      </c>
      <c r="N25" s="3" t="inlineStr">
        <is>
          <t>Routine separable equation with a partial fraction and evaluation.</t>
        </is>
      </c>
      <c r="O25" s="3" t="inlineStr">
        <is>
          <t>2026-P2-Q3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Differential Equation</t>
        </is>
      </c>
      <c r="F26" s="2" t="n">
        <v>3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Differentiate the functional equation from first principles to get g'=g+2e^x.</t>
        </is>
      </c>
      <c r="N26" s="3" t="inlineStr">
        <is>
          <t>Functional equation to DE needs the first-principles step; then a linear equation.</t>
        </is>
      </c>
      <c r="O26" s="3" t="inlineStr">
        <is>
          <t>2024-P1-Q1 (L2) with functional-equation idea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Differential Equation</t>
        </is>
      </c>
      <c r="F27" s="2" t="n">
        <v>3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g'(x)=2e^x(1+x) has one root, minimum -2/e.</t>
        </is>
      </c>
      <c r="N27" s="3" t="inlineStr">
        <is>
          <t>Standard calculus on a given function, but needs Q25 first.</t>
        </is>
      </c>
      <c r="O27" s="3" t="inlineStr">
        <is>
          <t>2026-P2-Q8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Differential Equation</t>
        </is>
      </c>
      <c r="F28" s="2" t="n">
        <v>3</v>
      </c>
      <c r="G28" s="6" t="n">
        <v>1</v>
      </c>
      <c r="H28" s="6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x e^x -&gt; 0 as x -&gt; -infinity.</t>
        </is>
      </c>
      <c r="N28" s="3" t="inlineStr">
        <is>
          <t>One standard limit.</t>
        </is>
      </c>
      <c r="O28" s="3" t="inlineStr">
        <is>
          <t>2024-P2-Q3 (L3) - easier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Para SCQ</t>
        </is>
      </c>
      <c r="E29" s="3" t="inlineStr">
        <is>
          <t>Differential Equation</t>
        </is>
      </c>
      <c r="F29" s="2" t="n">
        <v>3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Leibniz rule gives f'-f=1/x-ln x; e^{-x} ln x is exact.</t>
        </is>
      </c>
      <c r="N29" s="3" t="inlineStr">
        <is>
          <t>Integral equation to linear DE plus an improper definite integral; needs spotting the exact form.</t>
        </is>
      </c>
      <c r="O29" s="3" t="inlineStr">
        <is>
          <t>2024-P1-Q1 (L2) with extra stages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Para SCQ</t>
        </is>
      </c>
      <c r="E30" s="3" t="inlineStr">
        <is>
          <t>Differential Equation</t>
        </is>
      </c>
      <c r="F30" s="2" t="n">
        <v>3</v>
      </c>
      <c r="G30" s="6" t="n">
        <v>1</v>
      </c>
      <c r="H30" s="6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Normal slope at (1,e) and x-intercept.</t>
        </is>
      </c>
      <c r="N30" s="3" t="inlineStr">
        <is>
          <t>One familiar move once f is known.</t>
        </is>
      </c>
      <c r="O30" s="3" t="inlineStr">
        <is>
          <t>2024-P1-Q15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Para SCQ</t>
        </is>
      </c>
      <c r="E31" s="3" t="inlineStr">
        <is>
          <t>Differential Equation</t>
        </is>
      </c>
      <c r="F31" s="2" t="n">
        <v>3</v>
      </c>
      <c r="G31" s="6" t="n">
        <v>1</v>
      </c>
      <c r="H31" s="6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f' = 1/x + e^x &gt; 0 so no extrema.</t>
        </is>
      </c>
      <c r="N31" s="3" t="inlineStr">
        <is>
          <t>One observation once f is known.</t>
        </is>
      </c>
      <c r="O31" s="3" t="inlineStr">
        <is>
          <t>2024-P2-Q10 (L4) - far easier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Differential Equation</t>
        </is>
      </c>
      <c r="F32" s="2" t="n">
        <v>3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Each DE needs a different technique; (C) needs order reduction.</t>
        </is>
      </c>
      <c r="N32" s="3" t="inlineStr">
        <is>
          <t>Four separate solves; (C) is a third-order non-linear equation requiring order reduction or the inverse-function trick. Matching format allows elimination.</t>
        </is>
      </c>
      <c r="O32" s="3" t="inlineStr">
        <is>
          <t>2026-P1-Q15 (L4) matching with unusual idea - easier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MTC SCQ</t>
        </is>
      </c>
      <c r="E33" s="3" t="inlineStr">
        <is>
          <t>Differential Equation</t>
        </is>
      </c>
      <c r="F33" s="2" t="n">
        <v>3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Four independent short checks: domain, symmetry, local maxima, monotonic interval.</t>
        </is>
      </c>
      <c r="N33" s="3" t="inlineStr">
        <is>
          <t>Each part is routine (L1-2) but five-way matching with intervals demands care; one slip changes the sets.</t>
        </is>
      </c>
      <c r="O33" s="3" t="inlineStr">
        <is>
          <t>2021-P2-Q6 (L1) per part, 2023-P1-Q15 (L0) format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MTC SCQ</t>
        </is>
      </c>
      <c r="E34" s="3" t="inlineStr">
        <is>
          <t>Differential Equation</t>
        </is>
      </c>
      <c r="F34" s="2" t="n">
        <v>3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Count roots by monotonicity, planes determinant, modulus table, linear DE.</t>
        </is>
      </c>
      <c r="N34" s="3" t="inlineStr">
        <is>
          <t>Four unrelated routine parts; matching with multiple answers and no options to check.</t>
        </is>
      </c>
      <c r="O34" s="3" t="inlineStr">
        <is>
          <t>2024-P1-Q16 (L0) format, 2021-P2-Q11 per part</t>
        </is>
      </c>
      <c r="P34" s="2" t="inlineStr">
        <is>
          <t>Medium</t>
        </is>
      </c>
    </row>
    <row r="36">
      <c r="A3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SHEET_DIFFERENTIAL_EQUATION_FCopy_C2.pdf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COUNTIF(Evaluation!$G$2:$G$34,A5)</f>
        <v/>
      </c>
      <c r="D5" s="10">
        <f>SUMIF(Evaluation!$G$2:$G$34,A5,Evaluation!$F$2:$F$34)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COUNTIF(Evaluation!$G$2:$G$34,A6)</f>
        <v/>
      </c>
      <c r="D6" s="12">
        <f>SUMIF(Evaluation!$G$2:$G$34,A6,Evaluation!$F$2:$F$34)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COUNTIF(Evaluation!$G$2:$G$34,A7)</f>
        <v/>
      </c>
      <c r="D7" s="14">
        <f>SUMIF(Evaluation!$G$2:$G$34,A7,Evaluation!$F$2:$F$34)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COUNTIF(Evaluation!$G$2:$G$34,A8)</f>
        <v/>
      </c>
      <c r="D8" s="16">
        <f>SUMIF(Evaluation!$G$2:$G$34,A8,Evaluation!$F$2:$F$34)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COUNTIF(Evaluation!$G$2:$G$34,A9)</f>
        <v/>
      </c>
      <c r="D9" s="18">
        <f>SUMIF(Evaluation!$G$2:$G$34,A9,Evaluation!$F$2:$F$34)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COUNTIF(Evaluation!$G$2:$G$34,A10)</f>
        <v/>
      </c>
      <c r="D10" s="20">
        <f>SUMIF(Evaluation!$G$2:$G$34,A10,Evaluation!$F$2:$F$34)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SUM(Evaluation!$L$2:$L$34)/SUM(Evaluation!$F$2:$F$34)</f>
        <v/>
      </c>
      <c r="C14" s="23">
        <f>SUMPRODUCT(Evaluation!$F$2:$F$34,Evaluation!$G$2:$G$34)/SUM(Evaluation!$F$2:$F$34)</f>
        <v/>
      </c>
      <c r="D14" s="22">
        <f>SUM(Evaluation!$F$2:$F$34)</f>
        <v/>
      </c>
      <c r="E14" s="23">
        <f>AVERAGE(Evaluation!$G$2:$G$34)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2026-10-14T08:35:58Z</dcterms:created>
  <dcterms:modified xmlns:dcterms="http://purl.org/dc/terms/" xmlns:xsi="http://www.w3.org/2001/XMLSchema-instance" xsi:type="dcterms:W3CDTF">2026-10-14T08:35:58Z</dcterms:modified>
</cp:coreProperties>
</file>