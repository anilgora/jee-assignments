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Q41</t>
        </is>
      </c>
      <c r="D2" s="2" t="inlineStr">
        <is>
          <t>SCQ</t>
        </is>
      </c>
      <c r="E2" s="3" t="inlineStr">
        <is>
          <t>Function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Count D (4), C (13) then 13P4.</t>
        </is>
      </c>
      <c r="N2" s="3" t="inlineStr">
        <is>
          <t>Four-point intersection plus 13 lattice points then 13P4; routine chain of three counts.</t>
        </is>
      </c>
      <c r="O2" s="3" t="inlineStr">
        <is>
          <t>2026-P2-Q10 (L4) is a heavier injection count; this is a plain chain =&gt; L2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Q42</t>
        </is>
      </c>
      <c r="D3" s="2" t="inlineStr">
        <is>
          <t>SCQ</t>
        </is>
      </c>
      <c r="E3" s="3" t="inlineStr">
        <is>
          <t>Function</t>
        </is>
      </c>
      <c r="F3" s="2" t="n">
        <v>4</v>
      </c>
      <c r="G3" s="6" t="n">
        <v>1</v>
      </c>
      <c r="H3" s="6" t="inlineStr">
        <is>
          <t>JEE Main level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4^4-4!-3^4.</t>
        </is>
      </c>
      <c r="N3" s="3" t="inlineStr">
        <is>
          <t>Single standard count: total minus functions missing 1 minus bijections.</t>
        </is>
      </c>
      <c r="O3" s="3" t="inlineStr">
        <is>
          <t>2023-P1-Q1 (L4) is far richer; here one familiar move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Q43</t>
        </is>
      </c>
      <c r="D4" s="2" t="inlineStr">
        <is>
          <t>SCQ</t>
        </is>
      </c>
      <c r="E4" s="3" t="inlineStr">
        <is>
          <t>Function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cos x cos(60-x) cos(60+x)=cos3x/4, then 6+sin12x.</t>
        </is>
      </c>
      <c r="N4" s="3" t="inlineStr">
        <is>
          <t>Triple-angle product identity then a range and a distance; routine chain of standard results.</t>
        </is>
      </c>
      <c r="O4" s="3" t="inlineStr">
        <is>
          <t>2026-P1-Q12 (L3) needs a hidden telescoping; this is a known identity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Q44</t>
        </is>
      </c>
      <c r="D5" s="2" t="inlineStr">
        <is>
          <t>SCQ</t>
        </is>
      </c>
      <c r="E5" s="3" t="inlineStr">
        <is>
          <t>Function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Simplify to 2/(2^x+4), pair k with 60-k.</t>
        </is>
      </c>
      <c r="N5" s="3" t="inlineStr">
        <is>
          <t>Needs the f(x)+f(4-x)=1/2 pairing after simplifying the denominator to a square; standard JEE Main pattern.</t>
        </is>
      </c>
      <c r="O5" s="3" t="inlineStr">
        <is>
          <t>2025-P2-Q15 (L3) telescoping sum; this pairing is better known =&gt; L2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Q45</t>
        </is>
      </c>
      <c r="D6" s="2" t="inlineStr">
        <is>
          <t>SCQ</t>
        </is>
      </c>
      <c r="E6" s="3" t="inlineStr">
        <is>
          <t>Function</t>
        </is>
      </c>
      <c r="F6" s="2" t="n">
        <v>4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Switch point x=1/2; solve on each side.</t>
        </is>
      </c>
      <c r="N6" s="3" t="inlineStr">
        <is>
          <t>Case work on a min of two moduli against a parabola; several routine checks.</t>
        </is>
      </c>
      <c r="O6" s="3" t="inlineStr">
        <is>
          <t>2026-P1-Q10 (L3) heavier casework; this is two-piece =&gt; L2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Q46</t>
        </is>
      </c>
      <c r="D7" s="2" t="inlineStr">
        <is>
          <t>SCQ</t>
        </is>
      </c>
      <c r="E7" s="3" t="inlineStr">
        <is>
          <t>Function</t>
        </is>
      </c>
      <c r="F7" s="2" t="n">
        <v>4</v>
      </c>
      <c r="G7" s="6" t="n">
        <v>1</v>
      </c>
      <c r="H7" s="6" t="inlineStr">
        <is>
          <t>JEE Main level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Range (-1,1) is not (-inf,1).</t>
        </is>
      </c>
      <c r="N7" s="3" t="inlineStr">
        <is>
          <t>Rewrite as 1-2/(2^{2x}+1); monotone with range (-1,1).</t>
        </is>
      </c>
      <c r="O7" s="3" t="inlineStr">
        <is>
          <t>One-trick level, like 2024-P2-Q3 (L1)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Q47</t>
        </is>
      </c>
      <c r="D8" s="2" t="inlineStr">
        <is>
          <t>SCQ</t>
        </is>
      </c>
      <c r="E8" s="3" t="inlineStr">
        <is>
          <t>Function</t>
        </is>
      </c>
      <c r="F8" s="2" t="n">
        <v>4</v>
      </c>
      <c r="G8" s="6" t="n">
        <v>1</v>
      </c>
      <c r="H8" s="6" t="inlineStr">
        <is>
          <t>JEE Main level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f(x)+f(1-x)=1.</t>
        </is>
      </c>
      <c r="N8" s="3" t="inlineStr">
        <is>
          <t>Single standard pairing f(x)+f(1-x)=1.</t>
        </is>
      </c>
      <c r="O8" s="3" t="inlineStr">
        <is>
          <t>Same one-move level as 2024-P2-Q3 (L1)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Q48</t>
        </is>
      </c>
      <c r="D9" s="2" t="inlineStr">
        <is>
          <t>SCQ</t>
        </is>
      </c>
      <c r="E9" s="3" t="inlineStr">
        <is>
          <t>Function</t>
        </is>
      </c>
      <c r="F9" s="2" t="n">
        <v>4</v>
      </c>
      <c r="G9" s="4" t="n">
        <v>2</v>
      </c>
      <c r="H9" s="4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(f-1)(f(1/x)-1)=1 gives f=1-x^2.</t>
        </is>
      </c>
      <c r="N9" s="3" t="inlineStr">
        <is>
          <t>Needs to identify f=1-x^2 from the functional equation (not stated in the PDF), then a quadratic.</t>
        </is>
      </c>
      <c r="O9" s="3" t="inlineStr">
        <is>
          <t>2025-P1-Q12 (L4) is a harder functional equation; this is a known pattern =&gt; L2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Q49</t>
        </is>
      </c>
      <c r="D10" s="2" t="inlineStr">
        <is>
          <t>SCQ</t>
        </is>
      </c>
      <c r="E10" s="3" t="inlineStr">
        <is>
          <t>Function</t>
        </is>
      </c>
      <c r="F10" s="2" t="n">
        <v>4</v>
      </c>
      <c r="G10" s="4" t="n">
        <v>2</v>
      </c>
      <c r="H10" s="4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A=[7,35], B=[0,1).</t>
        </is>
      </c>
      <c r="N10" s="3" t="inlineStr">
        <is>
          <t>Cubic range by derivative, then integer count; two routine parts.</t>
        </is>
      </c>
      <c r="O10" s="3" t="inlineStr">
        <is>
          <t>2025-P2-Q14 (L3) is heavier; routine chain =&gt; L2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Q50</t>
        </is>
      </c>
      <c r="D11" s="2" t="inlineStr">
        <is>
          <t>SCQ</t>
        </is>
      </c>
      <c r="E11" s="3" t="inlineStr">
        <is>
          <t>Function</t>
        </is>
      </c>
      <c r="F11" s="2" t="n">
        <v>4</v>
      </c>
      <c r="G11" s="6" t="n">
        <v>1</v>
      </c>
      <c r="H11" s="6" t="inlineStr">
        <is>
          <t>JEE Main level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Pairs (2,12),(4,10), then 5x4x3.</t>
        </is>
      </c>
      <c r="N11" s="3" t="inlineStr">
        <is>
          <t>Single counting move: list pairs with sum 14, then 5P3.</t>
        </is>
      </c>
      <c r="O11" s="3" t="inlineStr">
        <is>
          <t>One-move counting; below 2025-P1-Q10 (L4)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Q51</t>
        </is>
      </c>
      <c r="D12" s="2" t="inlineStr">
        <is>
          <t>SCQ</t>
        </is>
      </c>
      <c r="E12" s="3" t="inlineStr">
        <is>
          <t>Function</t>
        </is>
      </c>
      <c r="F12" s="2" t="n">
        <v>4</v>
      </c>
      <c r="G12" s="6" t="n">
        <v>1</v>
      </c>
      <c r="H12" s="6" t="inlineStr">
        <is>
          <t>JEE Main level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g&gt;=1 iff x&gt;=0; f(g)=e^x-1 or -x.</t>
        </is>
      </c>
      <c r="N12" s="3" t="inlineStr">
        <is>
          <t>Compute f(g(x)) piecewise and read the graph.</t>
        </is>
      </c>
      <c r="O12" s="3" t="inlineStr">
        <is>
          <t>One-step composition; 2024-P2-Q3 style (L1)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Q52</t>
        </is>
      </c>
      <c r="D13" s="2" t="inlineStr">
        <is>
          <t>SCQ</t>
        </is>
      </c>
      <c r="E13" s="3" t="inlineStr">
        <is>
          <t>Function</t>
        </is>
      </c>
      <c r="F13" s="2" t="n">
        <v>4</v>
      </c>
      <c r="G13" s="6" t="n">
        <v>1</v>
      </c>
      <c r="H13" s="6" t="inlineStr">
        <is>
          <t>JEE Main level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f(6)=f(12)=3; range is the primes.</t>
        </is>
      </c>
      <c r="N13" s="3" t="inlineStr">
        <is>
          <t>Two examples (6,12) and a missing value show many-one and into.</t>
        </is>
      </c>
      <c r="O13" s="3" t="inlineStr">
        <is>
          <t>Single trick level (L1)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Q53</t>
        </is>
      </c>
      <c r="D14" s="2" t="inlineStr">
        <is>
          <t>SCQ</t>
        </is>
      </c>
      <c r="E14" s="3" t="inlineStr">
        <is>
          <t>Function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g&gt;=0 so only 1-g/3 is used.</t>
        </is>
      </c>
      <c r="N14" s="3" t="inlineStr">
        <is>
          <t>Composition of piecewise maps; must check which branch of f is reachable and track endpoints.</t>
        </is>
      </c>
      <c r="O14" s="3" t="inlineStr">
        <is>
          <t>Routine multi-step (L2)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Q54</t>
        </is>
      </c>
      <c r="D15" s="2" t="inlineStr">
        <is>
          <t>SCQ</t>
        </is>
      </c>
      <c r="E15" s="3" t="inlineStr">
        <is>
          <t>Function</t>
        </is>
      </c>
      <c r="F15" s="2" t="n">
        <v>4</v>
      </c>
      <c r="G15" s="6" t="n">
        <v>1</v>
      </c>
      <c r="H15" s="6" t="inlineStr">
        <is>
          <t>JEE Main level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f o f = identity.</t>
        </is>
      </c>
      <c r="N15" s="3" t="inlineStr">
        <is>
          <t>Notice f(f(x))=x by direct substitution.</t>
        </is>
      </c>
      <c r="O15" s="3" t="inlineStr">
        <is>
          <t>One familiar move (L1)</t>
        </is>
      </c>
      <c r="P15" s="2" t="inlineStr">
        <is>
          <t>High</t>
        </is>
      </c>
    </row>
    <row r="16">
      <c r="A16" s="2" t="n">
        <v>15</v>
      </c>
      <c r="B16" s="2" t="inlineStr"/>
      <c r="C16" s="2" t="inlineStr">
        <is>
          <t>Q55</t>
        </is>
      </c>
      <c r="D16" s="2" t="inlineStr">
        <is>
          <t>SCQ</t>
        </is>
      </c>
      <c r="E16" s="3" t="inlineStr">
        <is>
          <t>Function</t>
        </is>
      </c>
      <c r="F16" s="2" t="n">
        <v>4</v>
      </c>
      <c r="G16" s="4" t="n">
        <v>2</v>
      </c>
      <c r="H16" s="4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g(f(x)) piecewise; negatives never attained.</t>
        </is>
      </c>
      <c r="N16" s="3" t="inlineStr">
        <is>
          <t>Piecewise composition with a sign split and a graph; slips are easy at x=0 and x=1.</t>
        </is>
      </c>
      <c r="O16" s="3" t="inlineStr">
        <is>
          <t>Same as Q13 family (L2)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Q56</t>
        </is>
      </c>
      <c r="D17" s="2" t="inlineStr">
        <is>
          <t>SCQ</t>
        </is>
      </c>
      <c r="E17" s="3" t="inlineStr">
        <is>
          <t>Function</t>
        </is>
      </c>
      <c r="F17" s="2" t="n">
        <v>4</v>
      </c>
      <c r="G17" s="4" t="n">
        <v>2</v>
      </c>
      <c r="H17" s="4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[x+n]=[x]+n and GP sum 1/3.</t>
        </is>
      </c>
      <c r="N17" s="3" t="inlineStr">
        <is>
          <t>Greatest-integer reduction, infinite GP, two sets compared; three routine steps.</t>
        </is>
      </c>
      <c r="O17" s="3" t="inlineStr">
        <is>
          <t>2026-P1-Q10 (L3) is heavier; chain of standard steps =&gt; L2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Q57</t>
        </is>
      </c>
      <c r="D18" s="2" t="inlineStr">
        <is>
          <t>SCQ</t>
        </is>
      </c>
      <c r="E18" s="3" t="inlineStr">
        <is>
          <t>Function</t>
        </is>
      </c>
      <c r="F18" s="2" t="n">
        <v>4</v>
      </c>
      <c r="G18" s="4" t="n">
        <v>2</v>
      </c>
      <c r="H18" s="4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f(f(x))=x, then x+4/x&gt;=4.</t>
        </is>
      </c>
      <c r="N18" s="3" t="inlineStr">
        <is>
          <t>Idea availability: spotting that (Ax+B)/(Cx-A) is an involution through ugly constants, then AM-GM.</t>
        </is>
      </c>
      <c r="O18" s="3" t="inlineStr">
        <is>
          <t>Idea-based, but well known in JEE Main =&gt; L2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Q58</t>
        </is>
      </c>
      <c r="D19" s="2" t="inlineStr">
        <is>
          <t>SCQ</t>
        </is>
      </c>
      <c r="E19" s="3" t="inlineStr">
        <is>
          <t>Function</t>
        </is>
      </c>
      <c r="F19" s="2" t="n">
        <v>4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(x-1)(x-3)=[x](x-1).</t>
        </is>
      </c>
      <c r="N19" s="3" t="inlineStr">
        <is>
          <t>Factor out (x-1) and use {x}&lt;1; a routine floor-function equation.</t>
        </is>
      </c>
      <c r="O19" s="3" t="inlineStr">
        <is>
          <t>Routine (L2)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Q59</t>
        </is>
      </c>
      <c r="D20" s="2" t="inlineStr">
        <is>
          <t>SCQ</t>
        </is>
      </c>
      <c r="E20" s="3" t="inlineStr">
        <is>
          <t>Function</t>
        </is>
      </c>
      <c r="F20" s="2" t="n">
        <v>4</v>
      </c>
      <c r="G20" s="4" t="n">
        <v>2</v>
      </c>
      <c r="H20" s="4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f(1)=a gives (a,1-a,2a,3-6a).</t>
        </is>
      </c>
      <c r="N20" s="3" t="inlineStr">
        <is>
          <t>Express every term through f(1), then bound it using |a|&lt;=8 and integrality.</t>
        </is>
      </c>
      <c r="O20" s="3" t="inlineStr">
        <is>
          <t>Counting with bounds; modest =&gt; L2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Q60</t>
        </is>
      </c>
      <c r="D21" s="2" t="inlineStr">
        <is>
          <t>Numerical</t>
        </is>
      </c>
      <c r="E21" s="3" t="inlineStr">
        <is>
          <t>Function</t>
        </is>
      </c>
      <c r="F21" s="2" t="n">
        <v>4</v>
      </c>
      <c r="G21" s="6" t="n">
        <v>1</v>
      </c>
      <c r="H21" s="6" t="inlineStr">
        <is>
          <t>JEE Main level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98 x 2^2.</t>
        </is>
      </c>
      <c r="N21" s="3" t="inlineStr">
        <is>
          <t>Choose the single input in 1..98 and multiply by 4.</t>
        </is>
      </c>
      <c r="O21" s="3" t="inlineStr">
        <is>
          <t>One-step counting (L1)</t>
        </is>
      </c>
      <c r="P21" s="2" t="inlineStr">
        <is>
          <t>High</t>
        </is>
      </c>
    </row>
    <row r="23">
      <c r="A23" s="7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8" t="inlineStr">
        <is>
          <t>Difficulty summary</t>
        </is>
      </c>
    </row>
    <row r="2">
      <c r="A2" s="7" t="inlineStr">
        <is>
          <t>Source: JEE_Main_Question_Bank_01_Differential_Calculus_03.pdf   |   Evaluated on: 2026-10-05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9" t="n">
        <v>0</v>
      </c>
      <c r="B5" s="9" t="inlineStr">
        <is>
          <t>Easier than JEE Main</t>
        </is>
      </c>
      <c r="C5" s="9">
        <f>COUNTIF(Evaluation!$G$2:$G$21,A5)</f>
        <v/>
      </c>
      <c r="D5" s="9">
        <f>SUMIF(Evaluation!$G$2:$G$21,A5,Evaluation!$F$2:$F$21)</f>
        <v/>
      </c>
      <c r="E5" s="10">
        <f>IF(SUM($D$5:$D$10)=0,0,D5/SUM($D$5:$D$10))</f>
        <v/>
      </c>
    </row>
    <row r="6">
      <c r="A6" s="11" t="n">
        <v>1</v>
      </c>
      <c r="B6" s="11" t="inlineStr">
        <is>
          <t>JEE Main level</t>
        </is>
      </c>
      <c r="C6" s="11">
        <f>COUNTIF(Evaluation!$G$2:$G$21,A6)</f>
        <v/>
      </c>
      <c r="D6" s="11">
        <f>SUMIF(Evaluation!$G$2:$G$21,A6,Evaluation!$F$2:$F$21)</f>
        <v/>
      </c>
      <c r="E6" s="12">
        <f>IF(SUM($D$5:$D$10)=0,0,D6/SUM($D$5:$D$10))</f>
        <v/>
      </c>
    </row>
    <row r="7">
      <c r="A7" s="13" t="n">
        <v>2</v>
      </c>
      <c r="B7" s="13" t="inlineStr">
        <is>
          <t>Easier than Advanced</t>
        </is>
      </c>
      <c r="C7" s="13">
        <f>COUNTIF(Evaluation!$G$2:$G$21,A7)</f>
        <v/>
      </c>
      <c r="D7" s="13">
        <f>SUMIF(Evaluation!$G$2:$G$21,A7,Evaluation!$F$2:$F$21)</f>
        <v/>
      </c>
      <c r="E7" s="14">
        <f>IF(SUM($D$5:$D$10)=0,0,D7/SUM($D$5:$D$10))</f>
        <v/>
      </c>
    </row>
    <row r="8">
      <c r="A8" s="15" t="n">
        <v>3</v>
      </c>
      <c r="B8" s="15" t="inlineStr">
        <is>
          <t>Average Advanced</t>
        </is>
      </c>
      <c r="C8" s="15">
        <f>COUNTIF(Evaluation!$G$2:$G$21,A8)</f>
        <v/>
      </c>
      <c r="D8" s="15">
        <f>SUMIF(Evaluation!$G$2:$G$21,A8,Evaluation!$F$2:$F$21)</f>
        <v/>
      </c>
      <c r="E8" s="16">
        <f>IF(SUM($D$5:$D$10)=0,0,D8/SUM($D$5:$D$10))</f>
        <v/>
      </c>
    </row>
    <row r="9">
      <c r="A9" s="17" t="n">
        <v>4</v>
      </c>
      <c r="B9" s="17" t="inlineStr">
        <is>
          <t>Slightly difficult</t>
        </is>
      </c>
      <c r="C9" s="17">
        <f>COUNTIF(Evaluation!$G$2:$G$21,A9)</f>
        <v/>
      </c>
      <c r="D9" s="17">
        <f>SUMIF(Evaluation!$G$2:$G$21,A9,Evaluation!$F$2:$F$21)</f>
        <v/>
      </c>
      <c r="E9" s="18">
        <f>IF(SUM($D$5:$D$10)=0,0,D9/SUM($D$5:$D$10))</f>
        <v/>
      </c>
    </row>
    <row r="10">
      <c r="A10" s="19" t="n">
        <v>5</v>
      </c>
      <c r="B10" s="19" t="inlineStr">
        <is>
          <t>Very difficult</t>
        </is>
      </c>
      <c r="C10" s="19">
        <f>COUNTIF(Evaluation!$G$2:$G$21,A10)</f>
        <v/>
      </c>
      <c r="D10" s="19">
        <f>SUMIF(Evaluation!$G$2:$G$21,A10,Evaluation!$F$2:$F$21)</f>
        <v/>
      </c>
      <c r="E10" s="20">
        <f>IF(SUM($D$5:$D$10)=0,0,D10/SUM($D$5:$D$10))</f>
        <v/>
      </c>
    </row>
    <row r="11">
      <c r="A11" s="21" t="inlineStr">
        <is>
          <t>Total</t>
        </is>
      </c>
      <c r="C11" s="21">
        <f>SUM(C5:C10)</f>
        <v/>
      </c>
      <c r="D11" s="21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1" t="inlineStr">
        <is>
          <t>Overall</t>
        </is>
      </c>
      <c r="B14" s="22">
        <f>SUM(Evaluation!$L$2:$L$21)/SUM(Evaluation!$F$2:$F$21)</f>
        <v/>
      </c>
      <c r="C14" s="22">
        <f>SUMPRODUCT(Evaluation!$F$2:$F$21,Evaluation!$G$2:$G$21)/SUM(Evaluation!$F$2:$F$21)</f>
        <v/>
      </c>
      <c r="D14" s="21">
        <f>SUM(Evaluation!$F$2:$F$21)</f>
        <v/>
      </c>
      <c r="E14" s="22">
        <f>AVERAGE(Evaluation!$G$2:$G$21)</f>
        <v/>
      </c>
    </row>
    <row r="16">
      <c r="A16" s="7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8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3" t="n">
        <v>2021</v>
      </c>
      <c r="B4" s="24" t="n">
        <v>2.758333333333333</v>
      </c>
      <c r="C4" s="24" t="n">
        <v>2.894736842105263</v>
      </c>
      <c r="D4" s="23" t="n">
        <v>16</v>
      </c>
      <c r="E4" s="23" t="n">
        <v>34</v>
      </c>
      <c r="F4" s="23" t="n">
        <v>1</v>
      </c>
    </row>
    <row r="5">
      <c r="A5" s="23" t="n">
        <v>2023</v>
      </c>
      <c r="B5" s="24" t="n">
        <v>3.191666666666667</v>
      </c>
      <c r="C5" s="24" t="n">
        <v>3.147058823529412</v>
      </c>
      <c r="D5" s="23" t="n">
        <v>13</v>
      </c>
      <c r="E5" s="23" t="n">
        <v>47</v>
      </c>
      <c r="F5" s="23" t="n">
        <v>5</v>
      </c>
    </row>
    <row r="6">
      <c r="A6" s="23" t="n">
        <v>2024</v>
      </c>
      <c r="B6" s="24" t="n">
        <v>2.591666666666667</v>
      </c>
      <c r="C6" s="24" t="n">
        <v>2.558823529411764</v>
      </c>
      <c r="D6" s="23" t="n">
        <v>28</v>
      </c>
      <c r="E6" s="23" t="n">
        <v>40</v>
      </c>
      <c r="F6" s="23" t="n">
        <v>1</v>
      </c>
    </row>
    <row r="7">
      <c r="A7" s="23" t="n">
        <v>2025</v>
      </c>
      <c r="B7" s="24" t="n">
        <v>3.208333333333333</v>
      </c>
      <c r="C7" s="24" t="n">
        <v>3.1875</v>
      </c>
      <c r="D7" s="23" t="n">
        <v>8</v>
      </c>
      <c r="E7" s="23" t="n">
        <v>65</v>
      </c>
      <c r="F7" s="23" t="n">
        <v>1</v>
      </c>
    </row>
    <row r="8">
      <c r="A8" s="23" t="n">
        <v>2026</v>
      </c>
      <c r="B8" s="24" t="n">
        <v>3.025</v>
      </c>
      <c r="C8" s="24" t="n">
        <v>2.941176470588236</v>
      </c>
      <c r="D8" s="23" t="n">
        <v>6</v>
      </c>
      <c r="E8" s="23" t="n">
        <v>38</v>
      </c>
      <c r="F8" s="23" t="n">
        <v>2</v>
      </c>
    </row>
    <row r="9">
      <c r="A9" s="21" t="inlineStr">
        <is>
          <t>This paper</t>
        </is>
      </c>
      <c r="B9" s="22">
        <f>Summary!B14</f>
        <v/>
      </c>
      <c r="C9" s="22">
        <f>Summary!E14</f>
        <v/>
      </c>
      <c r="D9" s="21">
        <f>Summary!D5+Summary!D6</f>
        <v/>
      </c>
      <c r="E9" s="21">
        <f>Summary!D9+Summary!D10</f>
        <v/>
      </c>
      <c r="F9" s="21">
        <f>Summary!C10</f>
        <v/>
      </c>
    </row>
    <row r="11">
      <c r="A11" s="7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2026-10-05T18:27:16Z</dcterms:created>
  <dcterms:modified xmlns:dcterms="http://purl.org/dc/terms/" xmlns:xsi="http://www.w3.org/2001/XMLSchema-instance" xsi:type="dcterms:W3CDTF">2026-10-05T18:27:16Z</dcterms:modified>
</cp:coreProperties>
</file>