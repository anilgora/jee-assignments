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 xmlns:r="http://schemas.openxmlformats.org/officeDocument/2006/relationships" name="Summary" sheetId="2" state="visible" r:id="rId2"/>
    <sheet xmlns:r="http://schemas.openxmlformats.org/officeDocument/2006/relationships" name="Reference" sheetId="3" state="visible" r:id="rId3"/>
  </sheets>
  <definedNames>
    <definedName name="_xlnm._FilterDatabase" localSheetId="0" hidden="1">'Evaluation'!$A$1:$P$62</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i val="1"/>
      <color rgb="00595959"/>
      <sz val="9"/>
    </font>
    <font>
      <name val="Arial"/>
      <b val="1"/>
      <color rgb="001A365D"/>
      <sz val="13"/>
    </font>
    <font>
      <name val="Arial"/>
      <b val="1"/>
      <sz val="10"/>
    </font>
  </fonts>
  <fills count="9">
    <fill>
      <patternFill/>
    </fill>
    <fill>
      <patternFill patternType="gray125"/>
    </fill>
    <fill>
      <patternFill patternType="solid">
        <fgColor rgb="001A365D"/>
      </patternFill>
    </fill>
    <fill>
      <patternFill patternType="solid">
        <fgColor rgb="00FFF2CC"/>
      </patternFill>
    </fill>
    <fill>
      <patternFill patternType="solid">
        <fgColor rgb="00FCE5CD"/>
      </patternFill>
    </fill>
    <fill>
      <patternFill patternType="solid">
        <fgColor rgb="00E8F0D8"/>
      </patternFill>
    </fill>
    <fill>
      <patternFill patternType="solid">
        <fgColor rgb="00F4CCCC"/>
      </patternFill>
    </fill>
    <fill>
      <patternFill patternType="solid">
        <fgColor rgb="00D9EAD3"/>
      </patternFill>
    </fill>
    <fill>
      <patternFill patternType="solid">
        <fgColor rgb="00EA99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164"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3" fillId="0" borderId="0" pivotButton="0" quotePrefix="0" xfId="0"/>
    <xf numFmtId="0" fontId="4" fillId="0" borderId="0" pivotButton="0" quotePrefix="0" xfId="0"/>
    <xf numFmtId="0" fontId="2" fillId="7" borderId="1" pivotButton="0" quotePrefix="0" xfId="0"/>
    <xf numFmtId="9" fontId="2" fillId="7" borderId="1" pivotButton="0" quotePrefix="0" xfId="0"/>
    <xf numFmtId="0" fontId="2" fillId="5" borderId="1" pivotButton="0" quotePrefix="0" xfId="0"/>
    <xf numFmtId="9" fontId="2" fillId="5" borderId="1" pivotButton="0" quotePrefix="0" xfId="0"/>
    <xf numFmtId="0" fontId="2" fillId="3" borderId="1" pivotButton="0" quotePrefix="0" xfId="0"/>
    <xf numFmtId="9" fontId="2" fillId="3" borderId="1" pivotButton="0" quotePrefix="0" xfId="0"/>
    <xf numFmtId="0" fontId="2" fillId="4" borderId="1" pivotButton="0" quotePrefix="0" xfId="0"/>
    <xf numFmtId="9" fontId="2" fillId="4" borderId="1" pivotButton="0" quotePrefix="0" xfId="0"/>
    <xf numFmtId="0" fontId="2" fillId="6" borderId="1" pivotButton="0" quotePrefix="0" xfId="0"/>
    <xf numFmtId="9" fontId="2" fillId="6" borderId="1" pivotButton="0" quotePrefix="0" xfId="0"/>
    <xf numFmtId="0" fontId="2" fillId="8" borderId="1" pivotButton="0" quotePrefix="0" xfId="0"/>
    <xf numFmtId="9" fontId="2" fillId="8" borderId="1" pivotButton="0" quotePrefix="0" xfId="0"/>
    <xf numFmtId="0" fontId="5" fillId="0" borderId="1" pivotButton="0" quotePrefix="0" xfId="0"/>
    <xf numFmtId="2" fontId="5" fillId="0" borderId="1" pivotButton="0" quotePrefix="0" xfId="0"/>
    <xf numFmtId="0" fontId="2" fillId="0" borderId="1" pivotButton="0" quotePrefix="0" xfId="0"/>
    <xf numFmtId="2"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9" customWidth="1" min="3" max="3"/>
    <col width="12" customWidth="1" min="4" max="4"/>
    <col width="24" customWidth="1" min="5" max="5"/>
    <col width="7" customWidth="1" min="6" max="6"/>
    <col width="7" customWidth="1" min="7" max="7"/>
    <col width="20" customWidth="1" min="8" max="8"/>
    <col width="9" customWidth="1" min="9" max="9"/>
    <col width="8" customWidth="1" min="10" max="10"/>
    <col width="9" customWidth="1" min="11" max="11"/>
    <col width="10" customWidth="1" min="12" max="12"/>
    <col width="38" customWidth="1" min="13" max="13"/>
    <col width="60" customWidth="1" min="14" max="14"/>
    <col width="20" customWidth="1" min="15" max="15"/>
    <col width="11" customWidth="1" min="16" max="16"/>
  </cols>
  <sheetData>
    <row r="1">
      <c r="A1" s="1" t="inlineStr">
        <is>
          <t>Sr No</t>
        </is>
      </c>
      <c r="B1" s="1" t="inlineStr">
        <is>
          <t>Paper</t>
        </is>
      </c>
      <c r="C1" s="1" t="inlineStr">
        <is>
          <t>Q Ref</t>
        </is>
      </c>
      <c r="D1" s="1" t="inlineStr">
        <is>
          <t>Type</t>
        </is>
      </c>
      <c r="E1" s="1" t="inlineStr">
        <is>
          <t>Chapter</t>
        </is>
      </c>
      <c r="F1" s="1" t="inlineStr">
        <is>
          <t>Marks</t>
        </is>
      </c>
      <c r="G1" s="1" t="inlineStr">
        <is>
          <t>Level</t>
        </is>
      </c>
      <c r="H1" s="1" t="inlineStr">
        <is>
          <t>Level Label</t>
        </is>
      </c>
      <c r="I1" s="1" t="inlineStr">
        <is>
          <t>Equiv. Rel. Adj</t>
        </is>
      </c>
      <c r="J1" s="1" t="inlineStr">
        <is>
          <t>MCQ Floor</t>
        </is>
      </c>
      <c r="K1" s="1" t="inlineStr">
        <is>
          <t>Adjusted Level</t>
        </is>
      </c>
      <c r="L1" s="1" t="inlineStr">
        <is>
          <t>Marks x Adj Level</t>
        </is>
      </c>
      <c r="M1" s="1" t="inlineStr">
        <is>
          <t>Key Step</t>
        </is>
      </c>
      <c r="N1" s="1" t="inlineStr">
        <is>
          <t>Justification</t>
        </is>
      </c>
      <c r="O1" s="1" t="inlineStr">
        <is>
          <t>Nearest Anchor</t>
        </is>
      </c>
      <c r="P1" s="1" t="inlineStr">
        <is>
          <t>Confidence</t>
        </is>
      </c>
    </row>
    <row r="2">
      <c r="A2" s="2" t="n">
        <v>1</v>
      </c>
      <c r="B2" s="2" t="inlineStr"/>
      <c r="C2" s="2" t="inlineStr">
        <is>
          <t>Q1</t>
        </is>
      </c>
      <c r="D2" s="2" t="inlineStr">
        <is>
          <t>Numerical</t>
        </is>
      </c>
      <c r="E2" s="3" t="inlineStr">
        <is>
          <t>Vectors</t>
        </is>
      </c>
      <c r="F2" s="2" t="n">
        <v>4</v>
      </c>
      <c r="G2" s="4" t="n">
        <v>2</v>
      </c>
      <c r="H2" s="4" t="inlineStr">
        <is>
          <t>Easier than Advanced</t>
        </is>
      </c>
      <c r="I2" s="5" t="n">
        <v>0</v>
      </c>
      <c r="J2" s="5" t="n">
        <v>0</v>
      </c>
      <c r="K2" s="5">
        <f>MIN(5,MAX(G2+I2,J2))</f>
        <v/>
      </c>
      <c r="L2" s="5">
        <f>F2*K2</f>
        <v/>
      </c>
      <c r="M2" s="3" t="inlineStr">
        <is>
          <t>Recognising that the given sum equals the minimum possible value, which forces the sum of the three unit vectors to be zero.</t>
        </is>
      </c>
      <c r="N2" s="3" t="inlineStr">
        <is>
          <t>A short chain: expand the squares, find the dot-product sum, notice it is the equality case of a non-negative square, then substitute. The equality-case idea is common in vector problems, so no real insight is needed. Closest in demand to 2026-P2-Q1 (L3) but lighter.</t>
        </is>
      </c>
      <c r="O2" s="3" t="inlineStr">
        <is>
          <t>2026-P2-Q1 (L3)</t>
        </is>
      </c>
      <c r="P2" s="2" t="inlineStr">
        <is>
          <t>Medium</t>
        </is>
      </c>
    </row>
    <row r="3">
      <c r="A3" s="2" t="n">
        <v>2</v>
      </c>
      <c r="B3" s="2" t="inlineStr"/>
      <c r="C3" s="2" t="inlineStr">
        <is>
          <t>Q2</t>
        </is>
      </c>
      <c r="D3" s="2" t="inlineStr">
        <is>
          <t>SCQ</t>
        </is>
      </c>
      <c r="E3" s="3" t="inlineStr">
        <is>
          <t>Vectors</t>
        </is>
      </c>
      <c r="F3" s="2" t="n">
        <v>4</v>
      </c>
      <c r="G3" s="4" t="n">
        <v>2</v>
      </c>
      <c r="H3" s="4" t="inlineStr">
        <is>
          <t>Easier than Advanced</t>
        </is>
      </c>
      <c r="I3" s="5" t="n">
        <v>0</v>
      </c>
      <c r="J3" s="5" t="n">
        <v>0</v>
      </c>
      <c r="K3" s="5">
        <f>MIN(5,MAX(G3+I3,J3))</f>
        <v/>
      </c>
      <c r="L3" s="5">
        <f>F3*K3</f>
        <v/>
      </c>
      <c r="M3" s="3" t="inlineStr">
        <is>
          <t>Rewriting the cross-product equation as (a+b) cross u = 0 so that a+b is a scalar multiple of the given vector.</t>
        </is>
      </c>
      <c r="N3" s="3" t="inlineStr">
        <is>
          <t>One rearrangement, then parallelism plus a magnitude comparison and a dot product: a routine short chain with no heavy computation. The anti-commutativity step is familiar but must be spotted. Comparable to 2026-P2-Q1 (L3) but simpler.</t>
        </is>
      </c>
      <c r="O3" s="3" t="inlineStr">
        <is>
          <t>2026-P2-Q1 (L3)</t>
        </is>
      </c>
      <c r="P3" s="2" t="inlineStr">
        <is>
          <t>Medium</t>
        </is>
      </c>
    </row>
    <row r="4">
      <c r="A4" s="2" t="n">
        <v>3</v>
      </c>
      <c r="B4" s="2" t="inlineStr"/>
      <c r="C4" s="2" t="inlineStr">
        <is>
          <t>Q3</t>
        </is>
      </c>
      <c r="D4" s="2" t="inlineStr">
        <is>
          <t>SCQ</t>
        </is>
      </c>
      <c r="E4" s="3" t="inlineStr">
        <is>
          <t>3D Geometry</t>
        </is>
      </c>
      <c r="F4" s="2" t="n">
        <v>4</v>
      </c>
      <c r="G4" s="4" t="n">
        <v>2</v>
      </c>
      <c r="H4" s="4" t="inlineStr">
        <is>
          <t>Easier than Advanced</t>
        </is>
      </c>
      <c r="I4" s="5" t="n">
        <v>0</v>
      </c>
      <c r="J4" s="5" t="n">
        <v>0</v>
      </c>
      <c r="K4" s="5">
        <f>MIN(5,MAX(G4+I4,J4))</f>
        <v/>
      </c>
      <c r="L4" s="5">
        <f>F4*K4</f>
        <v/>
      </c>
      <c r="M4" s="3" t="inlineStr">
        <is>
          <t>Substituting the line's parametric point in the plane for P, and spotting TQ = TR so that S is the midpoint of QR.</t>
        </is>
      </c>
      <c r="N4" s="3" t="inlineStr">
        <is>
          <t>Standard line-plane intersection followed by the foot of a perpendicular; the isosceles shortcut is optional because the projection formula also works. Routine multi-step with options to check against, so Level 2. Same style as 2026-P2-Q1 (L3) but without a final area or relation step.</t>
        </is>
      </c>
      <c r="O4" s="3" t="inlineStr">
        <is>
          <t>2026-P2-Q1 (L3)</t>
        </is>
      </c>
      <c r="P4" s="2" t="inlineStr">
        <is>
          <t>Medium</t>
        </is>
      </c>
    </row>
    <row r="5">
      <c r="A5" s="2" t="n">
        <v>4</v>
      </c>
      <c r="B5" s="2" t="inlineStr"/>
      <c r="C5" s="2" t="inlineStr">
        <is>
          <t>Q4</t>
        </is>
      </c>
      <c r="D5" s="2" t="inlineStr">
        <is>
          <t>SCQ</t>
        </is>
      </c>
      <c r="E5" s="3" t="inlineStr">
        <is>
          <t>3D Geometry</t>
        </is>
      </c>
      <c r="F5" s="2" t="n">
        <v>4</v>
      </c>
      <c r="G5" s="4" t="n">
        <v>2</v>
      </c>
      <c r="H5" s="4" t="inlineStr">
        <is>
          <t>Easier than Advanced</t>
        </is>
      </c>
      <c r="I5" s="5" t="n">
        <v>0</v>
      </c>
      <c r="J5" s="5" t="n">
        <v>0</v>
      </c>
      <c r="K5" s="5">
        <f>MIN(5,MAX(G5+I5,J5))</f>
        <v/>
      </c>
      <c r="L5" s="5">
        <f>F5*K5</f>
        <v/>
      </c>
      <c r="M5" s="3" t="inlineStr">
        <is>
          <t>Writing the plane as P1 + lambda P2 = 0 and noticing that the quadratic in lambda collapses to a linear equation.</t>
        </is>
      </c>
      <c r="N5" s="3" t="inlineStr">
        <is>
          <t>Familiar pencil-of-planes method with a distance formula; a few lines of algebra, no insight needed. A small trap is that the omitted plane P2 is also valid but is not among the options. Routine chain, same level as other direct plane questions rated near L2-L3.</t>
        </is>
      </c>
      <c r="O5" s="3" t="inlineStr">
        <is>
          <t>2024-P1-Q16 (L3)</t>
        </is>
      </c>
      <c r="P5" s="2" t="inlineStr">
        <is>
          <t>Medium</t>
        </is>
      </c>
    </row>
    <row r="6">
      <c r="A6" s="2" t="n">
        <v>5</v>
      </c>
      <c r="B6" s="2" t="inlineStr"/>
      <c r="C6" s="2" t="inlineStr">
        <is>
          <t>Q5</t>
        </is>
      </c>
      <c r="D6" s="2" t="inlineStr">
        <is>
          <t>MCQ</t>
        </is>
      </c>
      <c r="E6" s="3" t="inlineStr">
        <is>
          <t>3D Geometry</t>
        </is>
      </c>
      <c r="F6" s="2" t="n">
        <v>4</v>
      </c>
      <c r="G6" s="6" t="n">
        <v>3</v>
      </c>
      <c r="H6" s="6" t="inlineStr">
        <is>
          <t>Average Advanced</t>
        </is>
      </c>
      <c r="I6" s="5" t="n">
        <v>0</v>
      </c>
      <c r="J6" s="5" t="n">
        <v>0</v>
      </c>
      <c r="K6" s="5">
        <f>MIN(5,MAX(G6+I6,J6))</f>
        <v/>
      </c>
      <c r="L6" s="5">
        <f>F6*K6</f>
        <v/>
      </c>
      <c r="M6" s="3" t="inlineStr">
        <is>
          <t>Setting the 3x3 determinant to zero for coplanarity, then building the plane for each k from the cross product of directions.</t>
        </is>
      </c>
      <c r="N6" s="3" t="inlineStr">
        <is>
          <t>Two stages (coplanarity determinant, then the plane for each of the two k values) with an MCQ format where both the missing and the extra option are risks. Routine ideas but two parallel branches; sits at Level 3 like 2024-P1-Q16 (L3).</t>
        </is>
      </c>
      <c r="O6" s="3" t="inlineStr">
        <is>
          <t>2024-P1-Q16 (L3)</t>
        </is>
      </c>
      <c r="P6" s="2" t="inlineStr">
        <is>
          <t>Medium</t>
        </is>
      </c>
    </row>
    <row r="7">
      <c r="A7" s="2" t="n">
        <v>6</v>
      </c>
      <c r="B7" s="2" t="inlineStr"/>
      <c r="C7" s="2" t="inlineStr">
        <is>
          <t>Q6</t>
        </is>
      </c>
      <c r="D7" s="2" t="inlineStr">
        <is>
          <t>SCQ</t>
        </is>
      </c>
      <c r="E7" s="3" t="inlineStr">
        <is>
          <t>Vectors</t>
        </is>
      </c>
      <c r="F7" s="2" t="n">
        <v>4</v>
      </c>
      <c r="G7" s="4" t="n">
        <v>2</v>
      </c>
      <c r="H7" s="4" t="inlineStr">
        <is>
          <t>Easier than Advanced</t>
        </is>
      </c>
      <c r="I7" s="5" t="n">
        <v>0</v>
      </c>
      <c r="J7" s="5" t="n">
        <v>0</v>
      </c>
      <c r="K7" s="5">
        <f>MIN(5,MAX(G7+I7,J7))</f>
        <v/>
      </c>
      <c r="L7" s="5">
        <f>F7*K7</f>
        <v/>
      </c>
      <c r="M7" s="3" t="inlineStr">
        <is>
          <t>Writing the sides as half the sum and half the difference of the diagonals, then taking the scalar triple product.</t>
        </is>
      </c>
      <c r="N7" s="3" t="inlineStr">
        <is>
          <t>Known parallelogram-diagonal relation followed by a 3x3 determinant: a short routine chain with no insight, but three small stages. Level 2 under the rubric (three routine steps). Comparable to 2026-P2-Q1 (L3) in structure but with less to decode.</t>
        </is>
      </c>
      <c r="O7" s="3" t="inlineStr">
        <is>
          <t>2026-P2-Q1 (L3)</t>
        </is>
      </c>
      <c r="P7" s="2" t="inlineStr">
        <is>
          <t>Medium</t>
        </is>
      </c>
    </row>
    <row r="8">
      <c r="A8" s="2" t="n">
        <v>7</v>
      </c>
      <c r="B8" s="2" t="inlineStr"/>
      <c r="C8" s="2" t="inlineStr">
        <is>
          <t>Q7</t>
        </is>
      </c>
      <c r="D8" s="2" t="inlineStr">
        <is>
          <t>Numerical</t>
        </is>
      </c>
      <c r="E8" s="3" t="inlineStr">
        <is>
          <t>Vectors</t>
        </is>
      </c>
      <c r="F8" s="2" t="n">
        <v>4</v>
      </c>
      <c r="G8" s="6" t="n">
        <v>3</v>
      </c>
      <c r="H8" s="6" t="inlineStr">
        <is>
          <t>Average Advanced</t>
        </is>
      </c>
      <c r="I8" s="5" t="n">
        <v>0</v>
      </c>
      <c r="J8" s="5" t="n">
        <v>0</v>
      </c>
      <c r="K8" s="5">
        <f>MIN(5,MAX(G8+I8,J8))</f>
        <v/>
      </c>
      <c r="L8" s="5">
        <f>F8*K8</f>
        <v/>
      </c>
      <c r="M8" s="3" t="inlineStr">
        <is>
          <t>Seeing that three of these vectors are coplanar only when two are antipodal, then counting 56 - 24.</t>
        </is>
      </c>
      <c r="N8" s="3" t="inlineStr">
        <is>
          <t>A counting question wrapped in vectors: the key fact (a plane through the centre holds exactly four of the eight vectors) is easy to assume but must be justified, and an overcount or undercount gives a wrong exponent with no option to check. One geometric idea plus short counting, so Level 3, near 2023-P1-Q5 (L3).</t>
        </is>
      </c>
      <c r="O8" s="3" t="inlineStr">
        <is>
          <t>2023-P1-Q5 (L3)</t>
        </is>
      </c>
      <c r="P8" s="2" t="inlineStr">
        <is>
          <t>Medium</t>
        </is>
      </c>
    </row>
    <row r="9">
      <c r="A9" s="2" t="n">
        <v>8</v>
      </c>
      <c r="B9" s="2" t="inlineStr"/>
      <c r="C9" s="2" t="inlineStr">
        <is>
          <t>Q8</t>
        </is>
      </c>
      <c r="D9" s="2" t="inlineStr">
        <is>
          <t>SCQ</t>
        </is>
      </c>
      <c r="E9" s="3" t="inlineStr">
        <is>
          <t>3D Geometry</t>
        </is>
      </c>
      <c r="F9" s="2" t="n">
        <v>4</v>
      </c>
      <c r="G9" s="4" t="n">
        <v>2</v>
      </c>
      <c r="H9" s="4" t="inlineStr">
        <is>
          <t>Easier than Advanced</t>
        </is>
      </c>
      <c r="I9" s="5" t="n">
        <v>0</v>
      </c>
      <c r="J9" s="5" t="n">
        <v>0</v>
      </c>
      <c r="K9" s="5">
        <f>MIN(5,MAX(G9+I9,J9))</f>
        <v/>
      </c>
      <c r="L9" s="5">
        <f>F9*K9</f>
        <v/>
      </c>
      <c r="M9" s="3" t="inlineStr">
        <is>
          <t>Writing the foot of the perpendicular for a general point of the line and eliminating the parameter, or using the projected direction.</t>
        </is>
      </c>
      <c r="N9" s="3" t="inlineStr">
        <is>
          <t>Standard projection of a line on a plane done with a parameter: several algebraic lines but one familiar idea, with options to check. Routine multi-step, Level 2. Slightly simpler than 2026-P2-Q7 (L4) which adds a ratio point and orthocentre.</t>
        </is>
      </c>
      <c r="O9" s="3" t="inlineStr">
        <is>
          <t>2026-P2-Q7 (L4)</t>
        </is>
      </c>
      <c r="P9" s="2" t="inlineStr">
        <is>
          <t>Medium</t>
        </is>
      </c>
    </row>
    <row r="10">
      <c r="A10" s="2" t="n">
        <v>9</v>
      </c>
      <c r="B10" s="2" t="inlineStr"/>
      <c r="C10" s="2" t="inlineStr">
        <is>
          <t>Q9</t>
        </is>
      </c>
      <c r="D10" s="2" t="inlineStr">
        <is>
          <t>MCQ</t>
        </is>
      </c>
      <c r="E10" s="3" t="inlineStr">
        <is>
          <t>3D Geometry</t>
        </is>
      </c>
      <c r="F10" s="2" t="n">
        <v>4</v>
      </c>
      <c r="G10" s="6" t="n">
        <v>3</v>
      </c>
      <c r="H10" s="6" t="inlineStr">
        <is>
          <t>Average Advanced</t>
        </is>
      </c>
      <c r="I10" s="5" t="n">
        <v>0</v>
      </c>
      <c r="J10" s="5" t="n">
        <v>0</v>
      </c>
      <c r="K10" s="5">
        <f>MIN(5,MAX(G10+I10,J10))</f>
        <v/>
      </c>
      <c r="L10" s="5">
        <f>F10*K10</f>
        <v/>
      </c>
      <c r="M10" s="3" t="inlineStr">
        <is>
          <t>Getting the point P where l meets l1 (cross-product direction or foot of the perpendicular), then solving the distance equation on l2.</t>
        </is>
      </c>
      <c r="N10" s="3" t="inlineStr">
        <is>
          <t>Four routine stages (cross product, intersection with l1, distance quadratic on l2, test each option) with a multiple-correct format where one wrong sign loses the question. No deep insight, but longer than a Level 2 chain. Same band as 2024-P2-Q6 (L4) but much lighter, so Level 3.</t>
        </is>
      </c>
      <c r="O10" s="3" t="inlineStr">
        <is>
          <t>2024-P2-Q6 (L4)</t>
        </is>
      </c>
      <c r="P10" s="2" t="inlineStr">
        <is>
          <t>Medium</t>
        </is>
      </c>
    </row>
    <row r="11">
      <c r="A11" s="2" t="n">
        <v>10</v>
      </c>
      <c r="B11" s="2" t="inlineStr"/>
      <c r="C11" s="2" t="inlineStr">
        <is>
          <t>Q10</t>
        </is>
      </c>
      <c r="D11" s="2" t="inlineStr">
        <is>
          <t>MCQ</t>
        </is>
      </c>
      <c r="E11" s="3" t="inlineStr">
        <is>
          <t>3D Geometry</t>
        </is>
      </c>
      <c r="F11" s="2" t="n">
        <v>4</v>
      </c>
      <c r="G11" s="4" t="n">
        <v>2</v>
      </c>
      <c r="H11" s="4" t="inlineStr">
        <is>
          <t>Easier than Advanced</t>
        </is>
      </c>
      <c r="I11" s="5" t="n">
        <v>0</v>
      </c>
      <c r="J11" s="5" t="n">
        <v>0</v>
      </c>
      <c r="K11" s="5">
        <f>MIN(5,MAX(G11+I11,J11))</f>
        <v/>
      </c>
      <c r="L11" s="5">
        <f>F11*K11</f>
        <v/>
      </c>
      <c r="M11" s="3" t="inlineStr">
        <is>
          <t>Writing both lines in symmetric form and expanding the coplanarity determinant, whose zero rows leave a factored cubic.</t>
        </is>
      </c>
      <c r="N11" s="3" t="inlineStr">
        <is>
          <t>A direct formula with a determinant that is almost triangular; the only care is reading the symmetric forms. A single familiar move with light algebra, but multiple-correct format keeps it above 1. Comparable to 2024-P1-Q16 (L3, MTC) which is a heavier coplanarity item.</t>
        </is>
      </c>
      <c r="O11" s="3" t="inlineStr">
        <is>
          <t>2024-P1-Q16 (L3)</t>
        </is>
      </c>
      <c r="P11" s="2" t="inlineStr">
        <is>
          <t>Medium</t>
        </is>
      </c>
    </row>
    <row r="12">
      <c r="A12" s="2" t="n">
        <v>11</v>
      </c>
      <c r="B12" s="2" t="inlineStr"/>
      <c r="C12" s="2" t="inlineStr">
        <is>
          <t>Q11</t>
        </is>
      </c>
      <c r="D12" s="2" t="inlineStr">
        <is>
          <t>MTC SCQ</t>
        </is>
      </c>
      <c r="E12" s="3" t="inlineStr">
        <is>
          <t>3D Geometry</t>
        </is>
      </c>
      <c r="F12" s="2" t="n">
        <v>3</v>
      </c>
      <c r="G12" s="4" t="n">
        <v>2</v>
      </c>
      <c r="H12" s="4" t="inlineStr">
        <is>
          <t>Easier than Advanced</t>
        </is>
      </c>
      <c r="I12" s="5" t="n">
        <v>0</v>
      </c>
      <c r="J12" s="5" t="n">
        <v>0</v>
      </c>
      <c r="K12" s="5">
        <f>MIN(5,MAX(G12+I12,J12))</f>
        <v/>
      </c>
      <c r="L12" s="5">
        <f>F12*K12</f>
        <v/>
      </c>
      <c r="M12" s="3" t="inlineStr">
        <is>
          <t>Taking n1 x n2 as the normal and solving the two line equations for the common point.</t>
        </is>
      </c>
      <c r="N12" s="3" t="inlineStr">
        <is>
          <t>Three routine stages chained (cross product, intersection of two lines, plane equation), all textbook with no new idea and options that can be checked. Same flavour as the direct coplanar-lines matching question but with a longer chain, so Level 2 rather than 0.</t>
        </is>
      </c>
      <c r="O12" s="3" t="inlineStr">
        <is>
          <t>2024-P1-Q16 (L0)</t>
        </is>
      </c>
      <c r="P12" s="2" t="inlineStr">
        <is>
          <t>Medium</t>
        </is>
      </c>
    </row>
    <row r="13">
      <c r="A13" s="2" t="n">
        <v>12</v>
      </c>
      <c r="B13" s="2" t="inlineStr"/>
      <c r="C13" s="2" t="inlineStr">
        <is>
          <t>Q12</t>
        </is>
      </c>
      <c r="D13" s="2" t="inlineStr">
        <is>
          <t>MTC SCQ</t>
        </is>
      </c>
      <c r="E13" s="3" t="inlineStr">
        <is>
          <t>Vectors</t>
        </is>
      </c>
      <c r="F13" s="2" t="n">
        <v>3</v>
      </c>
      <c r="G13" s="4" t="n">
        <v>2</v>
      </c>
      <c r="H13" s="4" t="inlineStr">
        <is>
          <t>Easier than Advanced</t>
        </is>
      </c>
      <c r="I13" s="5" t="n">
        <v>0</v>
      </c>
      <c r="J13" s="5" t="n">
        <v>0</v>
      </c>
      <c r="K13" s="5">
        <f>MIN(5,MAX(G13+I13,J13))</f>
        <v/>
      </c>
      <c r="L13" s="5">
        <f>F13*K13</f>
        <v/>
      </c>
      <c r="M13" s="3" t="inlineStr">
        <is>
          <t>Scaling rules for triple product and cross product, plus the identity [a x b, b x c, c x a] = [a b c]^2.</t>
        </is>
      </c>
      <c r="N13" s="3" t="inlineStr">
        <is>
          <t>Four short direct computations using standard results (linearity of the triple product, one identity for part A, cross product expansion). No hidden idea, but four items to get right. Comparable to the other direct vector matching question 2025-P1-Q16 (L2).</t>
        </is>
      </c>
      <c r="O13" s="3" t="inlineStr">
        <is>
          <t>2025-P1-Q16 (L2)</t>
        </is>
      </c>
      <c r="P13" s="2" t="inlineStr">
        <is>
          <t>Medium</t>
        </is>
      </c>
    </row>
    <row r="14">
      <c r="A14" s="2" t="n">
        <v>13</v>
      </c>
      <c r="B14" s="2" t="inlineStr"/>
      <c r="C14" s="2" t="inlineStr">
        <is>
          <t>Q13</t>
        </is>
      </c>
      <c r="D14" s="2" t="inlineStr">
        <is>
          <t>MCQ</t>
        </is>
      </c>
      <c r="E14" s="3" t="inlineStr">
        <is>
          <t>Vectors</t>
        </is>
      </c>
      <c r="F14" s="2" t="n">
        <v>4</v>
      </c>
      <c r="G14" s="6" t="n">
        <v>3</v>
      </c>
      <c r="H14" s="6" t="inlineStr">
        <is>
          <t>Average Advanced</t>
        </is>
      </c>
      <c r="I14" s="5" t="n">
        <v>0</v>
      </c>
      <c r="J14" s="5" t="n">
        <v>0</v>
      </c>
      <c r="K14" s="5">
        <f>MIN(5,MAX(G14+I14,J14))</f>
        <v/>
      </c>
      <c r="L14" s="5">
        <f>F14*K14</f>
        <v/>
      </c>
      <c r="M14" s="3" t="inlineStr">
        <is>
          <t>Writing a as a multiple of x x (y x z) = y - z using the BAC-CAB rule and the given dot products.</t>
        </is>
      </c>
      <c r="N14" s="3" t="inlineStr">
        <is>
          <t>One standard identity gives a and b, but four statements each need a short algebraic check, including the sign in (D) and the dot product in (C), with no options to shortcut. Same demand as the multi-statement implication question 2026-P1-Q7 (L3).</t>
        </is>
      </c>
      <c r="O14" s="3" t="inlineStr">
        <is>
          <t>2026-P1-Q7 (L3)</t>
        </is>
      </c>
      <c r="P14" s="2" t="inlineStr">
        <is>
          <t>Medium</t>
        </is>
      </c>
    </row>
    <row r="15">
      <c r="A15" s="2" t="n">
        <v>14</v>
      </c>
      <c r="B15" s="2" t="inlineStr"/>
      <c r="C15" s="2" t="inlineStr">
        <is>
          <t>Q14</t>
        </is>
      </c>
      <c r="D15" s="2" t="inlineStr">
        <is>
          <t>INT</t>
        </is>
      </c>
      <c r="E15" s="3" t="inlineStr">
        <is>
          <t>Vectors</t>
        </is>
      </c>
      <c r="F15" s="2" t="n">
        <v>4</v>
      </c>
      <c r="G15" s="6" t="n">
        <v>3</v>
      </c>
      <c r="H15" s="6" t="inlineStr">
        <is>
          <t>Average Advanced</t>
        </is>
      </c>
      <c r="I15" s="5" t="n">
        <v>0</v>
      </c>
      <c r="J15" s="5" t="n">
        <v>0</v>
      </c>
      <c r="K15" s="5">
        <f>MIN(5,MAX(G15+I15,J15))</f>
        <v/>
      </c>
      <c r="L15" s="5">
        <f>F15*K15</f>
        <v/>
      </c>
      <c r="M15" s="3" t="inlineStr">
        <is>
          <t>Dotting with a, b, c to turn the vector relation into a linear system, using the Gram determinant for the triple product.</t>
        </is>
      </c>
      <c r="N15" s="3" t="inlineStr">
        <is>
          <t>Needs the idea of dotting with each basis vector and the value of the scalar triple product via Gram determinant; the final linear algebra is short but the integer answer has no options to check. Same demand as the unit-vector triple product question 2021-P1-Q19 (L3).</t>
        </is>
      </c>
      <c r="O15" s="3" t="inlineStr">
        <is>
          <t>2021-P1-Q19 (L3)</t>
        </is>
      </c>
      <c r="P15" s="2" t="inlineStr">
        <is>
          <t>Medium</t>
        </is>
      </c>
    </row>
    <row r="16">
      <c r="A16" s="2" t="n">
        <v>15</v>
      </c>
      <c r="B16" s="2" t="inlineStr"/>
      <c r="C16" s="2" t="inlineStr">
        <is>
          <t>Q15</t>
        </is>
      </c>
      <c r="D16" s="2" t="inlineStr">
        <is>
          <t>MTC SCQ</t>
        </is>
      </c>
      <c r="E16" s="3" t="inlineStr">
        <is>
          <t>Vectors</t>
        </is>
      </c>
      <c r="F16" s="2" t="n">
        <v>3</v>
      </c>
      <c r="G16" s="6" t="n">
        <v>3</v>
      </c>
      <c r="H16" s="6" t="inlineStr">
        <is>
          <t>Average Advanced</t>
        </is>
      </c>
      <c r="I16" s="5" t="n">
        <v>0</v>
      </c>
      <c r="J16" s="5" t="n">
        <v>0</v>
      </c>
      <c r="K16" s="5">
        <f>MIN(5,MAX(G16+I16,J16))</f>
        <v/>
      </c>
      <c r="L16" s="5">
        <f>F16*K16</f>
        <v/>
      </c>
      <c r="M16" s="3" t="inlineStr">
        <is>
          <t>Spotting the Chebyshev-type ODE in A and the |tan|=1 condition in B, then three short checks.</t>
        </is>
      </c>
      <c r="N16" s="3" t="inlineStr">
        <is>
          <t>Four independent mini-problems from different chapters (differentiation, polygon vectors, ellipse normal, inverse tangent equation), each a short standard computation; part B needs the polygon dot and cross sums and an integer condition. Options allow some elimination. Close to the four-conic-items matching question 2026-P1-Q16 (L3).</t>
        </is>
      </c>
      <c r="O16" s="3" t="inlineStr">
        <is>
          <t>2026-P1-Q16 (L3)</t>
        </is>
      </c>
      <c r="P16" s="2" t="inlineStr">
        <is>
          <t>Medium</t>
        </is>
      </c>
    </row>
    <row r="17">
      <c r="A17" s="2" t="n">
        <v>16</v>
      </c>
      <c r="B17" s="2" t="inlineStr"/>
      <c r="C17" s="2" t="inlineStr">
        <is>
          <t>Q16</t>
        </is>
      </c>
      <c r="D17" s="2" t="inlineStr">
        <is>
          <t>MCQ</t>
        </is>
      </c>
      <c r="E17" s="3" t="inlineStr">
        <is>
          <t>3D Geometry</t>
        </is>
      </c>
      <c r="F17" s="2" t="n">
        <v>4</v>
      </c>
      <c r="G17" s="4" t="n">
        <v>2</v>
      </c>
      <c r="H17" s="4" t="inlineStr">
        <is>
          <t>Easier than Advanced</t>
        </is>
      </c>
      <c r="I17" s="5" t="n">
        <v>0</v>
      </c>
      <c r="J17" s="5" t="n">
        <v>0</v>
      </c>
      <c r="K17" s="5">
        <f>MIN(5,MAX(G17+I17,J17))</f>
        <v/>
      </c>
      <c r="L17" s="5">
        <f>F17*K17</f>
        <v/>
      </c>
      <c r="M17" s="3" t="inlineStr">
        <is>
          <t>Finding both feet from the perpendicularity conditions and rejecting lambda = 1 because P lies on the line.</t>
        </is>
      </c>
      <c r="N17" s="3" t="inlineStr">
        <is>
          <t>Two routine foot-of-perpendicular computations, then a dot product; the only trap is rejecting lambda = 1 when P is on the line. No new idea. Same demand as the multi-step vector chain 2026-P2-Q1 (L2).</t>
        </is>
      </c>
      <c r="O17" s="3" t="inlineStr">
        <is>
          <t>2026-P2-Q1 (L2)</t>
        </is>
      </c>
      <c r="P17" s="2" t="inlineStr">
        <is>
          <t>Medium</t>
        </is>
      </c>
    </row>
    <row r="18">
      <c r="A18" s="2" t="n">
        <v>17</v>
      </c>
      <c r="B18" s="2" t="inlineStr"/>
      <c r="C18" s="2" t="inlineStr">
        <is>
          <t>Q17</t>
        </is>
      </c>
      <c r="D18" s="2" t="inlineStr">
        <is>
          <t>INT</t>
        </is>
      </c>
      <c r="E18" s="3" t="inlineStr">
        <is>
          <t>Vectors</t>
        </is>
      </c>
      <c r="F18" s="2" t="n">
        <v>4</v>
      </c>
      <c r="G18" s="7" t="n">
        <v>1</v>
      </c>
      <c r="H18" s="7" t="inlineStr">
        <is>
          <t>JEE Main level</t>
        </is>
      </c>
      <c r="I18" s="5" t="n">
        <v>0</v>
      </c>
      <c r="J18" s="5" t="n">
        <v>0</v>
      </c>
      <c r="K18" s="5">
        <f>MIN(5,MAX(G18+I18,J18))</f>
        <v/>
      </c>
      <c r="L18" s="5">
        <f>F18*K18</f>
        <v/>
      </c>
      <c r="M18" s="3" t="inlineStr">
        <is>
          <t>Reading 'component along' as coefficient in the decomposition and equating coefficients in the two bases.</t>
        </is>
      </c>
      <c r="N18" s="3" t="inlineStr">
        <is>
          <t>One familiar move: equate coefficients in two bases and solve a short 3x3 linear system. The only snag is the wording of component. Very direct, like the basis-expansion question 2024-P2-Q11 (L0), but with a little more algebra, so Level 1.</t>
        </is>
      </c>
      <c r="O18" s="3" t="inlineStr">
        <is>
          <t>2024-P2-Q11 (L0)</t>
        </is>
      </c>
      <c r="P18" s="2" t="inlineStr">
        <is>
          <t>Medium</t>
        </is>
      </c>
    </row>
    <row r="19">
      <c r="A19" s="2" t="n">
        <v>18</v>
      </c>
      <c r="B19" s="2" t="inlineStr"/>
      <c r="C19" s="2" t="inlineStr">
        <is>
          <t>Q18</t>
        </is>
      </c>
      <c r="D19" s="2" t="inlineStr">
        <is>
          <t>MCQ</t>
        </is>
      </c>
      <c r="E19" s="3" t="inlineStr">
        <is>
          <t>Vectors</t>
        </is>
      </c>
      <c r="F19" s="2" t="n">
        <v>4</v>
      </c>
      <c r="G19" s="4" t="n">
        <v>2</v>
      </c>
      <c r="H19" s="4" t="inlineStr">
        <is>
          <t>Easier than Advanced</t>
        </is>
      </c>
      <c r="I19" s="5" t="n">
        <v>0</v>
      </c>
      <c r="J19" s="5" t="n">
        <v>0</v>
      </c>
      <c r="K19" s="5">
        <f>MIN(5,MAX(G19+I19,J19))</f>
        <v/>
      </c>
      <c r="L19" s="5">
        <f>F19*K19</f>
        <v/>
      </c>
      <c r="M19" s="3" t="inlineStr">
        <is>
          <t>Using a + b + c = 0 to get |c|, a.b and a x b = c x a.</t>
        </is>
      </c>
      <c r="N19" s="3" t="inlineStr">
        <is>
          <t>Every statement follows from one relation a+b+c=0 and standard dot and cross product identities; four short checks, no real insight. Comparable to the vector products MCQ 2021-P2-Q5 (L2).</t>
        </is>
      </c>
      <c r="O19" s="3" t="inlineStr">
        <is>
          <t>2021-P2-Q5 (L2)</t>
        </is>
      </c>
      <c r="P19" s="2" t="inlineStr">
        <is>
          <t>High</t>
        </is>
      </c>
    </row>
    <row r="20">
      <c r="A20" s="2" t="n">
        <v>19</v>
      </c>
      <c r="B20" s="2" t="inlineStr"/>
      <c r="C20" s="2" t="inlineStr">
        <is>
          <t>Q19</t>
        </is>
      </c>
      <c r="D20" s="2" t="inlineStr">
        <is>
          <t>MCQ</t>
        </is>
      </c>
      <c r="E20" s="3" t="inlineStr">
        <is>
          <t>3D Geometry</t>
        </is>
      </c>
      <c r="F20" s="2" t="n">
        <v>4</v>
      </c>
      <c r="G20" s="4" t="n">
        <v>2</v>
      </c>
      <c r="H20" s="4" t="inlineStr">
        <is>
          <t>Easier than Advanced</t>
        </is>
      </c>
      <c r="I20" s="5" t="n">
        <v>0</v>
      </c>
      <c r="J20" s="5" t="n">
        <v>0</v>
      </c>
      <c r="K20" s="5">
        <f>MIN(5,MAX(G20+I20,J20))</f>
        <v/>
      </c>
      <c r="L20" s="5">
        <f>F20*K20</f>
        <v/>
      </c>
      <c r="M20" s="3" t="inlineStr">
        <is>
          <t>Using the pencil of planes through P1 and P2 and fixing lambda from the distance of (0,1,0).</t>
        </is>
      </c>
      <c r="N20" s="3" t="inlineStr">
        <is>
          <t>Pencil of planes, one distance equation, then a modulus giving two cases; short, routine and standard in coaching. Option reading is easy once P3 is known. Similar to the plane-through-intersection question 2024-P2-Q6 (L1) but with two distance conditions, so Level 2.</t>
        </is>
      </c>
      <c r="O20" s="3" t="inlineStr">
        <is>
          <t>2024-P2-Q6 (L1)</t>
        </is>
      </c>
      <c r="P20" s="2" t="inlineStr">
        <is>
          <t>Medium</t>
        </is>
      </c>
    </row>
    <row r="21">
      <c r="A21" s="2" t="n">
        <v>20</v>
      </c>
      <c r="B21" s="2" t="inlineStr"/>
      <c r="C21" s="2" t="inlineStr">
        <is>
          <t>Q20</t>
        </is>
      </c>
      <c r="D21" s="2" t="inlineStr">
        <is>
          <t>MCQ</t>
        </is>
      </c>
      <c r="E21" s="3" t="inlineStr">
        <is>
          <t>3D Geometry</t>
        </is>
      </c>
      <c r="F21" s="2" t="n">
        <v>4</v>
      </c>
      <c r="G21" s="6" t="n">
        <v>3</v>
      </c>
      <c r="H21" s="6" t="inlineStr">
        <is>
          <t>Average Advanced</t>
        </is>
      </c>
      <c r="I21" s="5" t="n">
        <v>0</v>
      </c>
      <c r="J21" s="5" t="n">
        <v>0</v>
      </c>
      <c r="K21" s="5">
        <f>MIN(5,MAX(G21+I21,J21))</f>
        <v/>
      </c>
      <c r="L21" s="5">
        <f>F21*K21</f>
        <v/>
      </c>
      <c r="M21" s="3" t="inlineStr">
        <is>
          <t>Recognising that constant distance means L is parallel to both planes, so its direction is n1 x n2, and then tracing the feet.</t>
        </is>
      </c>
      <c r="N21" s="3" t="inlineStr">
        <is>
          <t>Needs the parallel-to-both-planes reading, a foot-of-perpendicular computation for a general point and a locus test on four points; each stage is routine but the chain is longer than a plain foot calculation. Close to the planes MCQ 2026-P1-Q6 (L3).</t>
        </is>
      </c>
      <c r="O21" s="3" t="inlineStr">
        <is>
          <t>2026-P1-Q6 (L3)</t>
        </is>
      </c>
      <c r="P21" s="2" t="inlineStr">
        <is>
          <t>Medium</t>
        </is>
      </c>
    </row>
    <row r="22">
      <c r="A22" s="2" t="n">
        <v>21</v>
      </c>
      <c r="B22" s="2" t="inlineStr"/>
      <c r="C22" s="2" t="inlineStr">
        <is>
          <t>Q21</t>
        </is>
      </c>
      <c r="D22" s="2" t="inlineStr">
        <is>
          <t>MCQ</t>
        </is>
      </c>
      <c r="E22" s="3" t="inlineStr">
        <is>
          <t>Vectors</t>
        </is>
      </c>
      <c r="F22" s="2" t="n">
        <v>4</v>
      </c>
      <c r="G22" s="6" t="n">
        <v>3</v>
      </c>
      <c r="H22" s="6" t="inlineStr">
        <is>
          <t>Average Advanced</t>
        </is>
      </c>
      <c r="I22" s="5" t="n">
        <v>0</v>
      </c>
      <c r="J22" s="5" t="n">
        <v>0</v>
      </c>
      <c r="K22" s="5">
        <f>MIN(5,MAX(G22+I22,J22))</f>
        <v/>
      </c>
      <c r="L22" s="5">
        <f>F22*K22</f>
        <v/>
      </c>
      <c r="M22" s="3" t="inlineStr">
        <is>
          <t>Reading hat-w dot (hat-u cross v) = 1 with unit vectors as an equality case, so that hat-u cross v equals hat-w and u is perpendicular to w; then four short checks.</t>
        </is>
      </c>
      <c r="N22" s="3" t="inlineStr">
        <is>
          <t>The decisive idea is the equality case in the triple product, which is practised but not instant; once seen, each statement is one line. One-or-more-correct format with no options to cross-check nudges it up from the routine vector questions such as 2021-P2-Q5 (L2).</t>
        </is>
      </c>
      <c r="O22" s="3" t="inlineStr">
        <is>
          <t>2026-P1-Q6 (L3)</t>
        </is>
      </c>
      <c r="P22" s="2" t="inlineStr">
        <is>
          <t>Medium</t>
        </is>
      </c>
    </row>
    <row r="23">
      <c r="A23" s="2" t="n">
        <v>22</v>
      </c>
      <c r="B23" s="2" t="inlineStr"/>
      <c r="C23" s="2" t="inlineStr">
        <is>
          <t>Q22</t>
        </is>
      </c>
      <c r="D23" s="2" t="inlineStr">
        <is>
          <t>MCQ</t>
        </is>
      </c>
      <c r="E23" s="3" t="inlineStr">
        <is>
          <t>3D Geometry</t>
        </is>
      </c>
      <c r="F23" s="2" t="n">
        <v>4</v>
      </c>
      <c r="G23" s="6" t="n">
        <v>3</v>
      </c>
      <c r="H23" s="6" t="inlineStr">
        <is>
          <t>Average Advanced</t>
        </is>
      </c>
      <c r="I23" s="5" t="n">
        <v>0</v>
      </c>
      <c r="J23" s="5" t="n">
        <v>2.5</v>
      </c>
      <c r="K23" s="5">
        <f>MIN(5,MAX(G23+I23,J23))</f>
        <v/>
      </c>
      <c r="L23" s="5">
        <f>F23*K23</f>
        <v/>
      </c>
      <c r="M23" s="3" t="inlineStr">
        <is>
          <t>Setting up S = (3/2, 3/2, 3) and then running four independent standard computations: angle between lines, plane through O, Q, S, point-plane distance, point-line distance.</t>
        </is>
      </c>
      <c r="N23" s="3" t="inlineStr">
        <is>
          <t>Setup is easy but four statements each need a correct computation (the last needs the point-to-line formula in 3D) and the one-or-more format gives no option to check against. Comparable to 2026-P1-Q6 (L3), a routine multi-statement planes question.</t>
        </is>
      </c>
      <c r="O23" s="3" t="inlineStr">
        <is>
          <t>2026-P1-Q6 (L3)</t>
        </is>
      </c>
      <c r="P23" s="2" t="inlineStr">
        <is>
          <t>Medium</t>
        </is>
      </c>
    </row>
    <row r="24">
      <c r="A24" s="2" t="n">
        <v>23</v>
      </c>
      <c r="B24" s="2" t="inlineStr"/>
      <c r="C24" s="2" t="inlineStr">
        <is>
          <t>Q23</t>
        </is>
      </c>
      <c r="D24" s="2" t="inlineStr">
        <is>
          <t>SCQ</t>
        </is>
      </c>
      <c r="E24" s="3" t="inlineStr">
        <is>
          <t>3D Geometry</t>
        </is>
      </c>
      <c r="F24" s="2" t="n">
        <v>4</v>
      </c>
      <c r="G24" s="4" t="n">
        <v>2</v>
      </c>
      <c r="H24" s="4" t="inlineStr">
        <is>
          <t>Easier than Advanced</t>
        </is>
      </c>
      <c r="I24" s="5" t="n">
        <v>0</v>
      </c>
      <c r="J24" s="5" t="n">
        <v>0</v>
      </c>
      <c r="K24" s="5">
        <f>MIN(5,MAX(G24+I24,J24))</f>
        <v/>
      </c>
      <c r="L24" s="5">
        <f>F24*K24</f>
        <v/>
      </c>
      <c r="M24" s="3" t="inlineStr">
        <is>
          <t>Reflecting the point to get P = (-1,5,3), then seeing that the line passes through the origin so the plane contains O and P with normal OP cross the direction.</t>
        </is>
      </c>
      <c r="N24" s="3" t="inlineStr">
        <is>
          <t>Three routine stages (image, normal by cross product, constant by the origin) with no unfamiliar idea. Same kind of chained plane work as 2026-P2-Q1 (L2); an option list lets the student verify.</t>
        </is>
      </c>
      <c r="O24" s="3" t="inlineStr">
        <is>
          <t>2026-P2-Q1 (L2)</t>
        </is>
      </c>
      <c r="P24" s="2" t="inlineStr">
        <is>
          <t>High</t>
        </is>
      </c>
    </row>
    <row r="25">
      <c r="A25" s="2" t="n">
        <v>24</v>
      </c>
      <c r="B25" s="2" t="inlineStr"/>
      <c r="C25" s="2" t="inlineStr">
        <is>
          <t>Q24</t>
        </is>
      </c>
      <c r="D25" s="2" t="inlineStr">
        <is>
          <t>SCQ</t>
        </is>
      </c>
      <c r="E25" s="3" t="inlineStr">
        <is>
          <t>Vectors</t>
        </is>
      </c>
      <c r="F25" s="2" t="n">
        <v>4</v>
      </c>
      <c r="G25" s="7" t="n">
        <v>1</v>
      </c>
      <c r="H25" s="7" t="inlineStr">
        <is>
          <t>JEE Main level</t>
        </is>
      </c>
      <c r="I25" s="5" t="n">
        <v>0</v>
      </c>
      <c r="J25" s="5" t="n">
        <v>0</v>
      </c>
      <c r="K25" s="5">
        <f>MIN(5,MAX(G25+I25,J25))</f>
        <v/>
      </c>
      <c r="L25" s="5">
        <f>F25*K25</f>
        <v/>
      </c>
      <c r="M25" s="3" t="inlineStr">
        <is>
          <t>Rearranging the equal dot-product sums into (p minus s) dot (q minus r) = 0, which says S lies on an altitude.</t>
        </is>
      </c>
      <c r="N25" s="3" t="inlineStr">
        <is>
          <t>One familiar manipulation (a known orthocentre vector criterion), though it needs a moment to see; options make a quick elimination possible. Like 2023-P2-Q4 (L1), a short vector-geometry recognition.</t>
        </is>
      </c>
      <c r="O25" s="3" t="inlineStr">
        <is>
          <t>2023-P2-Q4 (L1)</t>
        </is>
      </c>
      <c r="P25" s="2" t="inlineStr">
        <is>
          <t>Medium</t>
        </is>
      </c>
    </row>
    <row r="26">
      <c r="A26" s="2" t="n">
        <v>25</v>
      </c>
      <c r="B26" s="2" t="inlineStr"/>
      <c r="C26" s="2" t="inlineStr">
        <is>
          <t>Q25</t>
        </is>
      </c>
      <c r="D26" s="2" t="inlineStr">
        <is>
          <t>Para SCQ</t>
        </is>
      </c>
      <c r="E26" s="3" t="inlineStr">
        <is>
          <t>Vectors</t>
        </is>
      </c>
      <c r="F26" s="2" t="n">
        <v>3</v>
      </c>
      <c r="G26" s="4" t="n">
        <v>2</v>
      </c>
      <c r="H26" s="4" t="inlineStr">
        <is>
          <t>Easier than Advanced</t>
        </is>
      </c>
      <c r="I26" s="5" t="n">
        <v>0</v>
      </c>
      <c r="J26" s="5" t="n">
        <v>0</v>
      </c>
      <c r="K26" s="5">
        <f>MIN(5,MAX(G26+I26,J26))</f>
        <v/>
      </c>
      <c r="L26" s="5">
        <f>F26*K26</f>
        <v/>
      </c>
      <c r="M26" s="3" t="inlineStr">
        <is>
          <t>Noticing that QR and RP are head-to-tail, so the angle between the unit vectors is pi minus R, and then sin(pi - R) = sin(P+Q).</t>
        </is>
      </c>
      <c r="N26" s="3" t="inlineStr">
        <is>
          <t>One short vector-to-trigonometry translation; the only trap is the exterior-angle sign, and the pi-minus-angle identity finishes it. Paragraph format usually rates higher but this part is a single step, so about 2L like 2026-P2-Q1 (L2).</t>
        </is>
      </c>
      <c r="O26" s="3" t="inlineStr">
        <is>
          <t>2026-P2-Q1 (L2)</t>
        </is>
      </c>
      <c r="P26" s="2" t="inlineStr">
        <is>
          <t>Medium</t>
        </is>
      </c>
    </row>
    <row r="27">
      <c r="A27" s="2" t="n">
        <v>26</v>
      </c>
      <c r="B27" s="2" t="inlineStr"/>
      <c r="C27" s="2" t="inlineStr">
        <is>
          <t>Q26</t>
        </is>
      </c>
      <c r="D27" s="2" t="inlineStr">
        <is>
          <t>Para SCQ</t>
        </is>
      </c>
      <c r="E27" s="3" t="inlineStr">
        <is>
          <t>Vectors</t>
        </is>
      </c>
      <c r="F27" s="2" t="n">
        <v>3</v>
      </c>
      <c r="G27" s="7" t="n">
        <v>1</v>
      </c>
      <c r="H27" s="7" t="inlineStr">
        <is>
          <t>JEE Main level</t>
        </is>
      </c>
      <c r="I27" s="5" t="n">
        <v>0</v>
      </c>
      <c r="J27" s="5" t="n">
        <v>0</v>
      </c>
      <c r="K27" s="5">
        <f>MIN(5,MAX(G27+I27,J27))</f>
        <v/>
      </c>
      <c r="L27" s="5">
        <f>F27*K27</f>
        <v/>
      </c>
      <c r="M27" s="3" t="inlineStr">
        <is>
          <t>Converting each cosine of a pair-sum into minus cosine of the third angle, then using the known maximum 3/2 of the cosine sum of a triangle.</t>
        </is>
      </c>
      <c r="N27" s="3" t="inlineStr">
        <is>
          <t>A single standard result (maximum of the cosine sum in a triangle) after one identity. It is a pure trigonometry fact in a vector paragraph, and the option -3/2 is the well-known value. Comparable to one-step anchors such as 2025-P1-Q7 (L1).</t>
        </is>
      </c>
      <c r="O27" s="3" t="inlineStr">
        <is>
          <t>2025-P1-Q7 (L1)</t>
        </is>
      </c>
      <c r="P27" s="2" t="inlineStr">
        <is>
          <t>Medium</t>
        </is>
      </c>
    </row>
    <row r="28">
      <c r="A28" s="2" t="n">
        <v>27</v>
      </c>
      <c r="B28" s="2" t="inlineStr"/>
      <c r="C28" s="2" t="inlineStr">
        <is>
          <t>Q27</t>
        </is>
      </c>
      <c r="D28" s="2" t="inlineStr">
        <is>
          <t>SCQ</t>
        </is>
      </c>
      <c r="E28" s="3" t="inlineStr">
        <is>
          <t>3D Geometry</t>
        </is>
      </c>
      <c r="F28" s="2" t="n">
        <v>4</v>
      </c>
      <c r="G28" s="7" t="n">
        <v>1</v>
      </c>
      <c r="H28" s="7" t="inlineStr">
        <is>
          <t>JEE Main level</t>
        </is>
      </c>
      <c r="I28" s="5" t="n">
        <v>0</v>
      </c>
      <c r="J28" s="5" t="n">
        <v>0</v>
      </c>
      <c r="K28" s="5">
        <f>MIN(5,MAX(G28+I28,J28))</f>
        <v/>
      </c>
      <c r="L28" s="5">
        <f>F28*K28</f>
        <v/>
      </c>
      <c r="M28" s="3" t="inlineStr">
        <is>
          <t>Taking the cross product of the two given normals as the normal of the required plane.</t>
        </is>
      </c>
      <c r="N28" s="3" t="inlineStr">
        <is>
          <t>A single standard formula, one cross product and substitution of the point, with no decision to make. Direct application like 2024-P2-Q11 (L0) and 2023-P2-Q4 (L1); rated 1 because a determinant and the final constant still have to be done accurately.</t>
        </is>
      </c>
      <c r="O28" s="3" t="inlineStr">
        <is>
          <t>2023-P2-Q4 (L1)</t>
        </is>
      </c>
      <c r="P28" s="2" t="inlineStr">
        <is>
          <t>High</t>
        </is>
      </c>
    </row>
    <row r="29">
      <c r="A29" s="2" t="n">
        <v>28</v>
      </c>
      <c r="B29" s="2" t="inlineStr"/>
      <c r="C29" s="2" t="inlineStr">
        <is>
          <t>Q28</t>
        </is>
      </c>
      <c r="D29" s="2" t="inlineStr">
        <is>
          <t>Numerical</t>
        </is>
      </c>
      <c r="E29" s="3" t="inlineStr">
        <is>
          <t>Vectors</t>
        </is>
      </c>
      <c r="F29" s="2" t="n">
        <v>4</v>
      </c>
      <c r="G29" s="4" t="n">
        <v>2</v>
      </c>
      <c r="H29" s="4" t="inlineStr">
        <is>
          <t>Easier than Advanced</t>
        </is>
      </c>
      <c r="I29" s="5" t="n">
        <v>0</v>
      </c>
      <c r="J29" s="5" t="n">
        <v>0</v>
      </c>
      <c r="K29" s="5">
        <f>MIN(5,MAX(G29+I29,J29))</f>
        <v/>
      </c>
      <c r="L29" s="5">
        <f>F29*K29</f>
        <v/>
      </c>
      <c r="M29" s="3" t="inlineStr">
        <is>
          <t>Recognising a, b, a cross b as an orthonormal triad so that x and y are dot products and the squared length splits.</t>
        </is>
      </c>
      <c r="N29" s="3" t="inlineStr">
        <is>
          <t>Two or three short steps after one familiar basis idea; numerical format removes options but the algebra is minimal. Close to 2024-P2-Q11 (L0) in demand, with a little more chain and no options, so Level 2.</t>
        </is>
      </c>
      <c r="O29" s="3" t="inlineStr">
        <is>
          <t>2024-P2-Q11 (L0)</t>
        </is>
      </c>
      <c r="P29" s="2" t="inlineStr">
        <is>
          <t>Medium</t>
        </is>
      </c>
    </row>
    <row r="30">
      <c r="A30" s="2" t="n">
        <v>29</v>
      </c>
      <c r="B30" s="2" t="inlineStr"/>
      <c r="C30" s="2" t="inlineStr">
        <is>
          <t>Q29</t>
        </is>
      </c>
      <c r="D30" s="2" t="inlineStr">
        <is>
          <t>Numerical</t>
        </is>
      </c>
      <c r="E30" s="3" t="inlineStr">
        <is>
          <t>Vectors</t>
        </is>
      </c>
      <c r="F30" s="2" t="n">
        <v>4</v>
      </c>
      <c r="G30" s="4" t="n">
        <v>2</v>
      </c>
      <c r="H30" s="4" t="inlineStr">
        <is>
          <t>Easier than Advanced</t>
        </is>
      </c>
      <c r="I30" s="5" t="n">
        <v>0</v>
      </c>
      <c r="J30" s="5" t="n">
        <v>0</v>
      </c>
      <c r="K30" s="5">
        <f>MIN(5,MAX(G30+I30,J30))</f>
        <v/>
      </c>
      <c r="L30" s="5">
        <f>F30*K30</f>
        <v/>
      </c>
      <c r="M30" s="3" t="inlineStr">
        <is>
          <t>Writing the four vectors from the cube's centre as half of (plus or minus 1, plus or minus 1, plus or minus 1) and then carrying out three cross products exactly.</t>
        </is>
      </c>
      <c r="N30" s="3" t="inlineStr">
        <is>
          <t>No unfamiliar idea; the work is three exact cross products with fractions and signs, with no options to check. A routine chained vector computation, similar in demand to 2026-P2-Q1 (L2), but with a numerical-answer slip risk.</t>
        </is>
      </c>
      <c r="O30" s="3" t="inlineStr">
        <is>
          <t>2026-P2-Q1 (L2)</t>
        </is>
      </c>
      <c r="P30" s="2" t="inlineStr">
        <is>
          <t>Medium</t>
        </is>
      </c>
    </row>
    <row r="31">
      <c r="A31" s="2" t="n">
        <v>30</v>
      </c>
      <c r="B31" s="2" t="inlineStr"/>
      <c r="C31" s="2" t="inlineStr">
        <is>
          <t>Q30</t>
        </is>
      </c>
      <c r="D31" s="2" t="inlineStr">
        <is>
          <t>MCQ</t>
        </is>
      </c>
      <c r="E31" s="3" t="inlineStr">
        <is>
          <t>3D Geometry</t>
        </is>
      </c>
      <c r="F31" s="2" t="n">
        <v>4</v>
      </c>
      <c r="G31" s="4" t="n">
        <v>2</v>
      </c>
      <c r="H31" s="4" t="inlineStr">
        <is>
          <t>Easier than Advanced</t>
        </is>
      </c>
      <c r="I31" s="5" t="n">
        <v>0</v>
      </c>
      <c r="J31" s="5" t="n">
        <v>2.5</v>
      </c>
      <c r="K31" s="5">
        <f>MIN(5,MAX(G31+I31,J31))</f>
        <v/>
      </c>
      <c r="L31" s="5">
        <f>F31*K31</f>
        <v/>
      </c>
      <c r="M31" s="3" t="inlineStr">
        <is>
          <t>Getting the direction of the intersection line from the cross product of normals and using it to settle (A), (B) and (D); the angle in (C) is routine.</t>
        </is>
      </c>
      <c r="N31" s="3" t="inlineStr">
        <is>
          <t>Four independent routine checks on two planes with no unfamiliar idea; the only trap is normalising the line in (B). Standard fare like 2025-P1-Q5 (L3) but with lighter statements, so Level 2 before the multi-correct floor.</t>
        </is>
      </c>
      <c r="O31" s="3" t="inlineStr">
        <is>
          <t>2025-P1-Q5 (L3)</t>
        </is>
      </c>
      <c r="P31" s="2" t="inlineStr">
        <is>
          <t>Medium</t>
        </is>
      </c>
    </row>
    <row r="32">
      <c r="A32" s="2" t="n">
        <v>31</v>
      </c>
      <c r="B32" s="2" t="inlineStr"/>
      <c r="C32" s="2" t="inlineStr">
        <is>
          <t>Q31</t>
        </is>
      </c>
      <c r="D32" s="2" t="inlineStr">
        <is>
          <t>Numerical</t>
        </is>
      </c>
      <c r="E32" s="3" t="inlineStr">
        <is>
          <t>3D Geometry</t>
        </is>
      </c>
      <c r="F32" s="2" t="n">
        <v>4</v>
      </c>
      <c r="G32" s="4" t="n">
        <v>2</v>
      </c>
      <c r="H32" s="4" t="inlineStr">
        <is>
          <t>Easier than Advanced</t>
        </is>
      </c>
      <c r="I32" s="5" t="n">
        <v>0</v>
      </c>
      <c r="J32" s="5" t="n">
        <v>0</v>
      </c>
      <c r="K32" s="5">
        <f>MIN(5,MAX(G32+I32,J32))</f>
        <v/>
      </c>
      <c r="L32" s="5">
        <f>F32*K32</f>
        <v/>
      </c>
      <c r="M32" s="3" t="inlineStr">
        <is>
          <t>Image of (x,y,z) in x+y=3 is (3-y,3-x,z), so the z-axis condition gives x=y=3.</t>
        </is>
      </c>
      <c r="N32" s="3" t="inlineStr">
        <is>
          <t>Two short routine stages (reflection in a plane, distance from an axis) with no hidden idea. Same family as 2023-P2-Q4 but with a numerical answer and one more step, so Level 2 rather than 1.</t>
        </is>
      </c>
      <c r="O32" s="3" t="inlineStr">
        <is>
          <t>2023-P2-Q4 (L1)</t>
        </is>
      </c>
      <c r="P32" s="2" t="inlineStr">
        <is>
          <t>Medium</t>
        </is>
      </c>
    </row>
    <row r="33">
      <c r="A33" s="2" t="n">
        <v>32</v>
      </c>
      <c r="B33" s="2" t="inlineStr"/>
      <c r="C33" s="2" t="inlineStr">
        <is>
          <t>Q32</t>
        </is>
      </c>
      <c r="D33" s="2" t="inlineStr">
        <is>
          <t>MCQ</t>
        </is>
      </c>
      <c r="E33" s="3" t="inlineStr">
        <is>
          <t>3D Geometry</t>
        </is>
      </c>
      <c r="F33" s="2" t="n">
        <v>4</v>
      </c>
      <c r="G33" s="4" t="n">
        <v>2</v>
      </c>
      <c r="H33" s="4" t="inlineStr">
        <is>
          <t>Easier than Advanced</t>
        </is>
      </c>
      <c r="I33" s="5" t="n">
        <v>0</v>
      </c>
      <c r="J33" s="5" t="n">
        <v>0</v>
      </c>
      <c r="K33" s="5">
        <f>MIN(5,MAX(G33+I33,J33))</f>
        <v/>
      </c>
      <c r="L33" s="5">
        <f>F33*K33</f>
        <v/>
      </c>
      <c r="M33" s="3" t="inlineStr">
        <is>
          <t>Common perpendicular: P,Q from two perpendicularity equations, direction a cross b, then match the four options.</t>
        </is>
      </c>
      <c r="N33" s="3" t="inlineStr">
        <is>
          <t>Standard skew-lines common perpendicular, solved by two linear equations and checking four options by points. Several routine steps, no new idea, but four statements to test. Close to 2024-P2-Q6 (L1) and 2021-P2-Q5 (L2).</t>
        </is>
      </c>
      <c r="O33" s="3" t="inlineStr">
        <is>
          <t>2021-P2-Q5 (L2)</t>
        </is>
      </c>
      <c r="P33" s="2" t="inlineStr">
        <is>
          <t>Medium</t>
        </is>
      </c>
    </row>
    <row r="34">
      <c r="A34" s="2" t="n">
        <v>33</v>
      </c>
      <c r="B34" s="2" t="inlineStr"/>
      <c r="C34" s="2" t="inlineStr">
        <is>
          <t>Q33</t>
        </is>
      </c>
      <c r="D34" s="2" t="inlineStr">
        <is>
          <t>MCQ</t>
        </is>
      </c>
      <c r="E34" s="3" t="inlineStr">
        <is>
          <t>3D Geometry</t>
        </is>
      </c>
      <c r="F34" s="2" t="n">
        <v>4</v>
      </c>
      <c r="G34" s="6" t="n">
        <v>3</v>
      </c>
      <c r="H34" s="6" t="inlineStr">
        <is>
          <t>Average Advanced</t>
        </is>
      </c>
      <c r="I34" s="5" t="n">
        <v>0</v>
      </c>
      <c r="J34" s="5" t="n">
        <v>0</v>
      </c>
      <c r="K34" s="5">
        <f>MIN(5,MAX(G34+I34,J34))</f>
        <v/>
      </c>
      <c r="L34" s="5">
        <f>F34*K34</f>
        <v/>
      </c>
      <c r="M34" s="3" t="inlineStr">
        <is>
          <t>Seeing that Q is valid only for mu not equal to 0 or 1, because the transversal degenerates; ratio equations need care with zero components.</t>
        </is>
      </c>
      <c r="N34" s="3" t="inlineStr">
        <is>
          <t>Each option needs a real check of when a transversal through Q exists; the excluded values are easy to miss with the ratio method. One idea (plane through Q and L1) or careful ratios. Comparable to 2025-P1-Q5 (L3).</t>
        </is>
      </c>
      <c r="O34" s="3" t="inlineStr">
        <is>
          <t>2025-P1-Q5 (L3)</t>
        </is>
      </c>
      <c r="P34" s="2" t="inlineStr">
        <is>
          <t>Medium</t>
        </is>
      </c>
    </row>
    <row r="35">
      <c r="A35" s="2" t="n">
        <v>34</v>
      </c>
      <c r="B35" s="2" t="inlineStr"/>
      <c r="C35" s="2" t="inlineStr">
        <is>
          <t>Q34</t>
        </is>
      </c>
      <c r="D35" s="2" t="inlineStr">
        <is>
          <t>Numerical</t>
        </is>
      </c>
      <c r="E35" s="3" t="inlineStr">
        <is>
          <t>Vectors</t>
        </is>
      </c>
      <c r="F35" s="2" t="n">
        <v>4</v>
      </c>
      <c r="G35" s="4" t="n">
        <v>2</v>
      </c>
      <c r="H35" s="4" t="inlineStr">
        <is>
          <t>Easier than Advanced</t>
        </is>
      </c>
      <c r="I35" s="5" t="n">
        <v>0</v>
      </c>
      <c r="J35" s="5" t="n">
        <v>0</v>
      </c>
      <c r="K35" s="5">
        <f>MIN(5,MAX(G35+I35,J35))</f>
        <v/>
      </c>
      <c r="L35" s="5">
        <f>F35*K35</f>
        <v/>
      </c>
      <c r="M35" s="3" t="inlineStr">
        <is>
          <t>Projection gives alpha+beta=2, and a cross b is perpendicular to c so only |c| squared remains to be minimised.</t>
        </is>
      </c>
      <c r="N35" s="3" t="inlineStr">
        <is>
          <t>Routine chain: projection condition, triple-product perpendicularity, quadratic minimisation. The perpendicular-to-plane observation is familiar. Comparable to 2026-P2-Q1 (L2).</t>
        </is>
      </c>
      <c r="O35" s="3" t="inlineStr">
        <is>
          <t>2026-P2-Q1 (L2)</t>
        </is>
      </c>
      <c r="P35" s="2" t="inlineStr">
        <is>
          <t>High</t>
        </is>
      </c>
    </row>
    <row r="36">
      <c r="A36" s="2" t="n">
        <v>35</v>
      </c>
      <c r="B36" s="2" t="inlineStr"/>
      <c r="C36" s="2" t="inlineStr">
        <is>
          <t>Q35</t>
        </is>
      </c>
      <c r="D36" s="2" t="inlineStr">
        <is>
          <t>Numerical</t>
        </is>
      </c>
      <c r="E36" s="3" t="inlineStr">
        <is>
          <t>3D Geometry</t>
        </is>
      </c>
      <c r="F36" s="2" t="n">
        <v>4</v>
      </c>
      <c r="G36" s="4" t="n">
        <v>2</v>
      </c>
      <c r="H36" s="4" t="inlineStr">
        <is>
          <t>Easier than Advanced</t>
        </is>
      </c>
      <c r="I36" s="5" t="n">
        <v>0</v>
      </c>
      <c r="J36" s="5" t="n">
        <v>0</v>
      </c>
      <c r="K36" s="5">
        <f>MIN(5,MAX(G36+I36,J36))</f>
        <v/>
      </c>
      <c r="L36" s="5">
        <f>F36*K36</f>
        <v/>
      </c>
      <c r="M36" s="3" t="inlineStr">
        <is>
          <t>Intersect each line with the plane and compute the triangle area by a cross product.</t>
        </is>
      </c>
      <c r="N36" s="3" t="inlineStr">
        <is>
          <t>Several routine steps (three intersections, cross product, area, squaring) with exact fractions but no insight. Chain length puts it at 2, in line with 2026-P2-Q1 (L2).</t>
        </is>
      </c>
      <c r="O36" s="3" t="inlineStr">
        <is>
          <t>2026-P2-Q1 (L2)</t>
        </is>
      </c>
      <c r="P36" s="2" t="inlineStr">
        <is>
          <t>High</t>
        </is>
      </c>
    </row>
    <row r="37">
      <c r="A37" s="2" t="n">
        <v>36</v>
      </c>
      <c r="B37" s="2" t="inlineStr"/>
      <c r="C37" s="2" t="inlineStr">
        <is>
          <t>Q36</t>
        </is>
      </c>
      <c r="D37" s="2" t="inlineStr">
        <is>
          <t>Numerical</t>
        </is>
      </c>
      <c r="E37" s="3" t="inlineStr">
        <is>
          <t>Vectors</t>
        </is>
      </c>
      <c r="F37" s="2" t="n">
        <v>4</v>
      </c>
      <c r="G37" s="4" t="n">
        <v>2</v>
      </c>
      <c r="H37" s="4" t="inlineStr">
        <is>
          <t>Easier than Advanced</t>
        </is>
      </c>
      <c r="I37" s="5" t="n">
        <v>0</v>
      </c>
      <c r="J37" s="5" t="n">
        <v>0</v>
      </c>
      <c r="K37" s="5">
        <f>MIN(5,MAX(G37+I37,J37))</f>
        <v/>
      </c>
      <c r="L37" s="5">
        <f>F37*K37</f>
        <v/>
      </c>
      <c r="M37" s="3" t="inlineStr">
        <is>
          <t>Closing the triangle (a+b+c=0) to reduce the ratio condition to a dot product, then Lagrange identity.</t>
        </is>
      </c>
      <c r="N37" s="3" t="inlineStr">
        <is>
          <t>Direct substitution of c = -a-b into the given ratio, then Lagrange's identity. Three routine steps, no insight; same demand as 2026-P2-Q1 (L2).</t>
        </is>
      </c>
      <c r="O37" s="3" t="inlineStr">
        <is>
          <t>2026-P2-Q1 (L2)</t>
        </is>
      </c>
      <c r="P37" s="2" t="inlineStr">
        <is>
          <t>High</t>
        </is>
      </c>
    </row>
    <row r="38">
      <c r="A38" s="2" t="n">
        <v>37</v>
      </c>
      <c r="B38" s="2" t="inlineStr"/>
      <c r="C38" s="2" t="inlineStr">
        <is>
          <t>Q37</t>
        </is>
      </c>
      <c r="D38" s="2" t="inlineStr">
        <is>
          <t>MCQ</t>
        </is>
      </c>
      <c r="E38" s="3" t="inlineStr">
        <is>
          <t>3D Geometry</t>
        </is>
      </c>
      <c r="F38" s="2" t="n">
        <v>4</v>
      </c>
      <c r="G38" s="4" t="n">
        <v>2</v>
      </c>
      <c r="H38" s="4" t="inlineStr">
        <is>
          <t>Easier than Advanced</t>
        </is>
      </c>
      <c r="I38" s="5" t="n">
        <v>0</v>
      </c>
      <c r="J38" s="5" t="n">
        <v>0</v>
      </c>
      <c r="K38" s="5">
        <f>MIN(5,MAX(G38+I38,J38))</f>
        <v/>
      </c>
      <c r="L38" s="5">
        <f>F38*K38</f>
        <v/>
      </c>
      <c r="M38" s="3" t="inlineStr">
        <is>
          <t>Mirror plane: normal parallel to the joining line and passing through the midpoint.</t>
        </is>
      </c>
      <c r="N38" s="3" t="inlineStr">
        <is>
          <t>Standard mirror-image setup followed by four short true/false evaluations once the plane is found. All statements follow from one plane. Same level as 2024-P2-Q6 (L1) with a little more bookkeeping.</t>
        </is>
      </c>
      <c r="O38" s="3" t="inlineStr">
        <is>
          <t>2024-P2-Q6 (L1)</t>
        </is>
      </c>
      <c r="P38" s="2" t="inlineStr">
        <is>
          <t>High</t>
        </is>
      </c>
    </row>
    <row r="39">
      <c r="A39" s="2" t="n">
        <v>38</v>
      </c>
      <c r="B39" s="2" t="inlineStr"/>
      <c r="C39" s="2" t="inlineStr">
        <is>
          <t>Q38</t>
        </is>
      </c>
      <c r="D39" s="2" t="inlineStr">
        <is>
          <t>MCQ</t>
        </is>
      </c>
      <c r="E39" s="3" t="inlineStr">
        <is>
          <t>Vectors</t>
        </is>
      </c>
      <c r="F39" s="2" t="n">
        <v>4</v>
      </c>
      <c r="G39" s="6" t="n">
        <v>3</v>
      </c>
      <c r="H39" s="6" t="inlineStr">
        <is>
          <t>Average Advanced</t>
        </is>
      </c>
      <c r="I39" s="5" t="n">
        <v>0</v>
      </c>
      <c r="J39" s="5" t="n">
        <v>2.5</v>
      </c>
      <c r="K39" s="5">
        <f>MIN(5,MAX(G39+I39,J39))</f>
        <v/>
      </c>
      <c r="L39" s="5">
        <f>F39*K39</f>
        <v/>
      </c>
      <c r="M39" s="3" t="inlineStr">
        <is>
          <t>|u|+|v|=|w| reduces to a=b (needs the absolute value case split), then area and bisector tests.</t>
        </is>
      </c>
      <c r="N39" s="3" t="inlineStr">
        <is>
          <t>Statements use projection, parallelogram area and angle bisector together, and the absolute value in the projection needs a case split. Several checks rather than one idea. Comparable to 2024-P1-Q7 (L3).</t>
        </is>
      </c>
      <c r="O39" s="3" t="inlineStr">
        <is>
          <t>2024-P1-Q7 (L3)</t>
        </is>
      </c>
      <c r="P39" s="2" t="inlineStr">
        <is>
          <t>Medium</t>
        </is>
      </c>
    </row>
    <row r="40">
      <c r="A40" s="2" t="n">
        <v>39</v>
      </c>
      <c r="B40" s="2" t="inlineStr"/>
      <c r="C40" s="2" t="inlineStr">
        <is>
          <t>Q39</t>
        </is>
      </c>
      <c r="D40" s="2" t="inlineStr">
        <is>
          <t>MCQ</t>
        </is>
      </c>
      <c r="E40" s="3" t="inlineStr">
        <is>
          <t>3D Geometry</t>
        </is>
      </c>
      <c r="F40" s="2" t="n">
        <v>4</v>
      </c>
      <c r="G40" s="6" t="n">
        <v>3</v>
      </c>
      <c r="H40" s="6" t="inlineStr">
        <is>
          <t>Average Advanced</t>
        </is>
      </c>
      <c r="I40" s="5" t="n">
        <v>0</v>
      </c>
      <c r="J40" s="5" t="n">
        <v>0</v>
      </c>
      <c r="K40" s="5">
        <f>MIN(5,MAX(G40+I40,J40))</f>
        <v/>
      </c>
      <c r="L40" s="5">
        <f>F40*K40</f>
        <v/>
      </c>
      <c r="M40" s="3" t="inlineStr">
        <is>
          <t>Deciding that p.q&gt;0 makes p+q the acute bisector, then locating the intersection point and matching ratios.</t>
        </is>
      </c>
      <c r="N40" s="3" t="inlineStr">
        <is>
          <t>Two linked ideas (acute versus obtuse bisector of lines, then a line through the intersection point). Needs the sign check p.q&gt;0, which is the trap; arithmetic is light. Similar to 2026-P1-Q6 (L3).</t>
        </is>
      </c>
      <c r="O40" s="3" t="inlineStr">
        <is>
          <t>2026-P1-Q6 (L3)</t>
        </is>
      </c>
      <c r="P40" s="2" t="inlineStr">
        <is>
          <t>Medium</t>
        </is>
      </c>
    </row>
    <row r="41">
      <c r="A41" s="2" t="n">
        <v>40</v>
      </c>
      <c r="B41" s="2" t="inlineStr"/>
      <c r="C41" s="2" t="inlineStr">
        <is>
          <t>Q40</t>
        </is>
      </c>
      <c r="D41" s="2" t="inlineStr">
        <is>
          <t>Numerical</t>
        </is>
      </c>
      <c r="E41" s="3" t="inlineStr">
        <is>
          <t>Vectors</t>
        </is>
      </c>
      <c r="F41" s="2" t="n">
        <v>4</v>
      </c>
      <c r="G41" s="6" t="n">
        <v>3</v>
      </c>
      <c r="H41" s="6" t="inlineStr">
        <is>
          <t>Average Advanced</t>
        </is>
      </c>
      <c r="I41" s="5" t="n">
        <v>0</v>
      </c>
      <c r="J41" s="5" t="n">
        <v>0</v>
      </c>
      <c r="K41" s="5">
        <f>MIN(5,MAX(G41+I41,J41))</f>
        <v/>
      </c>
      <c r="L41" s="5">
        <f>F41*K41</f>
        <v/>
      </c>
      <c r="M41" s="3" t="inlineStr">
        <is>
          <t>Squared triple product equals the Gram determinant, giving u.v = 1/2.</t>
        </is>
      </c>
      <c r="N41" s="3" t="inlineStr">
        <is>
          <t>This is the same question as the anchor (2021-P1-Q19, rated 3): the Gram determinant idea is the single non-routine step, everything else is short algebra.</t>
        </is>
      </c>
      <c r="O41" s="3" t="inlineStr">
        <is>
          <t>2021-P1-Q19 (L3)</t>
        </is>
      </c>
      <c r="P41" s="2" t="inlineStr">
        <is>
          <t>High</t>
        </is>
      </c>
    </row>
    <row r="42">
      <c r="A42" s="2" t="n">
        <v>41</v>
      </c>
      <c r="B42" s="2" t="inlineStr"/>
      <c r="C42" s="2" t="inlineStr">
        <is>
          <t>Q41</t>
        </is>
      </c>
      <c r="D42" s="2" t="inlineStr">
        <is>
          <t>MCQ</t>
        </is>
      </c>
      <c r="E42" s="3" t="inlineStr">
        <is>
          <t>Vector and 3D Geometry</t>
        </is>
      </c>
      <c r="F42" s="2" t="n">
        <v>4</v>
      </c>
      <c r="G42" s="4" t="n">
        <v>2</v>
      </c>
      <c r="H42" s="4" t="inlineStr">
        <is>
          <t>Easier than Advanced</t>
        </is>
      </c>
      <c r="I42" s="5" t="n">
        <v>0</v>
      </c>
      <c r="J42" s="5" t="n">
        <v>2.5</v>
      </c>
      <c r="K42" s="5">
        <f>MIN(5,MAX(G42+I42,J42))</f>
        <v/>
      </c>
      <c r="L42" s="5">
        <f>F42*K42</f>
        <v/>
      </c>
      <c r="M42" s="3" t="inlineStr">
        <is>
          <t>Using |b x c| = (lambda/2)|a x b| to get lambda = 1, then a.b = 0 makes the projection, both areas and the diagonal angle short calculations.</t>
        </is>
      </c>
      <c r="N42" s="3" t="inlineStr">
        <is>
          <t>One cross-product magnitude fixes lambda and the four statements are routine vector computations (projection, two areas, angle between diagonals) with no new idea. This is the same question as anchor 2021-P2-Q5 (L2); several distinct vector concepts are tested, so the build applies the multi-correct floor of 2.5.</t>
        </is>
      </c>
      <c r="O42" s="3" t="inlineStr">
        <is>
          <t>2021-P2-Q5 (L2)</t>
        </is>
      </c>
      <c r="P42" s="2" t="inlineStr">
        <is>
          <t>High</t>
        </is>
      </c>
    </row>
    <row r="43">
      <c r="A43" s="2" t="n">
        <v>42</v>
      </c>
      <c r="B43" s="2" t="inlineStr"/>
      <c r="C43" s="2" t="inlineStr">
        <is>
          <t>Q42</t>
        </is>
      </c>
      <c r="D43" s="2" t="inlineStr">
        <is>
          <t>Q Stem</t>
        </is>
      </c>
      <c r="E43" s="3" t="inlineStr">
        <is>
          <t>Vector and 3D Geometry</t>
        </is>
      </c>
      <c r="F43" s="2" t="n">
        <v>3</v>
      </c>
      <c r="G43" s="7" t="n">
        <v>1</v>
      </c>
      <c r="H43" s="7" t="inlineStr">
        <is>
          <t>JEE Main level</t>
        </is>
      </c>
      <c r="I43" s="5" t="n">
        <v>0</v>
      </c>
      <c r="J43" s="5" t="n">
        <v>0</v>
      </c>
      <c r="K43" s="5">
        <f>MIN(5,MAX(G43+I43,J43))</f>
        <v/>
      </c>
      <c r="L43" s="5">
        <f>F43*K43</f>
        <v/>
      </c>
      <c r="M43" s="3" t="inlineStr">
        <is>
          <t>Recognising that consistency with a zero coefficient determinant forces Delta_x = 0 (or the row combination R1 - 2R2 + R3 = 0).</t>
        </is>
      </c>
      <c r="N43" s="3" t="inlineStr">
        <is>
          <t>One familiar move: the rows are in arithmetic progression, so the consistency condition is a single linear relation, and the 3x3 determinant is then a direct expansion. This is the same question as anchor 2021-P1-Q7 (L1).</t>
        </is>
      </c>
      <c r="O43" s="3" t="inlineStr">
        <is>
          <t>2021-P1-Q7 (L1)</t>
        </is>
      </c>
      <c r="P43" s="2" t="inlineStr">
        <is>
          <t>High</t>
        </is>
      </c>
    </row>
    <row r="44">
      <c r="A44" s="2" t="n">
        <v>43</v>
      </c>
      <c r="B44" s="2" t="inlineStr"/>
      <c r="C44" s="2" t="inlineStr">
        <is>
          <t>Q43</t>
        </is>
      </c>
      <c r="D44" s="2" t="inlineStr">
        <is>
          <t>Q Stem</t>
        </is>
      </c>
      <c r="E44" s="3" t="inlineStr">
        <is>
          <t>Vector and 3D Geometry</t>
        </is>
      </c>
      <c r="F44" s="2" t="n">
        <v>3</v>
      </c>
      <c r="G44" s="8" t="n">
        <v>4</v>
      </c>
      <c r="H44" s="8" t="inlineStr">
        <is>
          <t>Slightly difficult</t>
        </is>
      </c>
      <c r="I44" s="5" t="n">
        <v>0</v>
      </c>
      <c r="J44" s="5" t="n">
        <v>0</v>
      </c>
      <c r="K44" s="5">
        <f>MIN(5,MAX(G44+I44,J44))</f>
        <v/>
      </c>
      <c r="L44" s="5">
        <f>F44*K44</f>
        <v/>
      </c>
      <c r="M44" s="3" t="inlineStr">
        <is>
          <t>Seeing that the consistency condition on (alpha, beta, gamma) is itself the plane P, then applying the point-to-plane distance formula.</t>
        </is>
      </c>
      <c r="N44" s="3" t="inlineStr">
        <is>
          <t>By my own reckoning this is a two-step chain (recognise the plane, then a distance formula) that is closer to Level 2, but this is the very question the user rated 4 as 2021-P1-Q8, so that rating is kept. The 'locus of parameters is a plane' reading is the unfamiliar part.</t>
        </is>
      </c>
      <c r="O44" s="3" t="inlineStr">
        <is>
          <t>2021-P1-Q8 (L4)</t>
        </is>
      </c>
      <c r="P44" s="2" t="inlineStr">
        <is>
          <t>Low</t>
        </is>
      </c>
    </row>
    <row r="45">
      <c r="A45" s="2" t="n">
        <v>44</v>
      </c>
      <c r="B45" s="2" t="inlineStr"/>
      <c r="C45" s="2" t="inlineStr">
        <is>
          <t>Q44</t>
        </is>
      </c>
      <c r="D45" s="2" t="inlineStr">
        <is>
          <t>MCQ</t>
        </is>
      </c>
      <c r="E45" s="3" t="inlineStr">
        <is>
          <t>Vector and 3D Geometry</t>
        </is>
      </c>
      <c r="F45" s="2" t="n">
        <v>4</v>
      </c>
      <c r="G45" s="8" t="n">
        <v>4</v>
      </c>
      <c r="H45" s="8" t="inlineStr">
        <is>
          <t>Slightly difficult</t>
        </is>
      </c>
      <c r="I45" s="5" t="n">
        <v>0</v>
      </c>
      <c r="J45" s="5" t="n">
        <v>2.5</v>
      </c>
      <c r="K45" s="5">
        <f>MIN(5,MAX(G45+I45,J45))</f>
        <v/>
      </c>
      <c r="L45" s="5">
        <f>F45*K45</f>
        <v/>
      </c>
      <c r="M45" s="3" t="inlineStr">
        <is>
          <t>Reading the skew-symmetric matrix times b as c x b, so the equation becomes b x c = c - a, then dotting with b and c and squaring.</t>
        </is>
      </c>
      <c r="N45" s="3" t="inlineStr">
        <is>
          <t>The disguise of a cross product as a matrix is outside the usual coaching pattern, and statements (C) and (D) need a short chain (a.b = 0, then squaring with b perp c, then b2 b3 &gt; 0 to bound |b|). The unfamiliar matrix-to-vector link is the same kind of idea as 2026-P1-Q15 (L4).</t>
        </is>
      </c>
      <c r="O45" s="3" t="inlineStr">
        <is>
          <t>2026-P1-Q15 (L4)</t>
        </is>
      </c>
      <c r="P45" s="2" t="inlineStr">
        <is>
          <t>Medium</t>
        </is>
      </c>
    </row>
    <row r="46">
      <c r="A46" s="2" t="n">
        <v>45</v>
      </c>
      <c r="B46" s="2" t="inlineStr"/>
      <c r="C46" s="2" t="inlineStr">
        <is>
          <t>Q45</t>
        </is>
      </c>
      <c r="D46" s="2" t="inlineStr">
        <is>
          <t>MCQ</t>
        </is>
      </c>
      <c r="E46" s="3" t="inlineStr">
        <is>
          <t>Vector and 3D Geometry</t>
        </is>
      </c>
      <c r="F46" s="2" t="n">
        <v>4</v>
      </c>
      <c r="G46" s="8" t="n">
        <v>4</v>
      </c>
      <c r="H46" s="8" t="inlineStr">
        <is>
          <t>Slightly difficult</t>
        </is>
      </c>
      <c r="I46" s="5" t="n">
        <v>0</v>
      </c>
      <c r="J46" s="5" t="n">
        <v>0</v>
      </c>
      <c r="K46" s="5">
        <f>MIN(5,MAX(G46+I46,J46))</f>
        <v/>
      </c>
      <c r="L46" s="5">
        <f>F46*K46</f>
        <v/>
      </c>
      <c r="M46" s="3" t="inlineStr">
        <is>
          <t>Classifying the possible edge lines of a tetrahedron with two faces on given planes, then testing each option (lies in plane and meets the common line, or meets both planes at distinct points).</t>
        </is>
      </c>
      <c r="N46" s="3" t="inlineStr">
        <is>
          <t>The classification of tetrahedron edge types is an idea students rarely practise, and each of the four options needs its own check (direction, containment, intersection parameters). The unfamiliar idea lifts it above the routine plane questions such as 2024-P1-Q7 (L3).</t>
        </is>
      </c>
      <c r="O46" s="3" t="inlineStr">
        <is>
          <t>2024-P1-Q7 (L3)</t>
        </is>
      </c>
      <c r="P46" s="2" t="inlineStr">
        <is>
          <t>Medium</t>
        </is>
      </c>
    </row>
    <row r="47">
      <c r="A47" s="2" t="n">
        <v>46</v>
      </c>
      <c r="B47" s="2" t="inlineStr"/>
      <c r="C47" s="2" t="inlineStr">
        <is>
          <t>Q46</t>
        </is>
      </c>
      <c r="D47" s="2" t="inlineStr">
        <is>
          <t>MCQ</t>
        </is>
      </c>
      <c r="E47" s="3" t="inlineStr">
        <is>
          <t>Vector and 3D Geometry</t>
        </is>
      </c>
      <c r="F47" s="2" t="n">
        <v>4</v>
      </c>
      <c r="G47" s="4" t="n">
        <v>2</v>
      </c>
      <c r="H47" s="4" t="inlineStr">
        <is>
          <t>Easier than Advanced</t>
        </is>
      </c>
      <c r="I47" s="5" t="n">
        <v>0</v>
      </c>
      <c r="J47" s="5" t="n">
        <v>0</v>
      </c>
      <c r="K47" s="5">
        <f>MIN(5,MAX(G47+I47,J47))</f>
        <v/>
      </c>
      <c r="L47" s="5">
        <f>F47*K47</f>
        <v/>
      </c>
      <c r="M47" s="3" t="inlineStr">
        <is>
          <t>Extracting the normal (1,1,1) and plane x + y + z = 1 from the two-parameter vector form, then reflecting Q.</t>
        </is>
      </c>
      <c r="N47" s="3" t="inlineStr">
        <is>
          <t>A short routine chain: cross product for the normal, plane equation, reflection formula, then four arithmetic checks. No casework and no new idea, so it sits a notch below 2026-P2-Q7 (L3), which adds a ratio point and an orthocentre.</t>
        </is>
      </c>
      <c r="O47" s="3" t="inlineStr">
        <is>
          <t>2026-P2-Q7 (L3)</t>
        </is>
      </c>
      <c r="P47" s="2" t="inlineStr">
        <is>
          <t>Medium</t>
        </is>
      </c>
    </row>
    <row r="48">
      <c r="A48" s="2" t="n">
        <v>47</v>
      </c>
      <c r="B48" s="2" t="inlineStr"/>
      <c r="C48" s="2" t="inlineStr">
        <is>
          <t>Q47</t>
        </is>
      </c>
      <c r="D48" s="2" t="inlineStr">
        <is>
          <t>MTC SCQ</t>
        </is>
      </c>
      <c r="E48" s="3" t="inlineStr">
        <is>
          <t>Vector and 3D Geometry</t>
        </is>
      </c>
      <c r="F48" s="2" t="n">
        <v>3</v>
      </c>
      <c r="G48" s="6" t="n">
        <v>3</v>
      </c>
      <c r="H48" s="6" t="inlineStr">
        <is>
          <t>Average Advanced</t>
        </is>
      </c>
      <c r="I48" s="5" t="n">
        <v>0</v>
      </c>
      <c r="J48" s="5" t="n">
        <v>0</v>
      </c>
      <c r="K48" s="5">
        <f>MIN(5,MAX(G48+I48,J48))</f>
        <v/>
      </c>
      <c r="L48" s="5">
        <f>F48*K48</f>
        <v/>
      </c>
      <c r="M48" s="3" t="inlineStr">
        <is>
          <t>Seeing that d(H) is positive only for planes parallel to l2, so H0 is the plane through l1 parallel to l2, then four distance evaluations.</t>
        </is>
      </c>
      <c r="N48" s="3" t="inlineStr">
        <is>
          <t>The maximising-plane argument is a genuine idea linked to a chain of four point-to-plane evaluations. This is the same question as anchor 2023-P1-Q16 (L3).</t>
        </is>
      </c>
      <c r="O48" s="3" t="inlineStr">
        <is>
          <t>2023-P1-Q16 (L3)</t>
        </is>
      </c>
      <c r="P48" s="2" t="inlineStr">
        <is>
          <t>High</t>
        </is>
      </c>
    </row>
    <row r="49">
      <c r="A49" s="2" t="n">
        <v>48</v>
      </c>
      <c r="B49" s="2" t="inlineStr"/>
      <c r="C49" s="2" t="inlineStr">
        <is>
          <t>Q48</t>
        </is>
      </c>
      <c r="D49" s="2" t="inlineStr">
        <is>
          <t>SCQ</t>
        </is>
      </c>
      <c r="E49" s="3" t="inlineStr">
        <is>
          <t>Vector and 3D Geometry</t>
        </is>
      </c>
      <c r="F49" s="2" t="n">
        <v>4</v>
      </c>
      <c r="G49" s="7" t="n">
        <v>1</v>
      </c>
      <c r="H49" s="7" t="inlineStr">
        <is>
          <t>JEE Main level</t>
        </is>
      </c>
      <c r="I49" s="5" t="n">
        <v>0</v>
      </c>
      <c r="J49" s="5" t="n">
        <v>0</v>
      </c>
      <c r="K49" s="5">
        <f>MIN(5,MAX(G49+I49,J49))</f>
        <v/>
      </c>
      <c r="L49" s="5">
        <f>F49*K49</f>
        <v/>
      </c>
      <c r="M49" s="3" t="inlineStr">
        <is>
          <t>Checking that (b + 2d)/3 sits on PR in the ratio 5:4 by solving for one ratio and verifying the other coordinates.</t>
        </is>
      </c>
      <c r="N49" s="3" t="inlineStr">
        <is>
          <t>One familiar move: a section-formula ratio test, plus a direct cross-product magnitude and an easy coplanarity consequence. This is the same question as anchor 2023-P2-Q4 (L1).</t>
        </is>
      </c>
      <c r="O49" s="3" t="inlineStr">
        <is>
          <t>2023-P2-Q4 (L1)</t>
        </is>
      </c>
      <c r="P49" s="2" t="inlineStr">
        <is>
          <t>High</t>
        </is>
      </c>
    </row>
    <row r="50">
      <c r="A50" s="2" t="n">
        <v>49</v>
      </c>
      <c r="B50" s="2" t="inlineStr"/>
      <c r="C50" s="2" t="inlineStr">
        <is>
          <t>Q49</t>
        </is>
      </c>
      <c r="D50" s="2" t="inlineStr">
        <is>
          <t>MCQ</t>
        </is>
      </c>
      <c r="E50" s="3" t="inlineStr">
        <is>
          <t>Vector and 3D Geometry</t>
        </is>
      </c>
      <c r="F50" s="2" t="n">
        <v>4</v>
      </c>
      <c r="G50" s="6" t="n">
        <v>3</v>
      </c>
      <c r="H50" s="6" t="inlineStr">
        <is>
          <t>Average Advanced</t>
        </is>
      </c>
      <c r="I50" s="5" t="n">
        <v>0</v>
      </c>
      <c r="J50" s="5" t="n">
        <v>2.5</v>
      </c>
      <c r="K50" s="5">
        <f>MIN(5,MAX(G50+I50,J50))</f>
        <v/>
      </c>
      <c r="L50" s="5">
        <f>F50*K50</f>
        <v/>
      </c>
      <c r="M50" s="3" t="inlineStr">
        <is>
          <t>Recognising that each locus is a plane, the two planes are parallel at distance 10, and the slanted side of a rectangle between them is at least 10.</t>
        </is>
      </c>
      <c r="N50" s="3" t="inlineStr">
        <is>
          <t>Four statements each need a genuine geometric check: the plane locus, the rectangle bound q at least 10 with infinitely many perimeter-48 solutions, and the square case. This is the same question as anchor 2024-P1-Q7 (L3), and it spans locus, plane and rectangle geometry concepts.</t>
        </is>
      </c>
      <c r="O50" s="3" t="inlineStr">
        <is>
          <t>2024-P1-Q7 (L3)</t>
        </is>
      </c>
      <c r="P50" s="2" t="inlineStr">
        <is>
          <t>High</t>
        </is>
      </c>
    </row>
    <row r="51">
      <c r="A51" s="2" t="n">
        <v>50</v>
      </c>
      <c r="B51" s="2" t="inlineStr"/>
      <c r="C51" s="2" t="inlineStr">
        <is>
          <t>Q50</t>
        </is>
      </c>
      <c r="D51" s="2" t="inlineStr">
        <is>
          <t>MCQ</t>
        </is>
      </c>
      <c r="E51" s="3" t="inlineStr">
        <is>
          <t>Vector and 3D Geometry</t>
        </is>
      </c>
      <c r="F51" s="2" t="n">
        <v>4</v>
      </c>
      <c r="G51" s="7" t="n">
        <v>1</v>
      </c>
      <c r="H51" s="7" t="inlineStr">
        <is>
          <t>JEE Main level</t>
        </is>
      </c>
      <c r="I51" s="5" t="n">
        <v>0</v>
      </c>
      <c r="J51" s="5" t="n">
        <v>0</v>
      </c>
      <c r="K51" s="5">
        <f>MIN(5,MAX(G51+I51,J51))</f>
        <v/>
      </c>
      <c r="L51" s="5">
        <f>F51*K51</f>
        <v/>
      </c>
      <c r="M51" s="3" t="inlineStr">
        <is>
          <t>Finding Q and R by substituting the two parametric lines into the planes, after which each statement is a coordinate calculation.</t>
        </is>
      </c>
      <c r="N51" s="3" t="inlineStr">
        <is>
          <t>Two parameter solves for line-plane intersections, then four direct computations on the same three points, with no insight needed. This is the same question as anchor 2024-P2-Q6 (L1).</t>
        </is>
      </c>
      <c r="O51" s="3" t="inlineStr">
        <is>
          <t>2024-P2-Q6 (L1)</t>
        </is>
      </c>
      <c r="P51" s="2" t="inlineStr">
        <is>
          <t>High</t>
        </is>
      </c>
    </row>
    <row r="52">
      <c r="A52" s="2" t="n">
        <v>51</v>
      </c>
      <c r="B52" s="2" t="inlineStr"/>
      <c r="C52" s="2" t="inlineStr">
        <is>
          <t>Q51</t>
        </is>
      </c>
      <c r="D52" s="2" t="inlineStr">
        <is>
          <t>INT</t>
        </is>
      </c>
      <c r="E52" s="3" t="inlineStr">
        <is>
          <t>Vector and 3D Geometry</t>
        </is>
      </c>
      <c r="F52" s="2" t="n">
        <v>4</v>
      </c>
      <c r="G52" s="7" t="n">
        <v>1</v>
      </c>
      <c r="H52" s="7" t="inlineStr">
        <is>
          <t>JEE Main level</t>
        </is>
      </c>
      <c r="I52" s="5" t="n">
        <v>0</v>
      </c>
      <c r="J52" s="5" t="n">
        <v>0</v>
      </c>
      <c r="K52" s="5">
        <f>MIN(5,MAX(G52+I52,J52))</f>
        <v/>
      </c>
      <c r="L52" s="5">
        <f>F52*K52</f>
        <v/>
      </c>
      <c r="M52" s="3" t="inlineStr">
        <is>
          <t>Setting the triple product to zero and simplifying the determinant to alpha + beta + 1 = 0, then substituting into the plane.</t>
        </is>
      </c>
      <c r="N52" s="3" t="inlineStr">
        <is>
          <t>One familiar move: coplanarity as a zero determinant, then a plain substitution. No insight or casework, only a little fraction algebra. This is the same question as the user's own anchor 2024-P1-Q12 (L1), so its level is carried over.</t>
        </is>
      </c>
      <c r="O52" s="3" t="inlineStr">
        <is>
          <t>2024-P1-Q12 (L1)</t>
        </is>
      </c>
      <c r="P52" s="2" t="inlineStr">
        <is>
          <t>High</t>
        </is>
      </c>
    </row>
    <row r="53">
      <c r="A53" s="2" t="n">
        <v>52</v>
      </c>
      <c r="B53" s="2" t="inlineStr"/>
      <c r="C53" s="2" t="inlineStr">
        <is>
          <t>Q52</t>
        </is>
      </c>
      <c r="D53" s="2" t="inlineStr">
        <is>
          <t>INT</t>
        </is>
      </c>
      <c r="E53" s="3" t="inlineStr">
        <is>
          <t>Vector and 3D Geometry</t>
        </is>
      </c>
      <c r="F53" s="2" t="n">
        <v>4</v>
      </c>
      <c r="G53" s="9" t="n">
        <v>0</v>
      </c>
      <c r="H53" s="9" t="inlineStr">
        <is>
          <t>Easier than JEE Main</t>
        </is>
      </c>
      <c r="I53" s="5" t="n">
        <v>0</v>
      </c>
      <c r="J53" s="5" t="n">
        <v>0</v>
      </c>
      <c r="K53" s="5">
        <f>MIN(5,MAX(G53+I53,J53))</f>
        <v/>
      </c>
      <c r="L53" s="5">
        <f>F53*K53</f>
        <v/>
      </c>
      <c r="M53" s="3" t="inlineStr">
        <is>
          <t>Dotting the equation with p x q so that the other two terms vanish.</t>
        </is>
      </c>
      <c r="N53" s="3" t="inlineStr">
        <is>
          <t>One formula and no decision: dot with the cross product, compute one cross product and a norm. Identical to the user's anchor 2024-P2-Q11 (L0), so its level is carried over.</t>
        </is>
      </c>
      <c r="O53" s="3" t="inlineStr">
        <is>
          <t>2024-P2-Q11 (L0)</t>
        </is>
      </c>
      <c r="P53" s="2" t="inlineStr">
        <is>
          <t>High</t>
        </is>
      </c>
    </row>
    <row r="54">
      <c r="A54" s="2" t="n">
        <v>53</v>
      </c>
      <c r="B54" s="2" t="inlineStr"/>
      <c r="C54" s="2" t="inlineStr">
        <is>
          <t>Q53</t>
        </is>
      </c>
      <c r="D54" s="2" t="inlineStr">
        <is>
          <t>MTC SCQ</t>
        </is>
      </c>
      <c r="E54" s="3" t="inlineStr">
        <is>
          <t>Vector and 3D Geometry</t>
        </is>
      </c>
      <c r="F54" s="2" t="n">
        <v>3</v>
      </c>
      <c r="G54" s="9" t="n">
        <v>0</v>
      </c>
      <c r="H54" s="9" t="inlineStr">
        <is>
          <t>Easier than JEE Main</t>
        </is>
      </c>
      <c r="I54" s="5" t="n">
        <v>0</v>
      </c>
      <c r="J54" s="5" t="n">
        <v>0</v>
      </c>
      <c r="K54" s="5">
        <f>MIN(5,MAX(G54+I54,J54))</f>
        <v/>
      </c>
      <c r="L54" s="5">
        <f>F54*K54</f>
        <v/>
      </c>
      <c r="M54" s="3" t="inlineStr">
        <is>
          <t>Coplanarity determinant for gamma, cross product of directions for the normal, then direct computation of the intersection point.</t>
        </is>
      </c>
      <c r="N54" s="3" t="inlineStr">
        <is>
          <t>Four short, direct computations (coplanarity determinant, cross product, solving two parametric equations, a dot product), none needing an idea. Identical to the user's anchor 2024-P1-Q16 (L0), so its level is carried over.</t>
        </is>
      </c>
      <c r="O54" s="3" t="inlineStr">
        <is>
          <t>2024-P1-Q16 (L0)</t>
        </is>
      </c>
      <c r="P54" s="2" t="inlineStr">
        <is>
          <t>High</t>
        </is>
      </c>
    </row>
    <row r="55">
      <c r="A55" s="2" t="n">
        <v>54</v>
      </c>
      <c r="B55" s="2" t="inlineStr"/>
      <c r="C55" s="2" t="inlineStr">
        <is>
          <t>Q54</t>
        </is>
      </c>
      <c r="D55" s="2" t="inlineStr">
        <is>
          <t>MCQ</t>
        </is>
      </c>
      <c r="E55" s="3" t="inlineStr">
        <is>
          <t>Vector and 3D Geometry</t>
        </is>
      </c>
      <c r="F55" s="2" t="n">
        <v>4</v>
      </c>
      <c r="G55" s="6" t="n">
        <v>3</v>
      </c>
      <c r="H55" s="6" t="inlineStr">
        <is>
          <t>Average Advanced</t>
        </is>
      </c>
      <c r="I55" s="5" t="n">
        <v>0</v>
      </c>
      <c r="J55" s="5" t="n">
        <v>2.5</v>
      </c>
      <c r="K55" s="5">
        <f>MIN(5,MAX(G55+I55,J55))</f>
        <v/>
      </c>
      <c r="L55" s="5">
        <f>F55*K55</f>
        <v/>
      </c>
      <c r="M55" s="3" t="inlineStr">
        <is>
          <t>Finding Q and R (or using the right triangle PRQ) and then judging four separate numerical statements about length, area and angle.</t>
        </is>
      </c>
      <c r="N55" s="3" t="inlineStr">
        <is>
          <t>A chain of routine steps (direction of the line of intersection, intersection with a plane, foot of perpendicular) followed by four statements that each need an exact value, so one slip changes an option. No unfamiliar idea. Close to the same-source anchor 2025-P1-Q5 (L3).</t>
        </is>
      </c>
      <c r="O55" s="3" t="inlineStr">
        <is>
          <t>2025-P1-Q5 (L3)</t>
        </is>
      </c>
      <c r="P55" s="2" t="inlineStr">
        <is>
          <t>High</t>
        </is>
      </c>
    </row>
    <row r="56">
      <c r="A56" s="2" t="n">
        <v>55</v>
      </c>
      <c r="B56" s="2" t="inlineStr"/>
      <c r="C56" s="2" t="inlineStr">
        <is>
          <t>Q55</t>
        </is>
      </c>
      <c r="D56" s="2" t="inlineStr">
        <is>
          <t>Numerical</t>
        </is>
      </c>
      <c r="E56" s="3" t="inlineStr">
        <is>
          <t>Vector and 3D Geometry</t>
        </is>
      </c>
      <c r="F56" s="2" t="n">
        <v>4</v>
      </c>
      <c r="G56" s="8" t="n">
        <v>4</v>
      </c>
      <c r="H56" s="8" t="inlineStr">
        <is>
          <t>Slightly difficult</t>
        </is>
      </c>
      <c r="I56" s="5" t="n">
        <v>0</v>
      </c>
      <c r="J56" s="5" t="n">
        <v>0</v>
      </c>
      <c r="K56" s="5">
        <f>MIN(5,MAX(G56+I56,J56))</f>
        <v/>
      </c>
      <c r="L56" s="5">
        <f>F56*K56</f>
        <v/>
      </c>
      <c r="M56" s="3" t="inlineStr">
        <is>
          <t>Converting the vector condition into S = (P + 5Q + 6R)/12 and noticing that ES and EF are both parallel to PQ.</t>
        </is>
      </c>
      <c r="N56" s="3" t="inlineStr">
        <is>
          <t>No options to check against, and the setup (weighted-centroid condition with midpoints) is less drilled than standard section-formula problems, though the algebra is short once P is the origin. The user rated this exact question 4. Same question as anchor 2025-P1-Q9 (L4).</t>
        </is>
      </c>
      <c r="O56" s="3" t="inlineStr">
        <is>
          <t>2025-P1-Q9 (L4)</t>
        </is>
      </c>
      <c r="P56" s="2" t="inlineStr">
        <is>
          <t>High</t>
        </is>
      </c>
    </row>
    <row r="57">
      <c r="A57" s="2" t="n">
        <v>56</v>
      </c>
      <c r="B57" s="2" t="inlineStr"/>
      <c r="C57" s="2" t="inlineStr">
        <is>
          <t>Q56</t>
        </is>
      </c>
      <c r="D57" s="2" t="inlineStr">
        <is>
          <t>Numerical</t>
        </is>
      </c>
      <c r="E57" s="3" t="inlineStr">
        <is>
          <t>Vector and 3D Geometry</t>
        </is>
      </c>
      <c r="F57" s="2" t="n">
        <v>4</v>
      </c>
      <c r="G57" s="8" t="n">
        <v>4</v>
      </c>
      <c r="H57" s="8" t="inlineStr">
        <is>
          <t>Slightly difficult</t>
        </is>
      </c>
      <c r="I57" s="5" t="n">
        <v>0</v>
      </c>
      <c r="J57" s="5" t="n">
        <v>0</v>
      </c>
      <c r="K57" s="5">
        <f>MIN(5,MAX(G57+I57,J57))</f>
        <v/>
      </c>
      <c r="L57" s="5">
        <f>F57*K57</f>
        <v/>
      </c>
      <c r="M57" s="3" t="inlineStr">
        <is>
          <t>Reducing coplanarity to a cyclic 3x3 determinant, factoring out alpha + beta - 1 and ruling out the second factor for positive alpha, beta.</t>
        </is>
      </c>
      <c r="N57" s="3" t="inlineStr">
        <is>
          <t>Numerical format with a chain: basis expansion, triple-product factorisation, a determinant that must be factored by recognising the cyclic pattern, and a discriminant argument to exclude the other factor. The user rated this exact question 4. Same as anchor 2025-P2-Q12 (L4).</t>
        </is>
      </c>
      <c r="O57" s="3" t="inlineStr">
        <is>
          <t>2025-P2-Q12 (L4)</t>
        </is>
      </c>
      <c r="P57" s="2" t="inlineStr">
        <is>
          <t>High</t>
        </is>
      </c>
    </row>
    <row r="58">
      <c r="A58" s="2" t="n">
        <v>57</v>
      </c>
      <c r="B58" s="2" t="inlineStr"/>
      <c r="C58" s="2" t="inlineStr">
        <is>
          <t>Q57</t>
        </is>
      </c>
      <c r="D58" s="2" t="inlineStr">
        <is>
          <t>MTC SCQ</t>
        </is>
      </c>
      <c r="E58" s="3" t="inlineStr">
        <is>
          <t>Vector and 3D Geometry</t>
        </is>
      </c>
      <c r="F58" s="2" t="n">
        <v>3</v>
      </c>
      <c r="G58" s="4" t="n">
        <v>2</v>
      </c>
      <c r="H58" s="4" t="inlineStr">
        <is>
          <t>Easier than Advanced</t>
        </is>
      </c>
      <c r="I58" s="5" t="n">
        <v>0</v>
      </c>
      <c r="J58" s="5" t="n">
        <v>0</v>
      </c>
      <c r="K58" s="5">
        <f>MIN(5,MAX(G58+I58,J58))</f>
        <v/>
      </c>
      <c r="L58" s="5">
        <f>F58*K58</f>
        <v/>
      </c>
      <c r="M58" s="3" t="inlineStr">
        <is>
          <t>Seeing that u, v, w are mutually perpendicular with |v| = 1, then splitting the linear system into the cases t = -1 and alpha = beta = gamma.</t>
        </is>
      </c>
      <c r="N58" s="3" t="inlineStr">
        <is>
          <t>Two routine ideas (triple-product identity for |v|, subtraction of the linear equations) plus short case work, with the options letting a student check. Same question as the user's anchor 2025-P1-Q16 (L2), so its level is carried over.</t>
        </is>
      </c>
      <c r="O58" s="3" t="inlineStr">
        <is>
          <t>2025-P1-Q16 (L2)</t>
        </is>
      </c>
      <c r="P58" s="2" t="inlineStr">
        <is>
          <t>High</t>
        </is>
      </c>
    </row>
    <row r="59">
      <c r="A59" s="2" t="n">
        <v>58</v>
      </c>
      <c r="B59" s="2" t="inlineStr"/>
      <c r="C59" s="2" t="inlineStr">
        <is>
          <t>Q58</t>
        </is>
      </c>
      <c r="D59" s="2" t="inlineStr">
        <is>
          <t>SCQ</t>
        </is>
      </c>
      <c r="E59" s="3" t="inlineStr">
        <is>
          <t>Vector and 3D Geometry</t>
        </is>
      </c>
      <c r="F59" s="2" t="n">
        <v>4</v>
      </c>
      <c r="G59" s="4" t="n">
        <v>2</v>
      </c>
      <c r="H59" s="4" t="inlineStr">
        <is>
          <t>Easier than Advanced</t>
        </is>
      </c>
      <c r="I59" s="5" t="n">
        <v>0</v>
      </c>
      <c r="J59" s="5" t="n">
        <v>0</v>
      </c>
      <c r="K59" s="5">
        <f>MIN(5,MAX(G59+I59,J59))</f>
        <v/>
      </c>
      <c r="L59" s="5">
        <f>F59*K59</f>
        <v/>
      </c>
      <c r="M59" s="3" t="inlineStr">
        <is>
          <t>Using the perpendicularity to get |a|^2 = a.b and expressing the area as half of |a x b| via Lagrange identity.</t>
        </is>
      </c>
      <c r="N59" s="3" t="inlineStr">
        <is>
          <t>A routine chain of dot-product algebra and one cross-product area formula, with no unfamiliar idea and options to check against. This is the user's anchor 2026-P2-Q1 (L2), so the level is carried over.</t>
        </is>
      </c>
      <c r="O59" s="3" t="inlineStr">
        <is>
          <t>2026-P2-Q1 (L2)</t>
        </is>
      </c>
      <c r="P59" s="2" t="inlineStr">
        <is>
          <t>High</t>
        </is>
      </c>
    </row>
    <row r="60">
      <c r="A60" s="2" t="n">
        <v>59</v>
      </c>
      <c r="B60" s="2" t="inlineStr"/>
      <c r="C60" s="2" t="inlineStr">
        <is>
          <t>Q59</t>
        </is>
      </c>
      <c r="D60" s="2" t="inlineStr">
        <is>
          <t>MCQ</t>
        </is>
      </c>
      <c r="E60" s="3" t="inlineStr">
        <is>
          <t>Vector and 3D Geometry</t>
        </is>
      </c>
      <c r="F60" s="2" t="n">
        <v>4</v>
      </c>
      <c r="G60" s="6" t="n">
        <v>3</v>
      </c>
      <c r="H60" s="6" t="inlineStr">
        <is>
          <t>Average Advanced</t>
        </is>
      </c>
      <c r="I60" s="5" t="n">
        <v>0</v>
      </c>
      <c r="J60" s="5" t="n">
        <v>2.5</v>
      </c>
      <c r="K60" s="5">
        <f>MIN(5,MAX(G60+I60,J60))</f>
        <v/>
      </c>
      <c r="L60" s="5">
        <f>F60*K60</f>
        <v/>
      </c>
      <c r="M60" s="3" t="inlineStr">
        <is>
          <t>Building the plane from the line direction and the given normal via a cross product, then checking four separate distance and angle statements exactly.</t>
        </is>
      </c>
      <c r="N60" s="3" t="inlineStr">
        <is>
          <t>Routine plane construction followed by four statements (equation, parallel-plane distance, distance from origin, angle) each needing an exact value with sqrt(75) simplifications, so a slip kills an option. No unfamiliar idea. This is the user's anchor 2026-P1-Q6 (L3), so the level is carried over.</t>
        </is>
      </c>
      <c r="O60" s="3" t="inlineStr">
        <is>
          <t>2026-P1-Q6 (L3)</t>
        </is>
      </c>
      <c r="P60" s="2" t="inlineStr">
        <is>
          <t>High</t>
        </is>
      </c>
    </row>
    <row r="61">
      <c r="A61" s="2" t="n">
        <v>60</v>
      </c>
      <c r="B61" s="2" t="inlineStr"/>
      <c r="C61" s="2" t="inlineStr">
        <is>
          <t>Q60</t>
        </is>
      </c>
      <c r="D61" s="2" t="inlineStr">
        <is>
          <t>MCQ</t>
        </is>
      </c>
      <c r="E61" s="3" t="inlineStr">
        <is>
          <t>Vector and 3D Geometry</t>
        </is>
      </c>
      <c r="F61" s="2" t="n">
        <v>4</v>
      </c>
      <c r="G61" s="6" t="n">
        <v>3</v>
      </c>
      <c r="H61" s="6" t="inlineStr">
        <is>
          <t>Average Advanced</t>
        </is>
      </c>
      <c r="I61" s="5" t="n">
        <v>0</v>
      </c>
      <c r="J61" s="5" t="n">
        <v>2.5</v>
      </c>
      <c r="K61" s="5">
        <f>MIN(5,MAX(G61+I61,J61))</f>
        <v/>
      </c>
      <c r="L61" s="5">
        <f>F61*K61</f>
        <v/>
      </c>
      <c r="M61" s="3" t="inlineStr">
        <is>
          <t>Using RS perpendicular to PT to treat RS as an altitude, then solving for the orthocentre on RS with a second perpendicularity condition.</t>
        </is>
      </c>
      <c r="N61" s="3" t="inlineStr">
        <is>
          <t>A chain of routine steps (foot of perpendicular, section formula, area, orthocentre) with exact fractional arithmetic in 3D; the orthocentre needs a short two-condition solve. No unfamiliar idea. This is the user's anchor 2026-P2-Q7 (L3), so the level is carried over.</t>
        </is>
      </c>
      <c r="O61" s="3" t="inlineStr">
        <is>
          <t>2026-P2-Q7 (L3)</t>
        </is>
      </c>
      <c r="P61" s="2" t="inlineStr">
        <is>
          <t>High</t>
        </is>
      </c>
    </row>
    <row r="62">
      <c r="A62" s="2" t="n">
        <v>61</v>
      </c>
      <c r="B62" s="2" t="inlineStr"/>
      <c r="C62" s="2" t="inlineStr">
        <is>
          <t>Q61</t>
        </is>
      </c>
      <c r="D62" s="2" t="inlineStr">
        <is>
          <t>MTC SCQ</t>
        </is>
      </c>
      <c r="E62" s="3" t="inlineStr">
        <is>
          <t>Vector and 3D Geometry</t>
        </is>
      </c>
      <c r="F62" s="2" t="n">
        <v>3</v>
      </c>
      <c r="G62" s="8" t="n">
        <v>4</v>
      </c>
      <c r="H62" s="8" t="inlineStr">
        <is>
          <t>Slightly difficult</t>
        </is>
      </c>
      <c r="I62" s="5" t="n">
        <v>0</v>
      </c>
      <c r="J62" s="5" t="n">
        <v>0</v>
      </c>
      <c r="K62" s="5">
        <f>MIN(5,MAX(G62+I62,J62))</f>
        <v/>
      </c>
      <c r="L62" s="5">
        <f>F62*K62</f>
        <v/>
      </c>
      <c r="M62" s="3" t="inlineStr">
        <is>
          <t>Recognising MM^T = I as orthonormal rows and columns so that u, v, w is an orthonormal triad, then reading all four items from that structure.</t>
        </is>
      </c>
      <c r="N62" s="3" t="inlineStr">
        <is>
          <t>The decisive idea (orthogonal matrix, columns as an orthonormal triad linking matrices and vectors) is outside the usual vector drill, even though each item is short once seen. The user rated this exact question 4 despite its matching format. This is the user's anchor 2026-P1-Q15 (L4).</t>
        </is>
      </c>
      <c r="O62" s="3" t="inlineStr">
        <is>
          <t>2026-P1-Q15 (L4)</t>
        </is>
      </c>
      <c r="P62" s="2" t="inlineStr">
        <is>
          <t>High</t>
        </is>
      </c>
    </row>
    <row r="64">
      <c r="A64" s="10" t="inlineStr">
        <is>
          <t>Adjusted level = min(5, max(level + equivalence-relation adj, MCQ floor)). Equivalence adj +0.5 when the key step tests equivalence relations/classes; MCQ floor 2.5 for one-or-more-correct questions involving several concepts. Edit columns I-J to change them.</t>
        </is>
      </c>
    </row>
  </sheetData>
  <autoFilter ref="A1:P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 customWidth="1" min="1" max="1"/>
    <col width="22" customWidth="1" min="2" max="2"/>
    <col width="11" customWidth="1" min="3" max="3"/>
    <col width="9" customWidth="1" min="4" max="4"/>
    <col width="11" customWidth="1" min="5" max="5"/>
  </cols>
  <sheetData>
    <row r="1">
      <c r="A1" s="11" t="inlineStr">
        <is>
          <t>Difficulty summary</t>
        </is>
      </c>
    </row>
    <row r="2">
      <c r="A2" s="10" t="inlineStr">
        <is>
          <t>Source: Sheet_Vector_3D__FCopy_JA.pdf   |   Evaluated on: 2026-10-15</t>
        </is>
      </c>
    </row>
    <row r="4">
      <c r="A4" s="1" t="inlineStr">
        <is>
          <t>Level</t>
        </is>
      </c>
      <c r="B4" s="1" t="inlineStr">
        <is>
          <t>Label</t>
        </is>
      </c>
      <c r="C4" s="1" t="inlineStr">
        <is>
          <t>Questions</t>
        </is>
      </c>
      <c r="D4" s="1" t="inlineStr">
        <is>
          <t>Marks</t>
        </is>
      </c>
      <c r="E4" s="1" t="inlineStr">
        <is>
          <t>% of marks</t>
        </is>
      </c>
    </row>
    <row r="5">
      <c r="A5" s="12" t="n">
        <v>0</v>
      </c>
      <c r="B5" s="12" t="inlineStr">
        <is>
          <t>Easier than JEE Main</t>
        </is>
      </c>
      <c r="C5" s="12">
        <f>COUNTIF(Evaluation!$G$2:$G$62,A5)</f>
        <v/>
      </c>
      <c r="D5" s="12">
        <f>SUMIF(Evaluation!$G$2:$G$62,A5,Evaluation!$F$2:$F$62)</f>
        <v/>
      </c>
      <c r="E5" s="13">
        <f>IF(SUM($D$5:$D$10)=0,0,D5/SUM($D$5:$D$10))</f>
        <v/>
      </c>
    </row>
    <row r="6">
      <c r="A6" s="14" t="n">
        <v>1</v>
      </c>
      <c r="B6" s="14" t="inlineStr">
        <is>
          <t>JEE Main level</t>
        </is>
      </c>
      <c r="C6" s="14">
        <f>COUNTIF(Evaluation!$G$2:$G$62,A6)</f>
        <v/>
      </c>
      <c r="D6" s="14">
        <f>SUMIF(Evaluation!$G$2:$G$62,A6,Evaluation!$F$2:$F$62)</f>
        <v/>
      </c>
      <c r="E6" s="15">
        <f>IF(SUM($D$5:$D$10)=0,0,D6/SUM($D$5:$D$10))</f>
        <v/>
      </c>
    </row>
    <row r="7">
      <c r="A7" s="16" t="n">
        <v>2</v>
      </c>
      <c r="B7" s="16" t="inlineStr">
        <is>
          <t>Easier than Advanced</t>
        </is>
      </c>
      <c r="C7" s="16">
        <f>COUNTIF(Evaluation!$G$2:$G$62,A7)</f>
        <v/>
      </c>
      <c r="D7" s="16">
        <f>SUMIF(Evaluation!$G$2:$G$62,A7,Evaluation!$F$2:$F$62)</f>
        <v/>
      </c>
      <c r="E7" s="17">
        <f>IF(SUM($D$5:$D$10)=0,0,D7/SUM($D$5:$D$10))</f>
        <v/>
      </c>
    </row>
    <row r="8">
      <c r="A8" s="18" t="n">
        <v>3</v>
      </c>
      <c r="B8" s="18" t="inlineStr">
        <is>
          <t>Average Advanced</t>
        </is>
      </c>
      <c r="C8" s="18">
        <f>COUNTIF(Evaluation!$G$2:$G$62,A8)</f>
        <v/>
      </c>
      <c r="D8" s="18">
        <f>SUMIF(Evaluation!$G$2:$G$62,A8,Evaluation!$F$2:$F$62)</f>
        <v/>
      </c>
      <c r="E8" s="19">
        <f>IF(SUM($D$5:$D$10)=0,0,D8/SUM($D$5:$D$10))</f>
        <v/>
      </c>
    </row>
    <row r="9">
      <c r="A9" s="20" t="n">
        <v>4</v>
      </c>
      <c r="B9" s="20" t="inlineStr">
        <is>
          <t>Slightly difficult</t>
        </is>
      </c>
      <c r="C9" s="20">
        <f>COUNTIF(Evaluation!$G$2:$G$62,A9)</f>
        <v/>
      </c>
      <c r="D9" s="20">
        <f>SUMIF(Evaluation!$G$2:$G$62,A9,Evaluation!$F$2:$F$62)</f>
        <v/>
      </c>
      <c r="E9" s="21">
        <f>IF(SUM($D$5:$D$10)=0,0,D9/SUM($D$5:$D$10))</f>
        <v/>
      </c>
    </row>
    <row r="10">
      <c r="A10" s="22" t="n">
        <v>5</v>
      </c>
      <c r="B10" s="22" t="inlineStr">
        <is>
          <t>Very difficult</t>
        </is>
      </c>
      <c r="C10" s="22">
        <f>COUNTIF(Evaluation!$G$2:$G$62,A10)</f>
        <v/>
      </c>
      <c r="D10" s="22">
        <f>SUMIF(Evaluation!$G$2:$G$62,A10,Evaluation!$F$2:$F$62)</f>
        <v/>
      </c>
      <c r="E10" s="23">
        <f>IF(SUM($D$5:$D$10)=0,0,D10/SUM($D$5:$D$10))</f>
        <v/>
      </c>
    </row>
    <row r="11">
      <c r="A11" s="24" t="inlineStr">
        <is>
          <t>Total</t>
        </is>
      </c>
      <c r="C11" s="24">
        <f>SUM(C5:C10)</f>
        <v/>
      </c>
      <c r="D11" s="24">
        <f>SUM(D5:D10)</f>
        <v/>
      </c>
    </row>
    <row r="13">
      <c r="A13" s="1" t="inlineStr">
        <is>
          <t>Scope</t>
        </is>
      </c>
      <c r="B13" s="1" t="inlineStr">
        <is>
          <t>Weighted index (adjusted)</t>
        </is>
      </c>
      <c r="C13" s="1" t="inlineStr">
        <is>
          <t>Weighted index (unadjusted)</t>
        </is>
      </c>
      <c r="D13" s="1" t="inlineStr">
        <is>
          <t>Marks</t>
        </is>
      </c>
      <c r="E13" s="1" t="inlineStr">
        <is>
          <t>Mean level</t>
        </is>
      </c>
    </row>
    <row r="14">
      <c r="A14" s="24" t="inlineStr">
        <is>
          <t>Overall</t>
        </is>
      </c>
      <c r="B14" s="25">
        <f>SUM(Evaluation!$L$2:$L$62)/SUM(Evaluation!$F$2:$F$62)</f>
        <v/>
      </c>
      <c r="C14" s="25">
        <f>SUMPRODUCT(Evaluation!$F$2:$F$62,Evaluation!$G$2:$G$62)/SUM(Evaluation!$F$2:$F$62)</f>
        <v/>
      </c>
      <c r="D14" s="24">
        <f>SUM(Evaluation!$F$2:$F$62)</f>
        <v/>
      </c>
      <c r="E14" s="25">
        <f>AVERAGE(Evaluation!$G$2:$G$62)</f>
        <v/>
      </c>
    </row>
    <row r="16">
      <c r="A16" s="10" t="inlineStr">
        <is>
          <t>Weighted index = sum(marks x level) / sum(marks), scale 0-5. 'Adjusted' uses the adjusted level (equivalence-relation adjustment and MCQ floor); 'unadjusted' uses the integer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15" customWidth="1" min="2" max="2"/>
    <col width="11" customWidth="1" min="3" max="3"/>
    <col width="13" customWidth="1" min="4" max="4"/>
    <col width="13" customWidth="1" min="5" max="5"/>
    <col width="15" customWidth="1" min="6" max="6"/>
  </cols>
  <sheetData>
    <row r="1">
      <c r="A1" s="11" t="inlineStr">
        <is>
          <t>User's own ratings of official JEE Advanced maths papers</t>
        </is>
      </c>
    </row>
    <row r="3">
      <c r="A3" s="1" t="inlineStr">
        <is>
          <t>Year</t>
        </is>
      </c>
      <c r="B3" s="1" t="inlineStr">
        <is>
          <t>Weighted index</t>
        </is>
      </c>
      <c r="C3" s="1" t="inlineStr">
        <is>
          <t>Mean level</t>
        </is>
      </c>
      <c r="D3" s="1" t="inlineStr">
        <is>
          <t>Marks at L0-1</t>
        </is>
      </c>
      <c r="E3" s="1" t="inlineStr">
        <is>
          <t>Marks at L4-5</t>
        </is>
      </c>
      <c r="F3" s="1" t="inlineStr">
        <is>
          <t>Level-5 questions</t>
        </is>
      </c>
    </row>
    <row r="4">
      <c r="A4" s="26" t="n">
        <v>2021</v>
      </c>
      <c r="B4" s="27" t="n">
        <v>2.758333333333333</v>
      </c>
      <c r="C4" s="27" t="n">
        <v>2.894736842105263</v>
      </c>
      <c r="D4" s="26" t="n">
        <v>16</v>
      </c>
      <c r="E4" s="26" t="n">
        <v>34</v>
      </c>
      <c r="F4" s="26" t="n">
        <v>1</v>
      </c>
    </row>
    <row r="5">
      <c r="A5" s="26" t="n">
        <v>2023</v>
      </c>
      <c r="B5" s="27" t="n">
        <v>3.191666666666667</v>
      </c>
      <c r="C5" s="27" t="n">
        <v>3.147058823529412</v>
      </c>
      <c r="D5" s="26" t="n">
        <v>13</v>
      </c>
      <c r="E5" s="26" t="n">
        <v>47</v>
      </c>
      <c r="F5" s="26" t="n">
        <v>5</v>
      </c>
    </row>
    <row r="6">
      <c r="A6" s="26" t="n">
        <v>2024</v>
      </c>
      <c r="B6" s="27" t="n">
        <v>2.591666666666667</v>
      </c>
      <c r="C6" s="27" t="n">
        <v>2.558823529411764</v>
      </c>
      <c r="D6" s="26" t="n">
        <v>28</v>
      </c>
      <c r="E6" s="26" t="n">
        <v>40</v>
      </c>
      <c r="F6" s="26" t="n">
        <v>1</v>
      </c>
    </row>
    <row r="7">
      <c r="A7" s="26" t="n">
        <v>2025</v>
      </c>
      <c r="B7" s="27" t="n">
        <v>3.208333333333333</v>
      </c>
      <c r="C7" s="27" t="n">
        <v>3.1875</v>
      </c>
      <c r="D7" s="26" t="n">
        <v>8</v>
      </c>
      <c r="E7" s="26" t="n">
        <v>65</v>
      </c>
      <c r="F7" s="26" t="n">
        <v>1</v>
      </c>
    </row>
    <row r="8">
      <c r="A8" s="26" t="n">
        <v>2026</v>
      </c>
      <c r="B8" s="27" t="n">
        <v>3.025</v>
      </c>
      <c r="C8" s="27" t="n">
        <v>2.941176470588236</v>
      </c>
      <c r="D8" s="26" t="n">
        <v>6</v>
      </c>
      <c r="E8" s="26" t="n">
        <v>38</v>
      </c>
      <c r="F8" s="26" t="n">
        <v>2</v>
      </c>
    </row>
    <row r="9">
      <c r="A9" s="24" t="inlineStr">
        <is>
          <t>This paper</t>
        </is>
      </c>
      <c r="B9" s="25">
        <f>Summary!B14</f>
        <v/>
      </c>
      <c r="C9" s="25">
        <f>Summary!E14</f>
        <v/>
      </c>
      <c r="D9" s="24">
        <f>Summary!D5+Summary!D6</f>
        <v/>
      </c>
      <c r="E9" s="24">
        <f>Summary!D9+Summary!D10</f>
        <v/>
      </c>
      <c r="F9" s="24">
        <f>Summary!C10</f>
        <v/>
      </c>
    </row>
    <row r="11">
      <c r="A11" s="10" t="inlineStr">
        <is>
          <t>Source: the user's ratings in references/anchors.csv, used as given (they already reflect format and topic). 'This paper' uses the adjusted index. Official papers are 120 marks; compare the marks-at-level columns only for full-length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2026-10-15T11:10:41Z</dcterms:created>
  <dcterms:modified xmlns:dcterms="http://purl.org/dc/terms/" xmlns:xsi="http://www.w3.org/2001/XMLSchema-instance" xsi:type="dcterms:W3CDTF">2026-10-15T11:10:41Z</dcterms:modified>
</cp:coreProperties>
</file>