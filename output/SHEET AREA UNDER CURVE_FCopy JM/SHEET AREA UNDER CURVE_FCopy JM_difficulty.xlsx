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eference" sheetId="3" state="visible" r:id="rId3"/>
  </sheets>
  <definedNames>
    <definedName name="_xlnm._FilterDatabase" localSheetId="0" hidden="1">'Evaluation'!$A$1:$P$48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595959"/>
      <sz val="9"/>
    </font>
    <font>
      <name val="Arial"/>
      <b val="1"/>
      <color rgb="001A365D"/>
      <sz val="13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E8F0D8"/>
      </patternFill>
    </fill>
    <fill>
      <patternFill patternType="solid">
        <fgColor rgb="00FFF2CC"/>
      </patternFill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EA99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164" fontId="2" fillId="0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pivotButton="0" quotePrefix="0" xfId="0"/>
    <xf numFmtId="0" fontId="2" fillId="6" borderId="1" pivotButton="0" quotePrefix="0" xfId="0"/>
    <xf numFmtId="9" fontId="2" fillId="6" borderId="1" pivotButton="0" quotePrefix="0" xfId="0"/>
    <xf numFmtId="0" fontId="2" fillId="3" borderId="1" pivotButton="0" quotePrefix="0" xfId="0"/>
    <xf numFmtId="9" fontId="2" fillId="3" borderId="1" pivotButton="0" quotePrefix="0" xfId="0"/>
    <xf numFmtId="0" fontId="2" fillId="4" borderId="1" pivotButton="0" quotePrefix="0" xfId="0"/>
    <xf numFmtId="9" fontId="2" fillId="4" borderId="1" pivotButton="0" quotePrefix="0" xfId="0"/>
    <xf numFmtId="0" fontId="2" fillId="5" borderId="1" pivotButton="0" quotePrefix="0" xfId="0"/>
    <xf numFmtId="9" fontId="2" fillId="5" borderId="1" pivotButton="0" quotePrefix="0" xfId="0"/>
    <xf numFmtId="0" fontId="2" fillId="7" borderId="1" pivotButton="0" quotePrefix="0" xfId="0"/>
    <xf numFmtId="9" fontId="2" fillId="7" borderId="1" pivotButton="0" quotePrefix="0" xfId="0"/>
    <xf numFmtId="0" fontId="2" fillId="8" borderId="1" pivotButton="0" quotePrefix="0" xfId="0"/>
    <xf numFmtId="9" fontId="2" fillId="8" borderId="1" pivotButton="0" quotePrefix="0" xfId="0"/>
    <xf numFmtId="0" fontId="5" fillId="0" borderId="1" pivotButton="0" quotePrefix="0" xfId="0"/>
    <xf numFmtId="2" fontId="5" fillId="0" borderId="1" pivotButton="0" quotePrefix="0" xfId="0"/>
    <xf numFmtId="0" fontId="2" fillId="0" borderId="1" pivotButton="0" quotePrefix="0" xfId="0"/>
    <xf numFmtId="2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8" customWidth="1" min="2" max="2"/>
    <col width="9" customWidth="1" min="3" max="3"/>
    <col width="12" customWidth="1" min="4" max="4"/>
    <col width="24" customWidth="1" min="5" max="5"/>
    <col width="7" customWidth="1" min="6" max="6"/>
    <col width="7" customWidth="1" min="7" max="7"/>
    <col width="20" customWidth="1" min="8" max="8"/>
    <col width="9" customWidth="1" min="9" max="9"/>
    <col width="8" customWidth="1" min="10" max="10"/>
    <col width="9" customWidth="1" min="11" max="11"/>
    <col width="10" customWidth="1" min="12" max="12"/>
    <col width="38" customWidth="1" min="13" max="13"/>
    <col width="60" customWidth="1" min="14" max="14"/>
    <col width="20" customWidth="1" min="15" max="15"/>
    <col width="11" customWidth="1" min="16" max="16"/>
  </cols>
  <sheetData>
    <row r="1">
      <c r="A1" s="1" t="inlineStr">
        <is>
          <t>Sr No</t>
        </is>
      </c>
      <c r="B1" s="1" t="inlineStr">
        <is>
          <t>Paper</t>
        </is>
      </c>
      <c r="C1" s="1" t="inlineStr">
        <is>
          <t>Q Ref</t>
        </is>
      </c>
      <c r="D1" s="1" t="inlineStr">
        <is>
          <t>Type</t>
        </is>
      </c>
      <c r="E1" s="1" t="inlineStr">
        <is>
          <t>Chapter</t>
        </is>
      </c>
      <c r="F1" s="1" t="inlineStr">
        <is>
          <t>Marks</t>
        </is>
      </c>
      <c r="G1" s="1" t="inlineStr">
        <is>
          <t>Level</t>
        </is>
      </c>
      <c r="H1" s="1" t="inlineStr">
        <is>
          <t>Level Label</t>
        </is>
      </c>
      <c r="I1" s="1" t="inlineStr">
        <is>
          <t>Equiv. Rel. Adj</t>
        </is>
      </c>
      <c r="J1" s="1" t="inlineStr">
        <is>
          <t>MCQ Floor</t>
        </is>
      </c>
      <c r="K1" s="1" t="inlineStr">
        <is>
          <t>Adjusted Level</t>
        </is>
      </c>
      <c r="L1" s="1" t="inlineStr">
        <is>
          <t>Marks x Adj Level</t>
        </is>
      </c>
      <c r="M1" s="1" t="inlineStr">
        <is>
          <t>Key Step</t>
        </is>
      </c>
      <c r="N1" s="1" t="inlineStr">
        <is>
          <t>Justification</t>
        </is>
      </c>
      <c r="O1" s="1" t="inlineStr">
        <is>
          <t>Nearest Anchor</t>
        </is>
      </c>
      <c r="P1" s="1" t="inlineStr">
        <is>
          <t>Confidence</t>
        </is>
      </c>
    </row>
    <row r="2">
      <c r="A2" s="2" t="n">
        <v>1</v>
      </c>
      <c r="B2" s="2" t="inlineStr"/>
      <c r="C2" s="2" t="inlineStr">
        <is>
          <t>Q1</t>
        </is>
      </c>
      <c r="D2" s="2" t="inlineStr">
        <is>
          <t>SCQ</t>
        </is>
      </c>
      <c r="E2" s="3" t="inlineStr">
        <is>
          <t>Area Under Curve</t>
        </is>
      </c>
      <c r="F2" s="2" t="n">
        <v>4</v>
      </c>
      <c r="G2" s="4" t="n">
        <v>1</v>
      </c>
      <c r="H2" s="4" t="inlineStr">
        <is>
          <t>JEE Main level</t>
        </is>
      </c>
      <c r="I2" s="5" t="n">
        <v>0</v>
      </c>
      <c r="J2" s="5" t="n">
        <v>0</v>
      </c>
      <c r="K2" s="5">
        <f>MIN(5,MAX(G2+I2,J2))</f>
        <v/>
      </c>
      <c r="L2" s="5">
        <f>F2*K2</f>
        <v/>
      </c>
      <c r="M2" s="3" t="inlineStr">
        <is>
          <t>Integrate in y between y=-4 and 2 (or split at the x-axis).</t>
        </is>
      </c>
      <c r="N2" s="3" t="inlineStr">
        <is>
          <t>One familiar move: area between a parabola and a line; no decision beyond choosing the variable.</t>
        </is>
      </c>
      <c r="O2" s="3" t="inlineStr">
        <is>
          <t>2026-P2-Q15 (L2)</t>
        </is>
      </c>
      <c r="P2" s="2" t="inlineStr">
        <is>
          <t>High</t>
        </is>
      </c>
    </row>
    <row r="3">
      <c r="A3" s="2" t="n">
        <v>2</v>
      </c>
      <c r="B3" s="2" t="inlineStr"/>
      <c r="C3" s="2" t="inlineStr">
        <is>
          <t>Q2</t>
        </is>
      </c>
      <c r="D3" s="2" t="inlineStr">
        <is>
          <t>SCQ</t>
        </is>
      </c>
      <c r="E3" s="3" t="inlineStr">
        <is>
          <t>Area Under Curve</t>
        </is>
      </c>
      <c r="F3" s="2" t="n">
        <v>4</v>
      </c>
      <c r="G3" s="6" t="n">
        <v>2</v>
      </c>
      <c r="H3" s="6" t="inlineStr">
        <is>
          <t>Easier than Advanced</t>
        </is>
      </c>
      <c r="I3" s="5" t="n">
        <v>0</v>
      </c>
      <c r="J3" s="5" t="n">
        <v>0</v>
      </c>
      <c r="K3" s="5">
        <f>MIN(5,MAX(G3+I3,J3))</f>
        <v/>
      </c>
      <c r="L3" s="5">
        <f>F3*K3</f>
        <v/>
      </c>
      <c r="M3" s="3" t="inlineStr">
        <is>
          <t>Complete the square to get axes y=2, x=-2, then integrate the parabola region.</t>
        </is>
      </c>
      <c r="N3" s="3" t="inlineStr">
        <is>
          <t>Hyperbola reading plus a routine integral; three routine stages, no insight.</t>
        </is>
      </c>
      <c r="O3" s="3" t="inlineStr">
        <is>
          <t>2021-P1-Q2 (L3), easier</t>
        </is>
      </c>
      <c r="P3" s="2" t="inlineStr">
        <is>
          <t>High</t>
        </is>
      </c>
    </row>
    <row r="4">
      <c r="A4" s="2" t="n">
        <v>3</v>
      </c>
      <c r="B4" s="2" t="inlineStr"/>
      <c r="C4" s="2" t="inlineStr">
        <is>
          <t>Q3</t>
        </is>
      </c>
      <c r="D4" s="2" t="inlineStr">
        <is>
          <t>SCQ</t>
        </is>
      </c>
      <c r="E4" s="3" t="inlineStr">
        <is>
          <t>Area Under Curve</t>
        </is>
      </c>
      <c r="F4" s="2" t="n">
        <v>4</v>
      </c>
      <c r="G4" s="6" t="n">
        <v>2</v>
      </c>
      <c r="H4" s="6" t="inlineStr">
        <is>
          <t>Easier than Advanced</t>
        </is>
      </c>
      <c r="I4" s="5" t="n">
        <v>0</v>
      </c>
      <c r="J4" s="5" t="n">
        <v>0</v>
      </c>
      <c r="K4" s="5">
        <f>MIN(5,MAX(G4+I4,J4))</f>
        <v/>
      </c>
      <c r="L4" s="5">
        <f>F4*K4</f>
        <v/>
      </c>
      <c r="M4" s="3" t="inlineStr">
        <is>
          <t>Both regions lie in the upper half-disc split by y=2x; quarter-disc minus/plus triangle.</t>
        </is>
      </c>
      <c r="N4" s="3" t="inlineStr">
        <is>
          <t>Geometry of a circle and a line, each area from standard shapes; options to check.</t>
        </is>
      </c>
      <c r="O4" s="3" t="inlineStr">
        <is>
          <t>2021-P1-Q2 (L3), easier</t>
        </is>
      </c>
      <c r="P4" s="2" t="inlineStr">
        <is>
          <t>High</t>
        </is>
      </c>
    </row>
    <row r="5">
      <c r="A5" s="2" t="n">
        <v>4</v>
      </c>
      <c r="B5" s="2" t="inlineStr"/>
      <c r="C5" s="2" t="inlineStr">
        <is>
          <t>Q4</t>
        </is>
      </c>
      <c r="D5" s="2" t="inlineStr">
        <is>
          <t>SCQ</t>
        </is>
      </c>
      <c r="E5" s="3" t="inlineStr">
        <is>
          <t>Area Under Curve</t>
        </is>
      </c>
      <c r="F5" s="2" t="n">
        <v>4</v>
      </c>
      <c r="G5" s="7" t="n">
        <v>3</v>
      </c>
      <c r="H5" s="7" t="inlineStr">
        <is>
          <t>Average Advanced</t>
        </is>
      </c>
      <c r="I5" s="5" t="n">
        <v>0</v>
      </c>
      <c r="J5" s="5" t="n">
        <v>0</v>
      </c>
      <c r="K5" s="5">
        <f>MIN(5,MAX(G5+I5,J5))</f>
        <v/>
      </c>
      <c r="L5" s="5">
        <f>F5*K5</f>
        <v/>
      </c>
      <c r="M5" s="3" t="inlineStr">
        <is>
          <t>Segment of the circle gives sin^-1(3/sqrt21); complementary-angle identity removes it.</t>
        </is>
      </c>
      <c r="N5" s="3" t="inlineStr">
        <is>
          <t>Long exact computation with surds and an inverse-trig identity that must be spotted to match the option.</t>
        </is>
      </c>
      <c r="O5" s="3" t="inlineStr">
        <is>
          <t>2024-P2-Q2 (L3)</t>
        </is>
      </c>
      <c r="P5" s="2" t="inlineStr">
        <is>
          <t>Medium</t>
        </is>
      </c>
    </row>
    <row r="6">
      <c r="A6" s="2" t="n">
        <v>5</v>
      </c>
      <c r="B6" s="2" t="inlineStr"/>
      <c r="C6" s="2" t="inlineStr">
        <is>
          <t>Q5</t>
        </is>
      </c>
      <c r="D6" s="2" t="inlineStr">
        <is>
          <t>SCQ</t>
        </is>
      </c>
      <c r="E6" s="3" t="inlineStr">
        <is>
          <t>Area Under Curve</t>
        </is>
      </c>
      <c r="F6" s="2" t="n">
        <v>4</v>
      </c>
      <c r="G6" s="6" t="n">
        <v>2</v>
      </c>
      <c r="H6" s="6" t="inlineStr">
        <is>
          <t>Easier than Advanced</t>
        </is>
      </c>
      <c r="I6" s="5" t="n">
        <v>0</v>
      </c>
      <c r="J6" s="5" t="n">
        <v>0</v>
      </c>
      <c r="K6" s="5">
        <f>MIN(5,MAX(G6+I6,J6))</f>
        <v/>
      </c>
      <c r="L6" s="5">
        <f>F6*K6</f>
        <v/>
      </c>
      <c r="M6" s="3" t="inlineStr">
        <is>
          <t>Modulus changes form at pi/4; lower curve meets sin x where tan x=1/2.</t>
        </is>
      </c>
      <c r="N6" s="3" t="inlineStr">
        <is>
          <t>Routine split-and-integrate with exact values at tan^-1(1/2); options help.</t>
        </is>
      </c>
      <c r="O6" s="3" t="inlineStr">
        <is>
          <t>2021-P1-Q2 (L3), easier</t>
        </is>
      </c>
      <c r="P6" s="2" t="inlineStr">
        <is>
          <t>High</t>
        </is>
      </c>
    </row>
    <row r="7">
      <c r="A7" s="2" t="n">
        <v>6</v>
      </c>
      <c r="B7" s="2" t="inlineStr"/>
      <c r="C7" s="2" t="inlineStr">
        <is>
          <t>Q6</t>
        </is>
      </c>
      <c r="D7" s="2" t="inlineStr">
        <is>
          <t>SCQ</t>
        </is>
      </c>
      <c r="E7" s="3" t="inlineStr">
        <is>
          <t>Area Under Curve</t>
        </is>
      </c>
      <c r="F7" s="2" t="n">
        <v>4</v>
      </c>
      <c r="G7" s="6" t="n">
        <v>2</v>
      </c>
      <c r="H7" s="6" t="inlineStr">
        <is>
          <t>Easier than Advanced</t>
        </is>
      </c>
      <c r="I7" s="5" t="n">
        <v>0</v>
      </c>
      <c r="J7" s="5" t="n">
        <v>0</v>
      </c>
      <c r="K7" s="5">
        <f>MIN(5,MAX(G7+I7,J7))</f>
        <v/>
      </c>
      <c r="L7" s="5">
        <f>F7*K7</f>
        <v/>
      </c>
      <c r="M7" s="3" t="inlineStr">
        <is>
          <t>Rational roots need p(p-5) a perfect square; test p=10, 9; then integrate.</t>
        </is>
      </c>
      <c r="N7" s="3" t="inlineStr">
        <is>
          <t>Two short stages (number-theoretic test, then area); both routine.</t>
        </is>
      </c>
      <c r="O7" s="3" t="inlineStr">
        <is>
          <t>2026-P2-Q15 (L2)</t>
        </is>
      </c>
      <c r="P7" s="2" t="inlineStr">
        <is>
          <t>High</t>
        </is>
      </c>
    </row>
    <row r="8">
      <c r="A8" s="2" t="n">
        <v>7</v>
      </c>
      <c r="B8" s="2" t="inlineStr"/>
      <c r="C8" s="2" t="inlineStr">
        <is>
          <t>Q7</t>
        </is>
      </c>
      <c r="D8" s="2" t="inlineStr">
        <is>
          <t>SCQ</t>
        </is>
      </c>
      <c r="E8" s="3" t="inlineStr">
        <is>
          <t>Differential Equation</t>
        </is>
      </c>
      <c r="F8" s="2" t="n">
        <v>4</v>
      </c>
      <c r="G8" s="6" t="n">
        <v>2</v>
      </c>
      <c r="H8" s="6" t="inlineStr">
        <is>
          <t>Easier than Advanced</t>
        </is>
      </c>
      <c r="I8" s="5" t="n">
        <v>0</v>
      </c>
      <c r="J8" s="5" t="n">
        <v>0</v>
      </c>
      <c r="K8" s="5">
        <f>MIN(5,MAX(G8+I8,J8))</f>
        <v/>
      </c>
      <c r="L8" s="5">
        <f>F8*K8</f>
        <v/>
      </c>
      <c r="M8" s="3" t="inlineStr">
        <is>
          <t>Separable ODE gives a circle; area fixes r; normals pass through the centre.</t>
        </is>
      </c>
      <c r="N8" s="3" t="inlineStr">
        <is>
          <t>Three standard stages (ODE, circle, normals) each routine; no non-routine idea.</t>
        </is>
      </c>
      <c r="O8" s="3" t="inlineStr">
        <is>
          <t>2026-P2-Q15 (L2)</t>
        </is>
      </c>
      <c r="P8" s="2" t="inlineStr">
        <is>
          <t>Medium</t>
        </is>
      </c>
    </row>
    <row r="9">
      <c r="A9" s="2" t="n">
        <v>8</v>
      </c>
      <c r="B9" s="2" t="inlineStr"/>
      <c r="C9" s="2" t="inlineStr">
        <is>
          <t>Q8</t>
        </is>
      </c>
      <c r="D9" s="2" t="inlineStr">
        <is>
          <t>SCQ</t>
        </is>
      </c>
      <c r="E9" s="3" t="inlineStr">
        <is>
          <t>Area Under Curve</t>
        </is>
      </c>
      <c r="F9" s="2" t="n">
        <v>4</v>
      </c>
      <c r="G9" s="6" t="n">
        <v>2</v>
      </c>
      <c r="H9" s="6" t="inlineStr">
        <is>
          <t>Easier than Advanced</t>
        </is>
      </c>
      <c r="I9" s="5" t="n">
        <v>0</v>
      </c>
      <c r="J9" s="5" t="n">
        <v>0</v>
      </c>
      <c r="K9" s="5">
        <f>MIN(5,MAX(G9+I9,J9))</f>
        <v/>
      </c>
      <c r="L9" s="5">
        <f>F9*K9</f>
        <v/>
      </c>
      <c r="M9" s="3" t="inlineStr">
        <is>
          <t>Split at x=2 where the parabola meets the hyperbola; first-quadrant region.</t>
        </is>
      </c>
      <c r="N9" s="3" t="inlineStr">
        <is>
          <t>Two integrals with a log; routine but needs the correct intersection structure.</t>
        </is>
      </c>
      <c r="O9" s="3" t="inlineStr">
        <is>
          <t>2026-P2-Q15 (L2)</t>
        </is>
      </c>
      <c r="P9" s="2" t="inlineStr">
        <is>
          <t>High</t>
        </is>
      </c>
    </row>
    <row r="10">
      <c r="A10" s="2" t="n">
        <v>9</v>
      </c>
      <c r="B10" s="2" t="inlineStr"/>
      <c r="C10" s="2" t="inlineStr">
        <is>
          <t>Q9</t>
        </is>
      </c>
      <c r="D10" s="2" t="inlineStr">
        <is>
          <t>Numerical</t>
        </is>
      </c>
      <c r="E10" s="3" t="inlineStr">
        <is>
          <t>Area Under Curve</t>
        </is>
      </c>
      <c r="F10" s="2" t="n">
        <v>4</v>
      </c>
      <c r="G10" s="4" t="n">
        <v>1</v>
      </c>
      <c r="H10" s="4" t="inlineStr">
        <is>
          <t>JEE Main level</t>
        </is>
      </c>
      <c r="I10" s="5" t="n">
        <v>0</v>
      </c>
      <c r="J10" s="5" t="n">
        <v>0</v>
      </c>
      <c r="K10" s="5">
        <f>MIN(5,MAX(G10+I10,J10))</f>
        <v/>
      </c>
      <c r="L10" s="5">
        <f>F10*K10</f>
        <v/>
      </c>
      <c r="M10" s="3" t="inlineStr">
        <is>
          <t>Integrate in y between 0 and 3.</t>
        </is>
      </c>
      <c r="N10" s="3" t="inlineStr">
        <is>
          <t>One familiar move with a numerical answer; parabola-line area.</t>
        </is>
      </c>
      <c r="O10" s="3" t="inlineStr">
        <is>
          <t>2026-P2-Q15 (L2)</t>
        </is>
      </c>
      <c r="P10" s="2" t="inlineStr">
        <is>
          <t>High</t>
        </is>
      </c>
    </row>
    <row r="11">
      <c r="A11" s="2" t="n">
        <v>10</v>
      </c>
      <c r="B11" s="2" t="inlineStr"/>
      <c r="C11" s="2" t="inlineStr">
        <is>
          <t>Q10</t>
        </is>
      </c>
      <c r="D11" s="2" t="inlineStr">
        <is>
          <t>Numerical</t>
        </is>
      </c>
      <c r="E11" s="3" t="inlineStr">
        <is>
          <t>Area Under Curve</t>
        </is>
      </c>
      <c r="F11" s="2" t="n">
        <v>4</v>
      </c>
      <c r="G11" s="6" t="n">
        <v>2</v>
      </c>
      <c r="H11" s="6" t="inlineStr">
        <is>
          <t>Easier than Advanced</t>
        </is>
      </c>
      <c r="I11" s="5" t="n">
        <v>0</v>
      </c>
      <c r="J11" s="5" t="n">
        <v>0</v>
      </c>
      <c r="K11" s="5">
        <f>MIN(5,MAX(G11+I11,J11))</f>
        <v/>
      </c>
      <c r="L11" s="5">
        <f>F11*K11</f>
        <v/>
      </c>
      <c r="M11" s="3" t="inlineStr">
        <is>
          <t>Compute the first area (16), then equate with area between a parabola and a line.</t>
        </is>
      </c>
      <c r="N11" s="3" t="inlineStr">
        <is>
          <t>Two linked area computations and a cube-root style answer; routine.</t>
        </is>
      </c>
      <c r="O11" s="3" t="inlineStr">
        <is>
          <t>2026-P2-Q15 (L2)</t>
        </is>
      </c>
      <c r="P11" s="2" t="inlineStr">
        <is>
          <t>High</t>
        </is>
      </c>
    </row>
    <row r="12">
      <c r="A12" s="2" t="n">
        <v>11</v>
      </c>
      <c r="B12" s="2" t="inlineStr"/>
      <c r="C12" s="2" t="inlineStr">
        <is>
          <t>Q11</t>
        </is>
      </c>
      <c r="D12" s="2" t="inlineStr">
        <is>
          <t>Numerical</t>
        </is>
      </c>
      <c r="E12" s="3" t="inlineStr">
        <is>
          <t>Area Under Curve</t>
        </is>
      </c>
      <c r="F12" s="2" t="n">
        <v>4</v>
      </c>
      <c r="G12" s="6" t="n">
        <v>2</v>
      </c>
      <c r="H12" s="6" t="inlineStr">
        <is>
          <t>Easier than Advanced</t>
        </is>
      </c>
      <c r="I12" s="5" t="n">
        <v>0</v>
      </c>
      <c r="J12" s="5" t="n">
        <v>0</v>
      </c>
      <c r="K12" s="5">
        <f>MIN(5,MAX(G12+I12,J12))</f>
        <v/>
      </c>
      <c r="L12" s="5">
        <f>F12*K12</f>
        <v/>
      </c>
      <c r="M12" s="3" t="inlineStr">
        <is>
          <t>Identify which of the two regions is larger; integrate from x=2 to 8.</t>
        </is>
      </c>
      <c r="N12" s="3" t="inlineStr">
        <is>
          <t>Needs picking the correct region among those cut by x=2, then one integral.</t>
        </is>
      </c>
      <c r="O12" s="3" t="inlineStr">
        <is>
          <t>2026-P2-Q15 (L2)</t>
        </is>
      </c>
      <c r="P12" s="2" t="inlineStr">
        <is>
          <t>Medium</t>
        </is>
      </c>
    </row>
    <row r="13">
      <c r="A13" s="2" t="n">
        <v>12</v>
      </c>
      <c r="B13" s="2" t="inlineStr"/>
      <c r="C13" s="2" t="inlineStr">
        <is>
          <t>Q12</t>
        </is>
      </c>
      <c r="D13" s="2" t="inlineStr">
        <is>
          <t>Numerical</t>
        </is>
      </c>
      <c r="E13" s="3" t="inlineStr">
        <is>
          <t>Area Under Curve</t>
        </is>
      </c>
      <c r="F13" s="2" t="n">
        <v>4</v>
      </c>
      <c r="G13" s="6" t="n">
        <v>2</v>
      </c>
      <c r="H13" s="6" t="inlineStr">
        <is>
          <t>Easier than Advanced</t>
        </is>
      </c>
      <c r="I13" s="5" t="n">
        <v>0</v>
      </c>
      <c r="J13" s="5" t="n">
        <v>0</v>
      </c>
      <c r="K13" s="5">
        <f>MIN(5,MAX(G13+I13,J13))</f>
        <v/>
      </c>
      <c r="L13" s="5">
        <f>F13*K13</f>
        <v/>
      </c>
      <c r="M13" s="3" t="inlineStr">
        <is>
          <t>Region symmetric about x=1/2; left half between x=1/3 and 1/2.</t>
        </is>
      </c>
      <c r="N13" s="3" t="inlineStr">
        <is>
          <t>Three curves and a symmetry; routine integral on one piece.</t>
        </is>
      </c>
      <c r="O13" s="3" t="inlineStr">
        <is>
          <t>2024-P2-Q2 (L3), easier</t>
        </is>
      </c>
      <c r="P13" s="2" t="inlineStr">
        <is>
          <t>High</t>
        </is>
      </c>
    </row>
    <row r="14">
      <c r="A14" s="2" t="n">
        <v>13</v>
      </c>
      <c r="B14" s="2" t="inlineStr"/>
      <c r="C14" s="2" t="inlineStr">
        <is>
          <t>Q13</t>
        </is>
      </c>
      <c r="D14" s="2" t="inlineStr">
        <is>
          <t>Numerical</t>
        </is>
      </c>
      <c r="E14" s="3" t="inlineStr">
        <is>
          <t>Area Under Curve</t>
        </is>
      </c>
      <c r="F14" s="2" t="n">
        <v>4</v>
      </c>
      <c r="G14" s="6" t="n">
        <v>2</v>
      </c>
      <c r="H14" s="6" t="inlineStr">
        <is>
          <t>Easier than Advanced</t>
        </is>
      </c>
      <c r="I14" s="5" t="n">
        <v>0</v>
      </c>
      <c r="J14" s="5" t="n">
        <v>0</v>
      </c>
      <c r="K14" s="5">
        <f>MIN(5,MAX(G14+I14,J14))</f>
        <v/>
      </c>
      <c r="L14" s="5">
        <f>F14*K14</f>
        <v/>
      </c>
      <c r="M14" s="3" t="inlineStr">
        <is>
          <t>f(x)=max(x,0), so fog=x^2 for x&gt;=0; region is triangle plus parabola piece.</t>
        </is>
      </c>
      <c r="N14" s="3" t="inlineStr">
        <is>
          <t>Composition of piecewise functions then a straightforward area.</t>
        </is>
      </c>
      <c r="O14" s="3" t="inlineStr">
        <is>
          <t>2026-P2-Q15 (L2)</t>
        </is>
      </c>
      <c r="P14" s="2" t="inlineStr">
        <is>
          <t>High</t>
        </is>
      </c>
    </row>
    <row r="15">
      <c r="A15" s="2" t="n">
        <v>14</v>
      </c>
      <c r="B15" s="2" t="inlineStr"/>
      <c r="C15" s="2" t="inlineStr">
        <is>
          <t>Q14</t>
        </is>
      </c>
      <c r="D15" s="2" t="inlineStr">
        <is>
          <t>Numerical</t>
        </is>
      </c>
      <c r="E15" s="3" t="inlineStr">
        <is>
          <t>Area Under Curve</t>
        </is>
      </c>
      <c r="F15" s="2" t="n">
        <v>4</v>
      </c>
      <c r="G15" s="7" t="n">
        <v>3</v>
      </c>
      <c r="H15" s="7" t="inlineStr">
        <is>
          <t>Average Advanced</t>
        </is>
      </c>
      <c r="I15" s="5" t="n">
        <v>0</v>
      </c>
      <c r="J15" s="5" t="n">
        <v>0</v>
      </c>
      <c r="K15" s="5">
        <f>MIN(5,MAX(G15+I15,J15))</f>
        <v/>
      </c>
      <c r="L15" s="5">
        <f>F15*K15</f>
        <v/>
      </c>
      <c r="M15" s="3" t="inlineStr">
        <is>
          <t>Both curves symmetric about x=1/2; intersection at (3-sqrt5)/2; exact surd arithmetic.</t>
        </is>
      </c>
      <c r="N15" s="3" t="inlineStr">
        <is>
          <t>Numerical answer with irrational limits; one slip in the surd arithmetic ruins the answer, no options.</t>
        </is>
      </c>
      <c r="O15" s="3" t="inlineStr">
        <is>
          <t>2024-P2-Q2 (L3)</t>
        </is>
      </c>
      <c r="P15" s="2" t="inlineStr">
        <is>
          <t>Medium</t>
        </is>
      </c>
    </row>
    <row r="16">
      <c r="A16" s="2" t="n">
        <v>15</v>
      </c>
      <c r="B16" s="2" t="inlineStr"/>
      <c r="C16" s="2" t="inlineStr">
        <is>
          <t>Q15</t>
        </is>
      </c>
      <c r="D16" s="2" t="inlineStr">
        <is>
          <t>Numerical</t>
        </is>
      </c>
      <c r="E16" s="3" t="inlineStr">
        <is>
          <t>Area Under Curve</t>
        </is>
      </c>
      <c r="F16" s="2" t="n">
        <v>4</v>
      </c>
      <c r="G16" s="4" t="n">
        <v>1</v>
      </c>
      <c r="H16" s="4" t="inlineStr">
        <is>
          <t>JEE Main level</t>
        </is>
      </c>
      <c r="I16" s="5" t="n">
        <v>0</v>
      </c>
      <c r="J16" s="5" t="n">
        <v>0</v>
      </c>
      <c r="K16" s="5">
        <f>MIN(5,MAX(G16+I16,J16))</f>
        <v/>
      </c>
      <c r="L16" s="5">
        <f>F16*K16</f>
        <v/>
      </c>
      <c r="M16" s="3" t="inlineStr">
        <is>
          <t>Split at the sign change x=0 of x(3-x).</t>
        </is>
      </c>
      <c r="N16" s="3" t="inlineStr">
        <is>
          <t>One familiar move (area with sign change); short computation.</t>
        </is>
      </c>
      <c r="O16" s="3" t="inlineStr">
        <is>
          <t>2026-P2-Q15 (L2)</t>
        </is>
      </c>
      <c r="P16" s="2" t="inlineStr">
        <is>
          <t>High</t>
        </is>
      </c>
    </row>
    <row r="17">
      <c r="A17" s="2" t="n">
        <v>16</v>
      </c>
      <c r="B17" s="2" t="inlineStr"/>
      <c r="C17" s="2" t="inlineStr">
        <is>
          <t>Q16</t>
        </is>
      </c>
      <c r="D17" s="2" t="inlineStr">
        <is>
          <t>SCQ</t>
        </is>
      </c>
      <c r="E17" s="3" t="inlineStr">
        <is>
          <t>Area Under Curve</t>
        </is>
      </c>
      <c r="F17" s="2" t="n">
        <v>4</v>
      </c>
      <c r="G17" s="4" t="n">
        <v>1</v>
      </c>
      <c r="H17" s="4" t="inlineStr">
        <is>
          <t>JEE Main level</t>
        </is>
      </c>
      <c r="I17" s="5" t="n">
        <v>0</v>
      </c>
      <c r="J17" s="5" t="n">
        <v>0</v>
      </c>
      <c r="K17" s="5">
        <f>MIN(5,MAX(G17+I17,J17))</f>
        <v/>
      </c>
      <c r="L17" s="5">
        <f>F17*K17</f>
        <v/>
      </c>
      <c r="M17" s="3" t="inlineStr">
        <is>
          <t>Graph of |x-1|+|x-2| is a trapezoid; area by geometry.</t>
        </is>
      </c>
      <c r="N17" s="3" t="inlineStr">
        <is>
          <t>One familiar move; area from the graph with straight lines.</t>
        </is>
      </c>
      <c r="O17" s="3" t="inlineStr">
        <is>
          <t>2026-P2-Q15 (L2)</t>
        </is>
      </c>
      <c r="P17" s="2" t="inlineStr">
        <is>
          <t>High</t>
        </is>
      </c>
    </row>
    <row r="18">
      <c r="A18" s="2" t="n">
        <v>17</v>
      </c>
      <c r="B18" s="2" t="inlineStr"/>
      <c r="C18" s="2" t="inlineStr">
        <is>
          <t>Q17</t>
        </is>
      </c>
      <c r="D18" s="2" t="inlineStr">
        <is>
          <t>SCQ</t>
        </is>
      </c>
      <c r="E18" s="3" t="inlineStr">
        <is>
          <t>Area Under Curve</t>
        </is>
      </c>
      <c r="F18" s="2" t="n">
        <v>4</v>
      </c>
      <c r="G18" s="6" t="n">
        <v>2</v>
      </c>
      <c r="H18" s="6" t="inlineStr">
        <is>
          <t>Easier than Advanced</t>
        </is>
      </c>
      <c r="I18" s="5" t="n">
        <v>0</v>
      </c>
      <c r="J18" s="5" t="n">
        <v>0</v>
      </c>
      <c r="K18" s="5">
        <f>MIN(5,MAX(G18+I18,J18))</f>
        <v/>
      </c>
      <c r="L18" s="5">
        <f>F18*K18</f>
        <v/>
      </c>
      <c r="M18" s="3" t="inlineStr">
        <is>
          <t>Cap y&lt;=7 changes the upper boundary for |x|&lt;1; split at x=1.</t>
        </is>
      </c>
      <c r="N18" s="3" t="inlineStr">
        <is>
          <t>Three bounds and a symmetric split; routine.</t>
        </is>
      </c>
      <c r="O18" s="3" t="inlineStr">
        <is>
          <t>2024-P2-Q2 (L3), easier</t>
        </is>
      </c>
      <c r="P18" s="2" t="inlineStr">
        <is>
          <t>High</t>
        </is>
      </c>
    </row>
    <row r="19">
      <c r="A19" s="2" t="n">
        <v>18</v>
      </c>
      <c r="B19" s="2" t="inlineStr"/>
      <c r="C19" s="2" t="inlineStr">
        <is>
          <t>Q18</t>
        </is>
      </c>
      <c r="D19" s="2" t="inlineStr">
        <is>
          <t>SCQ</t>
        </is>
      </c>
      <c r="E19" s="3" t="inlineStr">
        <is>
          <t>Area Under Curve</t>
        </is>
      </c>
      <c r="F19" s="2" t="n">
        <v>4</v>
      </c>
      <c r="G19" s="6" t="n">
        <v>2</v>
      </c>
      <c r="H19" s="6" t="inlineStr">
        <is>
          <t>Easier than Advanced</t>
        </is>
      </c>
      <c r="I19" s="5" t="n">
        <v>0</v>
      </c>
      <c r="J19" s="5" t="n">
        <v>0</v>
      </c>
      <c r="K19" s="5">
        <f>MIN(5,MAX(G19+I19,J19))</f>
        <v/>
      </c>
      <c r="L19" s="5">
        <f>F19*K19</f>
        <v/>
      </c>
      <c r="M19" s="3" t="inlineStr">
        <is>
          <t>Circle and parabola meet at (0,0),(+-2,2); region is two slivers.</t>
        </is>
      </c>
      <c r="N19" s="3" t="inlineStr">
        <is>
          <t>Standard circle-parabola area with a quarter-disc; routine.</t>
        </is>
      </c>
      <c r="O19" s="3" t="inlineStr">
        <is>
          <t>2024-P2-Q2 (L3), easier</t>
        </is>
      </c>
      <c r="P19" s="2" t="inlineStr">
        <is>
          <t>High</t>
        </is>
      </c>
    </row>
    <row r="20">
      <c r="A20" s="2" t="n">
        <v>19</v>
      </c>
      <c r="B20" s="2" t="inlineStr"/>
      <c r="C20" s="2" t="inlineStr">
        <is>
          <t>Q19</t>
        </is>
      </c>
      <c r="D20" s="2" t="inlineStr">
        <is>
          <t>SCQ</t>
        </is>
      </c>
      <c r="E20" s="3" t="inlineStr">
        <is>
          <t>Area Under Curve</t>
        </is>
      </c>
      <c r="F20" s="2" t="n">
        <v>4</v>
      </c>
      <c r="G20" s="4" t="n">
        <v>1</v>
      </c>
      <c r="H20" s="4" t="inlineStr">
        <is>
          <t>JEE Main level</t>
        </is>
      </c>
      <c r="I20" s="5" t="n">
        <v>0</v>
      </c>
      <c r="J20" s="5" t="n">
        <v>0</v>
      </c>
      <c r="K20" s="5">
        <f>MIN(5,MAX(G20+I20,J20))</f>
        <v/>
      </c>
      <c r="L20" s="5">
        <f>F20*K20</f>
        <v/>
      </c>
      <c r="M20" s="3" t="inlineStr">
        <is>
          <t>Tangent meets the cubic again at x=2 (double root at -1).</t>
        </is>
      </c>
      <c r="N20" s="3" t="inlineStr">
        <is>
          <t>One familiar move: find tangent and integrate.</t>
        </is>
      </c>
      <c r="O20" s="3" t="inlineStr">
        <is>
          <t>2026-P2-Q15 (L2)</t>
        </is>
      </c>
      <c r="P20" s="2" t="inlineStr">
        <is>
          <t>High</t>
        </is>
      </c>
    </row>
    <row r="21">
      <c r="A21" s="2" t="n">
        <v>20</v>
      </c>
      <c r="B21" s="2" t="inlineStr"/>
      <c r="C21" s="2" t="inlineStr">
        <is>
          <t>Q20</t>
        </is>
      </c>
      <c r="D21" s="2" t="inlineStr">
        <is>
          <t>SCQ</t>
        </is>
      </c>
      <c r="E21" s="3" t="inlineStr">
        <is>
          <t>Area Under Curve</t>
        </is>
      </c>
      <c r="F21" s="2" t="n">
        <v>4</v>
      </c>
      <c r="G21" s="6" t="n">
        <v>2</v>
      </c>
      <c r="H21" s="6" t="inlineStr">
        <is>
          <t>Easier than Advanced</t>
        </is>
      </c>
      <c r="I21" s="5" t="n">
        <v>0</v>
      </c>
      <c r="J21" s="5" t="n">
        <v>0</v>
      </c>
      <c r="K21" s="5">
        <f>MIN(5,MAX(G21+I21,J21))</f>
        <v/>
      </c>
      <c r="L21" s="5">
        <f>F21*K21</f>
        <v/>
      </c>
      <c r="M21" s="3" t="inlineStr">
        <is>
          <t>f=cos on [-3pi/4,pi/4], sin elsewhere; track signs.</t>
        </is>
      </c>
      <c r="N21" s="3" t="inlineStr">
        <is>
          <t>Max of two trig curves with sign changes, routine pieces.</t>
        </is>
      </c>
      <c r="O21" s="3" t="inlineStr">
        <is>
          <t>2021-P1-Q2 (L3), easier</t>
        </is>
      </c>
      <c r="P21" s="2" t="inlineStr">
        <is>
          <t>High</t>
        </is>
      </c>
    </row>
    <row r="22">
      <c r="A22" s="2" t="n">
        <v>21</v>
      </c>
      <c r="B22" s="2" t="inlineStr"/>
      <c r="C22" s="2" t="inlineStr">
        <is>
          <t>Q21</t>
        </is>
      </c>
      <c r="D22" s="2" t="inlineStr">
        <is>
          <t>SCQ</t>
        </is>
      </c>
      <c r="E22" s="3" t="inlineStr">
        <is>
          <t>Area Under Curve</t>
        </is>
      </c>
      <c r="F22" s="2" t="n">
        <v>4</v>
      </c>
      <c r="G22" s="6" t="n">
        <v>2</v>
      </c>
      <c r="H22" s="6" t="inlineStr">
        <is>
          <t>Easier than Advanced</t>
        </is>
      </c>
      <c r="I22" s="5" t="n">
        <v>0</v>
      </c>
      <c r="J22" s="5" t="n">
        <v>0</v>
      </c>
      <c r="K22" s="5">
        <f>MIN(5,MAX(G22+I22,J22))</f>
        <v/>
      </c>
      <c r="L22" s="5">
        <f>F22*K22</f>
        <v/>
      </c>
      <c r="M22" s="3" t="inlineStr">
        <is>
          <t>x^2&lt;=|x^2-4| forces |x|&lt;=sqrt2; y&gt;=1 cuts for |x|&lt;1.</t>
        </is>
      </c>
      <c r="N22" s="3" t="inlineStr">
        <is>
          <t>Modulus plus an extra bound; routine split and integrate.</t>
        </is>
      </c>
      <c r="O22" s="3" t="inlineStr">
        <is>
          <t>2024-P2-Q2 (L3), easier</t>
        </is>
      </c>
      <c r="P22" s="2" t="inlineStr">
        <is>
          <t>High</t>
        </is>
      </c>
    </row>
    <row r="23">
      <c r="A23" s="2" t="n">
        <v>22</v>
      </c>
      <c r="B23" s="2" t="inlineStr"/>
      <c r="C23" s="2" t="inlineStr">
        <is>
          <t>Q22</t>
        </is>
      </c>
      <c r="D23" s="2" t="inlineStr">
        <is>
          <t>Numerical</t>
        </is>
      </c>
      <c r="E23" s="3" t="inlineStr">
        <is>
          <t>Area Under Curve</t>
        </is>
      </c>
      <c r="F23" s="2" t="n">
        <v>4</v>
      </c>
      <c r="G23" s="7" t="n">
        <v>3</v>
      </c>
      <c r="H23" s="7" t="inlineStr">
        <is>
          <t>Average Advanced</t>
        </is>
      </c>
      <c r="I23" s="5" t="n">
        <v>0</v>
      </c>
      <c r="J23" s="5" t="n">
        <v>0</v>
      </c>
      <c r="K23" s="5">
        <f>MIN(5,MAX(G23+I23,J23))</f>
        <v/>
      </c>
      <c r="L23" s="5">
        <f>F23*K23</f>
        <v/>
      </c>
      <c r="M23" s="3" t="inlineStr">
        <is>
          <t>Circle, parabola, line: lower boundary switches at y=1; match to (n+2)/(n+1)-pi/(n-1).</t>
        </is>
      </c>
      <c r="N23" s="3" t="inlineStr">
        <is>
          <t>Interpreting the region from inequalities, two pieces with a quarter-disc, and matching a parametric form; no options.</t>
        </is>
      </c>
      <c r="O23" s="3" t="inlineStr">
        <is>
          <t>2024-P2-Q2 (L3)</t>
        </is>
      </c>
      <c r="P23" s="2" t="inlineStr">
        <is>
          <t>Medium</t>
        </is>
      </c>
    </row>
    <row r="24">
      <c r="A24" s="2" t="n">
        <v>23</v>
      </c>
      <c r="B24" s="2" t="inlineStr"/>
      <c r="C24" s="2" t="inlineStr">
        <is>
          <t>Q23</t>
        </is>
      </c>
      <c r="D24" s="2" t="inlineStr">
        <is>
          <t>Numerical</t>
        </is>
      </c>
      <c r="E24" s="3" t="inlineStr">
        <is>
          <t>Area Under Curve</t>
        </is>
      </c>
      <c r="F24" s="2" t="n">
        <v>4</v>
      </c>
      <c r="G24" s="6" t="n">
        <v>2</v>
      </c>
      <c r="H24" s="6" t="inlineStr">
        <is>
          <t>Easier than Advanced</t>
        </is>
      </c>
      <c r="I24" s="5" t="n">
        <v>0</v>
      </c>
      <c r="J24" s="5" t="n">
        <v>0</v>
      </c>
      <c r="K24" s="5">
        <f>MIN(5,MAX(G24+I24,J24))</f>
        <v/>
      </c>
      <c r="L24" s="5">
        <f>F24*K24</f>
        <v/>
      </c>
      <c r="M24" s="3" t="inlineStr">
        <is>
          <t>Floor function makes f piecewise; line x+y=2 caps the region from x=1.</t>
        </is>
      </c>
      <c r="N24" s="3" t="inlineStr">
        <is>
          <t>Piecewise region needing care, but simple pieces.</t>
        </is>
      </c>
      <c r="O24" s="3" t="inlineStr">
        <is>
          <t>2026-P2-Q15 (L2)</t>
        </is>
      </c>
      <c r="P24" s="2" t="inlineStr">
        <is>
          <t>Medium</t>
        </is>
      </c>
    </row>
    <row r="25">
      <c r="A25" s="2" t="n">
        <v>24</v>
      </c>
      <c r="B25" s="2" t="inlineStr"/>
      <c r="C25" s="2" t="inlineStr">
        <is>
          <t>Q24</t>
        </is>
      </c>
      <c r="D25" s="2" t="inlineStr">
        <is>
          <t>Numerical</t>
        </is>
      </c>
      <c r="E25" s="3" t="inlineStr">
        <is>
          <t>Area Under Curve</t>
        </is>
      </c>
      <c r="F25" s="2" t="n">
        <v>4</v>
      </c>
      <c r="G25" s="7" t="n">
        <v>3</v>
      </c>
      <c r="H25" s="7" t="inlineStr">
        <is>
          <t>Average Advanced</t>
        </is>
      </c>
      <c r="I25" s="5" t="n">
        <v>0</v>
      </c>
      <c r="J25" s="5" t="n">
        <v>0</v>
      </c>
      <c r="K25" s="5">
        <f>MIN(5,MAX(G25+I25,J25))</f>
        <v/>
      </c>
      <c r="L25" s="5">
        <f>F25*K25</f>
        <v/>
      </c>
      <c r="M25" s="3" t="inlineStr">
        <is>
          <t>p(x)=1-x^2; region is a quarter-disc minus the corner above the parabola.</t>
        </is>
      </c>
      <c r="N25" s="3" t="inlineStr">
        <is>
          <t>Requires finding the parabola and combining circle and parabola areas; numerical answer with no options.</t>
        </is>
      </c>
      <c r="O25" s="3" t="inlineStr">
        <is>
          <t>2024-P2-Q2 (L3)</t>
        </is>
      </c>
      <c r="P25" s="2" t="inlineStr">
        <is>
          <t>Medium</t>
        </is>
      </c>
    </row>
    <row r="26">
      <c r="A26" s="2" t="n">
        <v>25</v>
      </c>
      <c r="B26" s="2" t="inlineStr"/>
      <c r="C26" s="2" t="inlineStr">
        <is>
          <t>Q25</t>
        </is>
      </c>
      <c r="D26" s="2" t="inlineStr">
        <is>
          <t>Numerical</t>
        </is>
      </c>
      <c r="E26" s="3" t="inlineStr">
        <is>
          <t>Area Under Curve</t>
        </is>
      </c>
      <c r="F26" s="2" t="n">
        <v>4</v>
      </c>
      <c r="G26" s="6" t="n">
        <v>2</v>
      </c>
      <c r="H26" s="6" t="inlineStr">
        <is>
          <t>Easier than Advanced</t>
        </is>
      </c>
      <c r="I26" s="5" t="n">
        <v>0</v>
      </c>
      <c r="J26" s="5" t="n">
        <v>0</v>
      </c>
      <c r="K26" s="5">
        <f>MIN(5,MAX(G26+I26,J26))</f>
        <v/>
      </c>
      <c r="L26" s="5">
        <f>F26*K26</f>
        <v/>
      </c>
      <c r="M26" s="3" t="inlineStr">
        <is>
          <t>|x^2-2| switches at sqrt2; limits 1 and 2.</t>
        </is>
      </c>
      <c r="N26" s="3" t="inlineStr">
        <is>
          <t>Modulus parabola and a line; surd cancellation in the final combination.</t>
        </is>
      </c>
      <c r="O26" s="3" t="inlineStr">
        <is>
          <t>2026-P2-Q15 (L2)</t>
        </is>
      </c>
      <c r="P26" s="2" t="inlineStr">
        <is>
          <t>High</t>
        </is>
      </c>
    </row>
    <row r="27">
      <c r="A27" s="2" t="n">
        <v>26</v>
      </c>
      <c r="B27" s="2" t="inlineStr"/>
      <c r="C27" s="2" t="inlineStr">
        <is>
          <t>Q26</t>
        </is>
      </c>
      <c r="D27" s="2" t="inlineStr">
        <is>
          <t>Numerical</t>
        </is>
      </c>
      <c r="E27" s="3" t="inlineStr">
        <is>
          <t>Area Under Curve</t>
        </is>
      </c>
      <c r="F27" s="2" t="n">
        <v>4</v>
      </c>
      <c r="G27" s="7" t="n">
        <v>3</v>
      </c>
      <c r="H27" s="7" t="inlineStr">
        <is>
          <t>Average Advanced</t>
        </is>
      </c>
      <c r="I27" s="5" t="n">
        <v>0</v>
      </c>
      <c r="J27" s="5" t="n">
        <v>0</v>
      </c>
      <c r="K27" s="5">
        <f>MIN(5,MAX(G27+I27,J27))</f>
        <v/>
      </c>
      <c r="L27" s="5">
        <f>F27*K27</f>
        <v/>
      </c>
      <c r="M27" s="3" t="inlineStr">
        <is>
          <t>Tangent and line meet at (2/5,3/5); three-boundary region.</t>
        </is>
      </c>
      <c r="N27" s="3" t="inlineStr">
        <is>
          <t>Several boundaries (curve, tangent, line, axis) and exact fraction arithmetic; no options.</t>
        </is>
      </c>
      <c r="O27" s="3" t="inlineStr">
        <is>
          <t>2024-P2-Q2 (L3)</t>
        </is>
      </c>
      <c r="P27" s="2" t="inlineStr">
        <is>
          <t>Medium</t>
        </is>
      </c>
    </row>
    <row r="28">
      <c r="A28" s="2" t="n">
        <v>27</v>
      </c>
      <c r="B28" s="2" t="inlineStr"/>
      <c r="C28" s="2" t="inlineStr">
        <is>
          <t>Q27</t>
        </is>
      </c>
      <c r="D28" s="2" t="inlineStr">
        <is>
          <t>Numerical</t>
        </is>
      </c>
      <c r="E28" s="3" t="inlineStr">
        <is>
          <t>Area Under Curve</t>
        </is>
      </c>
      <c r="F28" s="2" t="n">
        <v>4</v>
      </c>
      <c r="G28" s="7" t="n">
        <v>3</v>
      </c>
      <c r="H28" s="7" t="inlineStr">
        <is>
          <t>Average Advanced</t>
        </is>
      </c>
      <c r="I28" s="5" t="n">
        <v>0</v>
      </c>
      <c r="J28" s="5" t="n">
        <v>0</v>
      </c>
      <c r="K28" s="5">
        <f>MIN(5,MAX(G28+I28,J28))</f>
        <v/>
      </c>
      <c r="L28" s="5">
        <f>F28*K28</f>
        <v/>
      </c>
      <c r="M28" s="3" t="inlineStr">
        <is>
          <t>Line x+y=3 passes through the circle centre at 45 degrees: sector pi/4.</t>
        </is>
      </c>
      <c r="N28" s="3" t="inlineStr">
        <is>
          <t>Four boundary pieces and a circle sector; the sector observation is the key step.</t>
        </is>
      </c>
      <c r="O28" s="3" t="inlineStr">
        <is>
          <t>2024-P2-Q2 (L3)</t>
        </is>
      </c>
      <c r="P28" s="2" t="inlineStr">
        <is>
          <t>Medium</t>
        </is>
      </c>
    </row>
    <row r="29">
      <c r="A29" s="2" t="n">
        <v>28</v>
      </c>
      <c r="B29" s="2" t="inlineStr"/>
      <c r="C29" s="2" t="inlineStr">
        <is>
          <t>Q28</t>
        </is>
      </c>
      <c r="D29" s="2" t="inlineStr">
        <is>
          <t>SCQ</t>
        </is>
      </c>
      <c r="E29" s="3" t="inlineStr">
        <is>
          <t>Area Under Curve</t>
        </is>
      </c>
      <c r="F29" s="2" t="n">
        <v>4</v>
      </c>
      <c r="G29" s="4" t="n">
        <v>1</v>
      </c>
      <c r="H29" s="4" t="inlineStr">
        <is>
          <t>JEE Main level</t>
        </is>
      </c>
      <c r="I29" s="5" t="n">
        <v>0</v>
      </c>
      <c r="J29" s="5" t="n">
        <v>0</v>
      </c>
      <c r="K29" s="5">
        <f>MIN(5,MAX(G29+I29,J29))</f>
        <v/>
      </c>
      <c r="L29" s="5">
        <f>F29*K29</f>
        <v/>
      </c>
      <c r="M29" s="3" t="inlineStr">
        <is>
          <t>Parabola and line as x=f(y), integrate over [-2,4].</t>
        </is>
      </c>
      <c r="N29" s="3" t="inlineStr">
        <is>
          <t>One familiar move.</t>
        </is>
      </c>
      <c r="O29" s="3" t="inlineStr">
        <is>
          <t>2026-P2-Q15 (L2)</t>
        </is>
      </c>
      <c r="P29" s="2" t="inlineStr">
        <is>
          <t>High</t>
        </is>
      </c>
    </row>
    <row r="30">
      <c r="A30" s="2" t="n">
        <v>29</v>
      </c>
      <c r="B30" s="2" t="inlineStr"/>
      <c r="C30" s="2" t="inlineStr">
        <is>
          <t>Q29</t>
        </is>
      </c>
      <c r="D30" s="2" t="inlineStr">
        <is>
          <t>SCQ</t>
        </is>
      </c>
      <c r="E30" s="3" t="inlineStr">
        <is>
          <t>Area Under Curve</t>
        </is>
      </c>
      <c r="F30" s="2" t="n">
        <v>4</v>
      </c>
      <c r="G30" s="7" t="n">
        <v>3</v>
      </c>
      <c r="H30" s="7" t="inlineStr">
        <is>
          <t>Average Advanced</t>
        </is>
      </c>
      <c r="I30" s="5" t="n">
        <v>0</v>
      </c>
      <c r="J30" s="5" t="n">
        <v>0</v>
      </c>
      <c r="K30" s="5">
        <f>MIN(5,MAX(G30+I30,J30))</f>
        <v/>
      </c>
      <c r="L30" s="5">
        <f>F30*K30</f>
        <v/>
      </c>
      <c r="M30" s="3" t="inlineStr">
        <is>
          <t>Sign analysis of a rational function in x and y; exactly one sign of y per x.</t>
        </is>
      </c>
      <c r="N30" s="3" t="inlineStr">
        <is>
          <t>Unusual inequality needing the wavy-curve method; cross-section length is the same either way.</t>
        </is>
      </c>
      <c r="O30" s="3" t="inlineStr">
        <is>
          <t>2025-P2-Q2 (L3)</t>
        </is>
      </c>
      <c r="P30" s="2" t="inlineStr">
        <is>
          <t>Medium</t>
        </is>
      </c>
    </row>
    <row r="31">
      <c r="A31" s="2" t="n">
        <v>30</v>
      </c>
      <c r="B31" s="2" t="inlineStr"/>
      <c r="C31" s="2" t="inlineStr">
        <is>
          <t>Q30</t>
        </is>
      </c>
      <c r="D31" s="2" t="inlineStr">
        <is>
          <t>SCQ</t>
        </is>
      </c>
      <c r="E31" s="3" t="inlineStr">
        <is>
          <t>Area Under Curve</t>
        </is>
      </c>
      <c r="F31" s="2" t="n">
        <v>4</v>
      </c>
      <c r="G31" s="4" t="n">
        <v>1</v>
      </c>
      <c r="H31" s="4" t="inlineStr">
        <is>
          <t>JEE Main level</t>
        </is>
      </c>
      <c r="I31" s="5" t="n">
        <v>0</v>
      </c>
      <c r="J31" s="5" t="n">
        <v>0</v>
      </c>
      <c r="K31" s="5">
        <f>MIN(5,MAX(G31+I31,J31))</f>
        <v/>
      </c>
      <c r="L31" s="5">
        <f>F31*K31</f>
        <v/>
      </c>
      <c r="M31" s="3" t="inlineStr">
        <is>
          <t>Intersection x=1,4 and a single integral.</t>
        </is>
      </c>
      <c r="N31" s="3" t="inlineStr">
        <is>
          <t>One familiar move: area between two parabolas.</t>
        </is>
      </c>
      <c r="O31" s="3" t="inlineStr">
        <is>
          <t>2026-P2-Q15 (L2)</t>
        </is>
      </c>
      <c r="P31" s="2" t="inlineStr">
        <is>
          <t>High</t>
        </is>
      </c>
    </row>
    <row r="32">
      <c r="A32" s="2" t="n">
        <v>31</v>
      </c>
      <c r="B32" s="2" t="inlineStr"/>
      <c r="C32" s="2" t="inlineStr">
        <is>
          <t>Q31</t>
        </is>
      </c>
      <c r="D32" s="2" t="inlineStr">
        <is>
          <t>SCQ</t>
        </is>
      </c>
      <c r="E32" s="3" t="inlineStr">
        <is>
          <t>Area Under Curve</t>
        </is>
      </c>
      <c r="F32" s="2" t="n">
        <v>4</v>
      </c>
      <c r="G32" s="6" t="n">
        <v>2</v>
      </c>
      <c r="H32" s="6" t="inlineStr">
        <is>
          <t>Easier than Advanced</t>
        </is>
      </c>
      <c r="I32" s="5" t="n">
        <v>0</v>
      </c>
      <c r="J32" s="5" t="n">
        <v>0</v>
      </c>
      <c r="K32" s="5">
        <f>MIN(5,MAX(G32+I32,J32))</f>
        <v/>
      </c>
      <c r="L32" s="5">
        <f>F32*K32</f>
        <v/>
      </c>
      <c r="M32" s="3" t="inlineStr">
        <is>
          <t>y=16/(x+4); intersections x=-2,4; integrate with a log.</t>
        </is>
      </c>
      <c r="N32" s="3" t="inlineStr">
        <is>
          <t>Routine with a logarithm.</t>
        </is>
      </c>
      <c r="O32" s="3" t="inlineStr">
        <is>
          <t>2026-P2-Q15 (L2)</t>
        </is>
      </c>
      <c r="P32" s="2" t="inlineStr">
        <is>
          <t>High</t>
        </is>
      </c>
    </row>
    <row r="33">
      <c r="A33" s="2" t="n">
        <v>32</v>
      </c>
      <c r="B33" s="2" t="inlineStr"/>
      <c r="C33" s="2" t="inlineStr">
        <is>
          <t>Q32</t>
        </is>
      </c>
      <c r="D33" s="2" t="inlineStr">
        <is>
          <t>Numerical</t>
        </is>
      </c>
      <c r="E33" s="3" t="inlineStr">
        <is>
          <t>Area Under Curve</t>
        </is>
      </c>
      <c r="F33" s="2" t="n">
        <v>4</v>
      </c>
      <c r="G33" s="7" t="n">
        <v>3</v>
      </c>
      <c r="H33" s="7" t="inlineStr">
        <is>
          <t>Average Advanced</t>
        </is>
      </c>
      <c r="I33" s="5" t="n">
        <v>0</v>
      </c>
      <c r="J33" s="5" t="n">
        <v>0</v>
      </c>
      <c r="K33" s="5">
        <f>MIN(5,MAX(G33+I33,J33))</f>
        <v/>
      </c>
      <c r="L33" s="5">
        <f>F33*K33</f>
        <v/>
      </c>
      <c r="M33" s="3" t="inlineStr">
        <is>
          <t>Boundaries at x=-2,-1,0,8; three pieces with square roots.</t>
        </is>
      </c>
      <c r="N33" s="3" t="inlineStr">
        <is>
          <t>Four boundary curves, three integrals with surds that cancel, and an m+n answer; one slip ruins it.</t>
        </is>
      </c>
      <c r="O33" s="3" t="inlineStr">
        <is>
          <t>2024-P2-Q2 (L3)</t>
        </is>
      </c>
      <c r="P33" s="2" t="inlineStr">
        <is>
          <t>Medium</t>
        </is>
      </c>
    </row>
    <row r="34">
      <c r="A34" s="2" t="n">
        <v>33</v>
      </c>
      <c r="B34" s="2" t="inlineStr"/>
      <c r="C34" s="2" t="inlineStr">
        <is>
          <t>Q33</t>
        </is>
      </c>
      <c r="D34" s="2" t="inlineStr">
        <is>
          <t>Numerical</t>
        </is>
      </c>
      <c r="E34" s="3" t="inlineStr">
        <is>
          <t>Area Under Curve</t>
        </is>
      </c>
      <c r="F34" s="2" t="n">
        <v>4</v>
      </c>
      <c r="G34" s="6" t="n">
        <v>2</v>
      </c>
      <c r="H34" s="6" t="inlineStr">
        <is>
          <t>Easier than Advanced</t>
        </is>
      </c>
      <c r="I34" s="5" t="n">
        <v>0</v>
      </c>
      <c r="J34" s="5" t="n">
        <v>0</v>
      </c>
      <c r="K34" s="5">
        <f>MIN(5,MAX(G34+I34,J34))</f>
        <v/>
      </c>
      <c r="L34" s="5">
        <f>F34*K34</f>
        <v/>
      </c>
      <c r="M34" s="3" t="inlineStr">
        <is>
          <t>min{2x,6x-x^2}: line up to x=4, parabola to x=6.</t>
        </is>
      </c>
      <c r="N34" s="3" t="inlineStr">
        <is>
          <t>Two pieces with a triangle; routine.</t>
        </is>
      </c>
      <c r="O34" s="3" t="inlineStr">
        <is>
          <t>2026-P2-Q15 (L2)</t>
        </is>
      </c>
      <c r="P34" s="2" t="inlineStr">
        <is>
          <t>High</t>
        </is>
      </c>
    </row>
    <row r="35">
      <c r="A35" s="2" t="n">
        <v>34</v>
      </c>
      <c r="B35" s="2" t="inlineStr"/>
      <c r="C35" s="2" t="inlineStr">
        <is>
          <t>Q34</t>
        </is>
      </c>
      <c r="D35" s="2" t="inlineStr">
        <is>
          <t>Numerical</t>
        </is>
      </c>
      <c r="E35" s="3" t="inlineStr">
        <is>
          <t>Area Under Curve</t>
        </is>
      </c>
      <c r="F35" s="2" t="n">
        <v>4</v>
      </c>
      <c r="G35" s="7" t="n">
        <v>3</v>
      </c>
      <c r="H35" s="7" t="inlineStr">
        <is>
          <t>Average Advanced</t>
        </is>
      </c>
      <c r="I35" s="5" t="n">
        <v>0</v>
      </c>
      <c r="J35" s="5" t="n">
        <v>0</v>
      </c>
      <c r="K35" s="5">
        <f>MIN(5,MAX(G35+I35,J35))</f>
        <v/>
      </c>
      <c r="L35" s="5">
        <f>F35*K35</f>
        <v/>
      </c>
      <c r="M35" s="3" t="inlineStr">
        <is>
          <t>Segment of a circle with central angle pi/2+alpha; match the given form.</t>
        </is>
      </c>
      <c r="N35" s="3" t="inlineStr">
        <is>
          <t>Inverse trig expression to be matched with alpha, beta coprime; numerical.</t>
        </is>
      </c>
      <c r="O35" s="3" t="inlineStr">
        <is>
          <t>2024-P2-Q2 (L3)</t>
        </is>
      </c>
      <c r="P35" s="2" t="inlineStr">
        <is>
          <t>Medium</t>
        </is>
      </c>
    </row>
    <row r="36">
      <c r="A36" s="2" t="n">
        <v>35</v>
      </c>
      <c r="B36" s="2" t="inlineStr"/>
      <c r="C36" s="2" t="inlineStr">
        <is>
          <t>Q35</t>
        </is>
      </c>
      <c r="D36" s="2" t="inlineStr">
        <is>
          <t>Numerical</t>
        </is>
      </c>
      <c r="E36" s="3" t="inlineStr">
        <is>
          <t>Area Under Curve</t>
        </is>
      </c>
      <c r="F36" s="2" t="n">
        <v>4</v>
      </c>
      <c r="G36" s="4" t="n">
        <v>1</v>
      </c>
      <c r="H36" s="4" t="inlineStr">
        <is>
          <t>JEE Main level</t>
        </is>
      </c>
      <c r="I36" s="5" t="n">
        <v>0</v>
      </c>
      <c r="J36" s="5" t="n">
        <v>0</v>
      </c>
      <c r="K36" s="5">
        <f>MIN(5,MAX(G36+I36,J36))</f>
        <v/>
      </c>
      <c r="L36" s="5">
        <f>F36*K36</f>
        <v/>
      </c>
      <c r="M36" s="3" t="inlineStr">
        <is>
          <t>min switches at x=2; two simple integrals.</t>
        </is>
      </c>
      <c r="N36" s="3" t="inlineStr">
        <is>
          <t>One familiar move.</t>
        </is>
      </c>
      <c r="O36" s="3" t="inlineStr">
        <is>
          <t>2026-P2-Q15 (L2)</t>
        </is>
      </c>
      <c r="P36" s="2" t="inlineStr">
        <is>
          <t>High</t>
        </is>
      </c>
    </row>
    <row r="37">
      <c r="A37" s="2" t="n">
        <v>36</v>
      </c>
      <c r="B37" s="2" t="inlineStr"/>
      <c r="C37" s="2" t="inlineStr">
        <is>
          <t>Q36</t>
        </is>
      </c>
      <c r="D37" s="2" t="inlineStr">
        <is>
          <t>Numerical</t>
        </is>
      </c>
      <c r="E37" s="3" t="inlineStr">
        <is>
          <t>Area Under Curve</t>
        </is>
      </c>
      <c r="F37" s="2" t="n">
        <v>4</v>
      </c>
      <c r="G37" s="6" t="n">
        <v>2</v>
      </c>
      <c r="H37" s="6" t="inlineStr">
        <is>
          <t>Easier than Advanced</t>
        </is>
      </c>
      <c r="I37" s="5" t="n">
        <v>0</v>
      </c>
      <c r="J37" s="5" t="n">
        <v>0</v>
      </c>
      <c r="K37" s="5">
        <f>MIN(5,MAX(G37+I37,J37))</f>
        <v/>
      </c>
      <c r="L37" s="5">
        <f>F37*K37</f>
        <v/>
      </c>
      <c r="M37" s="3" t="inlineStr">
        <is>
          <t>Line tangent to the parabola at (2,3); integrate in y and subtract a triangle.</t>
        </is>
      </c>
      <c r="N37" s="3" t="inlineStr">
        <is>
          <t>Tangency observation plus a routine integral.</t>
        </is>
      </c>
      <c r="O37" s="3" t="inlineStr">
        <is>
          <t>2026-P2-Q15 (L2)</t>
        </is>
      </c>
      <c r="P37" s="2" t="inlineStr">
        <is>
          <t>High</t>
        </is>
      </c>
    </row>
    <row r="38">
      <c r="A38" s="2" t="n">
        <v>37</v>
      </c>
      <c r="B38" s="2" t="inlineStr"/>
      <c r="C38" s="2" t="inlineStr">
        <is>
          <t>Q37</t>
        </is>
      </c>
      <c r="D38" s="2" t="inlineStr">
        <is>
          <t>Numerical</t>
        </is>
      </c>
      <c r="E38" s="3" t="inlineStr">
        <is>
          <t>Area Under Curve</t>
        </is>
      </c>
      <c r="F38" s="2" t="n">
        <v>4</v>
      </c>
      <c r="G38" s="7" t="n">
        <v>3</v>
      </c>
      <c r="H38" s="7" t="inlineStr">
        <is>
          <t>Average Advanced</t>
        </is>
      </c>
      <c r="I38" s="5" t="n">
        <v>0</v>
      </c>
      <c r="J38" s="5" t="n">
        <v>0</v>
      </c>
      <c r="K38" s="5">
        <f>MIN(5,MAX(G38+I38,J38))</f>
        <v/>
      </c>
      <c r="L38" s="5">
        <f>F38*K38</f>
        <v/>
      </c>
      <c r="M38" s="3" t="inlineStr">
        <is>
          <t>S1=(a+b)^3/6, S2=ab(a+b)/2, ratio minimised by AM-GM.</t>
        </is>
      </c>
      <c r="N38" s="3" t="inlineStr">
        <is>
          <t>Two areas as functions of a, b, then an inequality-based minimum; two linked ideas.</t>
        </is>
      </c>
      <c r="O38" s="3" t="inlineStr">
        <is>
          <t>2024-P2-Q2 (L3)</t>
        </is>
      </c>
      <c r="P38" s="2" t="inlineStr">
        <is>
          <t>Medium</t>
        </is>
      </c>
    </row>
    <row r="39">
      <c r="A39" s="2" t="n">
        <v>38</v>
      </c>
      <c r="B39" s="2" t="inlineStr"/>
      <c r="C39" s="2" t="inlineStr">
        <is>
          <t>Q38</t>
        </is>
      </c>
      <c r="D39" s="2" t="inlineStr">
        <is>
          <t>Numerical</t>
        </is>
      </c>
      <c r="E39" s="3" t="inlineStr">
        <is>
          <t>Area Under Curve</t>
        </is>
      </c>
      <c r="F39" s="2" t="n">
        <v>4</v>
      </c>
      <c r="G39" s="7" t="n">
        <v>3</v>
      </c>
      <c r="H39" s="7" t="inlineStr">
        <is>
          <t>Average Advanced</t>
        </is>
      </c>
      <c r="I39" s="5" t="n">
        <v>0</v>
      </c>
      <c r="J39" s="5" t="n">
        <v>0</v>
      </c>
      <c r="K39" s="5">
        <f>MIN(5,MAX(G39+I39,J39))</f>
        <v/>
      </c>
      <c r="L39" s="5">
        <f>F39*K39</f>
        <v/>
      </c>
      <c r="M39" s="3" t="inlineStr">
        <is>
          <t>Area as a function of k: (2/3)k^2/(k^2+4)^2, then maximise.</t>
        </is>
      </c>
      <c r="N39" s="3" t="inlineStr">
        <is>
          <t>Area computed symbolically in a parameter, then calculus optimisation; sum of squares of two values.</t>
        </is>
      </c>
      <c r="O39" s="3" t="inlineStr">
        <is>
          <t>2024-P2-Q2 (L3)</t>
        </is>
      </c>
      <c r="P39" s="2" t="inlineStr">
        <is>
          <t>Medium</t>
        </is>
      </c>
    </row>
    <row r="40">
      <c r="A40" s="2" t="n">
        <v>39</v>
      </c>
      <c r="B40" s="2" t="inlineStr"/>
      <c r="C40" s="2" t="inlineStr">
        <is>
          <t>Q39</t>
        </is>
      </c>
      <c r="D40" s="2" t="inlineStr">
        <is>
          <t>SCQ</t>
        </is>
      </c>
      <c r="E40" s="3" t="inlineStr">
        <is>
          <t>Area Under Curve</t>
        </is>
      </c>
      <c r="F40" s="2" t="n">
        <v>4</v>
      </c>
      <c r="G40" s="7" t="n">
        <v>3</v>
      </c>
      <c r="H40" s="7" t="inlineStr">
        <is>
          <t>Average Advanced</t>
        </is>
      </c>
      <c r="I40" s="5" t="n">
        <v>0</v>
      </c>
      <c r="J40" s="5" t="n">
        <v>0</v>
      </c>
      <c r="K40" s="5">
        <f>MIN(5,MAX(G40+I40,J40))</f>
        <v/>
      </c>
      <c r="L40" s="5">
        <f>F40*K40</f>
        <v/>
      </c>
      <c r="M40" s="3" t="inlineStr">
        <is>
          <t>Known root x=1/2 factors the cubic; surd and log arithmetic matched to 1/24(l sqrt5+m)-n ln(1+sqrt5).</t>
        </is>
      </c>
      <c r="N40" s="3" t="inlineStr">
        <is>
          <t>Heavy exact computation with (sqrt5+1)^3 and matching a form, though options exist.</t>
        </is>
      </c>
      <c r="O40" s="3" t="inlineStr">
        <is>
          <t>2024-P2-Q2 (L3)</t>
        </is>
      </c>
      <c r="P40" s="2" t="inlineStr">
        <is>
          <t>Medium</t>
        </is>
      </c>
    </row>
    <row r="41">
      <c r="A41" s="2" t="n">
        <v>40</v>
      </c>
      <c r="B41" s="2" t="inlineStr"/>
      <c r="C41" s="2" t="inlineStr">
        <is>
          <t>Q40</t>
        </is>
      </c>
      <c r="D41" s="2" t="inlineStr">
        <is>
          <t>SCQ</t>
        </is>
      </c>
      <c r="E41" s="3" t="inlineStr">
        <is>
          <t>Area Under Curve</t>
        </is>
      </c>
      <c r="F41" s="2" t="n">
        <v>4</v>
      </c>
      <c r="G41" s="6" t="n">
        <v>2</v>
      </c>
      <c r="H41" s="6" t="inlineStr">
        <is>
          <t>Easier than Advanced</t>
        </is>
      </c>
      <c r="I41" s="5" t="n">
        <v>0</v>
      </c>
      <c r="J41" s="5" t="n">
        <v>0</v>
      </c>
      <c r="K41" s="5">
        <f>MIN(5,MAX(G41+I41,J41))</f>
        <v/>
      </c>
      <c r="L41" s="5">
        <f>F41*K41</f>
        <v/>
      </c>
      <c r="M41" s="3" t="inlineStr">
        <is>
          <t>Integrate in y between -1/2 and 1.</t>
        </is>
      </c>
      <c r="N41" s="3" t="inlineStr">
        <is>
          <t>Routine area between a parabola and a line.</t>
        </is>
      </c>
      <c r="O41" s="3" t="inlineStr">
        <is>
          <t>2026-P2-Q15 (L2)</t>
        </is>
      </c>
      <c r="P41" s="2" t="inlineStr">
        <is>
          <t>High</t>
        </is>
      </c>
    </row>
    <row r="42">
      <c r="A42" s="2" t="n">
        <v>41</v>
      </c>
      <c r="B42" s="2" t="inlineStr"/>
      <c r="C42" s="2" t="inlineStr">
        <is>
          <t>Q41</t>
        </is>
      </c>
      <c r="D42" s="2" t="inlineStr">
        <is>
          <t>SCQ</t>
        </is>
      </c>
      <c r="E42" s="3" t="inlineStr">
        <is>
          <t>Area Under Curve</t>
        </is>
      </c>
      <c r="F42" s="2" t="n">
        <v>4</v>
      </c>
      <c r="G42" s="6" t="n">
        <v>2</v>
      </c>
      <c r="H42" s="6" t="inlineStr">
        <is>
          <t>Easier than Advanced</t>
        </is>
      </c>
      <c r="I42" s="5" t="n">
        <v>0</v>
      </c>
      <c r="J42" s="5" t="n">
        <v>0</v>
      </c>
      <c r="K42" s="5">
        <f>MIN(5,MAX(G42+I42,J42))</f>
        <v/>
      </c>
      <c r="L42" s="5">
        <f>F42*K42</f>
        <v/>
      </c>
      <c r="M42" s="3" t="inlineStr">
        <is>
          <t>Piecewise curves coincide for x&gt;0; region only in x&lt;0.</t>
        </is>
      </c>
      <c r="N42" s="3" t="inlineStr">
        <is>
          <t>Needs the modulus pieces but one short integral.</t>
        </is>
      </c>
      <c r="O42" s="3" t="inlineStr">
        <is>
          <t>2026-P2-Q15 (L2)</t>
        </is>
      </c>
      <c r="P42" s="2" t="inlineStr">
        <is>
          <t>High</t>
        </is>
      </c>
    </row>
    <row r="43">
      <c r="A43" s="2" t="n">
        <v>42</v>
      </c>
      <c r="B43" s="2" t="inlineStr"/>
      <c r="C43" s="2" t="inlineStr">
        <is>
          <t>Q42</t>
        </is>
      </c>
      <c r="D43" s="2" t="inlineStr">
        <is>
          <t>SCQ</t>
        </is>
      </c>
      <c r="E43" s="3" t="inlineStr">
        <is>
          <t>Area Under Curve</t>
        </is>
      </c>
      <c r="F43" s="2" t="n">
        <v>4</v>
      </c>
      <c r="G43" s="7" t="n">
        <v>3</v>
      </c>
      <c r="H43" s="7" t="inlineStr">
        <is>
          <t>Average Advanced</t>
        </is>
      </c>
      <c r="I43" s="5" t="n">
        <v>0</v>
      </c>
      <c r="J43" s="5" t="n">
        <v>0</v>
      </c>
      <c r="K43" s="5">
        <f>MIN(5,MAX(G43+I43,J43))</f>
        <v/>
      </c>
      <c r="L43" s="5">
        <f>F43*K43</f>
        <v/>
      </c>
      <c r="M43" s="3" t="inlineStr">
        <is>
          <t>Triangle of lines plus a curve y=3x-x^1.5; split at x=3 with x^{3/2} integrals.</t>
        </is>
      </c>
      <c r="N43" s="3" t="inlineStr">
        <is>
          <t>Three boundaries including a fractional-power curve and surd cancellation.</t>
        </is>
      </c>
      <c r="O43" s="3" t="inlineStr">
        <is>
          <t>2024-P2-Q2 (L3)</t>
        </is>
      </c>
      <c r="P43" s="2" t="inlineStr">
        <is>
          <t>Medium</t>
        </is>
      </c>
    </row>
    <row r="44">
      <c r="A44" s="2" t="n">
        <v>43</v>
      </c>
      <c r="B44" s="2" t="inlineStr"/>
      <c r="C44" s="2" t="inlineStr">
        <is>
          <t>Q43</t>
        </is>
      </c>
      <c r="D44" s="2" t="inlineStr">
        <is>
          <t>SCQ</t>
        </is>
      </c>
      <c r="E44" s="3" t="inlineStr">
        <is>
          <t>Area Under Curve</t>
        </is>
      </c>
      <c r="F44" s="2" t="n">
        <v>4</v>
      </c>
      <c r="G44" s="6" t="n">
        <v>2</v>
      </c>
      <c r="H44" s="6" t="inlineStr">
        <is>
          <t>Easier than Advanced</t>
        </is>
      </c>
      <c r="I44" s="5" t="n">
        <v>0</v>
      </c>
      <c r="J44" s="5" t="n">
        <v>0</v>
      </c>
      <c r="K44" s="5">
        <f>MIN(5,MAX(G44+I44,J44))</f>
        <v/>
      </c>
      <c r="L44" s="5">
        <f>F44*K44</f>
        <v/>
      </c>
      <c r="M44" s="3" t="inlineStr">
        <is>
          <t>Area linear in a: ln2 - a/2.</t>
        </is>
      </c>
      <c r="N44" s="3" t="inlineStr">
        <is>
          <t>Short integral; options to check.</t>
        </is>
      </c>
      <c r="O44" s="3" t="inlineStr">
        <is>
          <t>2026-P2-Q15 (L2)</t>
        </is>
      </c>
      <c r="P44" s="2" t="inlineStr">
        <is>
          <t>High</t>
        </is>
      </c>
    </row>
    <row r="45">
      <c r="A45" s="2" t="n">
        <v>44</v>
      </c>
      <c r="B45" s="2" t="inlineStr"/>
      <c r="C45" s="2" t="inlineStr">
        <is>
          <t>Q44</t>
        </is>
      </c>
      <c r="D45" s="2" t="inlineStr">
        <is>
          <t>SCQ</t>
        </is>
      </c>
      <c r="E45" s="3" t="inlineStr">
        <is>
          <t>Area Under Curve</t>
        </is>
      </c>
      <c r="F45" s="2" t="n">
        <v>4</v>
      </c>
      <c r="G45" s="6" t="n">
        <v>2</v>
      </c>
      <c r="H45" s="6" t="inlineStr">
        <is>
          <t>Easier than Advanced</t>
        </is>
      </c>
      <c r="I45" s="5" t="n">
        <v>0</v>
      </c>
      <c r="J45" s="5" t="n">
        <v>0</v>
      </c>
      <c r="K45" s="5">
        <f>MIN(5,MAX(G45+I45,J45))</f>
        <v/>
      </c>
      <c r="L45" s="5">
        <f>F45*K45</f>
        <v/>
      </c>
      <c r="M45" s="3" t="inlineStr">
        <is>
          <t>Intersection (2,2); integrate from 0 to 2.</t>
        </is>
      </c>
      <c r="N45" s="3" t="inlineStr">
        <is>
          <t>Routine circle-parabola area.</t>
        </is>
      </c>
      <c r="O45" s="3" t="inlineStr">
        <is>
          <t>2024-P2-Q2 (L3), easier</t>
        </is>
      </c>
      <c r="P45" s="2" t="inlineStr">
        <is>
          <t>High</t>
        </is>
      </c>
    </row>
    <row r="46">
      <c r="A46" s="2" t="n">
        <v>45</v>
      </c>
      <c r="B46" s="2" t="inlineStr"/>
      <c r="C46" s="2" t="inlineStr">
        <is>
          <t>Q45</t>
        </is>
      </c>
      <c r="D46" s="2" t="inlineStr">
        <is>
          <t>SCQ</t>
        </is>
      </c>
      <c r="E46" s="3" t="inlineStr">
        <is>
          <t>Area Under Curve</t>
        </is>
      </c>
      <c r="F46" s="2" t="n">
        <v>4</v>
      </c>
      <c r="G46" s="6" t="n">
        <v>2</v>
      </c>
      <c r="H46" s="6" t="inlineStr">
        <is>
          <t>Easier than Advanced</t>
        </is>
      </c>
      <c r="I46" s="5" t="n">
        <v>0</v>
      </c>
      <c r="J46" s="5" t="n">
        <v>0</v>
      </c>
      <c r="K46" s="5">
        <f>MIN(5,MAX(G46+I46,J46))</f>
        <v/>
      </c>
      <c r="L46" s="5">
        <f>F46*K46</f>
        <v/>
      </c>
      <c r="M46" s="3" t="inlineStr">
        <is>
          <t>Intersection (1,+-2); integrate in y with sin^-1.</t>
        </is>
      </c>
      <c r="N46" s="3" t="inlineStr">
        <is>
          <t>Routine with an inverse-trig antiderivative.</t>
        </is>
      </c>
      <c r="O46" s="3" t="inlineStr">
        <is>
          <t>2024-P2-Q2 (L3), easier</t>
        </is>
      </c>
      <c r="P46" s="2" t="inlineStr">
        <is>
          <t>High</t>
        </is>
      </c>
    </row>
    <row r="47">
      <c r="A47" s="2" t="n">
        <v>46</v>
      </c>
      <c r="B47" s="2" t="inlineStr"/>
      <c r="C47" s="2" t="inlineStr">
        <is>
          <t>Q46</t>
        </is>
      </c>
      <c r="D47" s="2" t="inlineStr">
        <is>
          <t>Numerical</t>
        </is>
      </c>
      <c r="E47" s="3" t="inlineStr">
        <is>
          <t>Area Under Curve</t>
        </is>
      </c>
      <c r="F47" s="2" t="n">
        <v>4</v>
      </c>
      <c r="G47" s="4" t="n">
        <v>1</v>
      </c>
      <c r="H47" s="4" t="inlineStr">
        <is>
          <t>JEE Main level</t>
        </is>
      </c>
      <c r="I47" s="5" t="n">
        <v>0</v>
      </c>
      <c r="J47" s="5" t="n">
        <v>0</v>
      </c>
      <c r="K47" s="5">
        <f>MIN(5,MAX(G47+I47,J47))</f>
        <v/>
      </c>
      <c r="L47" s="5">
        <f>F47*K47</f>
        <v/>
      </c>
      <c r="M47" s="3" t="inlineStr">
        <is>
          <t>Intersections 0 and 6 and one polynomial integral.</t>
        </is>
      </c>
      <c r="N47" s="3" t="inlineStr">
        <is>
          <t>One familiar move.</t>
        </is>
      </c>
      <c r="O47" s="3" t="inlineStr">
        <is>
          <t>2026-P2-Q15 (L2)</t>
        </is>
      </c>
      <c r="P47" s="2" t="inlineStr">
        <is>
          <t>High</t>
        </is>
      </c>
    </row>
    <row r="48">
      <c r="A48" s="2" t="n">
        <v>47</v>
      </c>
      <c r="B48" s="2" t="inlineStr"/>
      <c r="C48" s="2" t="inlineStr">
        <is>
          <t>Q47</t>
        </is>
      </c>
      <c r="D48" s="2" t="inlineStr">
        <is>
          <t>Numerical</t>
        </is>
      </c>
      <c r="E48" s="3" t="inlineStr">
        <is>
          <t>Area Under Curve</t>
        </is>
      </c>
      <c r="F48" s="2" t="n">
        <v>4</v>
      </c>
      <c r="G48" s="6" t="n">
        <v>2</v>
      </c>
      <c r="H48" s="6" t="inlineStr">
        <is>
          <t>Easier than Advanced</t>
        </is>
      </c>
      <c r="I48" s="5" t="n">
        <v>0</v>
      </c>
      <c r="J48" s="5" t="n">
        <v>0</v>
      </c>
      <c r="K48" s="5">
        <f>MIN(5,MAX(G48+I48,J48))</f>
        <v/>
      </c>
      <c r="L48" s="5">
        <f>F48*K48</f>
        <v/>
      </c>
      <c r="M48" s="3" t="inlineStr">
        <is>
          <t>min{sin,cos} equals sin on (-3pi/4,pi/4); track sign changes.</t>
        </is>
      </c>
      <c r="N48" s="3" t="inlineStr">
        <is>
          <t>Routine with five trig pieces.</t>
        </is>
      </c>
      <c r="O48" s="3" t="inlineStr">
        <is>
          <t>2021-P1-Q2 (L3), easier</t>
        </is>
      </c>
      <c r="P48" s="2" t="inlineStr">
        <is>
          <t>High</t>
        </is>
      </c>
    </row>
    <row r="50">
      <c r="A50" s="8" t="inlineStr">
        <is>
          <t>Adjusted level = min(5, max(level + equivalence-relation adj, MCQ floor)). Equivalence adj +0.5 when the key step tests equivalence relations/classes; MCQ floor 2.5 for one-or-more-correct questions involving several concepts. Edit columns I-J to change them.</t>
        </is>
      </c>
    </row>
  </sheetData>
  <autoFilter ref="A1:P4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1" customWidth="1" min="3" max="3"/>
    <col width="9" customWidth="1" min="4" max="4"/>
    <col width="11" customWidth="1" min="5" max="5"/>
  </cols>
  <sheetData>
    <row r="1">
      <c r="A1" s="9" t="inlineStr">
        <is>
          <t>Difficulty summary</t>
        </is>
      </c>
    </row>
    <row r="2">
      <c r="A2" s="8" t="inlineStr">
        <is>
          <t>Source: papers/SHEET AREA UNDER CURVE_FCopy JM.pdf   |   Evaluated on: 2026-10-13</t>
        </is>
      </c>
    </row>
    <row r="4">
      <c r="A4" s="1" t="inlineStr">
        <is>
          <t>Level</t>
        </is>
      </c>
      <c r="B4" s="1" t="inlineStr">
        <is>
          <t>Label</t>
        </is>
      </c>
      <c r="C4" s="1" t="inlineStr">
        <is>
          <t>Questions</t>
        </is>
      </c>
      <c r="D4" s="1" t="inlineStr">
        <is>
          <t>Marks</t>
        </is>
      </c>
      <c r="E4" s="1" t="inlineStr">
        <is>
          <t>% of marks</t>
        </is>
      </c>
    </row>
    <row r="5">
      <c r="A5" s="10" t="n">
        <v>0</v>
      </c>
      <c r="B5" s="10" t="inlineStr">
        <is>
          <t>Easier than JEE Main</t>
        </is>
      </c>
      <c r="C5" s="10">
        <f>COUNTIF(Evaluation!$G$2:$G$48,A5)</f>
        <v/>
      </c>
      <c r="D5" s="10">
        <f>SUMIF(Evaluation!$G$2:$G$48,A5,Evaluation!$F$2:$F$48)</f>
        <v/>
      </c>
      <c r="E5" s="11">
        <f>IF(SUM($D$5:$D$10)=0,0,D5/SUM($D$5:$D$10))</f>
        <v/>
      </c>
    </row>
    <row r="6">
      <c r="A6" s="12" t="n">
        <v>1</v>
      </c>
      <c r="B6" s="12" t="inlineStr">
        <is>
          <t>JEE Main level</t>
        </is>
      </c>
      <c r="C6" s="12">
        <f>COUNTIF(Evaluation!$G$2:$G$48,A6)</f>
        <v/>
      </c>
      <c r="D6" s="12">
        <f>SUMIF(Evaluation!$G$2:$G$48,A6,Evaluation!$F$2:$F$48)</f>
        <v/>
      </c>
      <c r="E6" s="13">
        <f>IF(SUM($D$5:$D$10)=0,0,D6/SUM($D$5:$D$10))</f>
        <v/>
      </c>
    </row>
    <row r="7">
      <c r="A7" s="14" t="n">
        <v>2</v>
      </c>
      <c r="B7" s="14" t="inlineStr">
        <is>
          <t>Easier than Advanced</t>
        </is>
      </c>
      <c r="C7" s="14">
        <f>COUNTIF(Evaluation!$G$2:$G$48,A7)</f>
        <v/>
      </c>
      <c r="D7" s="14">
        <f>SUMIF(Evaluation!$G$2:$G$48,A7,Evaluation!$F$2:$F$48)</f>
        <v/>
      </c>
      <c r="E7" s="15">
        <f>IF(SUM($D$5:$D$10)=0,0,D7/SUM($D$5:$D$10))</f>
        <v/>
      </c>
    </row>
    <row r="8">
      <c r="A8" s="16" t="n">
        <v>3</v>
      </c>
      <c r="B8" s="16" t="inlineStr">
        <is>
          <t>Average Advanced</t>
        </is>
      </c>
      <c r="C8" s="16">
        <f>COUNTIF(Evaluation!$G$2:$G$48,A8)</f>
        <v/>
      </c>
      <c r="D8" s="16">
        <f>SUMIF(Evaluation!$G$2:$G$48,A8,Evaluation!$F$2:$F$48)</f>
        <v/>
      </c>
      <c r="E8" s="17">
        <f>IF(SUM($D$5:$D$10)=0,0,D8/SUM($D$5:$D$10))</f>
        <v/>
      </c>
    </row>
    <row r="9">
      <c r="A9" s="18" t="n">
        <v>4</v>
      </c>
      <c r="B9" s="18" t="inlineStr">
        <is>
          <t>Slightly difficult</t>
        </is>
      </c>
      <c r="C9" s="18">
        <f>COUNTIF(Evaluation!$G$2:$G$48,A9)</f>
        <v/>
      </c>
      <c r="D9" s="18">
        <f>SUMIF(Evaluation!$G$2:$G$48,A9,Evaluation!$F$2:$F$48)</f>
        <v/>
      </c>
      <c r="E9" s="19">
        <f>IF(SUM($D$5:$D$10)=0,0,D9/SUM($D$5:$D$10))</f>
        <v/>
      </c>
    </row>
    <row r="10">
      <c r="A10" s="20" t="n">
        <v>5</v>
      </c>
      <c r="B10" s="20" t="inlineStr">
        <is>
          <t>Very difficult</t>
        </is>
      </c>
      <c r="C10" s="20">
        <f>COUNTIF(Evaluation!$G$2:$G$48,A10)</f>
        <v/>
      </c>
      <c r="D10" s="20">
        <f>SUMIF(Evaluation!$G$2:$G$48,A10,Evaluation!$F$2:$F$48)</f>
        <v/>
      </c>
      <c r="E10" s="21">
        <f>IF(SUM($D$5:$D$10)=0,0,D10/SUM($D$5:$D$10))</f>
        <v/>
      </c>
    </row>
    <row r="11">
      <c r="A11" s="22" t="inlineStr">
        <is>
          <t>Total</t>
        </is>
      </c>
      <c r="C11" s="22">
        <f>SUM(C5:C10)</f>
        <v/>
      </c>
      <c r="D11" s="22">
        <f>SUM(D5:D10)</f>
        <v/>
      </c>
    </row>
    <row r="13">
      <c r="A13" s="1" t="inlineStr">
        <is>
          <t>Scope</t>
        </is>
      </c>
      <c r="B13" s="1" t="inlineStr">
        <is>
          <t>Weighted index (adjusted)</t>
        </is>
      </c>
      <c r="C13" s="1" t="inlineStr">
        <is>
          <t>Weighted index (unadjusted)</t>
        </is>
      </c>
      <c r="D13" s="1" t="inlineStr">
        <is>
          <t>Marks</t>
        </is>
      </c>
      <c r="E13" s="1" t="inlineStr">
        <is>
          <t>Mean level</t>
        </is>
      </c>
    </row>
    <row r="14">
      <c r="A14" s="22" t="inlineStr">
        <is>
          <t>Overall</t>
        </is>
      </c>
      <c r="B14" s="23">
        <f>SUM(Evaluation!$L$2:$L$48)/SUM(Evaluation!$F$2:$F$48)</f>
        <v/>
      </c>
      <c r="C14" s="23">
        <f>SUMPRODUCT(Evaluation!$F$2:$F$48,Evaluation!$G$2:$G$48)/SUM(Evaluation!$F$2:$F$48)</f>
        <v/>
      </c>
      <c r="D14" s="22">
        <f>SUM(Evaluation!$F$2:$F$48)</f>
        <v/>
      </c>
      <c r="E14" s="23">
        <f>AVERAGE(Evaluation!$G$2:$G$48)</f>
        <v/>
      </c>
    </row>
    <row r="16">
      <c r="A16" s="8" t="inlineStr">
        <is>
          <t>Weighted index = sum(marks x level) / sum(marks), scale 0-5. 'Adjusted' uses the adjusted level (equivalence-relation adjustment and MCQ floor); 'unadjusted' uses the integer level.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1" customWidth="1" min="3" max="3"/>
    <col width="13" customWidth="1" min="4" max="4"/>
    <col width="13" customWidth="1" min="5" max="5"/>
    <col width="15" customWidth="1" min="6" max="6"/>
  </cols>
  <sheetData>
    <row r="1">
      <c r="A1" s="9" t="inlineStr">
        <is>
          <t>User's own ratings of official JEE Advanced maths papers</t>
        </is>
      </c>
    </row>
    <row r="3">
      <c r="A3" s="1" t="inlineStr">
        <is>
          <t>Year</t>
        </is>
      </c>
      <c r="B3" s="1" t="inlineStr">
        <is>
          <t>Weighted index</t>
        </is>
      </c>
      <c r="C3" s="1" t="inlineStr">
        <is>
          <t>Mean level</t>
        </is>
      </c>
      <c r="D3" s="1" t="inlineStr">
        <is>
          <t>Marks at L0-1</t>
        </is>
      </c>
      <c r="E3" s="1" t="inlineStr">
        <is>
          <t>Marks at L4-5</t>
        </is>
      </c>
      <c r="F3" s="1" t="inlineStr">
        <is>
          <t>Level-5 questions</t>
        </is>
      </c>
    </row>
    <row r="4">
      <c r="A4" s="24" t="n">
        <v>2021</v>
      </c>
      <c r="B4" s="25" t="n">
        <v>2.758333333333333</v>
      </c>
      <c r="C4" s="25" t="n">
        <v>2.894736842105263</v>
      </c>
      <c r="D4" s="24" t="n">
        <v>16</v>
      </c>
      <c r="E4" s="24" t="n">
        <v>34</v>
      </c>
      <c r="F4" s="24" t="n">
        <v>1</v>
      </c>
    </row>
    <row r="5">
      <c r="A5" s="24" t="n">
        <v>2023</v>
      </c>
      <c r="B5" s="25" t="n">
        <v>3.191666666666667</v>
      </c>
      <c r="C5" s="25" t="n">
        <v>3.147058823529412</v>
      </c>
      <c r="D5" s="24" t="n">
        <v>13</v>
      </c>
      <c r="E5" s="24" t="n">
        <v>47</v>
      </c>
      <c r="F5" s="24" t="n">
        <v>5</v>
      </c>
    </row>
    <row r="6">
      <c r="A6" s="24" t="n">
        <v>2024</v>
      </c>
      <c r="B6" s="25" t="n">
        <v>2.591666666666667</v>
      </c>
      <c r="C6" s="25" t="n">
        <v>2.558823529411764</v>
      </c>
      <c r="D6" s="24" t="n">
        <v>28</v>
      </c>
      <c r="E6" s="24" t="n">
        <v>40</v>
      </c>
      <c r="F6" s="24" t="n">
        <v>1</v>
      </c>
    </row>
    <row r="7">
      <c r="A7" s="24" t="n">
        <v>2025</v>
      </c>
      <c r="B7" s="25" t="n">
        <v>3.208333333333333</v>
      </c>
      <c r="C7" s="25" t="n">
        <v>3.1875</v>
      </c>
      <c r="D7" s="24" t="n">
        <v>8</v>
      </c>
      <c r="E7" s="24" t="n">
        <v>65</v>
      </c>
      <c r="F7" s="24" t="n">
        <v>1</v>
      </c>
    </row>
    <row r="8">
      <c r="A8" s="24" t="n">
        <v>2026</v>
      </c>
      <c r="B8" s="25" t="n">
        <v>3.025</v>
      </c>
      <c r="C8" s="25" t="n">
        <v>2.941176470588236</v>
      </c>
      <c r="D8" s="24" t="n">
        <v>6</v>
      </c>
      <c r="E8" s="24" t="n">
        <v>38</v>
      </c>
      <c r="F8" s="24" t="n">
        <v>2</v>
      </c>
    </row>
    <row r="9">
      <c r="A9" s="22" t="inlineStr">
        <is>
          <t>This paper</t>
        </is>
      </c>
      <c r="B9" s="23">
        <f>Summary!B14</f>
        <v/>
      </c>
      <c r="C9" s="23">
        <f>Summary!E14</f>
        <v/>
      </c>
      <c r="D9" s="22">
        <f>Summary!D5+Summary!D6</f>
        <v/>
      </c>
      <c r="E9" s="22">
        <f>Summary!D9+Summary!D10</f>
        <v/>
      </c>
      <c r="F9" s="22">
        <f>Summary!C10</f>
        <v/>
      </c>
    </row>
    <row r="11">
      <c r="A11" s="8" t="inlineStr">
        <is>
          <t>Source: the user's ratings in references/anchors.csv, used as given (they already reflect format and topic). 'This paper' uses the adjusted index. Official papers are 120 marks; compare the marks-at-level columns only for full-length papers.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2026-10-13T10:33:47Z</dcterms:created>
  <dcterms:modified xmlns:dcterms="http://purl.org/dc/terms/" xmlns:xsi="http://www.w3.org/2001/XMLSchema-instance" xsi:type="dcterms:W3CDTF">2026-10-13T10:33:47Z</dcterms:modified>
</cp:coreProperties>
</file>