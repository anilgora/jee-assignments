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CE5C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Permutation &amp; Combination</t>
        </is>
      </c>
      <c r="F2" s="2" t="n">
        <v>4</v>
      </c>
      <c r="G2" s="4" t="n">
        <v>3</v>
      </c>
      <c r="H2" s="4" t="inlineStr">
        <is>
          <t>Average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Leave-out pair by residue mod 3, then zero-lead casework</t>
        </is>
      </c>
      <c r="N2" s="3" t="inlineStr">
        <is>
          <t>Two-stage counting: choose which digit pair is dropped by residue, then handle the leading-zero restriction; several cases where a slip changes the total, no options to check. Easier than 2025-P1-Q10 (L4/5) as cases are non-overlapping.</t>
        </is>
      </c>
      <c r="O2" s="3" t="inlineStr">
        <is>
          <t>2025-P1-Q10 (L5)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Permutation &amp; Combination</t>
        </is>
      </c>
      <c r="F3" s="2" t="n">
        <v>4</v>
      </c>
      <c r="G3" s="6" t="n">
        <v>2</v>
      </c>
      <c r="H3" s="6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Inclusion-exclusion for strings containing all three digits</t>
        </is>
      </c>
      <c r="N3" s="3" t="inlineStr">
        <is>
          <t>Two short parts; the key step is a standard surjection count 3^n-3*2^n+3. Routine chain.</t>
        </is>
      </c>
      <c r="O3" s="3" t="inlineStr">
        <is>
          <t>2021-P2-Q17 (L1)</t>
        </is>
      </c>
      <c r="P3" s="2" t="inlineStr">
        <is>
          <t>High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Permutation &amp; Combination</t>
        </is>
      </c>
      <c r="F4" s="2" t="n">
        <v>4</v>
      </c>
      <c r="G4" s="4" t="n">
        <v>3</v>
      </c>
      <c r="H4" s="4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Distribute five distinct primes into three groups, handling factor 1 and repeats</t>
        </is>
      </c>
      <c r="N4" s="3" t="inlineStr">
        <is>
          <t>Needs set-partition style casework with the 'factor 1' and 'not a set' cases; familiar but easy to slip on.</t>
        </is>
      </c>
      <c r="O4" s="3" t="inlineStr">
        <is>
          <t>2024-P1-Q11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Permutation &amp; Combination</t>
        </is>
      </c>
      <c r="F5" s="2" t="n">
        <v>4</v>
      </c>
      <c r="G5" s="7" t="n">
        <v>1</v>
      </c>
      <c r="H5" s="7" t="inlineStr">
        <is>
          <t>JEE Main level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Legendre's formula</t>
        </is>
      </c>
      <c r="N5" s="3" t="inlineStr">
        <is>
          <t>One standard formula applied once.</t>
        </is>
      </c>
      <c r="O5" s="3" t="inlineStr">
        <is>
          <t>2024-P2-Q1 (L0)</t>
        </is>
      </c>
      <c r="P5" s="2" t="inlineStr">
        <is>
          <t>High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Permutation &amp; Combination</t>
        </is>
      </c>
      <c r="F6" s="2" t="n">
        <v>4</v>
      </c>
      <c r="G6" s="6" t="n">
        <v>2</v>
      </c>
      <c r="H6" s="6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x^2-y^2 never 2 mod 4; exponent distribution for xyz=N</t>
        </is>
      </c>
      <c r="N6" s="3" t="inlineStr">
        <is>
          <t>Two parts, each a standard single idea (parity mod 4; stars-and-bars on prime exponents).</t>
        </is>
      </c>
      <c r="O6" s="3" t="inlineStr">
        <is>
          <t>2021-P2-Q17 (L1)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Permutation &amp; Combination</t>
        </is>
      </c>
      <c r="F7" s="2" t="n">
        <v>4</v>
      </c>
      <c r="G7" s="4" t="n">
        <v>3</v>
      </c>
      <c r="H7" s="4" t="inlineStr">
        <is>
          <t>Average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Pattern casework on repeated letters</t>
        </is>
      </c>
      <c r="N7" s="3" t="inlineStr">
        <is>
          <t>Five patterns of repeats must be listed completely and counted; omission is the main risk, no options.</t>
        </is>
      </c>
      <c r="O7" s="3" t="inlineStr">
        <is>
          <t>2021-P2-Q1 (L4)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Permutation &amp; Combination</t>
        </is>
      </c>
      <c r="F8" s="2" t="n">
        <v>4</v>
      </c>
      <c r="G8" s="6" t="n">
        <v>2</v>
      </c>
      <c r="H8" s="6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At-least condition via complement or cases</t>
        </is>
      </c>
      <c r="N8" s="3" t="inlineStr">
        <is>
          <t>Standard committee selection with three parts; routine chain.</t>
        </is>
      </c>
      <c r="O8" s="3" t="inlineStr">
        <is>
          <t>2021-P2-Q17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Permutation &amp; Combination</t>
        </is>
      </c>
      <c r="F9" s="2" t="n">
        <v>4</v>
      </c>
      <c r="G9" s="6" t="n">
        <v>2</v>
      </c>
      <c r="H9" s="6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Choose repeated digits, then arrange the multiset</t>
        </is>
      </c>
      <c r="N9" s="3" t="inlineStr">
        <is>
          <t>Standard pattern count chained in three routine steps.</t>
        </is>
      </c>
      <c r="O9" s="3" t="inlineStr">
        <is>
          <t>2024-P1-Q11 (L4)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Permutation &amp; Combination</t>
        </is>
      </c>
      <c r="F10" s="2" t="n">
        <v>4</v>
      </c>
      <c r="G10" s="6" t="n">
        <v>2</v>
      </c>
      <c r="H10" s="6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G.P. of powers of 3 becomes A.P. of exponents; parity count</t>
        </is>
      </c>
      <c r="N10" s="3" t="inlineStr">
        <is>
          <t>One idea (exponents form an A.P.) then a short count.</t>
        </is>
      </c>
      <c r="O10" s="3" t="inlineStr">
        <is>
          <t>2021-P2-Q17 (L1)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Numerical</t>
        </is>
      </c>
      <c r="E11" s="3" t="inlineStr">
        <is>
          <t>Permutation &amp; Combination</t>
        </is>
      </c>
      <c r="F11" s="2" t="n">
        <v>4</v>
      </c>
      <c r="G11" s="6" t="n">
        <v>2</v>
      </c>
      <c r="H11" s="6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361-1 = 360 = (n-1)k, count divisors</t>
        </is>
      </c>
      <c r="N11" s="3" t="inlineStr">
        <is>
          <t>Routine reduction then divisor counting.</t>
        </is>
      </c>
      <c r="O11" s="3" t="inlineStr">
        <is>
          <t>2021-P2-Q17 (L1)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Numerical</t>
        </is>
      </c>
      <c r="E12" s="3" t="inlineStr">
        <is>
          <t>Permutation &amp; Combination</t>
        </is>
      </c>
      <c r="F12" s="2" t="n">
        <v>4</v>
      </c>
      <c r="G12" s="6" t="n">
        <v>2</v>
      </c>
      <c r="H12" s="6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Multiset selections by number of distinct flavours</t>
        </is>
      </c>
      <c r="N12" s="3" t="inlineStr">
        <is>
          <t>Four parts, standard stars-and-bars/casework.</t>
        </is>
      </c>
      <c r="O12" s="3" t="inlineStr">
        <is>
          <t>2021-P2-Q17 (L1)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Numerical</t>
        </is>
      </c>
      <c r="E13" s="3" t="inlineStr">
        <is>
          <t>Permutation &amp; Combination</t>
        </is>
      </c>
      <c r="F13" s="2" t="n">
        <v>4</v>
      </c>
      <c r="G13" s="6" t="n">
        <v>2</v>
      </c>
      <c r="H13" s="6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Fix middle digit y: (y-1)(y+1) choices</t>
        </is>
      </c>
      <c r="N13" s="3" t="inlineStr">
        <is>
          <t>Routine casework summed over y.</t>
        </is>
      </c>
      <c r="O13" s="3" t="inlineStr">
        <is>
          <t>2021-P2-Q1 (L4)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Numerical</t>
        </is>
      </c>
      <c r="E14" s="3" t="inlineStr">
        <is>
          <t>Permutation &amp; Combination</t>
        </is>
      </c>
      <c r="F14" s="2" t="n">
        <v>4</v>
      </c>
      <c r="G14" s="7" t="n">
        <v>1</v>
      </c>
      <c r="H14" s="7" t="inlineStr">
        <is>
          <t>JEE Main level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(x-1)^x minus the all-rest state</t>
        </is>
      </c>
      <c r="N14" s="3" t="inlineStr">
        <is>
          <t>One multiplication-principle step.</t>
        </is>
      </c>
      <c r="O14" s="3" t="inlineStr">
        <is>
          <t>2024-P2-Q1 (L0)</t>
        </is>
      </c>
      <c r="P14" s="2" t="inlineStr">
        <is>
          <t>High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Numerical</t>
        </is>
      </c>
      <c r="E15" s="3" t="inlineStr">
        <is>
          <t>Permutation &amp; Combination</t>
        </is>
      </c>
      <c r="F15" s="2" t="n">
        <v>4</v>
      </c>
      <c r="G15" s="7" t="n">
        <v>1</v>
      </c>
      <c r="H15" s="7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64 x 49 / 2 for non-attacking pair</t>
        </is>
      </c>
      <c r="N15" s="3" t="inlineStr">
        <is>
          <t>One familiar move.</t>
        </is>
      </c>
      <c r="O15" s="3" t="inlineStr">
        <is>
          <t>2024-P2-Q3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Numerical</t>
        </is>
      </c>
      <c r="E16" s="3" t="inlineStr">
        <is>
          <t>Permutation &amp; Combination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Choose which matches are wrong: C(5,k)2^k</t>
        </is>
      </c>
      <c r="N16" s="3" t="inlineStr">
        <is>
          <t>One familiar binomial idea repeated over parts.</t>
        </is>
      </c>
      <c r="O16" s="3" t="inlineStr">
        <is>
          <t>2021-P2-Q17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Numerical</t>
        </is>
      </c>
      <c r="E17" s="3" t="inlineStr">
        <is>
          <t>Permutation &amp; Combination</t>
        </is>
      </c>
      <c r="F17" s="2" t="n">
        <v>4</v>
      </c>
      <c r="G17" s="4" t="n">
        <v>3</v>
      </c>
      <c r="H17" s="4" t="inlineStr">
        <is>
          <t>Average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Order within each subject is fixed by places, so 9!/(3!)^3</t>
        </is>
      </c>
      <c r="N17" s="3" t="inlineStr">
        <is>
          <t>Statement is ambiguous; the key step is seeing that places fix order, then a multinomial.</t>
        </is>
      </c>
      <c r="O17" s="3" t="inlineStr">
        <is>
          <t>2024-P1-Q11 (L4)</t>
        </is>
      </c>
      <c r="P17" s="2" t="inlineStr">
        <is>
          <t>Low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Numerical</t>
        </is>
      </c>
      <c r="E18" s="3" t="inlineStr">
        <is>
          <t>Permutation &amp; Combination</t>
        </is>
      </c>
      <c r="F18" s="2" t="n">
        <v>4</v>
      </c>
      <c r="G18" s="6" t="n">
        <v>2</v>
      </c>
      <c r="H18" s="6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Symmetric matrix: diagonal ones odd; case on diagonal</t>
        </is>
      </c>
      <c r="N18" s="3" t="inlineStr">
        <is>
          <t>Casework with symmetry; a few cases.</t>
        </is>
      </c>
      <c r="O18" s="3" t="inlineStr">
        <is>
          <t>2024-P1-Q10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Numerical</t>
        </is>
      </c>
      <c r="E19" s="3" t="inlineStr">
        <is>
          <t>Permutation &amp; Combination</t>
        </is>
      </c>
      <c r="F19" s="2" t="n">
        <v>4</v>
      </c>
      <c r="G19" s="7" t="n">
        <v>1</v>
      </c>
      <c r="H19" s="7" t="inlineStr">
        <is>
          <t>JEE Main level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2^n minus two empty cases, divided by 2</t>
        </is>
      </c>
      <c r="N19" s="3" t="inlineStr">
        <is>
          <t>One familiar counting move.</t>
        </is>
      </c>
      <c r="O19" s="3" t="inlineStr">
        <is>
          <t>2024-P2-Q3 (L1)</t>
        </is>
      </c>
      <c r="P19" s="2" t="inlineStr">
        <is>
          <t>High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Para SCQ</t>
        </is>
      </c>
      <c r="E20" s="3" t="inlineStr">
        <is>
          <t>Permutation &amp; Combination</t>
        </is>
      </c>
      <c r="F20" s="2" t="n">
        <v>3</v>
      </c>
      <c r="G20" s="6" t="n">
        <v>2</v>
      </c>
      <c r="H20" s="6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Divide 16!/(4!)^4 by 4! for identical groups</t>
        </is>
      </c>
      <c r="N20" s="3" t="inlineStr">
        <is>
          <t>Standard equal-groups formula, plus matching the option's odd-product form.</t>
        </is>
      </c>
      <c r="O20" s="3" t="inlineStr">
        <is>
          <t>2024-P1-Q11 (L4)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Para SCQ</t>
        </is>
      </c>
      <c r="E21" s="3" t="inlineStr">
        <is>
          <t>Permutation &amp; Combination</t>
        </is>
      </c>
      <c r="F21" s="2" t="n">
        <v>3</v>
      </c>
      <c r="G21" s="4" t="n">
        <v>3</v>
      </c>
      <c r="H21" s="4" t="inlineStr">
        <is>
          <t>Average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P1..P4 label the groups; split remaining 12 as 3+3+3+3</t>
        </is>
      </c>
      <c r="N21" s="3" t="inlineStr">
        <is>
          <t>Needs the labelling insight and then option matching.</t>
        </is>
      </c>
      <c r="O21" s="3" t="inlineStr">
        <is>
          <t>2024-P1-Q11 (L4)</t>
        </is>
      </c>
      <c r="P21" s="2" t="inlineStr">
        <is>
          <t>Medium</t>
        </is>
      </c>
    </row>
    <row r="22">
      <c r="A22" s="2" t="n">
        <v>21</v>
      </c>
      <c r="B22" s="2" t="inlineStr"/>
      <c r="C22" s="2" t="inlineStr">
        <is>
          <t>Q21</t>
        </is>
      </c>
      <c r="D22" s="2" t="inlineStr">
        <is>
          <t>Para SCQ</t>
        </is>
      </c>
      <c r="E22" s="3" t="inlineStr">
        <is>
          <t>Permutation &amp; Combination</t>
        </is>
      </c>
      <c r="F22" s="2" t="n">
        <v>3</v>
      </c>
      <c r="G22" s="4" t="n">
        <v>3</v>
      </c>
      <c r="H22" s="4" t="inlineStr">
        <is>
          <t>Average Advanced</t>
        </is>
      </c>
      <c r="I22" s="5" t="n">
        <v>0</v>
      </c>
      <c r="J22" s="5" t="n">
        <v>0</v>
      </c>
      <c r="K22" s="5">
        <f>MIN(5,MAX(G22+I22,J22))</f>
        <v/>
      </c>
      <c r="L22" s="5">
        <f>F22*K22</f>
        <v/>
      </c>
      <c r="M22" s="3" t="inlineStr">
        <is>
          <t>P6 best of its group =&gt; partners from P7..P16</t>
        </is>
      </c>
      <c r="N22" s="3" t="inlineStr">
        <is>
          <t>Rank condition turned into a restricted choice, plus equal-group division and matching to k.</t>
        </is>
      </c>
      <c r="O22" s="3" t="inlineStr">
        <is>
          <t>2024-P1-Q11 (L4)</t>
        </is>
      </c>
      <c r="P22" s="2" t="inlineStr">
        <is>
          <t>Medium</t>
        </is>
      </c>
    </row>
    <row r="23">
      <c r="A23" s="2" t="n">
        <v>22</v>
      </c>
      <c r="B23" s="2" t="inlineStr"/>
      <c r="C23" s="2" t="inlineStr">
        <is>
          <t>Q22</t>
        </is>
      </c>
      <c r="D23" s="2" t="inlineStr">
        <is>
          <t>Para SCQ</t>
        </is>
      </c>
      <c r="E23" s="3" t="inlineStr">
        <is>
          <t>Permutation &amp; Combination</t>
        </is>
      </c>
      <c r="F23" s="2" t="n">
        <v>3</v>
      </c>
      <c r="G23" s="7" t="n">
        <v>1</v>
      </c>
      <c r="H23" s="7" t="inlineStr">
        <is>
          <t>JEE Main level</t>
        </is>
      </c>
      <c r="I23" s="5" t="n">
        <v>0</v>
      </c>
      <c r="J23" s="5" t="n">
        <v>0</v>
      </c>
      <c r="K23" s="5">
        <f>MIN(5,MAX(G23+I23,J23))</f>
        <v/>
      </c>
      <c r="L23" s="5">
        <f>F23*K23</f>
        <v/>
      </c>
      <c r="M23" s="3" t="inlineStr">
        <is>
          <t>m lines give m-1 gaps</t>
        </is>
      </c>
      <c r="N23" s="3" t="inlineStr">
        <is>
          <t>Direct observation.</t>
        </is>
      </c>
      <c r="O23" s="3" t="inlineStr">
        <is>
          <t>2024-P2-Q1 (L0)</t>
        </is>
      </c>
      <c r="P23" s="2" t="inlineStr">
        <is>
          <t>High</t>
        </is>
      </c>
    </row>
    <row r="24">
      <c r="A24" s="2" t="n">
        <v>23</v>
      </c>
      <c r="B24" s="2" t="inlineStr"/>
      <c r="C24" s="2" t="inlineStr">
        <is>
          <t>Q23</t>
        </is>
      </c>
      <c r="D24" s="2" t="inlineStr">
        <is>
          <t>Para SCQ</t>
        </is>
      </c>
      <c r="E24" s="3" t="inlineStr">
        <is>
          <t>Permutation &amp; Combination</t>
        </is>
      </c>
      <c r="F24" s="2" t="n">
        <v>3</v>
      </c>
      <c r="G24" s="7" t="n">
        <v>1</v>
      </c>
      <c r="H24" s="7" t="inlineStr">
        <is>
          <t>JEE Main level</t>
        </is>
      </c>
      <c r="I24" s="5" t="n">
        <v>0</v>
      </c>
      <c r="J24" s="5" t="n">
        <v>0</v>
      </c>
      <c r="K24" s="5">
        <f>MIN(5,MAX(G24+I24,J24))</f>
        <v/>
      </c>
      <c r="L24" s="5">
        <f>F24*K24</f>
        <v/>
      </c>
      <c r="M24" s="3" t="inlineStr">
        <is>
          <t>Sum of squares 1..8</t>
        </is>
      </c>
      <c r="N24" s="3" t="inlineStr">
        <is>
          <t>Direct sum.</t>
        </is>
      </c>
      <c r="O24" s="3" t="inlineStr">
        <is>
          <t>2024-P2-Q1 (L0)</t>
        </is>
      </c>
      <c r="P24" s="2" t="inlineStr">
        <is>
          <t>High</t>
        </is>
      </c>
    </row>
    <row r="25">
      <c r="A25" s="2" t="n">
        <v>24</v>
      </c>
      <c r="B25" s="2" t="inlineStr"/>
      <c r="C25" s="2" t="inlineStr">
        <is>
          <t>Q24</t>
        </is>
      </c>
      <c r="D25" s="2" t="inlineStr">
        <is>
          <t>Para SCQ</t>
        </is>
      </c>
      <c r="E25" s="3" t="inlineStr">
        <is>
          <t>Permutation &amp; Combination</t>
        </is>
      </c>
      <c r="F25" s="2" t="n">
        <v>3</v>
      </c>
      <c r="G25" s="6" t="n">
        <v>2</v>
      </c>
      <c r="H25" s="6" t="inlineStr">
        <is>
          <t>Easier than Advanced</t>
        </is>
      </c>
      <c r="I25" s="5" t="n">
        <v>0</v>
      </c>
      <c r="J25" s="5" t="n">
        <v>0</v>
      </c>
      <c r="K25" s="5">
        <f>MIN(5,MAX(G25+I25,J25))</f>
        <v/>
      </c>
      <c r="L25" s="5">
        <f>F25*K25</f>
        <v/>
      </c>
      <c r="M25" s="3" t="inlineStr">
        <is>
          <t>Sum (m-r)(n-r) with standard series</t>
        </is>
      </c>
      <c r="N25" s="3" t="inlineStr">
        <is>
          <t>Routine algebraic summation.</t>
        </is>
      </c>
      <c r="O25" s="3" t="inlineStr">
        <is>
          <t>2021-P2-Q17 (L1)</t>
        </is>
      </c>
      <c r="P25" s="2" t="inlineStr">
        <is>
          <t>High</t>
        </is>
      </c>
    </row>
    <row r="26">
      <c r="A26" s="2" t="n">
        <v>25</v>
      </c>
      <c r="B26" s="2" t="inlineStr"/>
      <c r="C26" s="2" t="inlineStr">
        <is>
          <t>Q25</t>
        </is>
      </c>
      <c r="D26" s="2" t="inlineStr">
        <is>
          <t>Para SCQ</t>
        </is>
      </c>
      <c r="E26" s="3" t="inlineStr">
        <is>
          <t>Permutation &amp; Combination</t>
        </is>
      </c>
      <c r="F26" s="2" t="n">
        <v>3</v>
      </c>
      <c r="G26" s="7" t="n">
        <v>1</v>
      </c>
      <c r="H26" s="7" t="inlineStr">
        <is>
          <t>JEE Main level</t>
        </is>
      </c>
      <c r="I26" s="5" t="n">
        <v>0</v>
      </c>
      <c r="J26" s="5" t="n">
        <v>0</v>
      </c>
      <c r="K26" s="5">
        <f>MIN(5,MAX(G26+I26,J26))</f>
        <v/>
      </c>
      <c r="L26" s="5">
        <f>F26*K26</f>
        <v/>
      </c>
      <c r="M26" s="3" t="inlineStr">
        <is>
          <t>nCr x D6</t>
        </is>
      </c>
      <c r="N26" s="3" t="inlineStr">
        <is>
          <t>One familiar formula.</t>
        </is>
      </c>
      <c r="O26" s="3" t="inlineStr">
        <is>
          <t>2024-P2-Q3 (L1)</t>
        </is>
      </c>
      <c r="P26" s="2" t="inlineStr">
        <is>
          <t>High</t>
        </is>
      </c>
    </row>
    <row r="27">
      <c r="A27" s="2" t="n">
        <v>26</v>
      </c>
      <c r="B27" s="2" t="inlineStr"/>
      <c r="C27" s="2" t="inlineStr">
        <is>
          <t>Q26</t>
        </is>
      </c>
      <c r="D27" s="2" t="inlineStr">
        <is>
          <t>Para SCQ</t>
        </is>
      </c>
      <c r="E27" s="3" t="inlineStr">
        <is>
          <t>Permutation &amp; Combination</t>
        </is>
      </c>
      <c r="F27" s="2" t="n">
        <v>3</v>
      </c>
      <c r="G27" s="6" t="n">
        <v>2</v>
      </c>
      <c r="H27" s="6" t="inlineStr">
        <is>
          <t>Easier than Advanced</t>
        </is>
      </c>
      <c r="I27" s="5" t="n">
        <v>0</v>
      </c>
      <c r="J27" s="5" t="n">
        <v>0</v>
      </c>
      <c r="K27" s="5">
        <f>MIN(5,MAX(G27+I27,J27))</f>
        <v/>
      </c>
      <c r="L27" s="5">
        <f>F27*K27</f>
        <v/>
      </c>
      <c r="M27" s="3" t="inlineStr">
        <is>
          <t>Both blocks deranged: D5 squared</t>
        </is>
      </c>
      <c r="N27" s="3" t="inlineStr">
        <is>
          <t>Two linked ideas (block structure plus derangement).</t>
        </is>
      </c>
      <c r="O27" s="3" t="inlineStr">
        <is>
          <t>2021-P2-Q17 (L1)</t>
        </is>
      </c>
      <c r="P27" s="2" t="inlineStr">
        <is>
          <t>Medium</t>
        </is>
      </c>
    </row>
    <row r="28">
      <c r="A28" s="2" t="n">
        <v>27</v>
      </c>
      <c r="B28" s="2" t="inlineStr"/>
      <c r="C28" s="2" t="inlineStr">
        <is>
          <t>Q27</t>
        </is>
      </c>
      <c r="D28" s="2" t="inlineStr">
        <is>
          <t>Para SCQ</t>
        </is>
      </c>
      <c r="E28" s="3" t="inlineStr">
        <is>
          <t>Permutation &amp; Combination</t>
        </is>
      </c>
      <c r="F28" s="2" t="n">
        <v>3</v>
      </c>
      <c r="G28" s="6" t="n">
        <v>2</v>
      </c>
      <c r="H28" s="6" t="inlineStr">
        <is>
          <t>Easier than Advanced</t>
        </is>
      </c>
      <c r="I28" s="5" t="n">
        <v>0</v>
      </c>
      <c r="J28" s="5" t="n">
        <v>0</v>
      </c>
      <c r="K28" s="5">
        <f>MIN(5,MAX(G28+I28,J28))</f>
        <v/>
      </c>
      <c r="L28" s="5">
        <f>F28*K28</f>
        <v/>
      </c>
      <c r="M28" s="3" t="inlineStr">
        <is>
          <t>Integers forced away from natural places: 5! x 5!</t>
        </is>
      </c>
      <c r="N28" s="3" t="inlineStr">
        <is>
          <t>Needs the insight that the derangement condition is automatic.</t>
        </is>
      </c>
      <c r="O28" s="3" t="inlineStr">
        <is>
          <t>2021-P2-Q17 (L1)</t>
        </is>
      </c>
      <c r="P28" s="2" t="inlineStr">
        <is>
          <t>Medium</t>
        </is>
      </c>
    </row>
    <row r="29">
      <c r="A29" s="2" t="n">
        <v>28</v>
      </c>
      <c r="B29" s="2" t="inlineStr"/>
      <c r="C29" s="2" t="inlineStr">
        <is>
          <t>Q28</t>
        </is>
      </c>
      <c r="D29" s="2" t="inlineStr">
        <is>
          <t>MTC SCQ</t>
        </is>
      </c>
      <c r="E29" s="3" t="inlineStr">
        <is>
          <t>Permutation &amp; Combination</t>
        </is>
      </c>
      <c r="F29" s="2" t="n">
        <v>3</v>
      </c>
      <c r="G29" s="4" t="n">
        <v>3</v>
      </c>
      <c r="H29" s="4" t="inlineStr">
        <is>
          <t>Average Advanced</t>
        </is>
      </c>
      <c r="I29" s="5" t="n">
        <v>0</v>
      </c>
      <c r="J29" s="5" t="n">
        <v>0</v>
      </c>
      <c r="K29" s="5">
        <f>MIN(5,MAX(G29+I29,J29))</f>
        <v/>
      </c>
      <c r="L29" s="5">
        <f>F29*K29</f>
        <v/>
      </c>
      <c r="M29" s="3" t="inlineStr">
        <is>
          <t>Five independent counting parts (stars and bars, collinearity, derangement, digit product, pairing)</t>
        </is>
      </c>
      <c r="N29" s="3" t="inlineStr">
        <is>
          <t>Five short parts of mixed topics; each routine but a slip in one breaks the match.</t>
        </is>
      </c>
      <c r="O29" s="3" t="inlineStr">
        <is>
          <t>2024-P1-Q14 (L3)</t>
        </is>
      </c>
      <c r="P29" s="2" t="inlineStr">
        <is>
          <t>Medium</t>
        </is>
      </c>
    </row>
    <row r="31">
      <c r="A31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SHEET_P_&amp;_C_FCopy_C2.pdf   |   Evaluated on: 2026-10-14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COUNTIF(Evaluation!$G$2:$G$29,A5)</f>
        <v/>
      </c>
      <c r="D5" s="10">
        <f>SUMIF(Evaluation!$G$2:$G$29,A5,Evaluation!$F$2:$F$29)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COUNTIF(Evaluation!$G$2:$G$29,A6)</f>
        <v/>
      </c>
      <c r="D6" s="12">
        <f>SUMIF(Evaluation!$G$2:$G$29,A6,Evaluation!$F$2:$F$29)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COUNTIF(Evaluation!$G$2:$G$29,A7)</f>
        <v/>
      </c>
      <c r="D7" s="14">
        <f>SUMIF(Evaluation!$G$2:$G$29,A7,Evaluation!$F$2:$F$29)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COUNTIF(Evaluation!$G$2:$G$29,A8)</f>
        <v/>
      </c>
      <c r="D8" s="16">
        <f>SUMIF(Evaluation!$G$2:$G$29,A8,Evaluation!$F$2:$F$29)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COUNTIF(Evaluation!$G$2:$G$29,A9)</f>
        <v/>
      </c>
      <c r="D9" s="18">
        <f>SUMIF(Evaluation!$G$2:$G$29,A9,Evaluation!$F$2:$F$29)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COUNTIF(Evaluation!$G$2:$G$29,A10)</f>
        <v/>
      </c>
      <c r="D10" s="20">
        <f>SUMIF(Evaluation!$G$2:$G$29,A10,Evaluation!$F$2:$F$29)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SUM(Evaluation!$L$2:$L$29)/SUM(Evaluation!$F$2:$F$29)</f>
        <v/>
      </c>
      <c r="C14" s="23">
        <f>SUMPRODUCT(Evaluation!$F$2:$F$29,Evaluation!$G$2:$G$29)/SUM(Evaluation!$F$2:$F$29)</f>
        <v/>
      </c>
      <c r="D14" s="22">
        <f>SUM(Evaluation!$F$2:$F$29)</f>
        <v/>
      </c>
      <c r="E14" s="23">
        <f>AVERAGE(Evaluation!$G$2:$G$29)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2026-10-14T20:07:35Z</dcterms:created>
  <dcterms:modified xmlns:dcterms="http://purl.org/dc/terms/" xmlns:xsi="http://www.w3.org/2001/XMLSchema-instance" xsi:type="dcterms:W3CDTF">2026-10-14T20:07:35Z</dcterms:modified>
</cp:coreProperties>
</file>