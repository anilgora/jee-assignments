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Numerical</t>
        </is>
      </c>
      <c r="E2" s="3" t="inlineStr">
        <is>
          <t>Function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Only the pairs (1,x) and (3,3) have product in A: f(1)=1, f(9)=f(3)^2 forces f(3) in {1,3}; the rest are free.</t>
        </is>
      </c>
      <c r="N2" s="3" t="inlineStr">
        <is>
          <t>Hidden constraint listing then a product count; routine once the product pairs are enumerated (L2).</t>
        </is>
      </c>
      <c r="O2" s="3" t="inlineStr">
        <is>
          <t>No close Main-level anchor; compared by topic with 2023-2026 Advanced anchors (all harder)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Sets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Factor 2^m-2^n=2^n(2^(m-n)-1)=2^4*7, so n=4, m=7.</t>
        </is>
      </c>
      <c r="N3" s="3" t="inlineStr">
        <is>
          <t>One-step factorisation into power of 2 and odd part (L1).</t>
        </is>
      </c>
      <c r="O3" s="3" t="inlineStr">
        <is>
          <t>No close Main-level anchor; compared by topic with 2023-2026 Advanced anchors (all harder)</t>
        </is>
      </c>
      <c r="P3" s="2" t="inlineStr">
        <is>
          <t>Medium</t>
        </is>
      </c>
    </row>
    <row r="5">
      <c r="A5" s="7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8" t="inlineStr">
        <is>
          <t>Difficulty summary</t>
        </is>
      </c>
    </row>
    <row r="2">
      <c r="A2" s="7" t="inlineStr">
        <is>
          <t>Source: JEE_Main_Question_Bank_02_Differential_Calculus_01_05.pdf   |   Evaluated on: 2026-10-12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9" t="n">
        <v>0</v>
      </c>
      <c r="B5" s="9" t="inlineStr">
        <is>
          <t>Easier than JEE Main</t>
        </is>
      </c>
      <c r="C5" s="9">
        <f>COUNTIF(Evaluation!$G$2:$G$3,A5)</f>
        <v/>
      </c>
      <c r="D5" s="9">
        <f>SUMIF(Evaluation!$G$2:$G$3,A5,Evaluation!$F$2:$F$3)</f>
        <v/>
      </c>
      <c r="E5" s="10">
        <f>IF(SUM($D$5:$D$10)=0,0,D5/SUM($D$5:$D$10))</f>
        <v/>
      </c>
    </row>
    <row r="6">
      <c r="A6" s="11" t="n">
        <v>1</v>
      </c>
      <c r="B6" s="11" t="inlineStr">
        <is>
          <t>JEE Main level</t>
        </is>
      </c>
      <c r="C6" s="11">
        <f>COUNTIF(Evaluation!$G$2:$G$3,A6)</f>
        <v/>
      </c>
      <c r="D6" s="11">
        <f>SUMIF(Evaluation!$G$2:$G$3,A6,Evaluation!$F$2:$F$3)</f>
        <v/>
      </c>
      <c r="E6" s="12">
        <f>IF(SUM($D$5:$D$10)=0,0,D6/SUM($D$5:$D$10))</f>
        <v/>
      </c>
    </row>
    <row r="7">
      <c r="A7" s="13" t="n">
        <v>2</v>
      </c>
      <c r="B7" s="13" t="inlineStr">
        <is>
          <t>Easier than Advanced</t>
        </is>
      </c>
      <c r="C7" s="13">
        <f>COUNTIF(Evaluation!$G$2:$G$3,A7)</f>
        <v/>
      </c>
      <c r="D7" s="13">
        <f>SUMIF(Evaluation!$G$2:$G$3,A7,Evaluation!$F$2:$F$3)</f>
        <v/>
      </c>
      <c r="E7" s="14">
        <f>IF(SUM($D$5:$D$10)=0,0,D7/SUM($D$5:$D$10))</f>
        <v/>
      </c>
    </row>
    <row r="8">
      <c r="A8" s="15" t="n">
        <v>3</v>
      </c>
      <c r="B8" s="15" t="inlineStr">
        <is>
          <t>Average Advanced</t>
        </is>
      </c>
      <c r="C8" s="15">
        <f>COUNTIF(Evaluation!$G$2:$G$3,A8)</f>
        <v/>
      </c>
      <c r="D8" s="15">
        <f>SUMIF(Evaluation!$G$2:$G$3,A8,Evaluation!$F$2:$F$3)</f>
        <v/>
      </c>
      <c r="E8" s="16">
        <f>IF(SUM($D$5:$D$10)=0,0,D8/SUM($D$5:$D$10))</f>
        <v/>
      </c>
    </row>
    <row r="9">
      <c r="A9" s="17" t="n">
        <v>4</v>
      </c>
      <c r="B9" s="17" t="inlineStr">
        <is>
          <t>Slightly difficult</t>
        </is>
      </c>
      <c r="C9" s="17">
        <f>COUNTIF(Evaluation!$G$2:$G$3,A9)</f>
        <v/>
      </c>
      <c r="D9" s="17">
        <f>SUMIF(Evaluation!$G$2:$G$3,A9,Evaluation!$F$2:$F$3)</f>
        <v/>
      </c>
      <c r="E9" s="18">
        <f>IF(SUM($D$5:$D$10)=0,0,D9/SUM($D$5:$D$10))</f>
        <v/>
      </c>
    </row>
    <row r="10">
      <c r="A10" s="19" t="n">
        <v>5</v>
      </c>
      <c r="B10" s="19" t="inlineStr">
        <is>
          <t>Very difficult</t>
        </is>
      </c>
      <c r="C10" s="19">
        <f>COUNTIF(Evaluation!$G$2:$G$3,A10)</f>
        <v/>
      </c>
      <c r="D10" s="19">
        <f>SUMIF(Evaluation!$G$2:$G$3,A10,Evaluation!$F$2:$F$3)</f>
        <v/>
      </c>
      <c r="E10" s="20">
        <f>IF(SUM($D$5:$D$10)=0,0,D10/SUM($D$5:$D$10))</f>
        <v/>
      </c>
    </row>
    <row r="11">
      <c r="A11" s="21" t="inlineStr">
        <is>
          <t>Total</t>
        </is>
      </c>
      <c r="C11" s="21">
        <f>SUM(C5:C10)</f>
        <v/>
      </c>
      <c r="D11" s="21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1" t="inlineStr">
        <is>
          <t>Overall</t>
        </is>
      </c>
      <c r="B14" s="22">
        <f>SUM(Evaluation!$L$2:$L$3)/SUM(Evaluation!$F$2:$F$3)</f>
        <v/>
      </c>
      <c r="C14" s="22">
        <f>SUMPRODUCT(Evaluation!$F$2:$F$3,Evaluation!$G$2:$G$3)/SUM(Evaluation!$F$2:$F$3)</f>
        <v/>
      </c>
      <c r="D14" s="21">
        <f>SUM(Evaluation!$F$2:$F$3)</f>
        <v/>
      </c>
      <c r="E14" s="22">
        <f>AVERAGE(Evaluation!$G$2:$G$3)</f>
        <v/>
      </c>
    </row>
    <row r="16">
      <c r="A16" s="7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8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3" t="n">
        <v>2021</v>
      </c>
      <c r="B4" s="24" t="n">
        <v>2.758333333333333</v>
      </c>
      <c r="C4" s="24" t="n">
        <v>2.894736842105263</v>
      </c>
      <c r="D4" s="23" t="n">
        <v>16</v>
      </c>
      <c r="E4" s="23" t="n">
        <v>34</v>
      </c>
      <c r="F4" s="23" t="n">
        <v>1</v>
      </c>
    </row>
    <row r="5">
      <c r="A5" s="23" t="n">
        <v>2023</v>
      </c>
      <c r="B5" s="24" t="n">
        <v>3.191666666666667</v>
      </c>
      <c r="C5" s="24" t="n">
        <v>3.147058823529412</v>
      </c>
      <c r="D5" s="23" t="n">
        <v>13</v>
      </c>
      <c r="E5" s="23" t="n">
        <v>47</v>
      </c>
      <c r="F5" s="23" t="n">
        <v>5</v>
      </c>
    </row>
    <row r="6">
      <c r="A6" s="23" t="n">
        <v>2024</v>
      </c>
      <c r="B6" s="24" t="n">
        <v>2.591666666666667</v>
      </c>
      <c r="C6" s="24" t="n">
        <v>2.558823529411764</v>
      </c>
      <c r="D6" s="23" t="n">
        <v>28</v>
      </c>
      <c r="E6" s="23" t="n">
        <v>40</v>
      </c>
      <c r="F6" s="23" t="n">
        <v>1</v>
      </c>
    </row>
    <row r="7">
      <c r="A7" s="23" t="n">
        <v>2025</v>
      </c>
      <c r="B7" s="24" t="n">
        <v>3.208333333333333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>
      <c r="A8" s="23" t="n">
        <v>2026</v>
      </c>
      <c r="B8" s="24" t="n">
        <v>3.025</v>
      </c>
      <c r="C8" s="24" t="n">
        <v>2.941176470588236</v>
      </c>
      <c r="D8" s="23" t="n">
        <v>6</v>
      </c>
      <c r="E8" s="23" t="n">
        <v>38</v>
      </c>
      <c r="F8" s="23" t="n">
        <v>2</v>
      </c>
    </row>
    <row r="9">
      <c r="A9" s="21" t="inlineStr">
        <is>
          <t>This paper</t>
        </is>
      </c>
      <c r="B9" s="22">
        <f>Summary!B14</f>
        <v/>
      </c>
      <c r="C9" s="22">
        <f>Summary!E14</f>
        <v/>
      </c>
      <c r="D9" s="21">
        <f>Summary!D5+Summary!D6</f>
        <v/>
      </c>
      <c r="E9" s="21">
        <f>Summary!D9+Summary!D10</f>
        <v/>
      </c>
      <c r="F9" s="21">
        <f>Summary!C10</f>
        <v/>
      </c>
    </row>
    <row r="11">
      <c r="A11" s="7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2026-10-12T21:20:59Z</dcterms:created>
  <dcterms:modified xmlns:dcterms="http://purl.org/dc/terms/" xmlns:xsi="http://www.w3.org/2001/XMLSchema-instance" xsi:type="dcterms:W3CDTF">2026-10-12T21:20:59Z</dcterms:modified>
</cp:coreProperties>
</file>