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61)</t>
        </is>
      </c>
      <c r="D2" s="2" t="inlineStr">
        <is>
          <t>Numerical</t>
        </is>
      </c>
      <c r="E2" s="3" t="inlineStr">
        <is>
          <t>Parabola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Tangent at P meets axis at (-x1,0); area = 1/(2m^3)</t>
        </is>
      </c>
      <c r="N2" s="3" t="inlineStr">
        <is>
          <t>Single standard idea (T=0 and a right-triangle area), four short lines.</t>
        </is>
      </c>
      <c r="O2" s="3" t="inlineStr">
        <is>
          <t>2021-P2-Q8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 (printed 62)</t>
        </is>
      </c>
      <c r="D3" s="2" t="inlineStr">
        <is>
          <t>Numerical</t>
        </is>
      </c>
      <c r="E3" s="3" t="inlineStr">
        <is>
          <t>Parabola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Area = bc from tangent intercept; integer conditions on a</t>
        </is>
      </c>
      <c r="N3" s="3" t="inlineStr">
        <is>
          <t>Subtangent plus a short integer-case check chained.</t>
        </is>
      </c>
      <c r="O3" s="3" t="inlineStr">
        <is>
          <t>2023-P1-Q7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63)</t>
        </is>
      </c>
      <c r="D4" s="2" t="inlineStr">
        <is>
          <t>Numerical</t>
        </is>
      </c>
      <c r="E4" s="3" t="inlineStr">
        <is>
          <t>Straight Line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Centroid sums give alpha, beta in terms of a; vertices on BC give p and a</t>
        </is>
      </c>
      <c r="N4" s="3" t="inlineStr">
        <is>
          <t>Routine chain of linear equations; no idea beyond centroid.</t>
        </is>
      </c>
      <c r="O4" s="3" t="inlineStr">
        <is>
          <t>2021-P1-Q9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 (printed 64)</t>
        </is>
      </c>
      <c r="D5" s="2" t="inlineStr">
        <is>
          <t>Numerical</t>
        </is>
      </c>
      <c r="E5" s="3" t="inlineStr">
        <is>
          <t>Straight Line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Circumcentre O so H=A+B+C, H on y-axis gives sum cos=0; then cos3 identity</t>
        </is>
      </c>
      <c r="N5" s="3" t="inlineStr">
        <is>
          <t>Two ideas linked (orthocentre vector and x^3+y^3+z^3=3xyz with cos3x); not widely practised.</t>
        </is>
      </c>
      <c r="O5" s="3" t="inlineStr">
        <is>
          <t>2021-P1-Q1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65)</t>
        </is>
      </c>
      <c r="D6" s="2" t="inlineStr">
        <is>
          <t>Numerical</t>
        </is>
      </c>
      <c r="E6" s="3" t="inlineStr">
        <is>
          <t>Circle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alpha*beta = |9(cos+sin)^2-4|/2, extremum at the end of the range</t>
        </is>
      </c>
      <c r="N6" s="3" t="inlineStr">
        <is>
          <t>Standard parametrisation of a diameter and a trig range.</t>
        </is>
      </c>
      <c r="O6" s="3" t="inlineStr">
        <is>
          <t>2021-P2-Q7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 (printed 66)</t>
        </is>
      </c>
      <c r="D7" s="2" t="inlineStr">
        <is>
          <t>Numerical</t>
        </is>
      </c>
      <c r="E7" s="3" t="inlineStr">
        <is>
          <t>Parabola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Tangents meet at (a t1t2, a(t1+t2)); only ratio of parameters matters</t>
        </is>
      </c>
      <c r="N7" s="3" t="inlineStr">
        <is>
          <t>Standard parametric result applied once with a ratio condition.</t>
        </is>
      </c>
      <c r="O7" s="3" t="inlineStr">
        <is>
          <t>2026-P2-Q2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 (printed 67)</t>
        </is>
      </c>
      <c r="D8" s="2" t="inlineStr">
        <is>
          <t>Numerical</t>
        </is>
      </c>
      <c r="E8" s="3" t="inlineStr">
        <is>
          <t>Circle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C2 on diagonal, sin(theta)=r/PC gives 30 degrees, tangent at 15 degrees to CB</t>
        </is>
      </c>
      <c r="N8" s="3" t="inlineStr">
        <is>
          <t>Needs the corner-circle radius, an angle-from-tangent argument and tan 15; several linked steps.</t>
        </is>
      </c>
      <c r="O8" s="3" t="inlineStr">
        <is>
          <t>2024-P1-Q15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68)</t>
        </is>
      </c>
      <c r="D9" s="2" t="inlineStr">
        <is>
          <t>Numerical</t>
        </is>
      </c>
      <c r="E9" s="3" t="inlineStr">
        <is>
          <t>Hyperbola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e^2=2(n+2)/(n+1) rational square forces n+1 odd perfect square</t>
        </is>
      </c>
      <c r="N9" s="3" t="inlineStr">
        <is>
          <t>The number-theoretic reduction is the non-routine step; the rest is formula.</t>
        </is>
      </c>
      <c r="O9" s="3" t="inlineStr">
        <is>
          <t>2023-P1-Q6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69)</t>
        </is>
      </c>
      <c r="D10" s="2" t="inlineStr">
        <is>
          <t>Numerical</t>
        </is>
      </c>
      <c r="E10" s="3" t="inlineStr">
        <is>
          <t>Circle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Right angle in semicircle gives alpha; tangents perpendicular to radii; intersect</t>
        </is>
      </c>
      <c r="N10" s="3" t="inlineStr">
        <is>
          <t>Several routine steps chained, no insight.</t>
        </is>
      </c>
      <c r="O10" s="3" t="inlineStr">
        <is>
          <t>2024-P1-Q15 (L2-3)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 (printed 70)</t>
        </is>
      </c>
      <c r="D11" s="2" t="inlineStr">
        <is>
          <t>Numerical</t>
        </is>
      </c>
      <c r="E11" s="3" t="inlineStr">
        <is>
          <t>Circle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OC perpendicular to CP gives OP^2=OC^2+r^2</t>
        </is>
      </c>
      <c r="N11" s="3" t="inlineStr">
        <is>
          <t>One Pythagoras step after reading the area.</t>
        </is>
      </c>
      <c r="O11" s="3" t="inlineStr">
        <is>
          <t>2021-P1-Q9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 (printed 71)</t>
        </is>
      </c>
      <c r="D12" s="2" t="inlineStr">
        <is>
          <t>Numerical</t>
        </is>
      </c>
      <c r="E12" s="3" t="inlineStr">
        <is>
          <t>Straight Line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Beta from common point, alpha from reflection of a point in the bisector</t>
        </is>
      </c>
      <c r="N12" s="3" t="inlineStr">
        <is>
          <t>Reflection formula and a common-point observation; routine.</t>
        </is>
      </c>
      <c r="O12" s="3" t="inlineStr">
        <is>
          <t>2021-P1-Q9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72)</t>
        </is>
      </c>
      <c r="D13" s="2" t="inlineStr">
        <is>
          <t>Numerical</t>
        </is>
      </c>
      <c r="E13" s="3" t="inlineStr">
        <is>
          <t>Straight Line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Vertices from three lines, midpoint of AC, diagonal BD, distance</t>
        </is>
      </c>
      <c r="N13" s="3" t="inlineStr">
        <is>
          <t>Pure computation with standard parallelogram facts.</t>
        </is>
      </c>
      <c r="O13" s="3" t="inlineStr">
        <is>
          <t>2021-P1-Q10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 (printed 73)</t>
        </is>
      </c>
      <c r="D14" s="2" t="inlineStr">
        <is>
          <t>Numerical</t>
        </is>
      </c>
      <c r="E14" s="3" t="inlineStr">
        <is>
          <t>Parabola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Two tangents and L3 give vertices; R=abc/4 Delta</t>
        </is>
      </c>
      <c r="N14" s="3" t="inlineStr">
        <is>
          <t>Two tangent formulas plus circumradius; routine chain.</t>
        </is>
      </c>
      <c r="O14" s="3" t="inlineStr">
        <is>
          <t>2026-P1-Q2 (L3)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 (printed 74)</t>
        </is>
      </c>
      <c r="D15" s="2" t="inlineStr">
        <is>
          <t>Numerical</t>
        </is>
      </c>
      <c r="E15" s="3" t="inlineStr">
        <is>
          <t>Hyperbola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Parametrise square by (t,1/t) and its 90-degree rotation; midpoint on curve gives 1/t^2-t^2=4</t>
        </is>
      </c>
      <c r="N15" s="3" t="inlineStr">
        <is>
          <t>Idea of the rotated parametrisation is not routine; algebra then short.</t>
        </is>
      </c>
      <c r="O15" s="3" t="inlineStr">
        <is>
          <t>2025-P2-Q4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75)</t>
        </is>
      </c>
      <c r="D16" s="2" t="inlineStr">
        <is>
          <t>Numerical</t>
        </is>
      </c>
      <c r="E16" s="3" t="inlineStr">
        <is>
          <t>Ellipse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Half angle 30 degrees gives b/(ae)=1/sqrt3 and with LR gives a,b</t>
        </is>
      </c>
      <c r="N16" s="3" t="inlineStr">
        <is>
          <t>Standard ellipse relations, two equations.</t>
        </is>
      </c>
      <c r="O16" s="3" t="inlineStr">
        <is>
          <t>2026-P2-Q17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 (printed 76)</t>
        </is>
      </c>
      <c r="D17" s="2" t="inlineStr">
        <is>
          <t>Numerical</t>
        </is>
      </c>
      <c r="E17" s="3" t="inlineStr">
        <is>
          <t>Straight Line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Count multiples of a below (60-3a)/4 for each a, with strict inequality</t>
        </is>
      </c>
      <c r="N17" s="3" t="inlineStr">
        <is>
          <t>Careful counting but simple; slip risk at a=4.</t>
        </is>
      </c>
      <c r="O17" s="3" t="inlineStr">
        <is>
          <t>2023-P1-Q6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77)</t>
        </is>
      </c>
      <c r="D18" s="2" t="inlineStr">
        <is>
          <t>Numerical</t>
        </is>
      </c>
      <c r="E18" s="3" t="inlineStr">
        <is>
          <t>Straight Line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On 4x+3y=75 z is quadratic in y; vertex lies in range</t>
        </is>
      </c>
      <c r="N18" s="3" t="inlineStr">
        <is>
          <t>Reduction to a quadratic on the right edge; routine optimisation.</t>
        </is>
      </c>
      <c r="O18" s="3" t="inlineStr">
        <is>
          <t>2021-P2-Q7 (L2)</t>
        </is>
      </c>
      <c r="P18" s="2" t="inlineStr">
        <is>
          <t>Medium</t>
        </is>
      </c>
    </row>
    <row r="20">
      <c r="A2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JEE_Main_Question_Bank_02_Coordinate_Geometry_04.pdf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COUNTIF(Evaluation!$G$2:$G$18,A5)</f>
        <v/>
      </c>
      <c r="D5" s="10">
        <f>SUMIF(Evaluation!$G$2:$G$18,A5,Evaluation!$F$2:$F$18)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COUNTIF(Evaluation!$G$2:$G$18,A6)</f>
        <v/>
      </c>
      <c r="D6" s="12">
        <f>SUMIF(Evaluation!$G$2:$G$18,A6,Evaluation!$F$2:$F$18)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COUNTIF(Evaluation!$G$2:$G$18,A7)</f>
        <v/>
      </c>
      <c r="D7" s="14">
        <f>SUMIF(Evaluation!$G$2:$G$18,A7,Evaluation!$F$2:$F$18)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COUNTIF(Evaluation!$G$2:$G$18,A8)</f>
        <v/>
      </c>
      <c r="D8" s="16">
        <f>SUMIF(Evaluation!$G$2:$G$18,A8,Evaluation!$F$2:$F$18)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COUNTIF(Evaluation!$G$2:$G$18,A9)</f>
        <v/>
      </c>
      <c r="D9" s="18">
        <f>SUMIF(Evaluation!$G$2:$G$18,A9,Evaluation!$F$2:$F$18)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COUNTIF(Evaluation!$G$2:$G$18,A10)</f>
        <v/>
      </c>
      <c r="D10" s="20">
        <f>SUMIF(Evaluation!$G$2:$G$18,A10,Evaluation!$F$2:$F$18)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SUM(Evaluation!$L$2:$L$18)/SUM(Evaluation!$F$2:$F$18)</f>
        <v/>
      </c>
      <c r="C14" s="23">
        <f>SUMPRODUCT(Evaluation!$F$2:$F$18,Evaluation!$G$2:$G$18)/SUM(Evaluation!$F$2:$F$18)</f>
        <v/>
      </c>
      <c r="D14" s="22">
        <f>SUM(Evaluation!$F$2:$F$18)</f>
        <v/>
      </c>
      <c r="E14" s="23">
        <f>AVERAGE(Evaluation!$G$2:$G$18)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2026-10-07T11:29:33Z</dcterms:created>
  <dcterms:modified xmlns:dcterms="http://purl.org/dc/terms/" xmlns:xsi="http://www.w3.org/2001/XMLSchema-instance" xsi:type="dcterms:W3CDTF">2026-10-07T11:29:33Z</dcterms:modified>
</cp:coreProperties>
</file>