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Polar form of $1-\sqrt3 i$ and reduce $200\pi/3$ mod $2\pi$; then sum and product of roots.</t>
        </is>
      </c>
      <c r="N2" s="3" t="inlineStr">
        <is>
          <t>Routine chain: polar form, large power, read p and q, form the quadratic. One familiar trick (De Moivre) but several steps; option check available. Above the single-move level-1 items.</t>
        </is>
      </c>
      <c r="O2" s="3" t="inlineStr">
        <is>
          <t>2026-P2-Q3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Complex Number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For |z|=1, (1+z)/(1+z̄)=z.</t>
        </is>
      </c>
      <c r="N3" s="3" t="inlineStr">
        <is>
          <t>One idea (z̄=1/z) then a short cube; chain of three routine steps, so level 2 not 1.</t>
        </is>
      </c>
      <c r="O3" s="3" t="inlineStr">
        <is>
          <t>2026-P2-Q1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Complex Number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Squares cancel: |z-a|^2-|z-b|^2=k is a line.</t>
        </is>
      </c>
      <c r="N4" s="3" t="inlineStr">
        <is>
          <t>One familiar move applied once, options settle the intercept sum.</t>
        </is>
      </c>
      <c r="O4" s="3" t="inlineStr">
        <is>
          <t>2025-P1-Q7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Complex Number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Apollonius circle: square the modulus and complete the square.</t>
        </is>
      </c>
      <c r="N5" s="3" t="inlineStr">
        <is>
          <t>Single standard locus move; options give the centre.</t>
        </is>
      </c>
      <c r="O5" s="3" t="inlineStr">
        <is>
          <t>2025-P1-Q7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Complex Number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 conditions give y1y2=-x1^2&lt;0, so opposite signs.</t>
        </is>
      </c>
      <c r="N6" s="3" t="inlineStr">
        <is>
          <t>Short algebra with a sign argument, but the possibility of each option needs a check.</t>
        </is>
      </c>
      <c r="O6" s="3" t="inlineStr">
        <is>
          <t>2026-P2-Q17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Complex Number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z+1/z on |z|=4 is an ellipse; compare semi-axes with 4.</t>
        </is>
      </c>
      <c r="N7" s="3" t="inlineStr">
        <is>
          <t>Needs the Joukowski-type ellipse (less common idea) and a count of intersections; options help.</t>
        </is>
      </c>
      <c r="O7" s="3" t="inlineStr">
        <is>
          <t>2021-P1-Q4 (L3)</t>
        </is>
      </c>
      <c r="P7" s="2" t="inlineStr">
        <is>
          <t>Low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Complex Number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Substitute z=1+i and rationalise; z1=-1+i.</t>
        </is>
      </c>
      <c r="N8" s="3" t="inlineStr">
        <is>
          <t>Direct numerical evaluation with careful complex arithmetic; one move, no insight.</t>
        </is>
      </c>
      <c r="O8" s="3" t="inlineStr">
        <is>
          <t>2025-P1-Q7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Complex Number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both numbers in polar form and subtract arguments.</t>
        </is>
      </c>
      <c r="N9" s="3" t="inlineStr">
        <is>
          <t>Single polar-division move; options read off directly.</t>
        </is>
      </c>
      <c r="O9" s="3" t="inlineStr">
        <is>
          <t>2025-P1-Q7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Complex Number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Apollonius circle: expand with z z̄ and read centre and radius.</t>
        </is>
      </c>
      <c r="N10" s="3" t="inlineStr">
        <is>
          <t>One standard locus move applied once, with routine arithmetic.</t>
        </is>
      </c>
      <c r="O10" s="3" t="inlineStr">
        <is>
          <t>2025-P1-Q7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Complex Number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Unit modulus gives b=-a; the circle gives a quadratic; test both roots in the floor expression.</t>
        </is>
      </c>
      <c r="N11" s="3" t="inlineStr">
        <is>
          <t>Four routine steps plus a floor on two roots; no option matches, so there is no check against options.</t>
        </is>
      </c>
      <c r="O11" s="3" t="inlineStr">
        <is>
          <t>2026-P2-Q3 (L2)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Complex Number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alpha z - alpha-bar z-bar = 2i Im(alpha z); the condition factorises into two lines.</t>
        </is>
      </c>
      <c r="N12" s="3" t="inlineStr">
        <is>
          <t>Numerical answer; the factorisation (x-4)(y+7)=0 must be spotted and then two intersections found exactly; no options to check.</t>
        </is>
      </c>
      <c r="O12" s="3" t="inlineStr">
        <is>
          <t>2023-P1-Q11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Complex Number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Reduce the two real-part conditions to a 2x2 linear system in (x^2-y^2, x); check a=-b separately.</t>
        </is>
      </c>
      <c r="N13" s="3" t="inlineStr">
        <is>
          <t>Requires a clean elimination and awareness of the degenerate case; ill-posed key adds confusion.</t>
        </is>
      </c>
      <c r="O13" s="3" t="inlineStr">
        <is>
          <t>2021-P1-Q15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Complex Number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A modulus is real: equate imaginary parts, then square the real parts.</t>
        </is>
      </c>
      <c r="N14" s="3" t="inlineStr">
        <is>
          <t>Routine two-step comparison followed by forming a quadratic from sum and product.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Complex Number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Rationalise; real part 1-2 sin^2 θ=0; sum four roots.</t>
        </is>
      </c>
      <c r="N15" s="3" t="inlineStr">
        <is>
          <t>Routine: rationalise, solve sin^2, add roots.</t>
        </is>
      </c>
      <c r="O15" s="3" t="inlineStr">
        <is>
          <t>2026-P2-Q3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Complex Number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Real part zero gives 4x^2+4y^2-4y-3=0; substitute x=-y^2.</t>
        </is>
      </c>
      <c r="N16" s="3" t="inlineStr">
        <is>
          <t>Routine algebra with one substitution; options check at the end.</t>
        </is>
      </c>
      <c r="O16" s="3" t="inlineStr">
        <is>
          <t>2026-P2-Q3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Complex Number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Imaginary part gives x=0; remove the pole z=-i/2.</t>
        </is>
      </c>
      <c r="N17" s="3" t="inlineStr">
        <is>
          <t>Routine; the only subtlety is the excluded point, which options make visible.</t>
        </is>
      </c>
      <c r="O17" s="3" t="inlineStr">
        <is>
          <t>2026-P2-Q17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Complex Number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Rotation by 90 degrees is multiplication by ±i.</t>
        </is>
      </c>
      <c r="N18" s="3" t="inlineStr">
        <is>
          <t>Chain of routine steps with a quadrant check; each step standard.</t>
        </is>
      </c>
      <c r="O18" s="3" t="inlineStr">
        <is>
          <t>2026-P2-Q17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Complex Number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For real z each inequality is a half-line in x, so neither set contains all reals.</t>
        </is>
      </c>
      <c r="N19" s="3" t="inlineStr">
        <is>
          <t>Two statements each needing a counter-example; low computation but each must be checked.</t>
        </is>
      </c>
      <c r="O19" s="3" t="inlineStr">
        <is>
          <t>2026-P1-Q7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Complex Number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|z2-z0|=sqrt2 and collinearity give z2=z0±(1-i).</t>
        </is>
      </c>
      <c r="N20" s="3" t="inlineStr">
        <is>
          <t>Routine geometry: two points, two values, pick the smaller.</t>
        </is>
      </c>
      <c r="O20" s="3" t="inlineStr">
        <is>
          <t>2026-P2-Q17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Complex Number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Polar form of conjugate roots, then 2·2^7 cos(14π/3).</t>
        </is>
      </c>
      <c r="N21" s="3" t="inlineStr">
        <is>
          <t>Routine chain with one reduction of the angle.</t>
        </is>
      </c>
      <c r="O21" s="3" t="inlineStr">
        <is>
          <t>2023-P2-Q9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Complex Number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Split into real and imaginary parts; x(2y+1)=0 gives two cases.</t>
        </is>
      </c>
      <c r="N22" s="3" t="inlineStr">
        <is>
          <t>Numerical, no options; two cases each giving two points, and a slip in any case changes the sum.</t>
        </is>
      </c>
      <c r="O22" s="3" t="inlineStr">
        <is>
          <t>2026-P2-Q14 (L4)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Complex Number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Re z=3 reduces the expression to (1/8)(10/(1+y^2)-1); read the range.</t>
        </is>
      </c>
      <c r="N23" s="3" t="inlineStr">
        <is>
          <t>Routine rationalisation and a range with an open end; options available.</t>
        </is>
      </c>
      <c r="O23" s="3" t="inlineStr">
        <is>
          <t>2023-P2-Q9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Complex Number</t>
        </is>
      </c>
      <c r="F24" s="2" t="n">
        <v>4</v>
      </c>
      <c r="G24" s="7" t="n">
        <v>3</v>
      </c>
      <c r="H24" s="7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Apollonius theorem: |z-α|^2+|z-β|^2=2|z-c|^2+|α-β|^2/2, so radius^2=λ-|α-β|^2/4.</t>
        </is>
      </c>
      <c r="N24" s="3" t="inlineStr">
        <is>
          <t>Numerical; needs the identity (not routine for many students) but then one line.</t>
        </is>
      </c>
      <c r="O24" s="3" t="inlineStr">
        <is>
          <t>2025-P2-Q13 (L4)</t>
        </is>
      </c>
      <c r="P24" s="2" t="inlineStr">
        <is>
          <t>Low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Complex Number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Subtract the denominator: 1+(11iz-13)/D, the top is 11iα so D must be imaginary.</t>
        </is>
      </c>
      <c r="N25" s="3" t="inlineStr">
        <is>
          <t>Needs the splitting idea, then a hyperbola condition and exact arithmetic; numerical with no options.</t>
        </is>
      </c>
      <c r="O25" s="3" t="inlineStr">
        <is>
          <t>2023-P1-Q11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Complex Number</t>
        </is>
      </c>
      <c r="F26" s="2" t="n">
        <v>4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Re w=0 is a circle and Im w=0 a line; find the centre from the tangency, then the chord.</t>
        </is>
      </c>
      <c r="N26" s="3" t="inlineStr">
        <is>
          <t>Multi-stage numerical chain (centre, radius, line, chord) in which a slip changes the result.</t>
        </is>
      </c>
      <c r="O26" s="3" t="inlineStr">
        <is>
          <t>2023-P1-Q11 (L3)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Complex Number</t>
        </is>
      </c>
      <c r="F27" s="2" t="n">
        <v>4</v>
      </c>
      <c r="G27" s="6" t="n">
        <v>1</v>
      </c>
      <c r="H27" s="6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Two perpendicular bisectors meet at one point (circumcentre).</t>
        </is>
      </c>
      <c r="N27" s="3" t="inlineStr">
        <is>
          <t>One familiar move; elimination via options.</t>
        </is>
      </c>
      <c r="O27" s="3" t="inlineStr">
        <is>
          <t>2025-P1-Q7 (L1)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Complex Number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A modulus is real: the imaginary part of αz+β(1+i) vanishes.</t>
        </is>
      </c>
      <c r="N28" s="3" t="inlineStr">
        <is>
          <t>Short but multi-step linear system; options check.</t>
        </is>
      </c>
      <c r="O28" s="3" t="inlineStr">
        <is>
          <t>2026-P2-Q3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Complex Number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Reduce tan(5π/8) to a first-quadrant value; modulus 2 sec(3π/8), amplitude 3π/8.</t>
        </is>
      </c>
      <c r="N29" s="3" t="inlineStr">
        <is>
          <t>Routine with a quadrant trap; options give both parts.</t>
        </is>
      </c>
      <c r="O29" s="3" t="inlineStr">
        <is>
          <t>2026-P2-Q17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Complex Number</t>
        </is>
      </c>
      <c r="F30" s="2" t="n">
        <v>4</v>
      </c>
      <c r="G30" s="6" t="n">
        <v>1</v>
      </c>
      <c r="H30" s="6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Take moduli: |z|^2=|z|, so |z|=1.</t>
        </is>
      </c>
      <c r="N30" s="3" t="inlineStr">
        <is>
          <t>One familiar move (modulus of both sides), single step.</t>
        </is>
      </c>
      <c r="O30" s="3" t="inlineStr">
        <is>
          <t>2026-P2-Q4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Complex Number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Factor the cubic and test its three roots in the other equation using ω^3=1.</t>
        </is>
      </c>
      <c r="N31" s="3" t="inlineStr">
        <is>
          <t>Routine chain with exponent reductions and one easily missed root (-1).</t>
        </is>
      </c>
      <c r="O31" s="3" t="inlineStr">
        <is>
          <t>2026-P2-Q3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Complex Number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Find z1z2 from the cubes, then build z1^4+z2^4 from sums and products.</t>
        </is>
      </c>
      <c r="N32" s="3" t="inlineStr">
        <is>
          <t>Routine chain of identities with complex arithmetic.</t>
        </is>
      </c>
      <c r="O32" s="3" t="inlineStr">
        <is>
          <t>2026-P2-Q12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Complex Number</t>
        </is>
      </c>
      <c r="F33" s="2" t="n">
        <v>4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Intersect the circle and the line; identify the max and min modulus points.</t>
        </is>
      </c>
      <c r="N33" s="3" t="inlineStr">
        <is>
          <t>Long surd computation with a quadratic and a comparison; precision risk, options help.</t>
        </is>
      </c>
      <c r="O33" s="3" t="inlineStr">
        <is>
          <t>2023-P2-Q14 (L5)</t>
        </is>
      </c>
      <c r="P33" s="2" t="inlineStr">
        <is>
          <t>Low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Complex Number</t>
        </is>
      </c>
      <c r="F34" s="2" t="n">
        <v>4</v>
      </c>
      <c r="G34" s="6" t="n">
        <v>1</v>
      </c>
      <c r="H34" s="6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The fixed point lies in the region, so the minimum is 0 (no option matches).</t>
        </is>
      </c>
      <c r="N34" s="3" t="inlineStr">
        <is>
          <t>One observation; a Bonus question.</t>
        </is>
      </c>
      <c r="O34" s="3" t="inlineStr">
        <is>
          <t>2025-P1-Q7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Complex Number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Expand (1+ω)^7 and reduce powers; or use 1+ω=-ω^2.</t>
        </is>
      </c>
      <c r="N35" s="3" t="inlineStr">
        <is>
          <t>Routine expansion with exponent reductions; numerical so no options, but short.</t>
        </is>
      </c>
      <c r="O35" s="3" t="inlineStr">
        <is>
          <t>2026-P2-Q12 (L2)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Complex Number</t>
        </is>
      </c>
      <c r="F36" s="2" t="n">
        <v>4</v>
      </c>
      <c r="G36" s="7" t="n">
        <v>3</v>
      </c>
      <c r="H36" s="7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Eliminate the common cross term between the two circle equations.</t>
        </is>
      </c>
      <c r="N36" s="3" t="inlineStr">
        <is>
          <t>Needs the idea of eliminating Re(αz̄0) between conditions on α and 1/ᾱ; numerical and algebra-heavy.</t>
        </is>
      </c>
      <c r="O36" s="3" t="inlineStr">
        <is>
          <t>2023-P1-Q11 (L3)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Complex Number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Reduce x^6 to 5x^2+12 using x^2=x-2, then symmetric functions.</t>
        </is>
      </c>
      <c r="N37" s="3" t="inlineStr">
        <is>
          <t>Routine reduction of powers, numerical answer.</t>
        </is>
      </c>
      <c r="O37" s="3" t="inlineStr">
        <is>
          <t>2026-P2-Q12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Complex Number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α/β=i and α^2=3i, so the expression is (3i)^49(1+i).</t>
        </is>
      </c>
      <c r="N38" s="3" t="inlineStr">
        <is>
          <t>Routine polar-form chain with large exponents; numerical.</t>
        </is>
      </c>
      <c r="O38" s="3" t="inlineStr">
        <is>
          <t>2026-P2-Q12 (L2)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Complex Number</t>
        </is>
      </c>
      <c r="F39" s="2" t="n">
        <v>4</v>
      </c>
      <c r="G39" s="7" t="n">
        <v>3</v>
      </c>
      <c r="H39" s="7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Bracket simplifies to -2i; (1+i)^4=-4; z=2πi; distance from a line.</t>
        </is>
      </c>
      <c r="N39" s="3" t="inlineStr">
        <is>
          <t>Three stages (equation count, complex simplification, geometry) in a numerical answer.</t>
        </is>
      </c>
      <c r="O39" s="3" t="inlineStr">
        <is>
          <t>2023-P1-Q11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Numerical</t>
        </is>
      </c>
      <c r="E40" s="3" t="inlineStr">
        <is>
          <t>Complex Number</t>
        </is>
      </c>
      <c r="F40" s="2" t="n">
        <v>4</v>
      </c>
      <c r="G40" s="7" t="n">
        <v>3</v>
      </c>
      <c r="H40" s="7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Distance from T=(3,-2); the nearest point of the cut region is the foot on the chord.</t>
        </is>
      </c>
      <c r="N40" s="3" t="inlineStr">
        <is>
          <t>Long geometric chain with a trap (nearest disc point is cut off) and exact surd arithmetic; numerical.</t>
        </is>
      </c>
      <c r="O40" s="3" t="inlineStr">
        <is>
          <t>2023-P2-Q14 (L5)</t>
        </is>
      </c>
      <c r="P40" s="2" t="inlineStr">
        <is>
          <t>Low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Complex Number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Imaginary part gives xy=0; solutions ±i.</t>
        </is>
      </c>
      <c r="N41" s="3" t="inlineStr">
        <is>
          <t>Routine casework on two cases.</t>
        </is>
      </c>
      <c r="O41" s="3" t="inlineStr">
        <is>
          <t>2026-P2-Q3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Complex Number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Both lines pass through the centre, so the region is a sector of angle 3π/4.</t>
        </is>
      </c>
      <c r="N42" s="3" t="inlineStr">
        <is>
          <t>Routine region reading and sector area.</t>
        </is>
      </c>
      <c r="O42" s="3" t="inlineStr">
        <is>
          <t>2026-P2-Q17 (L2)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Complex Number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I is the triangle inequality; in II, a²/(y-z)=k²·conj(y-z), so the cyclic sum is 0.</t>
        </is>
      </c>
      <c r="N43" s="3" t="inlineStr">
        <is>
          <t>Two statements each needing a short justification; one needs the conjugate trick.</t>
        </is>
      </c>
      <c r="O43" s="3" t="inlineStr">
        <is>
          <t>2026-P1-Q7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Complex Number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Im condition gives √3x+y≥0, a half-plane through the origin; sector area.</t>
        </is>
      </c>
      <c r="N44" s="3" t="inlineStr">
        <is>
          <t>Routine chain: rationalise, interpret the half-planes, sector area.</t>
        </is>
      </c>
      <c r="O44" s="3" t="inlineStr">
        <is>
          <t>2026-P2-Q17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Complex Number</t>
        </is>
      </c>
      <c r="F45" s="2" t="n">
        <v>4</v>
      </c>
      <c r="G45" s="7" t="n">
        <v>3</v>
      </c>
      <c r="H45" s="7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Square both sides; the cross terms cancel and the equation factorises.</t>
        </is>
      </c>
      <c r="N45" s="3" t="inlineStr">
        <is>
          <t>Requires seeing the factorisation (|z1|^2-1)(1-4|z2|^2)=0; a non-routine algebra idea but short.</t>
        </is>
      </c>
      <c r="O45" s="3" t="inlineStr">
        <is>
          <t>2025-P2-Q16 (L4)</t>
        </is>
      </c>
      <c r="P45" s="2" t="inlineStr">
        <is>
          <t>Low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Complex Number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z+2=e^{iθ}; the imaginary part of (z+1)/(z+2) is sin θ.</t>
        </is>
      </c>
      <c r="N46" s="3" t="inlineStr">
        <is>
          <t>One substitution then trigonometry; options help.</t>
        </is>
      </c>
      <c r="O46" s="3" t="inlineStr">
        <is>
          <t>2026-P2-Q3 (L2)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Complex Number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4 divides n! for n≥4, so only three terms of the sum survive; count the 8 pairs.</t>
        </is>
      </c>
      <c r="N47" s="3" t="inlineStr">
        <is>
          <t>Two small tasks (count and sum) with a factorial observation; numerical-style but options present.</t>
        </is>
      </c>
      <c r="O47" s="3" t="inlineStr">
        <is>
          <t>2026-P2-Q3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Complex Number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Rationalise: cos^2θ=1/2; list the six roots in [-π,2π].</t>
        </is>
      </c>
      <c r="N48" s="3" t="inlineStr">
        <is>
          <t>Routine, with the interval length being the only precision point.</t>
        </is>
      </c>
      <c r="O48" s="3" t="inlineStr">
        <is>
          <t>2026-P2-Q3 (L2)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Complex Number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Re=0 gives |z|=2; max distance = 10+2.</t>
        </is>
      </c>
      <c r="N49" s="3" t="inlineStr">
        <is>
          <t>Routine locus then centre-distance + radius.</t>
        </is>
      </c>
      <c r="O49" s="3" t="inlineStr">
        <is>
          <t>2026-P2-Q3 (L2)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Complex Number</t>
        </is>
      </c>
      <c r="F50" s="2" t="n">
        <v>4</v>
      </c>
      <c r="G50" s="7" t="n">
        <v>3</v>
      </c>
      <c r="H50" s="7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4+x^2=(x-2i)(x+2i), so the product is |P(2i)|^2/16.</t>
        </is>
      </c>
      <c r="N50" s="3" t="inlineStr">
        <is>
          <t>Key idea (evaluate the polynomial at 2i) is a known trick but not routine; numerical with exact arithmetic.</t>
        </is>
      </c>
      <c r="O50" s="3" t="inlineStr">
        <is>
          <t>2025-P2-Q16 (L4)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Complex Number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Five lattice points in the disc; test a≥b on each.</t>
        </is>
      </c>
      <c r="N51" s="3" t="inlineStr">
        <is>
          <t>Short routine enumeration; numerical but easy to verify.</t>
        </is>
      </c>
      <c r="O51" s="3" t="inlineStr">
        <is>
          <t>2026-P2-Q12 (L2)</t>
        </is>
      </c>
      <c r="P51" s="2" t="inlineStr">
        <is>
          <t>High</t>
        </is>
      </c>
    </row>
    <row r="53">
      <c r="A5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Complex Number_FCopy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COUNTIF(Evaluation!$G$2:$G$51,A5)</f>
        <v/>
      </c>
      <c r="D5" s="10">
        <f>SUMIF(Evaluation!$G$2:$G$51,A5,Evaluation!$F$2:$F$51)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COUNTIF(Evaluation!$G$2:$G$51,A6)</f>
        <v/>
      </c>
      <c r="D6" s="12">
        <f>SUMIF(Evaluation!$G$2:$G$51,A6,Evaluation!$F$2:$F$51)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COUNTIF(Evaluation!$G$2:$G$51,A7)</f>
        <v/>
      </c>
      <c r="D7" s="14">
        <f>SUMIF(Evaluation!$G$2:$G$51,A7,Evaluation!$F$2:$F$51)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COUNTIF(Evaluation!$G$2:$G$51,A8)</f>
        <v/>
      </c>
      <c r="D8" s="16">
        <f>SUMIF(Evaluation!$G$2:$G$51,A8,Evaluation!$F$2:$F$51)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COUNTIF(Evaluation!$G$2:$G$51,A9)</f>
        <v/>
      </c>
      <c r="D9" s="18">
        <f>SUMIF(Evaluation!$G$2:$G$51,A9,Evaluation!$F$2:$F$51)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COUNTIF(Evaluation!$G$2:$G$51,A10)</f>
        <v/>
      </c>
      <c r="D10" s="20">
        <f>SUMIF(Evaluation!$G$2:$G$51,A10,Evaluation!$F$2:$F$51)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SUM(Evaluation!$L$2:$L$51)/SUM(Evaluation!$F$2:$F$51)</f>
        <v/>
      </c>
      <c r="C14" s="23">
        <f>SUMPRODUCT(Evaluation!$F$2:$F$51,Evaluation!$G$2:$G$51)/SUM(Evaluation!$F$2:$F$51)</f>
        <v/>
      </c>
      <c r="D14" s="22">
        <f>SUM(Evaluation!$F$2:$F$51)</f>
        <v/>
      </c>
      <c r="E14" s="23">
        <f>AVERAGE(Evaluation!$G$2:$G$51)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2026-10-13T17:34:58Z</dcterms:created>
  <dcterms:modified xmlns:dcterms="http://purl.org/dc/terms/" xmlns:xsi="http://www.w3.org/2001/XMLSchema-instance" xsi:type="dcterms:W3CDTF">2026-10-13T17:34:58Z</dcterms:modified>
</cp:coreProperties>
</file>