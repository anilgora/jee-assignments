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E8F0D8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Function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Reduce to integer t=|[x]|; only t=3 is lost.</t>
        </is>
      </c>
      <c r="N2" s="3" t="inlineStr">
        <is>
          <t>Two floors/modulus layers but one sign check; a routine multi-step chain with no unfamiliar idea, option-based.</t>
        </is>
      </c>
      <c r="O2" s="3" t="inlineStr">
        <is>
          <t>2025-P1-Q1 (L3), 2026-P2-Q4 (L1)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Function</t>
        </is>
      </c>
      <c r="F3" s="2" t="n">
        <v>4</v>
      </c>
      <c r="G3" s="6" t="n">
        <v>1</v>
      </c>
      <c r="H3" s="6" t="inlineStr">
        <is>
          <t>JEE Main level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Self-inverse Mobius / coefficient comparison.</t>
        </is>
      </c>
      <c r="N3" s="3" t="inlineStr">
        <is>
          <t>One standard condition (f of f = identity) solved by cross-multiplying; options available.</t>
        </is>
      </c>
      <c r="O3" s="3" t="inlineStr">
        <is>
          <t>2026-P1-Q3 (L1)</t>
        </is>
      </c>
      <c r="P3" s="2" t="inlineStr">
        <is>
          <t>High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Function</t>
        </is>
      </c>
      <c r="F4" s="2" t="n">
        <v>4</v>
      </c>
      <c r="G4" s="6" t="n">
        <v>1</v>
      </c>
      <c r="H4" s="6" t="inlineStr">
        <is>
          <t>JEE Main level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[t+1]=[t]+1 then quadratic in [e^x].</t>
        </is>
      </c>
      <c r="N4" s="3" t="inlineStr">
        <is>
          <t>Single familiar floor trick, two lines to finish.</t>
        </is>
      </c>
      <c r="O4" s="3" t="inlineStr">
        <is>
          <t>2021-P2-Q17 (L1)</t>
        </is>
      </c>
      <c r="P4" s="2" t="inlineStr">
        <is>
          <t>High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Function</t>
        </is>
      </c>
      <c r="F5" s="2" t="n">
        <v>4</v>
      </c>
      <c r="G5" s="4" t="n">
        <v>2</v>
      </c>
      <c r="H5" s="4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Consecutive floor terms cancel in pairs.</t>
        </is>
      </c>
      <c r="N5" s="3" t="inlineStr">
        <is>
          <t>Needs the floor of negative halves and spotting the cancellation; short but error-prone.</t>
        </is>
      </c>
      <c r="O5" s="3" t="inlineStr">
        <is>
          <t>2024-P2-Q4 (L3)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Function</t>
        </is>
      </c>
      <c r="F6" s="2" t="n">
        <v>4</v>
      </c>
      <c r="G6" s="6" t="n">
        <v>1</v>
      </c>
      <c r="H6" s="6" t="inlineStr">
        <is>
          <t>JEE Main level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(g o f) bijective =&gt; f one-one, g onto.</t>
        </is>
      </c>
      <c r="N6" s="3" t="inlineStr">
        <is>
          <t>Pure concept recall, one move.</t>
        </is>
      </c>
      <c r="O6" s="3" t="inlineStr">
        <is>
          <t>2026-P1-Q3 (L1)</t>
        </is>
      </c>
      <c r="P6" s="2" t="inlineStr">
        <is>
          <t>High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Numerical</t>
        </is>
      </c>
      <c r="E7" s="3" t="inlineStr">
        <is>
          <t>Function</t>
        </is>
      </c>
      <c r="F7" s="2" t="n">
        <v>4</v>
      </c>
      <c r="G7" s="4" t="n">
        <v>2</v>
      </c>
      <c r="H7" s="4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Distinct non-negative integers with sum 3 must be 0,1,2.</t>
        </is>
      </c>
      <c r="N7" s="3" t="inlineStr">
        <is>
          <t>One insight plus a standard permutation count; numerical so slightly higher than an SCQ.</t>
        </is>
      </c>
      <c r="O7" s="3" t="inlineStr">
        <is>
          <t>2026-P2-Q10 (L4)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Numerical</t>
        </is>
      </c>
      <c r="E8" s="3" t="inlineStr">
        <is>
          <t>Function</t>
        </is>
      </c>
      <c r="F8" s="2" t="n">
        <v>4</v>
      </c>
      <c r="G8" s="7" t="n">
        <v>3</v>
      </c>
      <c r="H8" s="7" t="inlineStr">
        <is>
          <t>Average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f(1)=1; f(2) in {1,2}; count free primes.</t>
        </is>
      </c>
      <c r="N8" s="3" t="inlineStr">
        <is>
          <t>Multiplicative functional equation on a finite set with a case split and exact counting, no options.</t>
        </is>
      </c>
      <c r="O8" s="3" t="inlineStr">
        <is>
          <t>2024-P2-Q8 (L4), 2025-P1-Q12 (L4)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Function</t>
        </is>
      </c>
      <c r="F9" s="2" t="n">
        <v>4</v>
      </c>
      <c r="G9" s="6" t="n">
        <v>1</v>
      </c>
      <c r="H9" s="6" t="inlineStr">
        <is>
          <t>JEE Main level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Additive on N implies f(n)=n f(1).</t>
        </is>
      </c>
      <c r="N9" s="3" t="inlineStr">
        <is>
          <t>Direct substitution m=n=1,3.</t>
        </is>
      </c>
      <c r="O9" s="3" t="inlineStr">
        <is>
          <t>2024-P2-Q8 (L4)</t>
        </is>
      </c>
      <c r="P9" s="2" t="inlineStr">
        <is>
          <t>High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Function</t>
        </is>
      </c>
      <c r="F10" s="2" t="n">
        <v>4</v>
      </c>
      <c r="G10" s="6" t="n">
        <v>1</v>
      </c>
      <c r="H10" s="6" t="inlineStr">
        <is>
          <t>JEE Main level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Combine cosines: argument = 3+sqrt2(cos x - sin x) in [1,5].</t>
        </is>
      </c>
      <c r="N10" s="3" t="inlineStr">
        <is>
          <t>Sum-to-product then amplitude bound; one standard chain.</t>
        </is>
      </c>
      <c r="O10" s="3" t="inlineStr">
        <is>
          <t>2024-P2-Q1 (L0)</t>
        </is>
      </c>
      <c r="P10" s="2" t="inlineStr">
        <is>
          <t>High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Numerical</t>
        </is>
      </c>
      <c r="E11" s="3" t="inlineStr">
        <is>
          <t>Function</t>
        </is>
      </c>
      <c r="F11" s="2" t="n">
        <v>4</v>
      </c>
      <c r="G11" s="4" t="n">
        <v>2</v>
      </c>
      <c r="H11" s="4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xf(x)+2 has roots 2,3,4,5.</t>
        </is>
      </c>
      <c r="N11" s="3" t="inlineStr">
        <is>
          <t>Standard factor-theorem trick applied once, then arithmetic; numerical answer.</t>
        </is>
      </c>
      <c r="O11" s="3" t="inlineStr">
        <is>
          <t>2025-P1-Q1 (L3)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SCQ</t>
        </is>
      </c>
      <c r="E12" s="3" t="inlineStr">
        <is>
          <t>Function</t>
        </is>
      </c>
      <c r="F12" s="2" t="n">
        <v>4</v>
      </c>
      <c r="G12" s="4" t="n">
        <v>2</v>
      </c>
      <c r="H12" s="4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f(x+1)=4f(x): geometric sequence; sum is a G.P.</t>
        </is>
      </c>
      <c r="N12" s="3" t="inlineStr">
        <is>
          <t>Functional equation to G.P. and a matching of powers of 2; a few routine steps.</t>
        </is>
      </c>
      <c r="O12" s="3" t="inlineStr">
        <is>
          <t>2025-P1-Q12 (L4)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Function</t>
        </is>
      </c>
      <c r="F13" s="2" t="n">
        <v>4</v>
      </c>
      <c r="G13" s="4" t="n">
        <v>2</v>
      </c>
      <c r="H13" s="4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Iterates of x-1/x+1 have period 4.</t>
        </is>
      </c>
      <c r="N13" s="3" t="inlineStr">
        <is>
          <t>Compute f^2,f^3,f^4 and reduce the index; routine but needs care with the rational simplification.</t>
        </is>
      </c>
      <c r="O13" s="3" t="inlineStr">
        <is>
          <t>2026-P2-Q3 (L2)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SCQ</t>
        </is>
      </c>
      <c r="E14" s="3" t="inlineStr">
        <is>
          <t>Function</t>
        </is>
      </c>
      <c r="F14" s="2" t="n">
        <v>4</v>
      </c>
      <c r="G14" s="6" t="n">
        <v>1</v>
      </c>
      <c r="H14" s="6" t="inlineStr">
        <is>
          <t>JEE Main level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f o g = 1/(x^2-1): even and misses values.</t>
        </is>
      </c>
      <c r="N14" s="3" t="inlineStr">
        <is>
          <t>Compose and test one-one/onto; single familiar check.</t>
        </is>
      </c>
      <c r="O14" s="3" t="inlineStr">
        <is>
          <t>2025-P1-Q6 (L4)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SCQ</t>
        </is>
      </c>
      <c r="E15" s="3" t="inlineStr">
        <is>
          <t>Function</t>
        </is>
      </c>
      <c r="F15" s="2" t="n">
        <v>4</v>
      </c>
      <c r="G15" s="4" t="n">
        <v>2</v>
      </c>
      <c r="H15" s="4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Each branch is a bijection onto a residue class mod 4.</t>
        </is>
      </c>
      <c r="N15" s="3" t="inlineStr">
        <is>
          <t>Residue-class bijection check; routine with a small pattern to see.</t>
        </is>
      </c>
      <c r="O15" s="3" t="inlineStr">
        <is>
          <t>2025-P1-Q6 (L4)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Numerical</t>
        </is>
      </c>
      <c r="E16" s="3" t="inlineStr">
        <is>
          <t>Function</t>
        </is>
      </c>
      <c r="F16" s="2" t="n">
        <v>4</v>
      </c>
      <c r="G16" s="7" t="n">
        <v>3</v>
      </c>
      <c r="H16" s="7" t="inlineStr">
        <is>
          <t>Average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Tabulate by f(c); f(b) is forced and bounded by 10.</t>
        </is>
      </c>
      <c r="N16" s="3" t="inlineStr">
        <is>
          <t>Casework with distinctness restrictions and no options: a slip gives a wrong count.</t>
        </is>
      </c>
      <c r="O16" s="3" t="inlineStr">
        <is>
          <t>2025-P1-Q10 (L5), 2026-P2-Q10 (L4)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Numerical</t>
        </is>
      </c>
      <c r="E17" s="3" t="inlineStr">
        <is>
          <t>Function</t>
        </is>
      </c>
      <c r="F17" s="2" t="n">
        <v>4</v>
      </c>
      <c r="G17" s="4" t="n">
        <v>2</v>
      </c>
      <c r="H17" s="4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(4-x^50)^(1/50) is self-inverse for x&gt;=0; g(1)=f(1)+1.</t>
        </is>
      </c>
      <c r="N17" s="3" t="inlineStr">
        <is>
          <t>Recognise the difference of squares and the involution, then bound 3^(1/50).</t>
        </is>
      </c>
      <c r="O17" s="3" t="inlineStr">
        <is>
          <t>2024-P2-Q8 (L4)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Numerical</t>
        </is>
      </c>
      <c r="E18" s="3" t="inlineStr">
        <is>
          <t>Function</t>
        </is>
      </c>
      <c r="F18" s="2" t="n">
        <v>4</v>
      </c>
      <c r="G18" s="6" t="n">
        <v>1</v>
      </c>
      <c r="H18" s="6" t="inlineStr">
        <is>
          <t>JEE Main level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f(x)+f(1-x)=2 and pair the terms.</t>
        </is>
      </c>
      <c r="N18" s="3" t="inlineStr">
        <is>
          <t>The standard symmetry trick applied once.</t>
        </is>
      </c>
      <c r="O18" s="3" t="inlineStr">
        <is>
          <t>2021-P2-Q17 (L1)</t>
        </is>
      </c>
      <c r="P18" s="2" t="inlineStr">
        <is>
          <t>High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Numerical</t>
        </is>
      </c>
      <c r="E19" s="3" t="inlineStr">
        <is>
          <t>Function</t>
        </is>
      </c>
      <c r="F19" s="2" t="n">
        <v>4</v>
      </c>
      <c r="G19" s="4" t="n">
        <v>2</v>
      </c>
      <c r="H19" s="4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g = f^{-1} o (f o g) on a permutation.</t>
        </is>
      </c>
      <c r="N19" s="3" t="inlineStr">
        <is>
          <t>Compose with an inverse of a piecewise permutation; a few lookups.</t>
        </is>
      </c>
      <c r="O19" s="3" t="inlineStr">
        <is>
          <t>2026-P2-Q10 (L4)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Numerical</t>
        </is>
      </c>
      <c r="E20" s="3" t="inlineStr">
        <is>
          <t>Function</t>
        </is>
      </c>
      <c r="F20" s="2" t="n">
        <v>4</v>
      </c>
      <c r="G20" s="8" t="n">
        <v>4</v>
      </c>
      <c r="H20" s="8" t="inlineStr">
        <is>
          <t>Slightly difficult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f(a,b)&gt;=max(a,b); group pairs by the maximum; 1 is forced only by onto.</t>
        </is>
      </c>
      <c r="N20" s="3" t="inlineStr">
        <is>
          <t>Symmetric onto counting with several overlapping constraints and no options; delicate casework.</t>
        </is>
      </c>
      <c r="O20" s="3" t="inlineStr">
        <is>
          <t>2026-P2-Q10 (L4), 2025-P1-Q8 (L4)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Numerical</t>
        </is>
      </c>
      <c r="E21" s="3" t="inlineStr">
        <is>
          <t>Function</t>
        </is>
      </c>
      <c r="F21" s="2" t="n">
        <v>4</v>
      </c>
      <c r="G21" s="4" t="n">
        <v>2</v>
      </c>
      <c r="H21" s="4" t="inlineStr">
        <is>
          <t>Easier than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2f(x)-f(2x)=x^2 gives c=-3/2; then sum of squares.</t>
        </is>
      </c>
      <c r="N21" s="3" t="inlineStr">
        <is>
          <t>Functional equation to a polynomial then a standard summation; two routine stages.</t>
        </is>
      </c>
      <c r="O21" s="3" t="inlineStr">
        <is>
          <t>2024-P2-Q8 (L4)</t>
        </is>
      </c>
      <c r="P21" s="2" t="inlineStr">
        <is>
          <t>Medium</t>
        </is>
      </c>
    </row>
    <row r="22">
      <c r="A22" s="2" t="n">
        <v>21</v>
      </c>
      <c r="B22" s="2" t="inlineStr"/>
      <c r="C22" s="2" t="inlineStr">
        <is>
          <t>Q21</t>
        </is>
      </c>
      <c r="D22" s="2" t="inlineStr">
        <is>
          <t>Numerical</t>
        </is>
      </c>
      <c r="E22" s="3" t="inlineStr">
        <is>
          <t>Function</t>
        </is>
      </c>
      <c r="F22" s="2" t="n">
        <v>4</v>
      </c>
      <c r="G22" s="4" t="n">
        <v>2</v>
      </c>
      <c r="H22" s="4" t="inlineStr">
        <is>
          <t>Easier than Advanced</t>
        </is>
      </c>
      <c r="I22" s="5" t="n">
        <v>0</v>
      </c>
      <c r="J22" s="5" t="n">
        <v>0</v>
      </c>
      <c r="K22" s="5">
        <f>MIN(5,MAX(G22+I22,J22))</f>
        <v/>
      </c>
      <c r="L22" s="5">
        <f>F22*K22</f>
        <v/>
      </c>
      <c r="M22" s="3" t="inlineStr">
        <is>
          <t>Compare coefficients of f(g) and g(f).</t>
        </is>
      </c>
      <c r="N22" s="3" t="inlineStr">
        <is>
          <t>Routine multi-step algebra with five unknowns; no insight.</t>
        </is>
      </c>
      <c r="O22" s="3" t="inlineStr">
        <is>
          <t>2025-P1-Q1 (L3)</t>
        </is>
      </c>
      <c r="P22" s="2" t="inlineStr">
        <is>
          <t>Medium</t>
        </is>
      </c>
    </row>
    <row r="23">
      <c r="A23" s="2" t="n">
        <v>22</v>
      </c>
      <c r="B23" s="2" t="inlineStr"/>
      <c r="C23" s="2" t="inlineStr">
        <is>
          <t>Q22</t>
        </is>
      </c>
      <c r="D23" s="2" t="inlineStr">
        <is>
          <t>SCQ</t>
        </is>
      </c>
      <c r="E23" s="3" t="inlineStr">
        <is>
          <t>Function</t>
        </is>
      </c>
      <c r="F23" s="2" t="n">
        <v>4</v>
      </c>
      <c r="G23" s="4" t="n">
        <v>2</v>
      </c>
      <c r="H23" s="4" t="inlineStr">
        <is>
          <t>Easier than Advanced</t>
        </is>
      </c>
      <c r="I23" s="5" t="n">
        <v>0</v>
      </c>
      <c r="J23" s="5" t="n">
        <v>0</v>
      </c>
      <c r="K23" s="5">
        <f>MIN(5,MAX(G23+I23,J23))</f>
        <v/>
      </c>
      <c r="L23" s="5">
        <f>F23*K23</f>
        <v/>
      </c>
      <c r="M23" s="3" t="inlineStr">
        <is>
          <t>Choose (f(1),f(2)) with sum &lt;=6; f(4) free.</t>
        </is>
      </c>
      <c r="N23" s="3" t="inlineStr">
        <is>
          <t>Casework in a small counting setup, options given.</t>
        </is>
      </c>
      <c r="O23" s="3" t="inlineStr">
        <is>
          <t>2026-P2-Q10 (L4)</t>
        </is>
      </c>
      <c r="P23" s="2" t="inlineStr">
        <is>
          <t>Medium</t>
        </is>
      </c>
    </row>
    <row r="24">
      <c r="A24" s="2" t="n">
        <v>23</v>
      </c>
      <c r="B24" s="2" t="inlineStr"/>
      <c r="C24" s="2" t="inlineStr">
        <is>
          <t>Q23</t>
        </is>
      </c>
      <c r="D24" s="2" t="inlineStr">
        <is>
          <t>SCQ</t>
        </is>
      </c>
      <c r="E24" s="3" t="inlineStr">
        <is>
          <t>Function</t>
        </is>
      </c>
      <c r="F24" s="2" t="n">
        <v>4</v>
      </c>
      <c r="G24" s="4" t="n">
        <v>2</v>
      </c>
      <c r="H24" s="4" t="inlineStr">
        <is>
          <t>Easier than Advanced</t>
        </is>
      </c>
      <c r="I24" s="5" t="n">
        <v>0</v>
      </c>
      <c r="J24" s="5" t="n">
        <v>0</v>
      </c>
      <c r="K24" s="5">
        <f>MIN(5,MAX(G24+I24,J24))</f>
        <v/>
      </c>
      <c r="L24" s="5">
        <f>F24*K24</f>
        <v/>
      </c>
      <c r="M24" s="3" t="inlineStr">
        <is>
          <t>Order-restricted bijections: choose the 17 values, decreasing is forced.</t>
        </is>
      </c>
      <c r="N24" s="3" t="inlineStr">
        <is>
          <t>One standard counting idea; options let one check.</t>
        </is>
      </c>
      <c r="O24" s="3" t="inlineStr">
        <is>
          <t>2026-P1-Q11 (L3)</t>
        </is>
      </c>
      <c r="P24" s="2" t="inlineStr">
        <is>
          <t>Medium</t>
        </is>
      </c>
    </row>
    <row r="25">
      <c r="A25" s="2" t="n">
        <v>24</v>
      </c>
      <c r="B25" s="2" t="inlineStr"/>
      <c r="C25" s="2" t="inlineStr">
        <is>
          <t>Q24</t>
        </is>
      </c>
      <c r="D25" s="2" t="inlineStr">
        <is>
          <t>SCQ</t>
        </is>
      </c>
      <c r="E25" s="3" t="inlineStr">
        <is>
          <t>Function</t>
        </is>
      </c>
      <c r="F25" s="2" t="n">
        <v>4</v>
      </c>
      <c r="G25" s="4" t="n">
        <v>2</v>
      </c>
      <c r="H25" s="4" t="inlineStr">
        <is>
          <t>Easier than Advanced</t>
        </is>
      </c>
      <c r="I25" s="5" t="n">
        <v>0</v>
      </c>
      <c r="J25" s="5" t="n">
        <v>0</v>
      </c>
      <c r="K25" s="5">
        <f>MIN(5,MAX(G25+I25,J25))</f>
        <v/>
      </c>
      <c r="L25" s="5">
        <f>F25*K25</f>
        <v/>
      </c>
      <c r="M25" s="3" t="inlineStr">
        <is>
          <t>(f+g)(4)=(f+g)(5)=7 and min value 4.</t>
        </is>
      </c>
      <c r="N25" s="3" t="inlineStr">
        <is>
          <t>Needs a collision and a bound, both found by trying small values.</t>
        </is>
      </c>
      <c r="O25" s="3" t="inlineStr">
        <is>
          <t>2025-P1-Q6 (L4)</t>
        </is>
      </c>
      <c r="P25" s="2" t="inlineStr">
        <is>
          <t>Medium</t>
        </is>
      </c>
    </row>
    <row r="26">
      <c r="A26" s="2" t="n">
        <v>25</v>
      </c>
      <c r="B26" s="2" t="inlineStr"/>
      <c r="C26" s="2" t="inlineStr">
        <is>
          <t>Q25</t>
        </is>
      </c>
      <c r="D26" s="2" t="inlineStr">
        <is>
          <t>SCQ</t>
        </is>
      </c>
      <c r="E26" s="3" t="inlineStr">
        <is>
          <t>Function</t>
        </is>
      </c>
      <c r="F26" s="2" t="n">
        <v>4</v>
      </c>
      <c r="G26" s="7" t="n">
        <v>3</v>
      </c>
      <c r="H26" s="7" t="inlineStr">
        <is>
          <t>Average Advanced</t>
        </is>
      </c>
      <c r="I26" s="5" t="n">
        <v>0</v>
      </c>
      <c r="J26" s="5" t="n">
        <v>0</v>
      </c>
      <c r="K26" s="5">
        <f>MIN(5,MAX(G26+I26,J26))</f>
        <v/>
      </c>
      <c r="L26" s="5">
        <f>F26*K26</f>
        <v/>
      </c>
      <c r="M26" s="3" t="inlineStr">
        <is>
          <t>Three nested conditions, each with its own endpoint behaviour.</t>
        </is>
      </c>
      <c r="N26" s="3" t="inlineStr">
        <is>
          <t>Several domain conditions (floor, inverse sine, log with base 1/2) each easy but easy to mis-handle at endpoints; options help.</t>
        </is>
      </c>
      <c r="O26" s="3" t="inlineStr">
        <is>
          <t>2024-P2-Q4 (L3)</t>
        </is>
      </c>
      <c r="P26" s="2" t="inlineStr">
        <is>
          <t>Medium</t>
        </is>
      </c>
    </row>
    <row r="27">
      <c r="A27" s="2" t="n">
        <v>26</v>
      </c>
      <c r="B27" s="2" t="inlineStr"/>
      <c r="C27" s="2" t="inlineStr">
        <is>
          <t>Q26</t>
        </is>
      </c>
      <c r="D27" s="2" t="inlineStr">
        <is>
          <t>SCQ</t>
        </is>
      </c>
      <c r="E27" s="3" t="inlineStr">
        <is>
          <t>Function</t>
        </is>
      </c>
      <c r="F27" s="2" t="n">
        <v>4</v>
      </c>
      <c r="G27" s="4" t="n">
        <v>2</v>
      </c>
      <c r="H27" s="4" t="inlineStr">
        <is>
          <t>Easier than Advanced</t>
        </is>
      </c>
      <c r="I27" s="5" t="n">
        <v>0</v>
      </c>
      <c r="J27" s="5" t="n">
        <v>0</v>
      </c>
      <c r="K27" s="5">
        <f>MIN(5,MAX(G27+I27,J27))</f>
        <v/>
      </c>
      <c r="L27" s="5">
        <f>F27*K27</f>
        <v/>
      </c>
      <c r="M27" s="3" t="inlineStr">
        <is>
          <t>Integers of T are |x| in {2..5}; test each in S.</t>
        </is>
      </c>
      <c r="N27" s="3" t="inlineStr">
        <is>
          <t>Two modulus conditions, short integer check.</t>
        </is>
      </c>
      <c r="O27" s="3" t="inlineStr">
        <is>
          <t>2026-P2-Q3 (L2)</t>
        </is>
      </c>
      <c r="P27" s="2" t="inlineStr">
        <is>
          <t>Medium</t>
        </is>
      </c>
    </row>
    <row r="28">
      <c r="A28" s="2" t="n">
        <v>27</v>
      </c>
      <c r="B28" s="2" t="inlineStr"/>
      <c r="C28" s="2" t="inlineStr">
        <is>
          <t>Q27</t>
        </is>
      </c>
      <c r="D28" s="2" t="inlineStr">
        <is>
          <t>SCQ</t>
        </is>
      </c>
      <c r="E28" s="3" t="inlineStr">
        <is>
          <t>Function</t>
        </is>
      </c>
      <c r="F28" s="2" t="n">
        <v>4</v>
      </c>
      <c r="G28" s="6" t="n">
        <v>1</v>
      </c>
      <c r="H28" s="6" t="inlineStr">
        <is>
          <t>JEE Main level</t>
        </is>
      </c>
      <c r="I28" s="5" t="n">
        <v>0</v>
      </c>
      <c r="J28" s="5" t="n">
        <v>0</v>
      </c>
      <c r="K28" s="5">
        <f>MIN(5,MAX(G28+I28,J28))</f>
        <v/>
      </c>
      <c r="L28" s="5">
        <f>F28*K28</f>
        <v/>
      </c>
      <c r="M28" s="3" t="inlineStr">
        <is>
          <t>Four values of a quadratic: eliminate a,b,c.</t>
        </is>
      </c>
      <c r="N28" s="3" t="inlineStr">
        <is>
          <t>Linear equations only.</t>
        </is>
      </c>
      <c r="O28" s="3" t="inlineStr">
        <is>
          <t>2026-P1-Q3 (L1)</t>
        </is>
      </c>
      <c r="P28" s="2" t="inlineStr">
        <is>
          <t>High</t>
        </is>
      </c>
    </row>
    <row r="29">
      <c r="A29" s="2" t="n">
        <v>28</v>
      </c>
      <c r="B29" s="2" t="inlineStr"/>
      <c r="C29" s="2" t="inlineStr">
        <is>
          <t>Q28</t>
        </is>
      </c>
      <c r="D29" s="2" t="inlineStr">
        <is>
          <t>Numerical</t>
        </is>
      </c>
      <c r="E29" s="3" t="inlineStr">
        <is>
          <t>Function</t>
        </is>
      </c>
      <c r="F29" s="2" t="n">
        <v>4</v>
      </c>
      <c r="G29" s="4" t="n">
        <v>2</v>
      </c>
      <c r="H29" s="4" t="inlineStr">
        <is>
          <t>Easier than Advanced</t>
        </is>
      </c>
      <c r="I29" s="5" t="n">
        <v>0</v>
      </c>
      <c r="J29" s="5" t="n">
        <v>0</v>
      </c>
      <c r="K29" s="5">
        <f>MIN(5,MAX(G29+I29,J29))</f>
        <v/>
      </c>
      <c r="L29" s="5">
        <f>F29*K29</f>
        <v/>
      </c>
      <c r="M29" s="3" t="inlineStr">
        <is>
          <t>Independent choices; count squares below each bound.</t>
        </is>
      </c>
      <c r="N29" s="3" t="inlineStr">
        <is>
          <t>Product of independent counts with a quadratic bound; routine, numerical.</t>
        </is>
      </c>
      <c r="O29" s="3" t="inlineStr">
        <is>
          <t>2026-P2-Q10 (L4)</t>
        </is>
      </c>
      <c r="P29" s="2" t="inlineStr">
        <is>
          <t>Medium</t>
        </is>
      </c>
    </row>
    <row r="31">
      <c r="A31" s="9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10" t="inlineStr">
        <is>
          <t>Difficulty summary</t>
        </is>
      </c>
    </row>
    <row r="2">
      <c r="A2" s="9" t="inlineStr">
        <is>
          <t>Source: XII_SHEET_FUNCTION_FCopy_JM.pdf   |   Evaluated on: 2026-10-15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1" t="n">
        <v>0</v>
      </c>
      <c r="B5" s="11" t="inlineStr">
        <is>
          <t>Easier than JEE Main</t>
        </is>
      </c>
      <c r="C5" s="11">
        <f>COUNTIF(Evaluation!$G$2:$G$29,A5)</f>
        <v/>
      </c>
      <c r="D5" s="11">
        <f>SUMIF(Evaluation!$G$2:$G$29,A5,Evaluation!$F$2:$F$29)</f>
        <v/>
      </c>
      <c r="E5" s="12">
        <f>IF(SUM($D$5:$D$10)=0,0,D5/SUM($D$5:$D$10))</f>
        <v/>
      </c>
    </row>
    <row r="6">
      <c r="A6" s="13" t="n">
        <v>1</v>
      </c>
      <c r="B6" s="13" t="inlineStr">
        <is>
          <t>JEE Main level</t>
        </is>
      </c>
      <c r="C6" s="13">
        <f>COUNTIF(Evaluation!$G$2:$G$29,A6)</f>
        <v/>
      </c>
      <c r="D6" s="13">
        <f>SUMIF(Evaluation!$G$2:$G$29,A6,Evaluation!$F$2:$F$29)</f>
        <v/>
      </c>
      <c r="E6" s="14">
        <f>IF(SUM($D$5:$D$10)=0,0,D6/SUM($D$5:$D$10))</f>
        <v/>
      </c>
    </row>
    <row r="7">
      <c r="A7" s="15" t="n">
        <v>2</v>
      </c>
      <c r="B7" s="15" t="inlineStr">
        <is>
          <t>Easier than Advanced</t>
        </is>
      </c>
      <c r="C7" s="15">
        <f>COUNTIF(Evaluation!$G$2:$G$29,A7)</f>
        <v/>
      </c>
      <c r="D7" s="15">
        <f>SUMIF(Evaluation!$G$2:$G$29,A7,Evaluation!$F$2:$F$29)</f>
        <v/>
      </c>
      <c r="E7" s="16">
        <f>IF(SUM($D$5:$D$10)=0,0,D7/SUM($D$5:$D$10))</f>
        <v/>
      </c>
    </row>
    <row r="8">
      <c r="A8" s="17" t="n">
        <v>3</v>
      </c>
      <c r="B8" s="17" t="inlineStr">
        <is>
          <t>Average Advanced</t>
        </is>
      </c>
      <c r="C8" s="17">
        <f>COUNTIF(Evaluation!$G$2:$G$29,A8)</f>
        <v/>
      </c>
      <c r="D8" s="17">
        <f>SUMIF(Evaluation!$G$2:$G$29,A8,Evaluation!$F$2:$F$29)</f>
        <v/>
      </c>
      <c r="E8" s="18">
        <f>IF(SUM($D$5:$D$10)=0,0,D8/SUM($D$5:$D$10))</f>
        <v/>
      </c>
    </row>
    <row r="9">
      <c r="A9" s="19" t="n">
        <v>4</v>
      </c>
      <c r="B9" s="19" t="inlineStr">
        <is>
          <t>Slightly difficult</t>
        </is>
      </c>
      <c r="C9" s="19">
        <f>COUNTIF(Evaluation!$G$2:$G$29,A9)</f>
        <v/>
      </c>
      <c r="D9" s="19">
        <f>SUMIF(Evaluation!$G$2:$G$29,A9,Evaluation!$F$2:$F$29)</f>
        <v/>
      </c>
      <c r="E9" s="20">
        <f>IF(SUM($D$5:$D$10)=0,0,D9/SUM($D$5:$D$10))</f>
        <v/>
      </c>
    </row>
    <row r="10">
      <c r="A10" s="21" t="n">
        <v>5</v>
      </c>
      <c r="B10" s="21" t="inlineStr">
        <is>
          <t>Very difficult</t>
        </is>
      </c>
      <c r="C10" s="21">
        <f>COUNTIF(Evaluation!$G$2:$G$29,A10)</f>
        <v/>
      </c>
      <c r="D10" s="21">
        <f>SUMIF(Evaluation!$G$2:$G$29,A10,Evaluation!$F$2:$F$29)</f>
        <v/>
      </c>
      <c r="E10" s="22">
        <f>IF(SUM($D$5:$D$10)=0,0,D10/SUM($D$5:$D$10))</f>
        <v/>
      </c>
    </row>
    <row r="11">
      <c r="A11" s="23" t="inlineStr">
        <is>
          <t>Total</t>
        </is>
      </c>
      <c r="C11" s="23">
        <f>SUM(C5:C10)</f>
        <v/>
      </c>
      <c r="D11" s="23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3" t="inlineStr">
        <is>
          <t>Overall</t>
        </is>
      </c>
      <c r="B14" s="24">
        <f>SUM(Evaluation!$L$2:$L$29)/SUM(Evaluation!$F$2:$F$29)</f>
        <v/>
      </c>
      <c r="C14" s="24">
        <f>SUMPRODUCT(Evaluation!$F$2:$F$29,Evaluation!$G$2:$G$29)/SUM(Evaluation!$F$2:$F$29)</f>
        <v/>
      </c>
      <c r="D14" s="23">
        <f>SUM(Evaluation!$F$2:$F$29)</f>
        <v/>
      </c>
      <c r="E14" s="24">
        <f>AVERAGE(Evaluation!$G$2:$G$29)</f>
        <v/>
      </c>
    </row>
    <row r="16">
      <c r="A16" s="9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10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5" t="n">
        <v>2021</v>
      </c>
      <c r="B4" s="26" t="n">
        <v>2.758333333333333</v>
      </c>
      <c r="C4" s="26" t="n">
        <v>2.894736842105263</v>
      </c>
      <c r="D4" s="25" t="n">
        <v>16</v>
      </c>
      <c r="E4" s="25" t="n">
        <v>34</v>
      </c>
      <c r="F4" s="25" t="n">
        <v>1</v>
      </c>
    </row>
    <row r="5">
      <c r="A5" s="25" t="n">
        <v>2023</v>
      </c>
      <c r="B5" s="26" t="n">
        <v>3.191666666666667</v>
      </c>
      <c r="C5" s="26" t="n">
        <v>3.147058823529412</v>
      </c>
      <c r="D5" s="25" t="n">
        <v>13</v>
      </c>
      <c r="E5" s="25" t="n">
        <v>47</v>
      </c>
      <c r="F5" s="25" t="n">
        <v>5</v>
      </c>
    </row>
    <row r="6">
      <c r="A6" s="25" t="n">
        <v>2024</v>
      </c>
      <c r="B6" s="26" t="n">
        <v>2.591666666666667</v>
      </c>
      <c r="C6" s="26" t="n">
        <v>2.558823529411764</v>
      </c>
      <c r="D6" s="25" t="n">
        <v>28</v>
      </c>
      <c r="E6" s="25" t="n">
        <v>40</v>
      </c>
      <c r="F6" s="25" t="n">
        <v>1</v>
      </c>
    </row>
    <row r="7">
      <c r="A7" s="25" t="n">
        <v>2025</v>
      </c>
      <c r="B7" s="26" t="n">
        <v>3.208333333333333</v>
      </c>
      <c r="C7" s="26" t="n">
        <v>3.1875</v>
      </c>
      <c r="D7" s="25" t="n">
        <v>8</v>
      </c>
      <c r="E7" s="25" t="n">
        <v>65</v>
      </c>
      <c r="F7" s="25" t="n">
        <v>1</v>
      </c>
    </row>
    <row r="8">
      <c r="A8" s="25" t="n">
        <v>2026</v>
      </c>
      <c r="B8" s="26" t="n">
        <v>3.025</v>
      </c>
      <c r="C8" s="26" t="n">
        <v>2.941176470588236</v>
      </c>
      <c r="D8" s="25" t="n">
        <v>6</v>
      </c>
      <c r="E8" s="25" t="n">
        <v>38</v>
      </c>
      <c r="F8" s="25" t="n">
        <v>2</v>
      </c>
    </row>
    <row r="9">
      <c r="A9" s="23" t="inlineStr">
        <is>
          <t>This paper</t>
        </is>
      </c>
      <c r="B9" s="24">
        <f>Summary!B14</f>
        <v/>
      </c>
      <c r="C9" s="24">
        <f>Summary!E14</f>
        <v/>
      </c>
      <c r="D9" s="23">
        <f>Summary!D5+Summary!D6</f>
        <v/>
      </c>
      <c r="E9" s="23">
        <f>Summary!D9+Summary!D10</f>
        <v/>
      </c>
      <c r="F9" s="23">
        <f>Summary!C10</f>
        <v/>
      </c>
    </row>
    <row r="11">
      <c r="A11" s="9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2026-10-15T15:07:26Z</dcterms:created>
  <dcterms:modified xmlns:dcterms="http://purl.org/dc/terms/" xmlns:xsi="http://www.w3.org/2001/XMLSchema-instance" xsi:type="dcterms:W3CDTF">2026-10-15T15:07:26Z</dcterms:modified>
</cp:coreProperties>
</file>