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Differential Equation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Recognise the linear form with integrating factor e^{-1/x}.</t>
        </is>
      </c>
      <c r="N2" s="3" t="inlineStr">
        <is>
          <t>Standard linear equation; the only work is the t=-1/x integral and applying the condition. Routine chain of three standard steps, no insight, like 2026-P2-Q3.</t>
        </is>
      </c>
      <c r="O2" s="3" t="inlineStr">
        <is>
          <t>2026-P2-Q3 (L2)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Differential Equation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Put y^2=t (or y=vx); one substitution makes it linear/separable.</t>
        </is>
      </c>
      <c r="N3" s="3" t="inlineStr">
        <is>
          <t>Two valid routes, each a standard substitution followed by a short integration; clean chain, no insight. Comparable to 2026-P2-Q3 (separable DE).</t>
        </is>
      </c>
      <c r="O3" s="3" t="inlineStr">
        <is>
          <t>2026-P2-Q3 (L2)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Differential Equation</t>
        </is>
      </c>
      <c r="F4" s="2" t="n">
        <v>4</v>
      </c>
      <c r="G4" s="6" t="n">
        <v>3</v>
      </c>
      <c r="H4" s="6" t="inlineStr">
        <is>
          <t>Average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Recognise Bernoulli (y^3 term) and use t=1/y^2.</t>
        </is>
      </c>
      <c r="N4" s="3" t="inlineStr">
        <is>
          <t>Bernoulli with n=3 followed by integration by parts with logarithm, then constant. Chain of 4 stages, the Bernoulli form is the only idea; all routine. Slightly above 2026-P2-Q3 (L2) because of the by-parts and the option algebra.</t>
        </is>
      </c>
      <c r="O4" s="3" t="inlineStr">
        <is>
          <t>2026-P2-Q3 (L2); 2023-P2-Q9 (L2)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Differential Equation</t>
        </is>
      </c>
      <c r="F5" s="2" t="n">
        <v>4</v>
      </c>
      <c r="G5" s="7" t="n">
        <v>1</v>
      </c>
      <c r="H5" s="7" t="inlineStr">
        <is>
          <t>JEE Main level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Observe every term of the solution decays (alpha, beta &gt; 0).</t>
        </is>
      </c>
      <c r="N5" s="3" t="inlineStr">
        <is>
          <t>One integrating-factor solve and a limit of decaying exponentials; a single familiar move. Placed at 1 as the answer needs no computation beyond the standard formula.</t>
        </is>
      </c>
      <c r="O5" s="3" t="inlineStr">
        <is>
          <t>2026-P2-Q4 (L1)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Differential Equation</t>
        </is>
      </c>
      <c r="F6" s="2" t="n">
        <v>4</v>
      </c>
      <c r="G6" s="7" t="n">
        <v>1</v>
      </c>
      <c r="H6" s="7" t="inlineStr">
        <is>
          <t>JEE Main level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Separate variables and read the limit off the exponent.</t>
        </is>
      </c>
      <c r="N6" s="3" t="inlineStr">
        <is>
          <t>Immediate separation and a one-line limit; single familiar move. Like 2026-P2-Q4 (L1).</t>
        </is>
      </c>
      <c r="O6" s="3" t="inlineStr">
        <is>
          <t>2026-P2-Q4 (L1)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Differential Equation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Integrating factor ln x, then integrate x ln x by parts.</t>
        </is>
      </c>
      <c r="N7" s="3" t="inlineStr">
        <is>
          <t>Linear DE with a slightly non-obvious integrating factor and an integration by parts; routine chain of 4 steps. Same as 2023-P2-Q9 (L2).</t>
        </is>
      </c>
      <c r="O7" s="3" t="inlineStr">
        <is>
          <t>2023-P2-Q9 (L2)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Differential Equation</t>
        </is>
      </c>
      <c r="F8" s="2" t="n">
        <v>4</v>
      </c>
      <c r="G8" s="6" t="n">
        <v>3</v>
      </c>
      <c r="H8" s="6" t="inlineStr">
        <is>
          <t>Average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t = tan^{-1}x^3 turns the integrating factor integral into ∫ t sin t dt and the exponentials cancel.</t>
        </is>
      </c>
      <c r="N8" s="3" t="inlineStr">
        <is>
          <t>Heavy-looking linear equation where the unusual substitution t=tan^{-1}x^3 is the idea and the cancellation of exponentials must be spotted; idea availability is lower than for a routine linear equation. One level above 2026-P2-Q3 (L2).</t>
        </is>
      </c>
      <c r="O8" s="3" t="inlineStr">
        <is>
          <t>2026-P2-Q3 (L2); 2021-P1-Q15 (L3)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Differential Equation</t>
        </is>
      </c>
      <c r="F9" s="2" t="n">
        <v>4</v>
      </c>
      <c r="G9" s="6" t="n">
        <v>3</v>
      </c>
      <c r="H9" s="6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y = vx and splitting (v^2+3)/(v+1)^3 by writing the numerator in powers of (v+1).</t>
        </is>
      </c>
      <c r="N9" s="3" t="inlineStr">
        <is>
          <t>Homogeneous substitution gives a repeated-factor partial fraction and a back-substitution simplification where one slip changes the option; chain of 4-5 standard stages. Careful but standard, so rated 3 rather than 2.</t>
        </is>
      </c>
      <c r="O9" s="3" t="inlineStr">
        <is>
          <t>2026-P2-Q3 (L2); 2021-P1-Q15 (L3)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Differential Equation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Differentiate to a linear DE; recover f(3)=2 from the original equation.</t>
        </is>
      </c>
      <c r="N10" s="3" t="inlineStr">
        <is>
          <t>Integral equation converted to a linear DE, one substitution and the condition from x=3; three routine stages, no insight beyond standard technique.</t>
        </is>
      </c>
      <c r="O10" s="3" t="inlineStr">
        <is>
          <t>2023-P2-Q9 (L2)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Differential Equation</t>
        </is>
      </c>
      <c r="F11" s="2" t="n">
        <v>4</v>
      </c>
      <c r="G11" s="6" t="n">
        <v>3</v>
      </c>
      <c r="H11" s="6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y = tx gives ∫(1-t²)/(3t-t³) as a logarithm; ask only for 3x²y-y³.</t>
        </is>
      </c>
      <c r="N11" s="3" t="inlineStr">
        <is>
          <t>Homogeneous substitution with a logarithmic integral and an implicit relation evaluated at x=2 without solving for y; same demand as Q8 in this paper, less partial fractions. Chain of 4-5 standard stages.</t>
        </is>
      </c>
      <c r="O11" s="3" t="inlineStr">
        <is>
          <t>2026-P2-Q3 (L2)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Differential Equation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Integrating factor sec x, then by parts on x sec² x.</t>
        </is>
      </c>
      <c r="N12" s="3" t="inlineStr">
        <is>
          <t>Single linear equation with a by-parts integral and an option-matching simplification; three standard steps, no insight.</t>
        </is>
      </c>
      <c r="O12" s="3" t="inlineStr">
        <is>
          <t>2023-P2-Q9 (L2)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Differential Equation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y² = t makes it linear (or s = xy² makes it separable).</t>
        </is>
      </c>
      <c r="N13" s="3" t="inlineStr">
        <is>
          <t>One substitution, a linear equation with a simple integrating factor and matching the form; short routine chain, no insight.</t>
        </is>
      </c>
      <c r="O13" s="3" t="inlineStr">
        <is>
          <t>2026-P2-Q3 (L2)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Differential Equation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Treat ∫₀²f as a constant k; determine k from k = ∫₀²f.</t>
        </is>
      </c>
      <c r="N14" s="3" t="inlineStr">
        <is>
          <t>Constant-integral trick, a linear equation and a self-consistency equation for k; four routine stages in numerical format, no options.</t>
        </is>
      </c>
      <c r="O14" s="3" t="inlineStr">
        <is>
          <t>2023-P2-Q9 (L2)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Differential Equation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Recognise (1+ln x)dx = d(x ln x) and put t = x ln x.</t>
        </is>
      </c>
      <c r="N15" s="3" t="inlineStr">
        <is>
          <t>One well-chosen substitution making the equation linear in t, then a resonant integral and a condition; asked quantity needs only α ln α. Chain of 3 routine steps.</t>
        </is>
      </c>
      <c r="O15" s="3" t="inlineStr">
        <is>
          <t>2026-P2-Q3 (L2)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Differential Equation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Homogeneous (y=vx) or t=y² - both reduce it to a one-line integral.</t>
        </is>
      </c>
      <c r="N16" s="3" t="inlineStr">
        <is>
          <t>Standard homogeneous equation; three short stages; the chain is routine.</t>
        </is>
      </c>
      <c r="O16" s="3" t="inlineStr">
        <is>
          <t>2026-P2-Q3 (L2)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Differential Equation</t>
        </is>
      </c>
      <c r="F17" s="2" t="n">
        <v>4</v>
      </c>
      <c r="G17" s="6" t="n">
        <v>3</v>
      </c>
      <c r="H17" s="6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y dx + x dy = d(xy); separate in u = xy and fix the modulus sign by the region u &gt; 1.</t>
        </is>
      </c>
      <c r="N17" s="3" t="inlineStr">
        <is>
          <t>Exact-differential recognition, partial fractions, modulus/sign handling and a final algebraic solve with four close options; a careful chain where the sign case can silently flip the option. Slightly above 2023-P2-Q9 (L2).</t>
        </is>
      </c>
      <c r="O17" s="3" t="inlineStr">
        <is>
          <t>2023-P2-Q9 (L2); 2026-P1-Q7 (L3)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Differential Equation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Partial fractions for the integrating factor x⁵/(1+x⁵); the right side then collapses to x³ + x⁻².</t>
        </is>
      </c>
      <c r="N18" s="3" t="inlineStr">
        <is>
          <t>Linear equation whose integrating factor needs a partial-fraction/substitution step; then cancellation and exact arithmetic with close options. Four routine stages.</t>
        </is>
      </c>
      <c r="O18" s="3" t="inlineStr">
        <is>
          <t>2023-P2-Q9 (L2)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Differential Equation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Bernoulli with y² on the right: t = 1/y; integrating factor √(1+x²).</t>
        </is>
      </c>
      <c r="N19" s="3" t="inlineStr">
        <is>
          <t>Bernoulli recognition then a standard integrating factor and ∫dx/√(1+x²); routine chain.</t>
        </is>
      </c>
      <c r="O19" s="3" t="inlineStr">
        <is>
          <t>2026-P2-Q3 (L2)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Differential Equation</t>
        </is>
      </c>
      <c r="F20" s="2" t="n">
        <v>4</v>
      </c>
      <c r="G20" s="7" t="n">
        <v>1</v>
      </c>
      <c r="H20" s="7" t="inlineStr">
        <is>
          <t>JEE Main level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Two solutions of the same first-order ODE never meet; their difference is Ce^x ≠ 0.</t>
        </is>
      </c>
      <c r="N20" s="3" t="inlineStr">
        <is>
          <t>Immediate once the solution is written; single familiar fact (solutions of a first-order ODE do not cross).</t>
        </is>
      </c>
      <c r="O20" s="3" t="inlineStr">
        <is>
          <t>2026-P2-Q4 (L1)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Differential Equation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t = ln(y+2) makes the equation linear in x with integrating factor √t.</t>
        </is>
      </c>
      <c r="N21" s="3" t="inlineStr">
        <is>
          <t>Dependent-variable switch, a substitution and a linear equation with half-integer powers, then two evaluations; routine multi-step chain.</t>
        </is>
      </c>
      <c r="O21" s="3" t="inlineStr">
        <is>
          <t>2026-P2-Q3 (L2)</t>
        </is>
      </c>
      <c r="P21" s="2" t="inlineStr">
        <is>
          <t>High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Numerical</t>
        </is>
      </c>
      <c r="E22" s="3" t="inlineStr">
        <is>
          <t>Differential Equation</t>
        </is>
      </c>
      <c r="F22" s="2" t="n">
        <v>4</v>
      </c>
      <c r="G22" s="6" t="n">
        <v>3</v>
      </c>
      <c r="H22" s="6" t="inlineStr">
        <is>
          <t>Average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Integrating factor x sec x; the asked expression is (xy)'' = -xy.</t>
        </is>
      </c>
      <c r="N22" s="3" t="inlineStr">
        <is>
          <t>Linear DE with an unfamiliar integrating factor, then recognition that xy''+2y' is (xy)'' and a closed-form evaluation; numerical answer with no option check.</t>
        </is>
      </c>
      <c r="O22" s="3" t="inlineStr">
        <is>
          <t>2023-P2-Q9 (L2); 2026-P2-Q3 (L2)</t>
        </is>
      </c>
      <c r="P22" s="2" t="inlineStr">
        <is>
          <t>Medium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Numerical</t>
        </is>
      </c>
      <c r="E23" s="3" t="inlineStr">
        <is>
          <t>Differential Equation</t>
        </is>
      </c>
      <c r="F23" s="2" t="n">
        <v>4</v>
      </c>
      <c r="G23" s="6" t="n">
        <v>3</v>
      </c>
      <c r="H23" s="6" t="inlineStr">
        <is>
          <t>Average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y-intercept of the tangent is f - xf'; this equals d(f/x)·(-x²).</t>
        </is>
      </c>
      <c r="N23" s="3" t="inlineStr">
        <is>
          <t>Geometry of the tangent gives a first-order equation that is an exact derivative of f/x; then two point conditions and a distance; numerical format, three conceptual stages.</t>
        </is>
      </c>
      <c r="O23" s="3" t="inlineStr">
        <is>
          <t>2023-P2-Q9 (L2); 2021-P1-Q18 (L2)</t>
        </is>
      </c>
      <c r="P23" s="2" t="inlineStr">
        <is>
          <t>Medium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Numerical</t>
        </is>
      </c>
      <c r="E24" s="3" t="inlineStr">
        <is>
          <t>Differential Equation</t>
        </is>
      </c>
      <c r="F24" s="2" t="n">
        <v>4</v>
      </c>
      <c r="G24" s="4" t="n">
        <v>2</v>
      </c>
      <c r="H24" s="4" t="inlineStr">
        <is>
          <t>Easier than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Rewrite as linear in y; integrating factor √(ln x).</t>
        </is>
      </c>
      <c r="N24" s="3" t="inlineStr">
        <is>
          <t>Linear equation with an unusual but routine integrating factor and a logarithmic power integral; short chain.</t>
        </is>
      </c>
      <c r="O24" s="3" t="inlineStr">
        <is>
          <t>2023-P2-Q9 (L2)</t>
        </is>
      </c>
      <c r="P24" s="2" t="inlineStr">
        <is>
          <t>High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Numerical</t>
        </is>
      </c>
      <c r="E25" s="3" t="inlineStr">
        <is>
          <t>Differential Equation</t>
        </is>
      </c>
      <c r="F25" s="2" t="n">
        <v>4</v>
      </c>
      <c r="G25" s="6" t="n">
        <v>3</v>
      </c>
      <c r="H25" s="6" t="inlineStr">
        <is>
          <t>Average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L = ln cos y, dL = -tan y dy; the linear equation in x has integrating factor L³ and the constant turns out zero.</t>
        </is>
      </c>
      <c r="N25" s="3" t="inlineStr">
        <is>
          <t>Needs the right change of variable, three-stage linear solve with logarithms of cosines and exact matching of the final form (m,n); numerical, no options, precision risk in signs.</t>
        </is>
      </c>
      <c r="O25" s="3" t="inlineStr">
        <is>
          <t>2026-P2-Q3 (L2); 2026-P2-Q14 (L4)</t>
        </is>
      </c>
      <c r="P25" s="2" t="inlineStr">
        <is>
          <t>Medium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Numerical</t>
        </is>
      </c>
      <c r="E26" s="3" t="inlineStr">
        <is>
          <t>Differential Equation</t>
        </is>
      </c>
      <c r="F26" s="2" t="n">
        <v>4</v>
      </c>
      <c r="G26" s="6" t="n">
        <v>3</v>
      </c>
      <c r="H26" s="6" t="inlineStr">
        <is>
          <t>Average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Section formula plus intercepts give x y' = -k y; then k = 2 from the two points.</t>
        </is>
      </c>
      <c r="N26" s="3" t="inlineStr">
        <is>
          <t>Geometry to differential equation, solving for k, then a log integral; key says Bonus because the asked expression is not an integer. Four stages with exact algebra, numerical format.</t>
        </is>
      </c>
      <c r="O26" s="3" t="inlineStr">
        <is>
          <t>2023-P2-Q9 (L2); 2026-P2-Q3 (L2)</t>
        </is>
      </c>
      <c r="P26" s="2" t="inlineStr">
        <is>
          <t>Medium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Numerical</t>
        </is>
      </c>
      <c r="E27" s="3" t="inlineStr">
        <is>
          <t>Differential Equation</t>
        </is>
      </c>
      <c r="F27" s="2" t="n">
        <v>4</v>
      </c>
      <c r="G27" s="6" t="n">
        <v>3</v>
      </c>
      <c r="H27" s="6" t="inlineStr">
        <is>
          <t>Average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Integrating factor (x²-1)²; match 2ln(√2+1)+1-√3 to the given form.</t>
        </is>
      </c>
      <c r="N27" s="3" t="inlineStr">
        <is>
          <t>Linear equation with a pair of standard integrals and a final pattern match to natural numbers; chain of 4 routine steps in numerical format.</t>
        </is>
      </c>
      <c r="O27" s="3" t="inlineStr">
        <is>
          <t>2026-P2-Q3 (L2); 2023-P2-Q9 (L2)</t>
        </is>
      </c>
      <c r="P27" s="2" t="inlineStr">
        <is>
          <t>Medium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SCQ</t>
        </is>
      </c>
      <c r="E28" s="3" t="inlineStr">
        <is>
          <t>Differential Equation</t>
        </is>
      </c>
      <c r="F28" s="2" t="n">
        <v>4</v>
      </c>
      <c r="G28" s="4" t="n">
        <v>2</v>
      </c>
      <c r="H28" s="4" t="inlineStr">
        <is>
          <t>Easier than Advanced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The condition fixes e^{a-b}=4/3; then x=y means (4/3)^t = 2.</t>
        </is>
      </c>
      <c r="N28" s="3" t="inlineStr">
        <is>
          <t>Two exponentials, one condition and a logarithm base conversion to match the form; simple chain, no insight.</t>
        </is>
      </c>
      <c r="O28" s="3" t="inlineStr">
        <is>
          <t>2026-P2-Q3 (L2)</t>
        </is>
      </c>
      <c r="P28" s="2" t="inlineStr">
        <is>
          <t>High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SCQ</t>
        </is>
      </c>
      <c r="E29" s="3" t="inlineStr">
        <is>
          <t>Differential Equation</t>
        </is>
      </c>
      <c r="F29" s="2" t="n">
        <v>4</v>
      </c>
      <c r="G29" s="4" t="n">
        <v>2</v>
      </c>
      <c r="H29" s="4" t="inlineStr">
        <is>
          <t>Easier than Advanced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Partial fractions on both sides; 'slope never zero' fixes the sign inside the modulus.</t>
        </is>
      </c>
      <c r="N29" s="3" t="inlineStr">
        <is>
          <t>Separable equation with two partial-fraction integrals, a modulus-sign decision and algebra to an option; routine but several places to slip.</t>
        </is>
      </c>
      <c r="O29" s="3" t="inlineStr">
        <is>
          <t>2026-P2-Q3 (L2)</t>
        </is>
      </c>
      <c r="P29" s="2" t="inlineStr">
        <is>
          <t>High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SCQ</t>
        </is>
      </c>
      <c r="E30" s="3" t="inlineStr">
        <is>
          <t>Differential Equation</t>
        </is>
      </c>
      <c r="F30" s="2" t="n">
        <v>4</v>
      </c>
      <c r="G30" s="4" t="n">
        <v>2</v>
      </c>
      <c r="H30" s="4" t="inlineStr">
        <is>
          <t>Easier than Advanced</t>
        </is>
      </c>
      <c r="I30" s="5" t="n">
        <v>0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d(1+cos²x) = -sin 2x dx, so the integrating factor is 1 + cos²x.</t>
        </is>
      </c>
      <c r="N30" s="3" t="inlineStr">
        <is>
          <t>Linear equation with a logarithmic-derivative coefficient; integrating factor is immediate and the rest is a one-line integral. Two-three routine steps.</t>
        </is>
      </c>
      <c r="O30" s="3" t="inlineStr">
        <is>
          <t>2023-P2-Q9 (L2)</t>
        </is>
      </c>
      <c r="P30" s="2" t="inlineStr">
        <is>
          <t>High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SCQ</t>
        </is>
      </c>
      <c r="E31" s="3" t="inlineStr">
        <is>
          <t>Differential Equation</t>
        </is>
      </c>
      <c r="F31" s="2" t="n">
        <v>4</v>
      </c>
      <c r="G31" s="7" t="n">
        <v>1</v>
      </c>
      <c r="H31" s="7" t="inlineStr">
        <is>
          <t>JEE Main level</t>
        </is>
      </c>
      <c r="I31" s="5" t="n">
        <v>0</v>
      </c>
      <c r="J31" s="5" t="n">
        <v>0</v>
      </c>
      <c r="K31" s="5">
        <f>MIN(5,MAX(G31+I31,J31))</f>
        <v/>
      </c>
      <c r="L31" s="5">
        <f>F31*K31</f>
        <v/>
      </c>
      <c r="M31" s="3" t="inlineStr">
        <is>
          <t>xy' - y = x² d(y/x): put y/x = t, and cos t dt = dx/x.</t>
        </is>
      </c>
      <c r="N31" s="3" t="inlineStr">
        <is>
          <t>One recognisable substitution and a one-line integral, then plugging the condition; single familiar move.</t>
        </is>
      </c>
      <c r="O31" s="3" t="inlineStr">
        <is>
          <t>2026-P2-Q4 (L1)</t>
        </is>
      </c>
      <c r="P31" s="2" t="inlineStr">
        <is>
          <t>High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SCQ</t>
        </is>
      </c>
      <c r="E32" s="3" t="inlineStr">
        <is>
          <t>Differential Equation</t>
        </is>
      </c>
      <c r="F32" s="2" t="n">
        <v>4</v>
      </c>
      <c r="G32" s="4" t="n">
        <v>2</v>
      </c>
      <c r="H32" s="4" t="inlineStr">
        <is>
          <t>Easier than Advanced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The integrand is the exact derivative of (x²-2x) sin x, so y(2)=y(0).</t>
        </is>
      </c>
      <c r="N32" s="3" t="inlineStr">
        <is>
          <t>Two integrations by parts (or the exact-derivative recognition) and evaluation at x=2 where everything vanishes; a few routine steps.</t>
        </is>
      </c>
      <c r="O32" s="3" t="inlineStr">
        <is>
          <t>2023-P2-Q9 (L2)</t>
        </is>
      </c>
      <c r="P32" s="2" t="inlineStr">
        <is>
          <t>High</t>
        </is>
      </c>
    </row>
    <row r="33">
      <c r="A33" s="2" t="n">
        <v>32</v>
      </c>
      <c r="B33" s="2" t="inlineStr"/>
      <c r="C33" s="2" t="inlineStr">
        <is>
          <t>Q32</t>
        </is>
      </c>
      <c r="D33" s="2" t="inlineStr">
        <is>
          <t>SCQ</t>
        </is>
      </c>
      <c r="E33" s="3" t="inlineStr">
        <is>
          <t>Differential Equation</t>
        </is>
      </c>
      <c r="F33" s="2" t="n">
        <v>4</v>
      </c>
      <c r="G33" s="4" t="n">
        <v>2</v>
      </c>
      <c r="H33" s="4" t="inlineStr">
        <is>
          <t>Easier than Advanced</t>
        </is>
      </c>
      <c r="I33" s="5" t="n">
        <v>0</v>
      </c>
      <c r="J33" s="5" t="n">
        <v>0</v>
      </c>
      <c r="K33" s="5">
        <f>MIN(5,MAX(G33+I33,J33))</f>
        <v/>
      </c>
      <c r="L33" s="5">
        <f>F33*K33</f>
        <v/>
      </c>
      <c r="M33" s="3" t="inlineStr">
        <is>
          <t>sec x - sin x tan x = cos x; then the equation is linear with homogeneous solution tan x.</t>
        </is>
      </c>
      <c r="N33" s="3" t="inlineStr">
        <is>
          <t>Trigonometric simplification then a linear equation whose integrating factor needs ∫csc; moderate chain, routine.</t>
        </is>
      </c>
      <c r="O33" s="3" t="inlineStr">
        <is>
          <t>2023-P2-Q9 (L2)</t>
        </is>
      </c>
      <c r="P33" s="2" t="inlineStr">
        <is>
          <t>High</t>
        </is>
      </c>
    </row>
    <row r="34">
      <c r="A34" s="2" t="n">
        <v>33</v>
      </c>
      <c r="B34" s="2" t="inlineStr"/>
      <c r="C34" s="2" t="inlineStr">
        <is>
          <t>Q33</t>
        </is>
      </c>
      <c r="D34" s="2" t="inlineStr">
        <is>
          <t>SCQ</t>
        </is>
      </c>
      <c r="E34" s="3" t="inlineStr">
        <is>
          <t>Differential Equation</t>
        </is>
      </c>
      <c r="F34" s="2" t="n">
        <v>4</v>
      </c>
      <c r="G34" s="4" t="n">
        <v>2</v>
      </c>
      <c r="H34" s="4" t="inlineStr">
        <is>
          <t>Easier than Advanced</t>
        </is>
      </c>
      <c r="I34" s="5" t="n">
        <v>0</v>
      </c>
      <c r="J34" s="5" t="n">
        <v>0</v>
      </c>
      <c r="K34" s="5">
        <f>MIN(5,MAX(G34+I34,J34))</f>
        <v/>
      </c>
      <c r="L34" s="5">
        <f>F34*K34</f>
        <v/>
      </c>
      <c r="M34" s="3" t="inlineStr">
        <is>
          <t>x = vy and ∫dv/(v ln v) = ln ln v.</t>
        </is>
      </c>
      <c r="N34" s="3" t="inlineStr">
        <is>
          <t>Homogeneous equation in the x-as-function form with a ln ln integral and a modulus match with the options; short chain, routine.</t>
        </is>
      </c>
      <c r="O34" s="3" t="inlineStr">
        <is>
          <t>2026-P2-Q3 (L2)</t>
        </is>
      </c>
      <c r="P34" s="2" t="inlineStr">
        <is>
          <t>High</t>
        </is>
      </c>
    </row>
    <row r="35">
      <c r="A35" s="2" t="n">
        <v>34</v>
      </c>
      <c r="B35" s="2" t="inlineStr"/>
      <c r="C35" s="2" t="inlineStr">
        <is>
          <t>Q34</t>
        </is>
      </c>
      <c r="D35" s="2" t="inlineStr">
        <is>
          <t>SCQ</t>
        </is>
      </c>
      <c r="E35" s="3" t="inlineStr">
        <is>
          <t>Differential Equation</t>
        </is>
      </c>
      <c r="F35" s="2" t="n">
        <v>4</v>
      </c>
      <c r="G35" s="7" t="n">
        <v>1</v>
      </c>
      <c r="H35" s="7" t="inlineStr">
        <is>
          <t>JEE Main level</t>
        </is>
      </c>
      <c r="I35" s="5" t="n">
        <v>0</v>
      </c>
      <c r="J35" s="5" t="n">
        <v>0</v>
      </c>
      <c r="K35" s="5">
        <f>MIN(5,MAX(G35+I35,J35))</f>
        <v/>
      </c>
      <c r="L35" s="5">
        <f>F35*K35</f>
        <v/>
      </c>
      <c r="M35" s="3" t="inlineStr">
        <is>
          <t>Excess over the surrounding temperature halves every 15 time units.</t>
        </is>
      </c>
      <c r="N35" s="3" t="inlineStr">
        <is>
          <t>Standard Newton-cooling separable equation; one familiar move.</t>
        </is>
      </c>
      <c r="O35" s="3" t="inlineStr">
        <is>
          <t>2026-P2-Q4 (L1)</t>
        </is>
      </c>
      <c r="P35" s="2" t="inlineStr">
        <is>
          <t>High</t>
        </is>
      </c>
    </row>
    <row r="36">
      <c r="A36" s="2" t="n">
        <v>35</v>
      </c>
      <c r="B36" s="2" t="inlineStr"/>
      <c r="C36" s="2" t="inlineStr">
        <is>
          <t>Q35</t>
        </is>
      </c>
      <c r="D36" s="2" t="inlineStr">
        <is>
          <t>SCQ</t>
        </is>
      </c>
      <c r="E36" s="3" t="inlineStr">
        <is>
          <t>Differential Equation</t>
        </is>
      </c>
      <c r="F36" s="2" t="n">
        <v>4</v>
      </c>
      <c r="G36" s="6" t="n">
        <v>3</v>
      </c>
      <c r="H36" s="6" t="inlineStr">
        <is>
          <t>Average Advanced</t>
        </is>
      </c>
      <c r="I36" s="5" t="n">
        <v>0</v>
      </c>
      <c r="J36" s="5" t="n">
        <v>0</v>
      </c>
      <c r="K36" s="5">
        <f>MIN(5,MAX(G36+I36,J36))</f>
        <v/>
      </c>
      <c r="L36" s="5">
        <f>F36*K36</f>
        <v/>
      </c>
      <c r="M36" s="3" t="inlineStr">
        <is>
          <t>t = x+y gives a separable equation; then z = t² (or u = t⁻²) is needed to integrate.</t>
        </is>
      </c>
      <c r="N36" s="3" t="inlineStr">
        <is>
          <t>Substitution, a second substitution/partial fractions with a quartic denominator, constant and an exponential solve into an option; longer chain than a plain linear equation with a bit more precision risk.</t>
        </is>
      </c>
      <c r="O36" s="3" t="inlineStr">
        <is>
          <t>2026-P2-Q3 (L2); 2023-P2-Q9 (L2)</t>
        </is>
      </c>
      <c r="P36" s="2" t="inlineStr">
        <is>
          <t>Medium</t>
        </is>
      </c>
    </row>
    <row r="37">
      <c r="A37" s="2" t="n">
        <v>36</v>
      </c>
      <c r="B37" s="2" t="inlineStr"/>
      <c r="C37" s="2" t="inlineStr">
        <is>
          <t>Q36</t>
        </is>
      </c>
      <c r="D37" s="2" t="inlineStr">
        <is>
          <t>SCQ</t>
        </is>
      </c>
      <c r="E37" s="3" t="inlineStr">
        <is>
          <t>Differential Equation</t>
        </is>
      </c>
      <c r="F37" s="2" t="n">
        <v>4</v>
      </c>
      <c r="G37" s="6" t="n">
        <v>3</v>
      </c>
      <c r="H37" s="6" t="inlineStr">
        <is>
          <t>Average Advanced</t>
        </is>
      </c>
      <c r="I37" s="5" t="n">
        <v>0</v>
      </c>
      <c r="J37" s="5" t="n">
        <v>0</v>
      </c>
      <c r="K37" s="5">
        <f>MIN(5,MAX(G37+I37,J37))</f>
        <v/>
      </c>
      <c r="L37" s="5">
        <f>F37*K37</f>
        <v/>
      </c>
      <c r="M37" s="3" t="inlineStr">
        <is>
          <t>Check consistency: f→1 at -∞ needs α&gt;0 and equilibrium -3/α=1, i.e. α=-3 - contradiction.</t>
        </is>
      </c>
      <c r="N37" s="3" t="inlineStr">
        <is>
          <t>Solving is trivial; the level comes from noticing the conditions contradict each other (no options help). Idea availability is moderate: students who stop at α=-3 mark 9.</t>
        </is>
      </c>
      <c r="O37" s="3" t="inlineStr">
        <is>
          <t>2026-P1-Q7 (L3)</t>
        </is>
      </c>
      <c r="P37" s="2" t="inlineStr">
        <is>
          <t>Medium</t>
        </is>
      </c>
    </row>
    <row r="38">
      <c r="A38" s="2" t="n">
        <v>37</v>
      </c>
      <c r="B38" s="2" t="inlineStr"/>
      <c r="C38" s="2" t="inlineStr">
        <is>
          <t>Q37</t>
        </is>
      </c>
      <c r="D38" s="2" t="inlineStr">
        <is>
          <t>Numerical</t>
        </is>
      </c>
      <c r="E38" s="3" t="inlineStr">
        <is>
          <t>Differential Equation</t>
        </is>
      </c>
      <c r="F38" s="2" t="n">
        <v>4</v>
      </c>
      <c r="G38" s="6" t="n">
        <v>3</v>
      </c>
      <c r="H38" s="6" t="inlineStr">
        <is>
          <t>Average Advanced</t>
        </is>
      </c>
      <c r="I38" s="5" t="n">
        <v>0</v>
      </c>
      <c r="J38" s="5" t="n">
        <v>0</v>
      </c>
      <c r="K38" s="5">
        <f>MIN(5,MAX(G38+I38,J38))</f>
        <v/>
      </c>
      <c r="L38" s="5">
        <f>F38*K38</f>
        <v/>
      </c>
      <c r="M38" s="3" t="inlineStr">
        <is>
          <t>t = 2x+3y; the integral splits as 2 + 9/(t-8); divide the result by 3 to match the given form.</t>
        </is>
      </c>
      <c r="N38" s="3" t="inlineStr">
        <is>
          <t>Parallel-lines substitution, polynomial division in the integrand and a final matching of a prescribed form with three unknowns, in numerical format with no option check.</t>
        </is>
      </c>
      <c r="O38" s="3" t="inlineStr">
        <is>
          <t>2026-P2-Q3 (L2); 2021-P2-Q9 (L4)</t>
        </is>
      </c>
      <c r="P38" s="2" t="inlineStr">
        <is>
          <t>Medium</t>
        </is>
      </c>
    </row>
    <row r="39">
      <c r="A39" s="2" t="n">
        <v>38</v>
      </c>
      <c r="B39" s="2" t="inlineStr"/>
      <c r="C39" s="2" t="inlineStr">
        <is>
          <t>Q38</t>
        </is>
      </c>
      <c r="D39" s="2" t="inlineStr">
        <is>
          <t>Numerical</t>
        </is>
      </c>
      <c r="E39" s="3" t="inlineStr">
        <is>
          <t>Differential Equation</t>
        </is>
      </c>
      <c r="F39" s="2" t="n">
        <v>4</v>
      </c>
      <c r="G39" s="4" t="n">
        <v>2</v>
      </c>
      <c r="H39" s="4" t="inlineStr">
        <is>
          <t>Easier than Advanced</t>
        </is>
      </c>
      <c r="I39" s="5" t="n">
        <v>0</v>
      </c>
      <c r="J39" s="5" t="n">
        <v>0</v>
      </c>
      <c r="K39" s="5">
        <f>MIN(5,MAX(G39+I39,J39))</f>
        <v/>
      </c>
      <c r="L39" s="5">
        <f>F39*K39</f>
        <v/>
      </c>
      <c r="M39" s="3" t="inlineStr">
        <is>
          <t>Shift the origin to (1,1) to get a homogeneous equation; (1-t)/(1+t²) integrates to tan⁻¹t - ½ln(1+t²).</t>
        </is>
      </c>
      <c r="N39" s="3" t="inlineStr">
        <is>
          <t>Non-parallel-lines shift, homogeneous substitution and a standard arctan/log integral, then matching constants; routine chain in numerical format.</t>
        </is>
      </c>
      <c r="O39" s="3" t="inlineStr">
        <is>
          <t>2026-P2-Q3 (L2)</t>
        </is>
      </c>
      <c r="P39" s="2" t="inlineStr">
        <is>
          <t>High</t>
        </is>
      </c>
    </row>
    <row r="40">
      <c r="A40" s="2" t="n">
        <v>39</v>
      </c>
      <c r="B40" s="2" t="inlineStr"/>
      <c r="C40" s="2" t="inlineStr">
        <is>
          <t>Q39</t>
        </is>
      </c>
      <c r="D40" s="2" t="inlineStr">
        <is>
          <t>Numerical</t>
        </is>
      </c>
      <c r="E40" s="3" t="inlineStr">
        <is>
          <t>Differential Equation</t>
        </is>
      </c>
      <c r="F40" s="2" t="n">
        <v>4</v>
      </c>
      <c r="G40" s="4" t="n">
        <v>2</v>
      </c>
      <c r="H40" s="4" t="inlineStr">
        <is>
          <t>Easier than Advanced</t>
        </is>
      </c>
      <c r="I40" s="5" t="n">
        <v>0</v>
      </c>
      <c r="J40" s="5" t="n">
        <v>0</v>
      </c>
      <c r="K40" s="5">
        <f>MIN(5,MAX(G40+I40,J40))</f>
        <v/>
      </c>
      <c r="L40" s="5">
        <f>F40*K40</f>
        <v/>
      </c>
      <c r="M40" s="3" t="inlineStr">
        <is>
          <t>Separate variables; recognise the final angle as π/4 - 3/2 and use the tangent subtraction formula.</t>
        </is>
      </c>
      <c r="N40" s="3" t="inlineStr">
        <is>
          <t>Single separable equation with one substitution integral and a tangent identity to match the form; short chain.</t>
        </is>
      </c>
      <c r="O40" s="3" t="inlineStr">
        <is>
          <t>2026-P2-Q3 (L2)</t>
        </is>
      </c>
      <c r="P40" s="2" t="inlineStr">
        <is>
          <t>High</t>
        </is>
      </c>
    </row>
    <row r="41">
      <c r="A41" s="2" t="n">
        <v>40</v>
      </c>
      <c r="B41" s="2" t="inlineStr"/>
      <c r="C41" s="2" t="inlineStr">
        <is>
          <t>Q40</t>
        </is>
      </c>
      <c r="D41" s="2" t="inlineStr">
        <is>
          <t>Numerical</t>
        </is>
      </c>
      <c r="E41" s="3" t="inlineStr">
        <is>
          <t>Differential Equation</t>
        </is>
      </c>
      <c r="F41" s="2" t="n">
        <v>4</v>
      </c>
      <c r="G41" s="6" t="n">
        <v>3</v>
      </c>
      <c r="H41" s="6" t="inlineStr">
        <is>
          <t>Average Advanced</t>
        </is>
      </c>
      <c r="I41" s="5" t="n">
        <v>0</v>
      </c>
      <c r="J41" s="5" t="n">
        <v>0</v>
      </c>
      <c r="K41" s="5">
        <f>MIN(5,MAX(G41+I41,J41))</f>
        <v/>
      </c>
      <c r="L41" s="5">
        <f>F41*K41</f>
        <v/>
      </c>
      <c r="M41" s="3" t="inlineStr">
        <is>
          <t>Evaluate the limit as x f f' - x³ e^{f/x} to get a homogeneous DE; then v e^{-v} dv = dx.</t>
        </is>
      </c>
      <c r="N41" s="3" t="inlineStr">
        <is>
          <t>Two linked ideas: reading a limit as a derivative expression, then a homogeneous equation with ∫ve^{-v}; numerical and no options. Idea less familiar than a plain DE.</t>
        </is>
      </c>
      <c r="O41" s="3" t="inlineStr">
        <is>
          <t>2026-P2-Q5 (L4); 2026-P2-Q3 (L2)</t>
        </is>
      </c>
      <c r="P41" s="2" t="inlineStr">
        <is>
          <t>Medium</t>
        </is>
      </c>
    </row>
    <row r="42">
      <c r="A42" s="2" t="n">
        <v>41</v>
      </c>
      <c r="B42" s="2" t="inlineStr"/>
      <c r="C42" s="2" t="inlineStr">
        <is>
          <t>Q41</t>
        </is>
      </c>
      <c r="D42" s="2" t="inlineStr">
        <is>
          <t>Numerical</t>
        </is>
      </c>
      <c r="E42" s="3" t="inlineStr">
        <is>
          <t>Differential Equation</t>
        </is>
      </c>
      <c r="F42" s="2" t="n">
        <v>4</v>
      </c>
      <c r="G42" s="6" t="n">
        <v>3</v>
      </c>
      <c r="H42" s="6" t="inlineStr">
        <is>
          <t>Average Advanced</t>
        </is>
      </c>
      <c r="I42" s="5" t="n">
        <v>0</v>
      </c>
      <c r="J42" s="5" t="n">
        <v>0</v>
      </c>
      <c r="K42" s="5">
        <f>MIN(5,MAX(G42+I42,J42))</f>
        <v/>
      </c>
      <c r="L42" s="5">
        <f>F42*K42</f>
        <v/>
      </c>
      <c r="M42" s="3" t="inlineStr">
        <is>
          <t>Intercepts of the tangent, then the y² terms cancel and y'≠0 is divided out.</t>
        </is>
      </c>
      <c r="N42" s="3" t="inlineStr">
        <is>
          <t>Geometry to differential equation with an algebraic expansion where the y² terms cancel, then a linear equation; numerical, precision in the setup. Four stages.</t>
        </is>
      </c>
      <c r="O42" s="3" t="inlineStr">
        <is>
          <t>2023-P2-Q9 (L2); 2021-P1-Q18 (L2)</t>
        </is>
      </c>
      <c r="P42" s="2" t="inlineStr">
        <is>
          <t>Medium</t>
        </is>
      </c>
    </row>
    <row r="43">
      <c r="A43" s="2" t="n">
        <v>42</v>
      </c>
      <c r="B43" s="2" t="inlineStr"/>
      <c r="C43" s="2" t="inlineStr">
        <is>
          <t>Q42</t>
        </is>
      </c>
      <c r="D43" s="2" t="inlineStr">
        <is>
          <t>Numerical</t>
        </is>
      </c>
      <c r="E43" s="3" t="inlineStr">
        <is>
          <t>Differential Equation</t>
        </is>
      </c>
      <c r="F43" s="2" t="n">
        <v>4</v>
      </c>
      <c r="G43" s="6" t="n">
        <v>3</v>
      </c>
      <c r="H43" s="6" t="inlineStr">
        <is>
          <t>Average Advanced</t>
        </is>
      </c>
      <c r="I43" s="5" t="n">
        <v>0</v>
      </c>
      <c r="J43" s="5" t="n">
        <v>0</v>
      </c>
      <c r="K43" s="5">
        <f>MIN(5,MAX(G43+I43,J43))</f>
        <v/>
      </c>
      <c r="L43" s="5">
        <f>F43*K43</f>
        <v/>
      </c>
      <c r="M43" s="3" t="inlineStr">
        <is>
          <t>t = tan x then u = 1/t gives a linear equation; at the initial point the combination e^{2y}tan x equals 1.</t>
        </is>
      </c>
      <c r="N43" s="3" t="inlineStr">
        <is>
          <t>Two substitutions (Bernoulli) and an exponential evaluation; numerical answer with no options, the Bernoulli form is hidden in the variable choice.</t>
        </is>
      </c>
      <c r="O43" s="3" t="inlineStr">
        <is>
          <t>2026-P2-Q3 (L2); 2023-P2-Q9 (L2)</t>
        </is>
      </c>
      <c r="P43" s="2" t="inlineStr">
        <is>
          <t>Medium</t>
        </is>
      </c>
    </row>
    <row r="44">
      <c r="A44" s="2" t="n">
        <v>43</v>
      </c>
      <c r="B44" s="2" t="inlineStr"/>
      <c r="C44" s="2" t="inlineStr">
        <is>
          <t>Q43</t>
        </is>
      </c>
      <c r="D44" s="2" t="inlineStr">
        <is>
          <t>Numerical</t>
        </is>
      </c>
      <c r="E44" s="3" t="inlineStr">
        <is>
          <t>Differential Equation</t>
        </is>
      </c>
      <c r="F44" s="2" t="n">
        <v>4</v>
      </c>
      <c r="G44" s="7" t="n">
        <v>1</v>
      </c>
      <c r="H44" s="7" t="inlineStr">
        <is>
          <t>JEE Main level</t>
        </is>
      </c>
      <c r="I44" s="5" t="n">
        <v>0</v>
      </c>
      <c r="J44" s="5" t="n">
        <v>0</v>
      </c>
      <c r="K44" s="5">
        <f>MIN(5,MAX(G44+I44,J44))</f>
        <v/>
      </c>
      <c r="L44" s="5">
        <f>F44*K44</f>
        <v/>
      </c>
      <c r="M44" s="3" t="inlineStr">
        <is>
          <t>Integrating factor (t+1)⁻²: x/(t+1)² has derivative (t+1).</t>
        </is>
      </c>
      <c r="N44" s="3" t="inlineStr">
        <is>
          <t>Single linear equation with power integrating factor; one familiar move.</t>
        </is>
      </c>
      <c r="O44" s="3" t="inlineStr">
        <is>
          <t>2026-P2-Q4 (L1)</t>
        </is>
      </c>
      <c r="P44" s="2" t="inlineStr">
        <is>
          <t>High</t>
        </is>
      </c>
    </row>
    <row r="45">
      <c r="A45" s="2" t="n">
        <v>44</v>
      </c>
      <c r="B45" s="2" t="inlineStr"/>
      <c r="C45" s="2" t="inlineStr">
        <is>
          <t>Q44</t>
        </is>
      </c>
      <c r="D45" s="2" t="inlineStr">
        <is>
          <t>Numerical</t>
        </is>
      </c>
      <c r="E45" s="3" t="inlineStr">
        <is>
          <t>Differential Equation</t>
        </is>
      </c>
      <c r="F45" s="2" t="n">
        <v>4</v>
      </c>
      <c r="G45" s="7" t="n">
        <v>1</v>
      </c>
      <c r="H45" s="7" t="inlineStr">
        <is>
          <t>JEE Main level</t>
        </is>
      </c>
      <c r="I45" s="5" t="n">
        <v>0</v>
      </c>
      <c r="J45" s="5" t="n">
        <v>0</v>
      </c>
      <c r="K45" s="5">
        <f>MIN(5,MAX(G45+I45,J45))</f>
        <v/>
      </c>
      <c r="L45" s="5">
        <f>F45*K45</f>
        <v/>
      </c>
      <c r="M45" s="3" t="inlineStr">
        <is>
          <t>Treat x as the dependent variable: integrating factor 1/y.</t>
        </is>
      </c>
      <c r="N45" s="3" t="inlineStr">
        <is>
          <t>Linear equation in x(y) with an immediate integrating factor; one familiar move.</t>
        </is>
      </c>
      <c r="O45" s="3" t="inlineStr">
        <is>
          <t>2026-P2-Q4 (L1)</t>
        </is>
      </c>
      <c r="P45" s="2" t="inlineStr">
        <is>
          <t>High</t>
        </is>
      </c>
    </row>
    <row r="46">
      <c r="A46" s="2" t="n">
        <v>45</v>
      </c>
      <c r="B46" s="2" t="inlineStr"/>
      <c r="C46" s="2" t="inlineStr">
        <is>
          <t>Q45</t>
        </is>
      </c>
      <c r="D46" s="2" t="inlineStr">
        <is>
          <t>SCQ</t>
        </is>
      </c>
      <c r="E46" s="3" t="inlineStr">
        <is>
          <t>Differential Equation</t>
        </is>
      </c>
      <c r="F46" s="2" t="n">
        <v>4</v>
      </c>
      <c r="G46" s="4" t="n">
        <v>2</v>
      </c>
      <c r="H46" s="4" t="inlineStr">
        <is>
          <t>Easier than Advanced</t>
        </is>
      </c>
      <c r="I46" s="5" t="n">
        <v>0</v>
      </c>
      <c r="J46" s="5" t="n">
        <v>0</v>
      </c>
      <c r="K46" s="5">
        <f>MIN(5,MAX(G46+I46,J46))</f>
        <v/>
      </c>
      <c r="L46" s="5">
        <f>F46*K46</f>
        <v/>
      </c>
      <c r="M46" s="3" t="inlineStr">
        <is>
          <t>Factor the quartic as (x²+1)(x²+2x+2); the numerator is the sum of the two factors.</t>
        </is>
      </c>
      <c r="N46" s="3" t="inlineStr">
        <is>
          <t>Factorisation, a partial-fraction split that is immediate once the sum is noticed, and two arctan integrals; routine.</t>
        </is>
      </c>
      <c r="O46" s="3" t="inlineStr">
        <is>
          <t>2026-P2-Q3 (L2)</t>
        </is>
      </c>
      <c r="P46" s="2" t="inlineStr">
        <is>
          <t>High</t>
        </is>
      </c>
    </row>
    <row r="47">
      <c r="A47" s="2" t="n">
        <v>46</v>
      </c>
      <c r="B47" s="2" t="inlineStr"/>
      <c r="C47" s="2" t="inlineStr">
        <is>
          <t>Q46</t>
        </is>
      </c>
      <c r="D47" s="2" t="inlineStr">
        <is>
          <t>SCQ</t>
        </is>
      </c>
      <c r="E47" s="3" t="inlineStr">
        <is>
          <t>Differential Equation</t>
        </is>
      </c>
      <c r="F47" s="2" t="n">
        <v>4</v>
      </c>
      <c r="G47" s="4" t="n">
        <v>2</v>
      </c>
      <c r="H47" s="4" t="inlineStr">
        <is>
          <t>Easier than Advanced</t>
        </is>
      </c>
      <c r="I47" s="5" t="n">
        <v>0</v>
      </c>
      <c r="J47" s="5" t="n">
        <v>0</v>
      </c>
      <c r="K47" s="5">
        <f>MIN(5,MAX(G47+I47,J47))</f>
        <v/>
      </c>
      <c r="L47" s="5">
        <f>F47*K47</f>
        <v/>
      </c>
      <c r="M47" s="3" t="inlineStr">
        <is>
          <t>Factor 2x³y+8xy = 2xy(x²+4): integrating factor x²+4.</t>
        </is>
      </c>
      <c r="N47" s="3" t="inlineStr">
        <is>
          <t>Linear equation, integrating factor by logarithmic derivative, one standard arctan integral; routine few steps.</t>
        </is>
      </c>
      <c r="O47" s="3" t="inlineStr">
        <is>
          <t>2023-P2-Q9 (L2)</t>
        </is>
      </c>
      <c r="P47" s="2" t="inlineStr">
        <is>
          <t>High</t>
        </is>
      </c>
    </row>
    <row r="48">
      <c r="A48" s="2" t="n">
        <v>47</v>
      </c>
      <c r="B48" s="2" t="inlineStr"/>
      <c r="C48" s="2" t="inlineStr">
        <is>
          <t>Q47</t>
        </is>
      </c>
      <c r="D48" s="2" t="inlineStr">
        <is>
          <t>SCQ</t>
        </is>
      </c>
      <c r="E48" s="3" t="inlineStr">
        <is>
          <t>Differential Equation</t>
        </is>
      </c>
      <c r="F48" s="2" t="n">
        <v>4</v>
      </c>
      <c r="G48" s="4" t="n">
        <v>2</v>
      </c>
      <c r="H48" s="4" t="inlineStr">
        <is>
          <t>Easier than Advanced</t>
        </is>
      </c>
      <c r="I48" s="5" t="n">
        <v>0</v>
      </c>
      <c r="J48" s="5" t="n">
        <v>0</v>
      </c>
      <c r="K48" s="5">
        <f>MIN(5,MAX(G48+I48,J48))</f>
        <v/>
      </c>
      <c r="L48" s="5">
        <f>F48*K48</f>
        <v/>
      </c>
      <c r="M48" s="3" t="inlineStr">
        <is>
          <t>Integrating factor e^{2x}; the particular solution vanishes at π/8, leaving only the transient.</t>
        </is>
      </c>
      <c r="N48" s="3" t="inlineStr">
        <is>
          <t>Linear equation with an exponential-times-trig integral and a clean evaluation; routine standard chain.</t>
        </is>
      </c>
      <c r="O48" s="3" t="inlineStr">
        <is>
          <t>2023-P2-Q9 (L2)</t>
        </is>
      </c>
      <c r="P48" s="2" t="inlineStr">
        <is>
          <t>High</t>
        </is>
      </c>
    </row>
    <row r="49">
      <c r="A49" s="2" t="n">
        <v>48</v>
      </c>
      <c r="B49" s="2" t="inlineStr"/>
      <c r="C49" s="2" t="inlineStr">
        <is>
          <t>Q48</t>
        </is>
      </c>
      <c r="D49" s="2" t="inlineStr">
        <is>
          <t>SCQ</t>
        </is>
      </c>
      <c r="E49" s="3" t="inlineStr">
        <is>
          <t>Differential Equation</t>
        </is>
      </c>
      <c r="F49" s="2" t="n">
        <v>4</v>
      </c>
      <c r="G49" s="4" t="n">
        <v>2</v>
      </c>
      <c r="H49" s="4" t="inlineStr">
        <is>
          <t>Easier than Advanced</t>
        </is>
      </c>
      <c r="I49" s="5" t="n">
        <v>0</v>
      </c>
      <c r="J49" s="5" t="n">
        <v>0</v>
      </c>
      <c r="K49" s="5">
        <f>MIN(5,MAX(G49+I49,J49))</f>
        <v/>
      </c>
      <c r="L49" s="5">
        <f>F49*K49</f>
        <v/>
      </c>
      <c r="M49" s="3" t="inlineStr">
        <is>
          <t>Circle: x²+y²+g(x+y)=0 with one parameter; differentiate the constant ratio (x²+y²)/(x+y).</t>
        </is>
      </c>
      <c r="N49" s="3" t="inlineStr">
        <is>
          <t>Formation of a first-order equation by eliminating one constant and simplifying to match an option; short routine algebra, familiar.</t>
        </is>
      </c>
      <c r="O49" s="3" t="inlineStr">
        <is>
          <t>2026-P2-Q3 (L2)</t>
        </is>
      </c>
      <c r="P49" s="2" t="inlineStr">
        <is>
          <t>High</t>
        </is>
      </c>
    </row>
    <row r="50">
      <c r="A50" s="2" t="n">
        <v>49</v>
      </c>
      <c r="B50" s="2" t="inlineStr"/>
      <c r="C50" s="2" t="inlineStr">
        <is>
          <t>Q49</t>
        </is>
      </c>
      <c r="D50" s="2" t="inlineStr">
        <is>
          <t>SCQ</t>
        </is>
      </c>
      <c r="E50" s="3" t="inlineStr">
        <is>
          <t>Differential Equation</t>
        </is>
      </c>
      <c r="F50" s="2" t="n">
        <v>4</v>
      </c>
      <c r="G50" s="4" t="n">
        <v>2</v>
      </c>
      <c r="H50" s="4" t="inlineStr">
        <is>
          <t>Easier than Advanced</t>
        </is>
      </c>
      <c r="I50" s="5" t="n">
        <v>0</v>
      </c>
      <c r="J50" s="5" t="n">
        <v>0</v>
      </c>
      <c r="K50" s="5">
        <f>MIN(5,MAX(G50+I50,J50))</f>
        <v/>
      </c>
      <c r="L50" s="5">
        <f>F50*K50</f>
        <v/>
      </c>
      <c r="M50" s="3" t="inlineStr">
        <is>
          <t>Divide by 2x: the left side is d(y ln x)/dx.</t>
        </is>
      </c>
      <c r="N50" s="3" t="inlineStr">
        <is>
          <t>Linear equation whose integrating factor is a logarithm and a by-parts integral; one subtlety (the singular point x=1) that the key ignores. Routine chain.</t>
        </is>
      </c>
      <c r="O50" s="3" t="inlineStr">
        <is>
          <t>2023-P2-Q9 (L2)</t>
        </is>
      </c>
      <c r="P50" s="2" t="inlineStr">
        <is>
          <t>Medium</t>
        </is>
      </c>
    </row>
    <row r="51">
      <c r="A51" s="2" t="n">
        <v>50</v>
      </c>
      <c r="B51" s="2" t="inlineStr"/>
      <c r="C51" s="2" t="inlineStr">
        <is>
          <t>Q50</t>
        </is>
      </c>
      <c r="D51" s="2" t="inlineStr">
        <is>
          <t>SCQ</t>
        </is>
      </c>
      <c r="E51" s="3" t="inlineStr">
        <is>
          <t>Differential Equation</t>
        </is>
      </c>
      <c r="F51" s="2" t="n">
        <v>4</v>
      </c>
      <c r="G51" s="4" t="n">
        <v>2</v>
      </c>
      <c r="H51" s="4" t="inlineStr">
        <is>
          <t>Easier than Advanced</t>
        </is>
      </c>
      <c r="I51" s="5" t="n">
        <v>0</v>
      </c>
      <c r="J51" s="5" t="n">
        <v>0</v>
      </c>
      <c r="K51" s="5">
        <f>MIN(5,MAX(G51+I51,J51))</f>
        <v/>
      </c>
      <c r="L51" s="5">
        <f>F51*K51</f>
        <v/>
      </c>
      <c r="M51" s="3" t="inlineStr">
        <is>
          <t>t = tan⁻¹x turns (1+x²)d/dx into d/dt: constant-coefficient linear equation.</t>
        </is>
      </c>
      <c r="N51" s="3" t="inlineStr">
        <is>
          <t>Substitution to a constant-coefficient linear equation, then two evaluation points; routine, familiar.</t>
        </is>
      </c>
      <c r="O51" s="3" t="inlineStr">
        <is>
          <t>2023-P2-Q9 (L2)</t>
        </is>
      </c>
      <c r="P51" s="2" t="inlineStr">
        <is>
          <t>High</t>
        </is>
      </c>
    </row>
    <row r="52">
      <c r="A52" s="2" t="n">
        <v>51</v>
      </c>
      <c r="B52" s="2" t="inlineStr"/>
      <c r="C52" s="2" t="inlineStr">
        <is>
          <t>Q51</t>
        </is>
      </c>
      <c r="D52" s="2" t="inlineStr">
        <is>
          <t>SCQ</t>
        </is>
      </c>
      <c r="E52" s="3" t="inlineStr">
        <is>
          <t>Differential Equation</t>
        </is>
      </c>
      <c r="F52" s="2" t="n">
        <v>4</v>
      </c>
      <c r="G52" s="6" t="n">
        <v>3</v>
      </c>
      <c r="H52" s="6" t="inlineStr">
        <is>
          <t>Average Advanced</t>
        </is>
      </c>
      <c r="I52" s="5" t="n">
        <v>0</v>
      </c>
      <c r="J52" s="5" t="n">
        <v>0</v>
      </c>
      <c r="K52" s="5">
        <f>MIN(5,MAX(G52+I52,J52))</f>
        <v/>
      </c>
      <c r="L52" s="5">
        <f>F52*K52</f>
        <v/>
      </c>
      <c r="M52" s="3" t="inlineStr">
        <is>
          <t>β(x dy + y dx) = β d(xy): no xy term for a circle gives β=0; then equal x², y² coefficients give α=2.</t>
        </is>
      </c>
      <c r="N52" s="3" t="inlineStr">
        <is>
          <t>Parametric differential equation, an exact-differential integration and a circle's conditions to decide parameters; unfamiliar-looking but each step is standard. More steps and two parameters to determine.</t>
        </is>
      </c>
      <c r="O52" s="3" t="inlineStr">
        <is>
          <t>2026-P2-Q3 (L2); 2021-P1-Q18 (L2)</t>
        </is>
      </c>
      <c r="P52" s="2" t="inlineStr">
        <is>
          <t>Medium</t>
        </is>
      </c>
    </row>
    <row r="53">
      <c r="A53" s="2" t="n">
        <v>52</v>
      </c>
      <c r="B53" s="2" t="inlineStr"/>
      <c r="C53" s="2" t="inlineStr">
        <is>
          <t>Q52</t>
        </is>
      </c>
      <c r="D53" s="2" t="inlineStr">
        <is>
          <t>SCQ</t>
        </is>
      </c>
      <c r="E53" s="3" t="inlineStr">
        <is>
          <t>Differential Equation</t>
        </is>
      </c>
      <c r="F53" s="2" t="n">
        <v>4</v>
      </c>
      <c r="G53" s="4" t="n">
        <v>2</v>
      </c>
      <c r="H53" s="4" t="inlineStr">
        <is>
          <t>Easier than Advanced</t>
        </is>
      </c>
      <c r="I53" s="5" t="n">
        <v>0</v>
      </c>
      <c r="J53" s="5" t="n">
        <v>0</v>
      </c>
      <c r="K53" s="5">
        <f>MIN(5,MAX(G53+I53,J53))</f>
        <v/>
      </c>
      <c r="L53" s="5">
        <f>F53*K53</f>
        <v/>
      </c>
      <c r="M53" s="3" t="inlineStr">
        <is>
          <t>t = e^{tan x}: the x-side is -dt/(1+t²); the final angle sum π/2 means y·e = 1.</t>
        </is>
      </c>
      <c r="N53" s="3" t="inlineStr">
        <is>
          <t>Separable with a composite substitution and an arctan sum; routine.</t>
        </is>
      </c>
      <c r="O53" s="3" t="inlineStr">
        <is>
          <t>2026-P2-Q3 (L2)</t>
        </is>
      </c>
      <c r="P53" s="2" t="inlineStr">
        <is>
          <t>High</t>
        </is>
      </c>
    </row>
    <row r="54">
      <c r="A54" s="2" t="n">
        <v>53</v>
      </c>
      <c r="B54" s="2" t="inlineStr"/>
      <c r="C54" s="2" t="inlineStr">
        <is>
          <t>Q53</t>
        </is>
      </c>
      <c r="D54" s="2" t="inlineStr">
        <is>
          <t>SCQ</t>
        </is>
      </c>
      <c r="E54" s="3" t="inlineStr">
        <is>
          <t>Differential Equation</t>
        </is>
      </c>
      <c r="F54" s="2" t="n">
        <v>4</v>
      </c>
      <c r="G54" s="4" t="n">
        <v>2</v>
      </c>
      <c r="H54" s="4" t="inlineStr">
        <is>
          <t>Easier than Advanced</t>
        </is>
      </c>
      <c r="I54" s="5" t="n">
        <v>0</v>
      </c>
      <c r="J54" s="5" t="n">
        <v>0</v>
      </c>
      <c r="K54" s="5">
        <f>MIN(5,MAX(G54+I54,J54))</f>
        <v/>
      </c>
      <c r="L54" s="5">
        <f>F54*K54</f>
        <v/>
      </c>
      <c r="M54" s="3" t="inlineStr">
        <is>
          <t>f = derivative of the area function; eliminate c₁, c₂: y''/y' = f''/f'.</t>
        </is>
      </c>
      <c r="N54" s="3" t="inlineStr">
        <is>
          <t>Fundamental theorem to recover f, then elimination of two constants (second order); short routine chain.</t>
        </is>
      </c>
      <c r="O54" s="3" t="inlineStr">
        <is>
          <t>2026-P2-Q3 (L2)</t>
        </is>
      </c>
      <c r="P54" s="2" t="inlineStr">
        <is>
          <t>High</t>
        </is>
      </c>
    </row>
    <row r="55">
      <c r="A55" s="2" t="n">
        <v>54</v>
      </c>
      <c r="B55" s="2" t="inlineStr"/>
      <c r="C55" s="2" t="inlineStr">
        <is>
          <t>Q54</t>
        </is>
      </c>
      <c r="D55" s="2" t="inlineStr">
        <is>
          <t>SCQ</t>
        </is>
      </c>
      <c r="E55" s="3" t="inlineStr">
        <is>
          <t>Differential Equation</t>
        </is>
      </c>
      <c r="F55" s="2" t="n">
        <v>4</v>
      </c>
      <c r="G55" s="4" t="n">
        <v>2</v>
      </c>
      <c r="H55" s="4" t="inlineStr">
        <is>
          <t>Easier than Advanced</t>
        </is>
      </c>
      <c r="I55" s="5" t="n">
        <v>0</v>
      </c>
      <c r="J55" s="5" t="n">
        <v>0</v>
      </c>
      <c r="K55" s="5">
        <f>MIN(5,MAX(G55+I55,J55))</f>
        <v/>
      </c>
      <c r="L55" s="5">
        <f>F55*K55</f>
        <v/>
      </c>
      <c r="M55" s="3" t="inlineStr">
        <is>
          <t>Multiply by sec y: z = tan y gives the linear equation z'+2xz = x³.</t>
        </is>
      </c>
      <c r="N55" s="3" t="inlineStr">
        <is>
          <t>Reduction by sec y and z=tan y, a linear solve with a by-parts integral, then evaluation; routine multi-step.</t>
        </is>
      </c>
      <c r="O55" s="3" t="inlineStr">
        <is>
          <t>2023-P2-Q9 (L2)</t>
        </is>
      </c>
      <c r="P55" s="2" t="inlineStr">
        <is>
          <t>High</t>
        </is>
      </c>
    </row>
    <row r="56">
      <c r="A56" s="2" t="n">
        <v>55</v>
      </c>
      <c r="B56" s="2" t="inlineStr"/>
      <c r="C56" s="2" t="inlineStr">
        <is>
          <t>Q55</t>
        </is>
      </c>
      <c r="D56" s="2" t="inlineStr">
        <is>
          <t>SCQ</t>
        </is>
      </c>
      <c r="E56" s="3" t="inlineStr">
        <is>
          <t>Differential Equation</t>
        </is>
      </c>
      <c r="F56" s="2" t="n">
        <v>4</v>
      </c>
      <c r="G56" s="7" t="n">
        <v>1</v>
      </c>
      <c r="H56" s="7" t="inlineStr">
        <is>
          <t>JEE Main level</t>
        </is>
      </c>
      <c r="I56" s="5" t="n">
        <v>0</v>
      </c>
      <c r="J56" s="5" t="n">
        <v>0</v>
      </c>
      <c r="K56" s="5">
        <f>MIN(5,MAX(G56+I56,J56))</f>
        <v/>
      </c>
      <c r="L56" s="5">
        <f>F56*K56</f>
        <v/>
      </c>
      <c r="M56" s="3" t="inlineStr">
        <is>
          <t>Integrate term by term; complete the square to read the vertex.</t>
        </is>
      </c>
      <c r="N56" s="3" t="inlineStr">
        <is>
          <t>Immediate integration, completing the square; single familiar move.</t>
        </is>
      </c>
      <c r="O56" s="3" t="inlineStr">
        <is>
          <t>2026-P2-Q4 (L1)</t>
        </is>
      </c>
      <c r="P56" s="2" t="inlineStr">
        <is>
          <t>High</t>
        </is>
      </c>
    </row>
    <row r="57">
      <c r="A57" s="2" t="n">
        <v>56</v>
      </c>
      <c r="B57" s="2" t="inlineStr"/>
      <c r="C57" s="2" t="inlineStr">
        <is>
          <t>Q56</t>
        </is>
      </c>
      <c r="D57" s="2" t="inlineStr">
        <is>
          <t>SCQ</t>
        </is>
      </c>
      <c r="E57" s="3" t="inlineStr">
        <is>
          <t>Differential Equation</t>
        </is>
      </c>
      <c r="F57" s="2" t="n">
        <v>4</v>
      </c>
      <c r="G57" s="4" t="n">
        <v>2</v>
      </c>
      <c r="H57" s="4" t="inlineStr">
        <is>
          <t>Easier than Advanced</t>
        </is>
      </c>
      <c r="I57" s="5" t="n">
        <v>0</v>
      </c>
      <c r="J57" s="5" t="n">
        <v>0</v>
      </c>
      <c r="K57" s="5">
        <f>MIN(5,MAX(G57+I57,J57))</f>
        <v/>
      </c>
      <c r="L57" s="5">
        <f>F57*K57</f>
        <v/>
      </c>
      <c r="M57" s="3" t="inlineStr">
        <is>
          <t>y=vx gives 5v dv/(1-4v²) = dx/x: a logarithm in 1-4v².</t>
        </is>
      </c>
      <c r="N57" s="3" t="inlineStr">
        <is>
          <t>Homogeneous substitution with a logarithmic integral and log-algebra to match the option form; routine.</t>
        </is>
      </c>
      <c r="O57" s="3" t="inlineStr">
        <is>
          <t>2026-P2-Q3 (L2)</t>
        </is>
      </c>
      <c r="P57" s="2" t="inlineStr">
        <is>
          <t>High</t>
        </is>
      </c>
    </row>
    <row r="58">
      <c r="A58" s="2" t="n">
        <v>57</v>
      </c>
      <c r="B58" s="2" t="inlineStr"/>
      <c r="C58" s="2" t="inlineStr">
        <is>
          <t>Q57</t>
        </is>
      </c>
      <c r="D58" s="2" t="inlineStr">
        <is>
          <t>SCQ</t>
        </is>
      </c>
      <c r="E58" s="3" t="inlineStr">
        <is>
          <t>Differential Equation</t>
        </is>
      </c>
      <c r="F58" s="2" t="n">
        <v>4</v>
      </c>
      <c r="G58" s="6" t="n">
        <v>3</v>
      </c>
      <c r="H58" s="6" t="inlineStr">
        <is>
          <t>Average Advanced</t>
        </is>
      </c>
      <c r="I58" s="5" t="n">
        <v>0</v>
      </c>
      <c r="J58" s="5" t="n">
        <v>0</v>
      </c>
      <c r="K58" s="5">
        <f>MIN(5,MAX(G58+I58,J58))</f>
        <v/>
      </c>
      <c r="L58" s="5">
        <f>F58*K58</f>
        <v/>
      </c>
      <c r="M58" s="3" t="inlineStr">
        <is>
          <t>Differentiate the integral equation: y'² + y² = 1, so y = sin x and y'' = -y.</t>
        </is>
      </c>
      <c r="N58" s="3" t="inlineStr">
        <is>
          <t>Differentiation of an integral equation, a non-linear first-order equation with a branch choice (y≥0), and the observation y''=-y; the branch and the singular solution make it more delicate than a plain separable question.</t>
        </is>
      </c>
      <c r="O58" s="3" t="inlineStr">
        <is>
          <t>2026-P1-Q7 (L3); 2026-P2-Q3 (L2)</t>
        </is>
      </c>
      <c r="P58" s="2" t="inlineStr">
        <is>
          <t>Medium</t>
        </is>
      </c>
    </row>
    <row r="59">
      <c r="A59" s="2" t="n">
        <v>58</v>
      </c>
      <c r="B59" s="2" t="inlineStr"/>
      <c r="C59" s="2" t="inlineStr">
        <is>
          <t>Q58</t>
        </is>
      </c>
      <c r="D59" s="2" t="inlineStr">
        <is>
          <t>Numerical</t>
        </is>
      </c>
      <c r="E59" s="3" t="inlineStr">
        <is>
          <t>Differential Equation</t>
        </is>
      </c>
      <c r="F59" s="2" t="n">
        <v>4</v>
      </c>
      <c r="G59" s="7" t="n">
        <v>1</v>
      </c>
      <c r="H59" s="7" t="inlineStr">
        <is>
          <t>JEE Main level</t>
        </is>
      </c>
      <c r="I59" s="5" t="n">
        <v>0</v>
      </c>
      <c r="J59" s="5" t="n">
        <v>0</v>
      </c>
      <c r="K59" s="5">
        <f>MIN(5,MAX(G59+I59,J59))</f>
        <v/>
      </c>
      <c r="L59" s="5">
        <f>F59*K59</f>
        <v/>
      </c>
      <c r="M59" s="3" t="inlineStr">
        <is>
          <t>Integrating factor e^{-x}; by-parts integral of e^{-x} sin x; c = 0.</t>
        </is>
      </c>
      <c r="N59" s="3" t="inlineStr">
        <is>
          <t>Standard linear equation with one by-parts integral; one familiar move chain.</t>
        </is>
      </c>
      <c r="O59" s="3" t="inlineStr">
        <is>
          <t>2026-P2-Q4 (L1)</t>
        </is>
      </c>
      <c r="P59" s="2" t="inlineStr">
        <is>
          <t>High</t>
        </is>
      </c>
    </row>
    <row r="60">
      <c r="A60" s="2" t="n">
        <v>59</v>
      </c>
      <c r="B60" s="2" t="inlineStr"/>
      <c r="C60" s="2" t="inlineStr">
        <is>
          <t>Q59</t>
        </is>
      </c>
      <c r="D60" s="2" t="inlineStr">
        <is>
          <t>Numerical</t>
        </is>
      </c>
      <c r="E60" s="3" t="inlineStr">
        <is>
          <t>Differential Equation</t>
        </is>
      </c>
      <c r="F60" s="2" t="n">
        <v>4</v>
      </c>
      <c r="G60" s="4" t="n">
        <v>2</v>
      </c>
      <c r="H60" s="4" t="inlineStr">
        <is>
          <t>Easier than Advanced</t>
        </is>
      </c>
      <c r="I60" s="5" t="n">
        <v>0</v>
      </c>
      <c r="J60" s="5" t="n">
        <v>0</v>
      </c>
      <c r="K60" s="5">
        <f>MIN(5,MAX(G60+I60,J60))</f>
        <v/>
      </c>
      <c r="L60" s="5">
        <f>F60*K60</f>
        <v/>
      </c>
      <c r="M60" s="3" t="inlineStr">
        <is>
          <t>t = x+y+2 gives t' = 1+t²: y = tan x - x - 2, monotone increasing.</t>
        </is>
      </c>
      <c r="N60" s="3" t="inlineStr">
        <is>
          <t>Substitution to a standard separable equation, endpoint extrema and surd arithmetic; three routine stages, numerical.</t>
        </is>
      </c>
      <c r="O60" s="3" t="inlineStr">
        <is>
          <t>2026-P2-Q3 (L2)</t>
        </is>
      </c>
      <c r="P60" s="2" t="inlineStr">
        <is>
          <t>High</t>
        </is>
      </c>
    </row>
    <row r="61">
      <c r="A61" s="2" t="n">
        <v>60</v>
      </c>
      <c r="B61" s="2" t="inlineStr"/>
      <c r="C61" s="2" t="inlineStr">
        <is>
          <t>Q60</t>
        </is>
      </c>
      <c r="D61" s="2" t="inlineStr">
        <is>
          <t>Numerical</t>
        </is>
      </c>
      <c r="E61" s="3" t="inlineStr">
        <is>
          <t>Differential Equation</t>
        </is>
      </c>
      <c r="F61" s="2" t="n">
        <v>4</v>
      </c>
      <c r="G61" s="6" t="n">
        <v>3</v>
      </c>
      <c r="H61" s="6" t="inlineStr">
        <is>
          <t>Average Advanced</t>
        </is>
      </c>
      <c r="I61" s="5" t="n">
        <v>0</v>
      </c>
      <c r="J61" s="5" t="n">
        <v>0</v>
      </c>
      <c r="K61" s="5">
        <f>MIN(5,MAX(G61+I61,J61))</f>
        <v/>
      </c>
      <c r="L61" s="5">
        <f>F61*K61</f>
        <v/>
      </c>
      <c r="M61" s="3" t="inlineStr">
        <is>
          <t>The limit is a difference quotient; it gives 2xf - x²f' = 1, a linear equation.</t>
        </is>
      </c>
      <c r="N61" s="3" t="inlineStr">
        <is>
          <t>Two linked ideas: reading the limit as a derivative combination and then solving a linear equation; numerical, no options.</t>
        </is>
      </c>
      <c r="O61" s="3" t="inlineStr">
        <is>
          <t>2026-P2-Q5 (L4); 2026-P2-Q3 (L2)</t>
        </is>
      </c>
      <c r="P61" s="2" t="inlineStr">
        <is>
          <t>Medium</t>
        </is>
      </c>
    </row>
    <row r="62">
      <c r="A62" s="2" t="n">
        <v>61</v>
      </c>
      <c r="B62" s="2" t="inlineStr"/>
      <c r="C62" s="2" t="inlineStr">
        <is>
          <t>Q61</t>
        </is>
      </c>
      <c r="D62" s="2" t="inlineStr">
        <is>
          <t>Numerical</t>
        </is>
      </c>
      <c r="E62" s="3" t="inlineStr">
        <is>
          <t>Differential Equation</t>
        </is>
      </c>
      <c r="F62" s="2" t="n">
        <v>4</v>
      </c>
      <c r="G62" s="4" t="n">
        <v>2</v>
      </c>
      <c r="H62" s="4" t="inlineStr">
        <is>
          <t>Easier than Advanced</t>
        </is>
      </c>
      <c r="I62" s="5" t="n">
        <v>0</v>
      </c>
      <c r="J62" s="5" t="n">
        <v>0</v>
      </c>
      <c r="K62" s="5">
        <f>MIN(5,MAX(G62+I62,J62))</f>
        <v/>
      </c>
      <c r="L62" s="5">
        <f>F62*K62</f>
        <v/>
      </c>
      <c r="M62" s="3" t="inlineStr">
        <is>
          <t>The integrating factor e^{-1/(1+x²)} is exactly the factor in f: f(x) = x²/2.</t>
        </is>
      </c>
      <c r="N62" s="3" t="inlineStr">
        <is>
          <t>Linear equation with a cancelling integrating factor, then a standard parabola-line area; routine.</t>
        </is>
      </c>
      <c r="O62" s="3" t="inlineStr">
        <is>
          <t>2023-P2-Q9 (L2)</t>
        </is>
      </c>
      <c r="P62" s="2" t="inlineStr">
        <is>
          <t>High</t>
        </is>
      </c>
    </row>
    <row r="63">
      <c r="A63" s="2" t="n">
        <v>62</v>
      </c>
      <c r="B63" s="2" t="inlineStr"/>
      <c r="C63" s="2" t="inlineStr">
        <is>
          <t>Q62</t>
        </is>
      </c>
      <c r="D63" s="2" t="inlineStr">
        <is>
          <t>Numerical</t>
        </is>
      </c>
      <c r="E63" s="3" t="inlineStr">
        <is>
          <t>Differential Equation</t>
        </is>
      </c>
      <c r="F63" s="2" t="n">
        <v>4</v>
      </c>
      <c r="G63" s="4" t="n">
        <v>2</v>
      </c>
      <c r="H63" s="4" t="inlineStr">
        <is>
          <t>Easier than Advanced</t>
        </is>
      </c>
      <c r="I63" s="5" t="n">
        <v>0</v>
      </c>
      <c r="J63" s="5" t="n">
        <v>0</v>
      </c>
      <c r="K63" s="5">
        <f>MIN(5,MAX(G63+I63,J63))</f>
        <v/>
      </c>
      <c r="L63" s="5">
        <f>F63*K63</f>
        <v/>
      </c>
      <c r="M63" s="3" t="inlineStr">
        <is>
          <t>Slope condition gives (y+5)² = 9(x-3); focal distance = x - 3 + a.</t>
        </is>
      </c>
      <c r="N63" s="3" t="inlineStr">
        <is>
          <t>Differential equation from a slope condition leading to a conic, recognise the parabola, then focal distance; two chapters but each step is standard.</t>
        </is>
      </c>
      <c r="O63" s="3" t="inlineStr">
        <is>
          <t>2026-P2-Q3 (L2); 2021-P1-Q18 (L2)</t>
        </is>
      </c>
      <c r="P63" s="2" t="inlineStr">
        <is>
          <t>Medium</t>
        </is>
      </c>
    </row>
    <row r="64">
      <c r="A64" s="2" t="n">
        <v>63</v>
      </c>
      <c r="B64" s="2" t="inlineStr"/>
      <c r="C64" s="2" t="inlineStr">
        <is>
          <t>Q63</t>
        </is>
      </c>
      <c r="D64" s="2" t="inlineStr">
        <is>
          <t>Numerical</t>
        </is>
      </c>
      <c r="E64" s="3" t="inlineStr">
        <is>
          <t>Differential Equation</t>
        </is>
      </c>
      <c r="F64" s="2" t="n">
        <v>4</v>
      </c>
      <c r="G64" s="7" t="n">
        <v>1</v>
      </c>
      <c r="H64" s="7" t="inlineStr">
        <is>
          <t>JEE Main level</t>
        </is>
      </c>
      <c r="I64" s="5" t="n">
        <v>0</v>
      </c>
      <c r="J64" s="5" t="n">
        <v>0</v>
      </c>
      <c r="K64" s="5">
        <f>MIN(5,MAX(G64+I64,J64))</f>
        <v/>
      </c>
      <c r="L64" s="5">
        <f>F64*K64</f>
        <v/>
      </c>
      <c r="M64" s="3" t="inlineStr">
        <is>
          <t>The equation is exact: d[(e^y+1) sin x] = 0.</t>
        </is>
      </c>
      <c r="N64" s="3" t="inlineStr">
        <is>
          <t>Immediate separation/exactness and one evaluation; single familiar move.</t>
        </is>
      </c>
      <c r="O64" s="3" t="inlineStr">
        <is>
          <t>2026-P2-Q4 (L1)</t>
        </is>
      </c>
      <c r="P64" s="2" t="inlineStr">
        <is>
          <t>High</t>
        </is>
      </c>
    </row>
    <row r="65">
      <c r="A65" s="2" t="n">
        <v>64</v>
      </c>
      <c r="B65" s="2" t="inlineStr"/>
      <c r="C65" s="2" t="inlineStr">
        <is>
          <t>Q64</t>
        </is>
      </c>
      <c r="D65" s="2" t="inlineStr">
        <is>
          <t>Numerical</t>
        </is>
      </c>
      <c r="E65" s="3" t="inlineStr">
        <is>
          <t>Differential Equation</t>
        </is>
      </c>
      <c r="F65" s="2" t="n">
        <v>4</v>
      </c>
      <c r="G65" s="4" t="n">
        <v>2</v>
      </c>
      <c r="H65" s="4" t="inlineStr">
        <is>
          <t>Easier than Advanced</t>
        </is>
      </c>
      <c r="I65" s="5" t="n">
        <v>0</v>
      </c>
      <c r="J65" s="5" t="n">
        <v>0</v>
      </c>
      <c r="K65" s="5">
        <f>MIN(5,MAX(G65+I65,J65))</f>
        <v/>
      </c>
      <c r="L65" s="5">
        <f>F65*K65</f>
        <v/>
      </c>
      <c r="M65" s="3" t="inlineStr">
        <is>
          <t>Divide by xy: d ln|y/x| + d(xy) = 0.</t>
        </is>
      </c>
      <c r="N65" s="3" t="inlineStr">
        <is>
          <t>Division by xy splits into exact differentials; one integral and a matching step; routine short chain.</t>
        </is>
      </c>
      <c r="O65" s="3" t="inlineStr">
        <is>
          <t>2026-P2-Q3 (L2)</t>
        </is>
      </c>
      <c r="P65" s="2" t="inlineStr">
        <is>
          <t>High</t>
        </is>
      </c>
    </row>
    <row r="66">
      <c r="A66" s="2" t="n">
        <v>65</v>
      </c>
      <c r="B66" s="2" t="inlineStr"/>
      <c r="C66" s="2" t="inlineStr">
        <is>
          <t>Q65</t>
        </is>
      </c>
      <c r="D66" s="2" t="inlineStr">
        <is>
          <t>Numerical</t>
        </is>
      </c>
      <c r="E66" s="3" t="inlineStr">
        <is>
          <t>Differential Equation</t>
        </is>
      </c>
      <c r="F66" s="2" t="n">
        <v>4</v>
      </c>
      <c r="G66" s="4" t="n">
        <v>2</v>
      </c>
      <c r="H66" s="4" t="inlineStr">
        <is>
          <t>Easier than Advanced</t>
        </is>
      </c>
      <c r="I66" s="5" t="n">
        <v>0</v>
      </c>
      <c r="J66" s="5" t="n">
        <v>0</v>
      </c>
      <c r="K66" s="5">
        <f>MIN(5,MAX(G66+I66,J66))</f>
        <v/>
      </c>
      <c r="L66" s="5">
        <f>F66*K66</f>
        <v/>
      </c>
      <c r="M66" s="3" t="inlineStr">
        <is>
          <t>The limit at -∞ equals the equilibrium -α/3, so α = -21.</t>
        </is>
      </c>
      <c r="N66" s="3" t="inlineStr">
        <is>
          <t>Linear (separable) equation and a limit condition fixing the constant; short chain, familiar.</t>
        </is>
      </c>
      <c r="O66" s="3" t="inlineStr">
        <is>
          <t>2023-P2-Q9 (L2)</t>
        </is>
      </c>
      <c r="P66" s="2" t="inlineStr">
        <is>
          <t>High</t>
        </is>
      </c>
    </row>
    <row r="68">
      <c r="A68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SHEET_DIFFERENTIAL_EQUATION_FCopy_JM.pdf   |   Evaluated on: 2026-10-14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COUNTIF(Evaluation!$G$2:$G$66,A5)</f>
        <v/>
      </c>
      <c r="D5" s="10">
        <f>SUMIF(Evaluation!$G$2:$G$66,A5,Evaluation!$F$2:$F$66)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COUNTIF(Evaluation!$G$2:$G$66,A6)</f>
        <v/>
      </c>
      <c r="D6" s="12">
        <f>SUMIF(Evaluation!$G$2:$G$66,A6,Evaluation!$F$2:$F$66)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COUNTIF(Evaluation!$G$2:$G$66,A7)</f>
        <v/>
      </c>
      <c r="D7" s="14">
        <f>SUMIF(Evaluation!$G$2:$G$66,A7,Evaluation!$F$2:$F$66)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COUNTIF(Evaluation!$G$2:$G$66,A8)</f>
        <v/>
      </c>
      <c r="D8" s="16">
        <f>SUMIF(Evaluation!$G$2:$G$66,A8,Evaluation!$F$2:$F$66)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COUNTIF(Evaluation!$G$2:$G$66,A9)</f>
        <v/>
      </c>
      <c r="D9" s="18">
        <f>SUMIF(Evaluation!$G$2:$G$66,A9,Evaluation!$F$2:$F$66)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COUNTIF(Evaluation!$G$2:$G$66,A10)</f>
        <v/>
      </c>
      <c r="D10" s="20">
        <f>SUMIF(Evaluation!$G$2:$G$66,A10,Evaluation!$F$2:$F$66)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SUM(Evaluation!$L$2:$L$66)/SUM(Evaluation!$F$2:$F$66)</f>
        <v/>
      </c>
      <c r="C14" s="23">
        <f>SUMPRODUCT(Evaluation!$F$2:$F$66,Evaluation!$G$2:$G$66)/SUM(Evaluation!$F$2:$F$66)</f>
        <v/>
      </c>
      <c r="D14" s="22">
        <f>SUM(Evaluation!$F$2:$F$66)</f>
        <v/>
      </c>
      <c r="E14" s="23">
        <f>AVERAGE(Evaluation!$G$2:$G$66)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2026-10-14T09:16:51Z</dcterms:created>
  <dcterms:modified xmlns:dcterms="http://purl.org/dc/terms/" xmlns:xsi="http://www.w3.org/2001/XMLSchema-instance" xsi:type="dcterms:W3CDTF">2026-10-14T09:16:51Z</dcterms:modified>
</cp:coreProperties>
</file>